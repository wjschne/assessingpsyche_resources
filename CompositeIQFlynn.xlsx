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h42402\Dropbox\Psychometrics\CompositeIQ\"/>
    </mc:Choice>
  </mc:AlternateContent>
  <xr:revisionPtr revIDLastSave="0" documentId="13_ncr:1_{7F56AADD-8F24-4095-97FF-8655527ED105}" xr6:coauthVersionLast="47" xr6:coauthVersionMax="47" xr10:uidLastSave="{00000000-0000-0000-0000-000000000000}"/>
  <bookViews>
    <workbookView xWindow="-120" yWindow="-120" windowWidth="29040" windowHeight="15720" xr2:uid="{B18880E0-F421-49E1-A407-10A201B7D1DA}"/>
  </bookViews>
  <sheets>
    <sheet name="Main" sheetId="1" r:id="rId1"/>
    <sheet name="TestSorting" sheetId="6" state="hidden" r:id="rId2"/>
    <sheet name="Blanks" sheetId="3" state="hidden" r:id="rId3"/>
    <sheet name="Tests" sheetId="4" r:id="rId4"/>
    <sheet name="Composite Plot" sheetId="8" r:id="rId5"/>
    <sheet name="Deviations Plot" sheetId="9" r:id="rId6"/>
    <sheet name="Calculations" sheetId="2" state="hidden" r:id="rId7"/>
    <sheet name="ChartCalculations" sheetId="7" state="hidden" r:id="rId8"/>
  </sheets>
  <definedNames>
    <definedName name="Average">OFFSET(Calculations!$AQ$11,,,Main!$C$29,1)</definedName>
    <definedName name="Batteries">OFFSET(TestSorting!$T$2,0,0,TestSorting!$S$1-1,1)</definedName>
    <definedName name="Errors" localSheetId="0">OFFSET(Calculations!$AL$11,0,0,Main!$C$29,1)</definedName>
    <definedName name="Expect2">OFFSET(Calculations!$AI$11,,,Main!$C$29,1)</definedName>
    <definedName name="Expected" localSheetId="0">OFFSET(Calculations!$AH$11,,,Main!$C$29,1)</definedName>
    <definedName name="Extremely_High">OFFSET(Calculations!$AU$11,,,Main!$C$29,1)</definedName>
    <definedName name="Extremely_Low">OFFSET(Calculations!$AM$11,,,Main!$C$29,1)</definedName>
    <definedName name="Flynn">Main!$A$26</definedName>
    <definedName name="High">OFFSET(Calculations!$AS$11,,,Main!$C$29,1)</definedName>
    <definedName name="High_Average">OFFSET(Calculations!$AR$11,,,Main!$C$29,1)</definedName>
    <definedName name="Low">OFFSET(Calculations!$AO$11,,,Main!$C$29,1)</definedName>
    <definedName name="Low_Average">OFFSET(Calculations!$AP$11,,,Main!$C$29,1)</definedName>
    <definedName name="Observed">OFFSET(Calculations!$AG$11,,,Main!$C$29,1)</definedName>
    <definedName name="SEE">OFFSET(Calculations!$AJ$11,0,0,Main!$C$29,1)</definedName>
    <definedName name="Subtests">OFFSET(Calculations!$AK$11,,,Main!$C$29,1)</definedName>
    <definedName name="TestList">OFFSET(Tests!$J$3,0,0,Tests!#REF!,1)</definedName>
    <definedName name="Very_High">OFFSET(Calculations!$AT$11,,,Main!$C$29,1)</definedName>
    <definedName name="Very_Low">OFFSET(Calculations!$AN$11,,,Main!$C$29,1)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 a="1"/>
  <c r="C48" i="3" s="1"/>
  <c r="D49" i="3" a="1"/>
  <c r="D49" i="3" s="1"/>
  <c r="E50" i="3" a="1"/>
  <c r="E50" i="3" s="1"/>
  <c r="F51" i="3" a="1"/>
  <c r="F51" i="3" s="1"/>
  <c r="G52" i="3" a="1"/>
  <c r="G52" i="3" s="1"/>
  <c r="H53" i="3" a="1"/>
  <c r="H53" i="3" s="1"/>
  <c r="I54" i="3" a="1"/>
  <c r="I54" i="3" s="1"/>
  <c r="J55" i="3" a="1"/>
  <c r="J55" i="3" s="1"/>
  <c r="K56" i="3" a="1"/>
  <c r="K56" i="3" s="1"/>
  <c r="L57" i="3" a="1"/>
  <c r="L57" i="3" s="1"/>
  <c r="M58" i="3" a="1"/>
  <c r="M58" i="3" s="1"/>
  <c r="N59" i="3" a="1"/>
  <c r="N59" i="3" s="1"/>
  <c r="O60" i="3" a="1"/>
  <c r="O60" i="3" s="1"/>
  <c r="P61" i="3" a="1"/>
  <c r="P61" i="3" s="1"/>
  <c r="Q62" i="3" a="1"/>
  <c r="Q62" i="3" s="1"/>
  <c r="R63" i="3" a="1"/>
  <c r="R63" i="3" s="1"/>
  <c r="S64" i="3" a="1"/>
  <c r="S64" i="3" s="1"/>
  <c r="T65" i="3" a="1"/>
  <c r="T65" i="3" s="1"/>
  <c r="U66" i="3" a="1"/>
  <c r="U66" i="3" s="1"/>
  <c r="B47" i="3" a="1"/>
  <c r="B47" i="3" s="1"/>
  <c r="A89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88" i="2"/>
  <c r="T4" i="1"/>
  <c r="T5" i="1"/>
  <c r="A90" i="2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" i="1"/>
  <c r="A88" i="2" s="1"/>
  <c r="I3" i="1"/>
  <c r="I8" i="1"/>
  <c r="AA17" i="2"/>
  <c r="AB17" i="2" s="1"/>
  <c r="S9" i="1" s="1"/>
  <c r="AA18" i="2"/>
  <c r="AB18" i="2" s="1"/>
  <c r="S10" i="1" s="1"/>
  <c r="AA19" i="2"/>
  <c r="AB19" i="2" s="1"/>
  <c r="S11" i="1" s="1"/>
  <c r="AA20" i="2"/>
  <c r="AA21" i="2"/>
  <c r="AA22" i="2"/>
  <c r="AA23" i="2"/>
  <c r="AA24" i="2"/>
  <c r="AA25" i="2"/>
  <c r="AC25" i="2" s="1"/>
  <c r="AA26" i="2"/>
  <c r="AC26" i="2" s="1"/>
  <c r="AA27" i="2"/>
  <c r="AC27" i="2" s="1"/>
  <c r="AA28" i="2"/>
  <c r="AA29" i="2"/>
  <c r="AA30" i="2"/>
  <c r="C86" i="2" l="1" a="1"/>
  <c r="C86" i="2" s="1"/>
  <c r="C87" i="2" a="1"/>
  <c r="C87" i="2" s="1"/>
  <c r="AC29" i="2"/>
  <c r="AC21" i="2"/>
  <c r="AC19" i="2"/>
  <c r="AC28" i="2"/>
  <c r="AB27" i="2"/>
  <c r="S19" i="1" s="1"/>
  <c r="AB26" i="2"/>
  <c r="S18" i="1" s="1"/>
  <c r="AC18" i="2"/>
  <c r="AB25" i="2"/>
  <c r="S17" i="1" s="1"/>
  <c r="AC17" i="2"/>
  <c r="AC23" i="2"/>
  <c r="AC20" i="2"/>
  <c r="AC24" i="2"/>
  <c r="AC30" i="2"/>
  <c r="AC22" i="2"/>
  <c r="AB24" i="2"/>
  <c r="S16" i="1" s="1"/>
  <c r="AB23" i="2"/>
  <c r="S15" i="1" s="1"/>
  <c r="AB30" i="2"/>
  <c r="S22" i="1" s="1"/>
  <c r="AB22" i="2"/>
  <c r="S14" i="1" s="1"/>
  <c r="AB29" i="2"/>
  <c r="S21" i="1" s="1"/>
  <c r="AB21" i="2"/>
  <c r="S13" i="1" s="1"/>
  <c r="AB28" i="2"/>
  <c r="S20" i="1" s="1"/>
  <c r="AB20" i="2"/>
  <c r="S12" i="1" s="1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V86" i="2" l="1"/>
  <c r="J86" i="2"/>
  <c r="R86" i="2"/>
  <c r="F86" i="2"/>
  <c r="M86" i="2"/>
  <c r="E86" i="2"/>
  <c r="U86" i="2"/>
  <c r="S86" i="2"/>
  <c r="S105" i="2" s="1"/>
  <c r="I86" i="2"/>
  <c r="N86" i="2"/>
  <c r="D86" i="2"/>
  <c r="D94" i="2" s="1"/>
  <c r="G86" i="2"/>
  <c r="G98" i="2" s="1"/>
  <c r="K86" i="2"/>
  <c r="Q86" i="2"/>
  <c r="Q106" i="2" s="1"/>
  <c r="H86" i="2"/>
  <c r="L86" i="2"/>
  <c r="P86" i="2"/>
  <c r="T86" i="2"/>
  <c r="T100" i="2" s="1"/>
  <c r="O86" i="2"/>
  <c r="O95" i="2" s="1"/>
  <c r="C93" i="2"/>
  <c r="C92" i="2"/>
  <c r="C105" i="2"/>
  <c r="C88" i="2"/>
  <c r="S87" i="2"/>
  <c r="S104" i="2" s="1"/>
  <c r="F87" i="2"/>
  <c r="F91" i="2" s="1"/>
  <c r="I87" i="2"/>
  <c r="I94" i="2" s="1"/>
  <c r="J87" i="2"/>
  <c r="J95" i="2" s="1"/>
  <c r="M87" i="2"/>
  <c r="M98" i="2" s="1"/>
  <c r="O87" i="2"/>
  <c r="Q87" i="2"/>
  <c r="D87" i="2"/>
  <c r="T87" i="2"/>
  <c r="U87" i="2"/>
  <c r="V87" i="2"/>
  <c r="V107" i="2" s="1"/>
  <c r="C94" i="2"/>
  <c r="G87" i="2"/>
  <c r="C95" i="2"/>
  <c r="H87" i="2"/>
  <c r="C96" i="2"/>
  <c r="K87" i="2"/>
  <c r="K96" i="2" s="1"/>
  <c r="C103" i="2"/>
  <c r="L87" i="2"/>
  <c r="C90" i="2"/>
  <c r="N87" i="2"/>
  <c r="N99" i="2" s="1"/>
  <c r="C97" i="2"/>
  <c r="P87" i="2"/>
  <c r="P101" i="2" s="1"/>
  <c r="C98" i="2"/>
  <c r="R87" i="2"/>
  <c r="R103" i="2" s="1"/>
  <c r="C99" i="2"/>
  <c r="E87" i="2"/>
  <c r="E90" i="2" s="1"/>
  <c r="C91" i="2"/>
  <c r="C100" i="2"/>
  <c r="C101" i="2"/>
  <c r="C104" i="2"/>
  <c r="C106" i="2"/>
  <c r="C107" i="2"/>
  <c r="C102" i="2"/>
  <c r="C89" i="2"/>
  <c r="F96" i="2"/>
  <c r="F90" i="2"/>
  <c r="F106" i="2"/>
  <c r="Q89" i="2"/>
  <c r="D104" i="2"/>
  <c r="D105" i="2"/>
  <c r="D98" i="2"/>
  <c r="D95" i="2"/>
  <c r="D102" i="2"/>
  <c r="D101" i="2"/>
  <c r="D91" i="2"/>
  <c r="D103" i="2"/>
  <c r="H106" i="2"/>
  <c r="H101" i="2"/>
  <c r="H91" i="2"/>
  <c r="T88" i="2"/>
  <c r="T104" i="2"/>
  <c r="T102" i="2"/>
  <c r="T97" i="2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2" i="7"/>
  <c r="D3" i="7"/>
  <c r="E3" i="7"/>
  <c r="F3" i="7"/>
  <c r="G3" i="7"/>
  <c r="H3" i="7"/>
  <c r="I3" i="7"/>
  <c r="J3" i="7"/>
  <c r="D4" i="7"/>
  <c r="E4" i="7"/>
  <c r="F4" i="7"/>
  <c r="G4" i="7"/>
  <c r="H4" i="7"/>
  <c r="I4" i="7"/>
  <c r="J4" i="7"/>
  <c r="D5" i="7"/>
  <c r="E5" i="7"/>
  <c r="F5" i="7"/>
  <c r="G5" i="7"/>
  <c r="H5" i="7"/>
  <c r="I5" i="7"/>
  <c r="J5" i="7"/>
  <c r="D6" i="7"/>
  <c r="E6" i="7"/>
  <c r="F6" i="7"/>
  <c r="G6" i="7"/>
  <c r="H6" i="7"/>
  <c r="I6" i="7"/>
  <c r="J6" i="7"/>
  <c r="D7" i="7"/>
  <c r="E7" i="7"/>
  <c r="F7" i="7"/>
  <c r="G7" i="7"/>
  <c r="H7" i="7"/>
  <c r="I7" i="7"/>
  <c r="J7" i="7"/>
  <c r="D8" i="7"/>
  <c r="E8" i="7"/>
  <c r="F8" i="7"/>
  <c r="G8" i="7"/>
  <c r="H8" i="7"/>
  <c r="I8" i="7"/>
  <c r="J8" i="7"/>
  <c r="D9" i="7"/>
  <c r="E9" i="7"/>
  <c r="F9" i="7"/>
  <c r="G9" i="7"/>
  <c r="H9" i="7"/>
  <c r="I9" i="7"/>
  <c r="J9" i="7"/>
  <c r="D10" i="7"/>
  <c r="E10" i="7"/>
  <c r="F10" i="7"/>
  <c r="G10" i="7"/>
  <c r="H10" i="7"/>
  <c r="I10" i="7"/>
  <c r="J10" i="7"/>
  <c r="D11" i="7"/>
  <c r="E11" i="7"/>
  <c r="F11" i="7"/>
  <c r="G11" i="7"/>
  <c r="H11" i="7"/>
  <c r="I11" i="7"/>
  <c r="J11" i="7"/>
  <c r="D12" i="7"/>
  <c r="E12" i="7"/>
  <c r="F12" i="7"/>
  <c r="G12" i="7"/>
  <c r="H12" i="7"/>
  <c r="I12" i="7"/>
  <c r="J12" i="7"/>
  <c r="D13" i="7"/>
  <c r="E13" i="7"/>
  <c r="F13" i="7"/>
  <c r="G13" i="7"/>
  <c r="H13" i="7"/>
  <c r="I13" i="7"/>
  <c r="J13" i="7"/>
  <c r="D14" i="7"/>
  <c r="E14" i="7"/>
  <c r="F14" i="7"/>
  <c r="G14" i="7"/>
  <c r="H14" i="7"/>
  <c r="I14" i="7"/>
  <c r="J14" i="7"/>
  <c r="D15" i="7"/>
  <c r="E15" i="7"/>
  <c r="F15" i="7"/>
  <c r="G15" i="7"/>
  <c r="H15" i="7"/>
  <c r="I15" i="7"/>
  <c r="J15" i="7"/>
  <c r="D16" i="7"/>
  <c r="E16" i="7"/>
  <c r="F16" i="7"/>
  <c r="G16" i="7"/>
  <c r="H16" i="7"/>
  <c r="I16" i="7"/>
  <c r="J16" i="7"/>
  <c r="D17" i="7"/>
  <c r="E17" i="7"/>
  <c r="F17" i="7"/>
  <c r="G17" i="7"/>
  <c r="H17" i="7"/>
  <c r="I17" i="7"/>
  <c r="J17" i="7"/>
  <c r="D18" i="7"/>
  <c r="E18" i="7"/>
  <c r="F18" i="7"/>
  <c r="G18" i="7"/>
  <c r="H18" i="7"/>
  <c r="I18" i="7"/>
  <c r="J18" i="7"/>
  <c r="D19" i="7"/>
  <c r="E19" i="7"/>
  <c r="F19" i="7"/>
  <c r="G19" i="7"/>
  <c r="H19" i="7"/>
  <c r="I19" i="7"/>
  <c r="J19" i="7"/>
  <c r="D20" i="7"/>
  <c r="E20" i="7"/>
  <c r="F20" i="7"/>
  <c r="G20" i="7"/>
  <c r="H20" i="7"/>
  <c r="I20" i="7"/>
  <c r="J20" i="7"/>
  <c r="D21" i="7"/>
  <c r="E21" i="7"/>
  <c r="F21" i="7"/>
  <c r="G21" i="7"/>
  <c r="H21" i="7"/>
  <c r="I21" i="7"/>
  <c r="J21" i="7"/>
  <c r="D22" i="7"/>
  <c r="E22" i="7"/>
  <c r="F22" i="7"/>
  <c r="G22" i="7"/>
  <c r="H22" i="7"/>
  <c r="I22" i="7"/>
  <c r="J22" i="7"/>
  <c r="D23" i="7"/>
  <c r="E23" i="7"/>
  <c r="F23" i="7"/>
  <c r="G23" i="7"/>
  <c r="H23" i="7"/>
  <c r="I23" i="7"/>
  <c r="J23" i="7"/>
  <c r="D24" i="7"/>
  <c r="E24" i="7"/>
  <c r="F24" i="7"/>
  <c r="G24" i="7"/>
  <c r="H24" i="7"/>
  <c r="I24" i="7"/>
  <c r="J24" i="7"/>
  <c r="D25" i="7"/>
  <c r="E25" i="7"/>
  <c r="F25" i="7"/>
  <c r="G25" i="7"/>
  <c r="H25" i="7"/>
  <c r="I25" i="7"/>
  <c r="J25" i="7"/>
  <c r="D26" i="7"/>
  <c r="E26" i="7"/>
  <c r="F26" i="7"/>
  <c r="G26" i="7"/>
  <c r="H26" i="7"/>
  <c r="I26" i="7"/>
  <c r="J26" i="7"/>
  <c r="D27" i="7"/>
  <c r="E27" i="7"/>
  <c r="F27" i="7"/>
  <c r="G27" i="7"/>
  <c r="H27" i="7"/>
  <c r="I27" i="7"/>
  <c r="J27" i="7"/>
  <c r="D28" i="7"/>
  <c r="E28" i="7"/>
  <c r="F28" i="7"/>
  <c r="G28" i="7"/>
  <c r="H28" i="7"/>
  <c r="I28" i="7"/>
  <c r="J28" i="7"/>
  <c r="D29" i="7"/>
  <c r="E29" i="7"/>
  <c r="F29" i="7"/>
  <c r="G29" i="7"/>
  <c r="H29" i="7"/>
  <c r="I29" i="7"/>
  <c r="J29" i="7"/>
  <c r="D30" i="7"/>
  <c r="E30" i="7"/>
  <c r="F30" i="7"/>
  <c r="G30" i="7"/>
  <c r="H30" i="7"/>
  <c r="I30" i="7"/>
  <c r="J30" i="7"/>
  <c r="D31" i="7"/>
  <c r="E31" i="7"/>
  <c r="F31" i="7"/>
  <c r="G31" i="7"/>
  <c r="H31" i="7"/>
  <c r="I31" i="7"/>
  <c r="J31" i="7"/>
  <c r="D32" i="7"/>
  <c r="E32" i="7"/>
  <c r="F32" i="7"/>
  <c r="G32" i="7"/>
  <c r="H32" i="7"/>
  <c r="I32" i="7"/>
  <c r="J32" i="7"/>
  <c r="D33" i="7"/>
  <c r="E33" i="7"/>
  <c r="F33" i="7"/>
  <c r="G33" i="7"/>
  <c r="H33" i="7"/>
  <c r="I33" i="7"/>
  <c r="J33" i="7"/>
  <c r="D34" i="7"/>
  <c r="E34" i="7"/>
  <c r="F34" i="7"/>
  <c r="G34" i="7"/>
  <c r="H34" i="7"/>
  <c r="I34" i="7"/>
  <c r="J34" i="7"/>
  <c r="D35" i="7"/>
  <c r="E35" i="7"/>
  <c r="F35" i="7"/>
  <c r="G35" i="7"/>
  <c r="H35" i="7"/>
  <c r="I35" i="7"/>
  <c r="J35" i="7"/>
  <c r="D36" i="7"/>
  <c r="E36" i="7"/>
  <c r="F36" i="7"/>
  <c r="G36" i="7"/>
  <c r="H36" i="7"/>
  <c r="I36" i="7"/>
  <c r="J36" i="7"/>
  <c r="D37" i="7"/>
  <c r="E37" i="7"/>
  <c r="F37" i="7"/>
  <c r="G37" i="7"/>
  <c r="H37" i="7"/>
  <c r="I37" i="7"/>
  <c r="J37" i="7"/>
  <c r="D38" i="7"/>
  <c r="E38" i="7"/>
  <c r="F38" i="7"/>
  <c r="G38" i="7"/>
  <c r="H38" i="7"/>
  <c r="I38" i="7"/>
  <c r="J38" i="7"/>
  <c r="D39" i="7"/>
  <c r="E39" i="7"/>
  <c r="F39" i="7"/>
  <c r="G39" i="7"/>
  <c r="H39" i="7"/>
  <c r="I39" i="7"/>
  <c r="J39" i="7"/>
  <c r="D40" i="7"/>
  <c r="E40" i="7"/>
  <c r="F40" i="7"/>
  <c r="G40" i="7"/>
  <c r="H40" i="7"/>
  <c r="I40" i="7"/>
  <c r="J40" i="7"/>
  <c r="D41" i="7"/>
  <c r="E41" i="7"/>
  <c r="F41" i="7"/>
  <c r="G41" i="7"/>
  <c r="H41" i="7"/>
  <c r="I41" i="7"/>
  <c r="J41" i="7"/>
  <c r="D42" i="7"/>
  <c r="E42" i="7"/>
  <c r="F42" i="7"/>
  <c r="G42" i="7"/>
  <c r="H42" i="7"/>
  <c r="I42" i="7"/>
  <c r="J42" i="7"/>
  <c r="D43" i="7"/>
  <c r="E43" i="7"/>
  <c r="F43" i="7"/>
  <c r="G43" i="7"/>
  <c r="H43" i="7"/>
  <c r="I43" i="7"/>
  <c r="J43" i="7"/>
  <c r="D44" i="7"/>
  <c r="E44" i="7"/>
  <c r="F44" i="7"/>
  <c r="G44" i="7"/>
  <c r="H44" i="7"/>
  <c r="I44" i="7"/>
  <c r="J44" i="7"/>
  <c r="D45" i="7"/>
  <c r="E45" i="7"/>
  <c r="F45" i="7"/>
  <c r="G45" i="7"/>
  <c r="H45" i="7"/>
  <c r="I45" i="7"/>
  <c r="J45" i="7"/>
  <c r="D46" i="7"/>
  <c r="E46" i="7"/>
  <c r="F46" i="7"/>
  <c r="G46" i="7"/>
  <c r="H46" i="7"/>
  <c r="I46" i="7"/>
  <c r="J46" i="7"/>
  <c r="D47" i="7"/>
  <c r="E47" i="7"/>
  <c r="F47" i="7"/>
  <c r="G47" i="7"/>
  <c r="H47" i="7"/>
  <c r="I47" i="7"/>
  <c r="J47" i="7"/>
  <c r="D48" i="7"/>
  <c r="E48" i="7"/>
  <c r="F48" i="7"/>
  <c r="G48" i="7"/>
  <c r="H48" i="7"/>
  <c r="I48" i="7"/>
  <c r="J48" i="7"/>
  <c r="D49" i="7"/>
  <c r="E49" i="7"/>
  <c r="F49" i="7"/>
  <c r="G49" i="7"/>
  <c r="H49" i="7"/>
  <c r="I49" i="7"/>
  <c r="J49" i="7"/>
  <c r="D50" i="7"/>
  <c r="E50" i="7"/>
  <c r="F50" i="7"/>
  <c r="G50" i="7"/>
  <c r="H50" i="7"/>
  <c r="I50" i="7"/>
  <c r="J50" i="7"/>
  <c r="D51" i="7"/>
  <c r="E51" i="7"/>
  <c r="F51" i="7"/>
  <c r="G51" i="7"/>
  <c r="H51" i="7"/>
  <c r="I51" i="7"/>
  <c r="J51" i="7"/>
  <c r="D52" i="7"/>
  <c r="E52" i="7"/>
  <c r="F52" i="7"/>
  <c r="G52" i="7"/>
  <c r="H52" i="7"/>
  <c r="I52" i="7"/>
  <c r="J52" i="7"/>
  <c r="D53" i="7"/>
  <c r="E53" i="7"/>
  <c r="F53" i="7"/>
  <c r="G53" i="7"/>
  <c r="H53" i="7"/>
  <c r="I53" i="7"/>
  <c r="J53" i="7"/>
  <c r="D54" i="7"/>
  <c r="E54" i="7"/>
  <c r="F54" i="7"/>
  <c r="G54" i="7"/>
  <c r="H54" i="7"/>
  <c r="I54" i="7"/>
  <c r="J54" i="7"/>
  <c r="D55" i="7"/>
  <c r="E55" i="7"/>
  <c r="F55" i="7"/>
  <c r="G55" i="7"/>
  <c r="H55" i="7"/>
  <c r="I55" i="7"/>
  <c r="J55" i="7"/>
  <c r="D56" i="7"/>
  <c r="E56" i="7"/>
  <c r="F56" i="7"/>
  <c r="G56" i="7"/>
  <c r="H56" i="7"/>
  <c r="I56" i="7"/>
  <c r="J56" i="7"/>
  <c r="D57" i="7"/>
  <c r="E57" i="7"/>
  <c r="F57" i="7"/>
  <c r="G57" i="7"/>
  <c r="H57" i="7"/>
  <c r="I57" i="7"/>
  <c r="J57" i="7"/>
  <c r="D58" i="7"/>
  <c r="E58" i="7"/>
  <c r="F58" i="7"/>
  <c r="G58" i="7"/>
  <c r="H58" i="7"/>
  <c r="I58" i="7"/>
  <c r="J58" i="7"/>
  <c r="D59" i="7"/>
  <c r="E59" i="7"/>
  <c r="F59" i="7"/>
  <c r="G59" i="7"/>
  <c r="H59" i="7"/>
  <c r="I59" i="7"/>
  <c r="J59" i="7"/>
  <c r="D60" i="7"/>
  <c r="E60" i="7"/>
  <c r="F60" i="7"/>
  <c r="G60" i="7"/>
  <c r="H60" i="7"/>
  <c r="I60" i="7"/>
  <c r="J60" i="7"/>
  <c r="D61" i="7"/>
  <c r="E61" i="7"/>
  <c r="F61" i="7"/>
  <c r="G61" i="7"/>
  <c r="H61" i="7"/>
  <c r="I61" i="7"/>
  <c r="J61" i="7"/>
  <c r="D62" i="7"/>
  <c r="E62" i="7"/>
  <c r="F62" i="7"/>
  <c r="G62" i="7"/>
  <c r="H62" i="7"/>
  <c r="I62" i="7"/>
  <c r="J62" i="7"/>
  <c r="D63" i="7"/>
  <c r="E63" i="7"/>
  <c r="F63" i="7"/>
  <c r="G63" i="7"/>
  <c r="H63" i="7"/>
  <c r="I63" i="7"/>
  <c r="J63" i="7"/>
  <c r="D64" i="7"/>
  <c r="E64" i="7"/>
  <c r="F64" i="7"/>
  <c r="G64" i="7"/>
  <c r="H64" i="7"/>
  <c r="I64" i="7"/>
  <c r="J64" i="7"/>
  <c r="D65" i="7"/>
  <c r="E65" i="7"/>
  <c r="F65" i="7"/>
  <c r="G65" i="7"/>
  <c r="H65" i="7"/>
  <c r="I65" i="7"/>
  <c r="J65" i="7"/>
  <c r="D66" i="7"/>
  <c r="E66" i="7"/>
  <c r="F66" i="7"/>
  <c r="G66" i="7"/>
  <c r="H66" i="7"/>
  <c r="I66" i="7"/>
  <c r="J66" i="7"/>
  <c r="D67" i="7"/>
  <c r="E67" i="7"/>
  <c r="F67" i="7"/>
  <c r="G67" i="7"/>
  <c r="H67" i="7"/>
  <c r="I67" i="7"/>
  <c r="J67" i="7"/>
  <c r="D68" i="7"/>
  <c r="E68" i="7"/>
  <c r="F68" i="7"/>
  <c r="G68" i="7"/>
  <c r="H68" i="7"/>
  <c r="I68" i="7"/>
  <c r="J68" i="7"/>
  <c r="D69" i="7"/>
  <c r="E69" i="7"/>
  <c r="F69" i="7"/>
  <c r="G69" i="7"/>
  <c r="H69" i="7"/>
  <c r="I69" i="7"/>
  <c r="J69" i="7"/>
  <c r="D70" i="7"/>
  <c r="E70" i="7"/>
  <c r="F70" i="7"/>
  <c r="G70" i="7"/>
  <c r="H70" i="7"/>
  <c r="I70" i="7"/>
  <c r="J70" i="7"/>
  <c r="D71" i="7"/>
  <c r="E71" i="7"/>
  <c r="F71" i="7"/>
  <c r="G71" i="7"/>
  <c r="H71" i="7"/>
  <c r="I71" i="7"/>
  <c r="J71" i="7"/>
  <c r="D72" i="7"/>
  <c r="E72" i="7"/>
  <c r="F72" i="7"/>
  <c r="G72" i="7"/>
  <c r="H72" i="7"/>
  <c r="I72" i="7"/>
  <c r="J72" i="7"/>
  <c r="D73" i="7"/>
  <c r="E73" i="7"/>
  <c r="F73" i="7"/>
  <c r="G73" i="7"/>
  <c r="H73" i="7"/>
  <c r="I73" i="7"/>
  <c r="J73" i="7"/>
  <c r="D74" i="7"/>
  <c r="E74" i="7"/>
  <c r="F74" i="7"/>
  <c r="G74" i="7"/>
  <c r="H74" i="7"/>
  <c r="I74" i="7"/>
  <c r="J74" i="7"/>
  <c r="D75" i="7"/>
  <c r="E75" i="7"/>
  <c r="F75" i="7"/>
  <c r="G75" i="7"/>
  <c r="H75" i="7"/>
  <c r="I75" i="7"/>
  <c r="J75" i="7"/>
  <c r="D76" i="7"/>
  <c r="E76" i="7"/>
  <c r="F76" i="7"/>
  <c r="G76" i="7"/>
  <c r="H76" i="7"/>
  <c r="I76" i="7"/>
  <c r="J76" i="7"/>
  <c r="D77" i="7"/>
  <c r="E77" i="7"/>
  <c r="F77" i="7"/>
  <c r="G77" i="7"/>
  <c r="H77" i="7"/>
  <c r="I77" i="7"/>
  <c r="J77" i="7"/>
  <c r="D78" i="7"/>
  <c r="E78" i="7"/>
  <c r="F78" i="7"/>
  <c r="G78" i="7"/>
  <c r="H78" i="7"/>
  <c r="I78" i="7"/>
  <c r="J78" i="7"/>
  <c r="D79" i="7"/>
  <c r="E79" i="7"/>
  <c r="F79" i="7"/>
  <c r="G79" i="7"/>
  <c r="H79" i="7"/>
  <c r="I79" i="7"/>
  <c r="J79" i="7"/>
  <c r="D80" i="7"/>
  <c r="E80" i="7"/>
  <c r="F80" i="7"/>
  <c r="G80" i="7"/>
  <c r="H80" i="7"/>
  <c r="I80" i="7"/>
  <c r="J80" i="7"/>
  <c r="D81" i="7"/>
  <c r="E81" i="7"/>
  <c r="F81" i="7"/>
  <c r="G81" i="7"/>
  <c r="H81" i="7"/>
  <c r="I81" i="7"/>
  <c r="J81" i="7"/>
  <c r="D82" i="7"/>
  <c r="E82" i="7"/>
  <c r="F82" i="7"/>
  <c r="G82" i="7"/>
  <c r="H82" i="7"/>
  <c r="I82" i="7"/>
  <c r="J82" i="7"/>
  <c r="D83" i="7"/>
  <c r="E83" i="7"/>
  <c r="F83" i="7"/>
  <c r="G83" i="7"/>
  <c r="H83" i="7"/>
  <c r="I83" i="7"/>
  <c r="J83" i="7"/>
  <c r="D84" i="7"/>
  <c r="E84" i="7"/>
  <c r="F84" i="7"/>
  <c r="G84" i="7"/>
  <c r="H84" i="7"/>
  <c r="I84" i="7"/>
  <c r="J84" i="7"/>
  <c r="D85" i="7"/>
  <c r="E85" i="7"/>
  <c r="F85" i="7"/>
  <c r="G85" i="7"/>
  <c r="H85" i="7"/>
  <c r="I85" i="7"/>
  <c r="J85" i="7"/>
  <c r="D86" i="7"/>
  <c r="E86" i="7"/>
  <c r="F86" i="7"/>
  <c r="G86" i="7"/>
  <c r="H86" i="7"/>
  <c r="I86" i="7"/>
  <c r="J86" i="7"/>
  <c r="D87" i="7"/>
  <c r="E87" i="7"/>
  <c r="F87" i="7"/>
  <c r="G87" i="7"/>
  <c r="H87" i="7"/>
  <c r="I87" i="7"/>
  <c r="J87" i="7"/>
  <c r="D88" i="7"/>
  <c r="E88" i="7"/>
  <c r="F88" i="7"/>
  <c r="G88" i="7"/>
  <c r="H88" i="7"/>
  <c r="I88" i="7"/>
  <c r="J88" i="7"/>
  <c r="D89" i="7"/>
  <c r="E89" i="7"/>
  <c r="F89" i="7"/>
  <c r="G89" i="7"/>
  <c r="H89" i="7"/>
  <c r="I89" i="7"/>
  <c r="J89" i="7"/>
  <c r="D90" i="7"/>
  <c r="E90" i="7"/>
  <c r="F90" i="7"/>
  <c r="G90" i="7"/>
  <c r="H90" i="7"/>
  <c r="I90" i="7"/>
  <c r="J90" i="7"/>
  <c r="D91" i="7"/>
  <c r="E91" i="7"/>
  <c r="F91" i="7"/>
  <c r="G91" i="7"/>
  <c r="H91" i="7"/>
  <c r="I91" i="7"/>
  <c r="J91" i="7"/>
  <c r="D92" i="7"/>
  <c r="E92" i="7"/>
  <c r="F92" i="7"/>
  <c r="G92" i="7"/>
  <c r="H92" i="7"/>
  <c r="I92" i="7"/>
  <c r="J92" i="7"/>
  <c r="D93" i="7"/>
  <c r="E93" i="7"/>
  <c r="F93" i="7"/>
  <c r="G93" i="7"/>
  <c r="H93" i="7"/>
  <c r="I93" i="7"/>
  <c r="J93" i="7"/>
  <c r="D94" i="7"/>
  <c r="E94" i="7"/>
  <c r="F94" i="7"/>
  <c r="G94" i="7"/>
  <c r="H94" i="7"/>
  <c r="I94" i="7"/>
  <c r="J94" i="7"/>
  <c r="D95" i="7"/>
  <c r="E95" i="7"/>
  <c r="F95" i="7"/>
  <c r="G95" i="7"/>
  <c r="H95" i="7"/>
  <c r="I95" i="7"/>
  <c r="J95" i="7"/>
  <c r="D96" i="7"/>
  <c r="E96" i="7"/>
  <c r="F96" i="7"/>
  <c r="G96" i="7"/>
  <c r="H96" i="7"/>
  <c r="I96" i="7"/>
  <c r="J96" i="7"/>
  <c r="D97" i="7"/>
  <c r="E97" i="7"/>
  <c r="F97" i="7"/>
  <c r="G97" i="7"/>
  <c r="H97" i="7"/>
  <c r="I97" i="7"/>
  <c r="J97" i="7"/>
  <c r="D98" i="7"/>
  <c r="E98" i="7"/>
  <c r="F98" i="7"/>
  <c r="G98" i="7"/>
  <c r="H98" i="7"/>
  <c r="I98" i="7"/>
  <c r="J98" i="7"/>
  <c r="D99" i="7"/>
  <c r="E99" i="7"/>
  <c r="F99" i="7"/>
  <c r="G99" i="7"/>
  <c r="H99" i="7"/>
  <c r="I99" i="7"/>
  <c r="J99" i="7"/>
  <c r="D100" i="7"/>
  <c r="E100" i="7"/>
  <c r="F100" i="7"/>
  <c r="G100" i="7"/>
  <c r="H100" i="7"/>
  <c r="I100" i="7"/>
  <c r="J100" i="7"/>
  <c r="D101" i="7"/>
  <c r="E101" i="7"/>
  <c r="F101" i="7"/>
  <c r="G101" i="7"/>
  <c r="H101" i="7"/>
  <c r="I101" i="7"/>
  <c r="J101" i="7"/>
  <c r="D102" i="7"/>
  <c r="E102" i="7"/>
  <c r="F102" i="7"/>
  <c r="G102" i="7"/>
  <c r="H102" i="7"/>
  <c r="I102" i="7"/>
  <c r="J102" i="7"/>
  <c r="D103" i="7"/>
  <c r="E103" i="7"/>
  <c r="F103" i="7"/>
  <c r="G103" i="7"/>
  <c r="H103" i="7"/>
  <c r="I103" i="7"/>
  <c r="J103" i="7"/>
  <c r="D104" i="7"/>
  <c r="E104" i="7"/>
  <c r="F104" i="7"/>
  <c r="G104" i="7"/>
  <c r="H104" i="7"/>
  <c r="I104" i="7"/>
  <c r="J104" i="7"/>
  <c r="D105" i="7"/>
  <c r="E105" i="7"/>
  <c r="F105" i="7"/>
  <c r="G105" i="7"/>
  <c r="H105" i="7"/>
  <c r="I105" i="7"/>
  <c r="J105" i="7"/>
  <c r="D106" i="7"/>
  <c r="E106" i="7"/>
  <c r="F106" i="7"/>
  <c r="G106" i="7"/>
  <c r="H106" i="7"/>
  <c r="I106" i="7"/>
  <c r="J106" i="7"/>
  <c r="D107" i="7"/>
  <c r="E107" i="7"/>
  <c r="F107" i="7"/>
  <c r="G107" i="7"/>
  <c r="H107" i="7"/>
  <c r="I107" i="7"/>
  <c r="J107" i="7"/>
  <c r="D108" i="7"/>
  <c r="E108" i="7"/>
  <c r="F108" i="7"/>
  <c r="G108" i="7"/>
  <c r="H108" i="7"/>
  <c r="I108" i="7"/>
  <c r="J108" i="7"/>
  <c r="D109" i="7"/>
  <c r="E109" i="7"/>
  <c r="F109" i="7"/>
  <c r="G109" i="7"/>
  <c r="H109" i="7"/>
  <c r="I109" i="7"/>
  <c r="J109" i="7"/>
  <c r="D110" i="7"/>
  <c r="E110" i="7"/>
  <c r="F110" i="7"/>
  <c r="G110" i="7"/>
  <c r="H110" i="7"/>
  <c r="I110" i="7"/>
  <c r="J110" i="7"/>
  <c r="D111" i="7"/>
  <c r="E111" i="7"/>
  <c r="F111" i="7"/>
  <c r="G111" i="7"/>
  <c r="H111" i="7"/>
  <c r="I111" i="7"/>
  <c r="J111" i="7"/>
  <c r="D112" i="7"/>
  <c r="E112" i="7"/>
  <c r="F112" i="7"/>
  <c r="G112" i="7"/>
  <c r="H112" i="7"/>
  <c r="I112" i="7"/>
  <c r="J112" i="7"/>
  <c r="D113" i="7"/>
  <c r="E113" i="7"/>
  <c r="F113" i="7"/>
  <c r="G113" i="7"/>
  <c r="H113" i="7"/>
  <c r="I113" i="7"/>
  <c r="J113" i="7"/>
  <c r="D114" i="7"/>
  <c r="E114" i="7"/>
  <c r="F114" i="7"/>
  <c r="G114" i="7"/>
  <c r="H114" i="7"/>
  <c r="I114" i="7"/>
  <c r="J114" i="7"/>
  <c r="D115" i="7"/>
  <c r="E115" i="7"/>
  <c r="F115" i="7"/>
  <c r="G115" i="7"/>
  <c r="H115" i="7"/>
  <c r="I115" i="7"/>
  <c r="J115" i="7"/>
  <c r="D116" i="7"/>
  <c r="E116" i="7"/>
  <c r="F116" i="7"/>
  <c r="G116" i="7"/>
  <c r="H116" i="7"/>
  <c r="I116" i="7"/>
  <c r="J116" i="7"/>
  <c r="D117" i="7"/>
  <c r="E117" i="7"/>
  <c r="F117" i="7"/>
  <c r="G117" i="7"/>
  <c r="H117" i="7"/>
  <c r="I117" i="7"/>
  <c r="J117" i="7"/>
  <c r="D118" i="7"/>
  <c r="E118" i="7"/>
  <c r="F118" i="7"/>
  <c r="G118" i="7"/>
  <c r="H118" i="7"/>
  <c r="I118" i="7"/>
  <c r="J118" i="7"/>
  <c r="D119" i="7"/>
  <c r="E119" i="7"/>
  <c r="F119" i="7"/>
  <c r="G119" i="7"/>
  <c r="H119" i="7"/>
  <c r="I119" i="7"/>
  <c r="J119" i="7"/>
  <c r="D120" i="7"/>
  <c r="E120" i="7"/>
  <c r="F120" i="7"/>
  <c r="G120" i="7"/>
  <c r="H120" i="7"/>
  <c r="I120" i="7"/>
  <c r="J120" i="7"/>
  <c r="D121" i="7"/>
  <c r="E121" i="7"/>
  <c r="F121" i="7"/>
  <c r="G121" i="7"/>
  <c r="H121" i="7"/>
  <c r="I121" i="7"/>
  <c r="J121" i="7"/>
  <c r="D122" i="7"/>
  <c r="E122" i="7"/>
  <c r="F122" i="7"/>
  <c r="G122" i="7"/>
  <c r="H122" i="7"/>
  <c r="I122" i="7"/>
  <c r="J122" i="7"/>
  <c r="D123" i="7"/>
  <c r="E123" i="7"/>
  <c r="F123" i="7"/>
  <c r="G123" i="7"/>
  <c r="H123" i="7"/>
  <c r="I123" i="7"/>
  <c r="J123" i="7"/>
  <c r="D124" i="7"/>
  <c r="E124" i="7"/>
  <c r="F124" i="7"/>
  <c r="G124" i="7"/>
  <c r="H124" i="7"/>
  <c r="I124" i="7"/>
  <c r="J124" i="7"/>
  <c r="D125" i="7"/>
  <c r="E125" i="7"/>
  <c r="F125" i="7"/>
  <c r="G125" i="7"/>
  <c r="H125" i="7"/>
  <c r="I125" i="7"/>
  <c r="J125" i="7"/>
  <c r="D126" i="7"/>
  <c r="E126" i="7"/>
  <c r="F126" i="7"/>
  <c r="G126" i="7"/>
  <c r="H126" i="7"/>
  <c r="I126" i="7"/>
  <c r="J126" i="7"/>
  <c r="D127" i="7"/>
  <c r="E127" i="7"/>
  <c r="F127" i="7"/>
  <c r="G127" i="7"/>
  <c r="H127" i="7"/>
  <c r="I127" i="7"/>
  <c r="J127" i="7"/>
  <c r="D128" i="7"/>
  <c r="E128" i="7"/>
  <c r="F128" i="7"/>
  <c r="G128" i="7"/>
  <c r="H128" i="7"/>
  <c r="I128" i="7"/>
  <c r="J128" i="7"/>
  <c r="D129" i="7"/>
  <c r="E129" i="7"/>
  <c r="F129" i="7"/>
  <c r="G129" i="7"/>
  <c r="H129" i="7"/>
  <c r="I129" i="7"/>
  <c r="J129" i="7"/>
  <c r="D130" i="7"/>
  <c r="E130" i="7"/>
  <c r="F130" i="7"/>
  <c r="G130" i="7"/>
  <c r="H130" i="7"/>
  <c r="I130" i="7"/>
  <c r="J130" i="7"/>
  <c r="D131" i="7"/>
  <c r="E131" i="7"/>
  <c r="F131" i="7"/>
  <c r="G131" i="7"/>
  <c r="H131" i="7"/>
  <c r="I131" i="7"/>
  <c r="J131" i="7"/>
  <c r="D132" i="7"/>
  <c r="E132" i="7"/>
  <c r="F132" i="7"/>
  <c r="G132" i="7"/>
  <c r="H132" i="7"/>
  <c r="I132" i="7"/>
  <c r="J132" i="7"/>
  <c r="D133" i="7"/>
  <c r="E133" i="7"/>
  <c r="F133" i="7"/>
  <c r="G133" i="7"/>
  <c r="H133" i="7"/>
  <c r="I133" i="7"/>
  <c r="J133" i="7"/>
  <c r="D134" i="7"/>
  <c r="E134" i="7"/>
  <c r="F134" i="7"/>
  <c r="G134" i="7"/>
  <c r="H134" i="7"/>
  <c r="I134" i="7"/>
  <c r="J134" i="7"/>
  <c r="D135" i="7"/>
  <c r="E135" i="7"/>
  <c r="F135" i="7"/>
  <c r="G135" i="7"/>
  <c r="H135" i="7"/>
  <c r="I135" i="7"/>
  <c r="J135" i="7"/>
  <c r="D136" i="7"/>
  <c r="E136" i="7"/>
  <c r="F136" i="7"/>
  <c r="G136" i="7"/>
  <c r="H136" i="7"/>
  <c r="I136" i="7"/>
  <c r="J136" i="7"/>
  <c r="D137" i="7"/>
  <c r="E137" i="7"/>
  <c r="F137" i="7"/>
  <c r="G137" i="7"/>
  <c r="H137" i="7"/>
  <c r="I137" i="7"/>
  <c r="J137" i="7"/>
  <c r="D138" i="7"/>
  <c r="E138" i="7"/>
  <c r="F138" i="7"/>
  <c r="G138" i="7"/>
  <c r="H138" i="7"/>
  <c r="I138" i="7"/>
  <c r="J138" i="7"/>
  <c r="D139" i="7"/>
  <c r="E139" i="7"/>
  <c r="F139" i="7"/>
  <c r="G139" i="7"/>
  <c r="H139" i="7"/>
  <c r="I139" i="7"/>
  <c r="J139" i="7"/>
  <c r="D140" i="7"/>
  <c r="E140" i="7"/>
  <c r="F140" i="7"/>
  <c r="G140" i="7"/>
  <c r="H140" i="7"/>
  <c r="I140" i="7"/>
  <c r="J140" i="7"/>
  <c r="D141" i="7"/>
  <c r="E141" i="7"/>
  <c r="F141" i="7"/>
  <c r="G141" i="7"/>
  <c r="H141" i="7"/>
  <c r="I141" i="7"/>
  <c r="J141" i="7"/>
  <c r="D142" i="7"/>
  <c r="E142" i="7"/>
  <c r="F142" i="7"/>
  <c r="G142" i="7"/>
  <c r="H142" i="7"/>
  <c r="I142" i="7"/>
  <c r="J142" i="7"/>
  <c r="D143" i="7"/>
  <c r="E143" i="7"/>
  <c r="F143" i="7"/>
  <c r="G143" i="7"/>
  <c r="H143" i="7"/>
  <c r="I143" i="7"/>
  <c r="J143" i="7"/>
  <c r="D144" i="7"/>
  <c r="E144" i="7"/>
  <c r="F144" i="7"/>
  <c r="G144" i="7"/>
  <c r="H144" i="7"/>
  <c r="I144" i="7"/>
  <c r="J144" i="7"/>
  <c r="D145" i="7"/>
  <c r="E145" i="7"/>
  <c r="F145" i="7"/>
  <c r="G145" i="7"/>
  <c r="H145" i="7"/>
  <c r="I145" i="7"/>
  <c r="J145" i="7"/>
  <c r="D146" i="7"/>
  <c r="E146" i="7"/>
  <c r="F146" i="7"/>
  <c r="G146" i="7"/>
  <c r="H146" i="7"/>
  <c r="I146" i="7"/>
  <c r="J146" i="7"/>
  <c r="D147" i="7"/>
  <c r="E147" i="7"/>
  <c r="F147" i="7"/>
  <c r="G147" i="7"/>
  <c r="H147" i="7"/>
  <c r="I147" i="7"/>
  <c r="J147" i="7"/>
  <c r="D148" i="7"/>
  <c r="E148" i="7"/>
  <c r="F148" i="7"/>
  <c r="G148" i="7"/>
  <c r="H148" i="7"/>
  <c r="I148" i="7"/>
  <c r="J148" i="7"/>
  <c r="D149" i="7"/>
  <c r="E149" i="7"/>
  <c r="F149" i="7"/>
  <c r="G149" i="7"/>
  <c r="H149" i="7"/>
  <c r="I149" i="7"/>
  <c r="J149" i="7"/>
  <c r="D150" i="7"/>
  <c r="E150" i="7"/>
  <c r="F150" i="7"/>
  <c r="G150" i="7"/>
  <c r="H150" i="7"/>
  <c r="I150" i="7"/>
  <c r="J150" i="7"/>
  <c r="D151" i="7"/>
  <c r="E151" i="7"/>
  <c r="F151" i="7"/>
  <c r="G151" i="7"/>
  <c r="H151" i="7"/>
  <c r="I151" i="7"/>
  <c r="J151" i="7"/>
  <c r="D152" i="7"/>
  <c r="E152" i="7"/>
  <c r="F152" i="7"/>
  <c r="G152" i="7"/>
  <c r="H152" i="7"/>
  <c r="I152" i="7"/>
  <c r="J152" i="7"/>
  <c r="D153" i="7"/>
  <c r="E153" i="7"/>
  <c r="F153" i="7"/>
  <c r="G153" i="7"/>
  <c r="H153" i="7"/>
  <c r="I153" i="7"/>
  <c r="J153" i="7"/>
  <c r="D154" i="7"/>
  <c r="E154" i="7"/>
  <c r="F154" i="7"/>
  <c r="G154" i="7"/>
  <c r="H154" i="7"/>
  <c r="I154" i="7"/>
  <c r="J154" i="7"/>
  <c r="D155" i="7"/>
  <c r="E155" i="7"/>
  <c r="F155" i="7"/>
  <c r="G155" i="7"/>
  <c r="H155" i="7"/>
  <c r="I155" i="7"/>
  <c r="J155" i="7"/>
  <c r="D156" i="7"/>
  <c r="E156" i="7"/>
  <c r="F156" i="7"/>
  <c r="G156" i="7"/>
  <c r="H156" i="7"/>
  <c r="I156" i="7"/>
  <c r="J156" i="7"/>
  <c r="D157" i="7"/>
  <c r="E157" i="7"/>
  <c r="F157" i="7"/>
  <c r="G157" i="7"/>
  <c r="H157" i="7"/>
  <c r="I157" i="7"/>
  <c r="J157" i="7"/>
  <c r="D158" i="7"/>
  <c r="E158" i="7"/>
  <c r="F158" i="7"/>
  <c r="G158" i="7"/>
  <c r="H158" i="7"/>
  <c r="I158" i="7"/>
  <c r="J158" i="7"/>
  <c r="D159" i="7"/>
  <c r="E159" i="7"/>
  <c r="F159" i="7"/>
  <c r="G159" i="7"/>
  <c r="H159" i="7"/>
  <c r="I159" i="7"/>
  <c r="J159" i="7"/>
  <c r="D160" i="7"/>
  <c r="E160" i="7"/>
  <c r="F160" i="7"/>
  <c r="G160" i="7"/>
  <c r="H160" i="7"/>
  <c r="I160" i="7"/>
  <c r="J160" i="7"/>
  <c r="D161" i="7"/>
  <c r="E161" i="7"/>
  <c r="F161" i="7"/>
  <c r="G161" i="7"/>
  <c r="H161" i="7"/>
  <c r="I161" i="7"/>
  <c r="J161" i="7"/>
  <c r="D162" i="7"/>
  <c r="E162" i="7"/>
  <c r="F162" i="7"/>
  <c r="G162" i="7"/>
  <c r="H162" i="7"/>
  <c r="I162" i="7"/>
  <c r="J162" i="7"/>
  <c r="D163" i="7"/>
  <c r="E163" i="7"/>
  <c r="F163" i="7"/>
  <c r="G163" i="7"/>
  <c r="H163" i="7"/>
  <c r="I163" i="7"/>
  <c r="J163" i="7"/>
  <c r="D164" i="7"/>
  <c r="E164" i="7"/>
  <c r="F164" i="7"/>
  <c r="G164" i="7"/>
  <c r="H164" i="7"/>
  <c r="I164" i="7"/>
  <c r="J164" i="7"/>
  <c r="D165" i="7"/>
  <c r="E165" i="7"/>
  <c r="F165" i="7"/>
  <c r="G165" i="7"/>
  <c r="H165" i="7"/>
  <c r="I165" i="7"/>
  <c r="J165" i="7"/>
  <c r="D166" i="7"/>
  <c r="E166" i="7"/>
  <c r="F166" i="7"/>
  <c r="G166" i="7"/>
  <c r="H166" i="7"/>
  <c r="I166" i="7"/>
  <c r="J166" i="7"/>
  <c r="D167" i="7"/>
  <c r="E167" i="7"/>
  <c r="F167" i="7"/>
  <c r="G167" i="7"/>
  <c r="H167" i="7"/>
  <c r="I167" i="7"/>
  <c r="J167" i="7"/>
  <c r="D168" i="7"/>
  <c r="E168" i="7"/>
  <c r="F168" i="7"/>
  <c r="G168" i="7"/>
  <c r="H168" i="7"/>
  <c r="I168" i="7"/>
  <c r="J168" i="7"/>
  <c r="D169" i="7"/>
  <c r="E169" i="7"/>
  <c r="F169" i="7"/>
  <c r="G169" i="7"/>
  <c r="H169" i="7"/>
  <c r="I169" i="7"/>
  <c r="J169" i="7"/>
  <c r="D170" i="7"/>
  <c r="E170" i="7"/>
  <c r="F170" i="7"/>
  <c r="G170" i="7"/>
  <c r="H170" i="7"/>
  <c r="I170" i="7"/>
  <c r="J170" i="7"/>
  <c r="D171" i="7"/>
  <c r="E171" i="7"/>
  <c r="F171" i="7"/>
  <c r="G171" i="7"/>
  <c r="H171" i="7"/>
  <c r="I171" i="7"/>
  <c r="J171" i="7"/>
  <c r="D172" i="7"/>
  <c r="E172" i="7"/>
  <c r="F172" i="7"/>
  <c r="G172" i="7"/>
  <c r="H172" i="7"/>
  <c r="I172" i="7"/>
  <c r="J172" i="7"/>
  <c r="D173" i="7"/>
  <c r="E173" i="7"/>
  <c r="F173" i="7"/>
  <c r="G173" i="7"/>
  <c r="H173" i="7"/>
  <c r="I173" i="7"/>
  <c r="J173" i="7"/>
  <c r="D174" i="7"/>
  <c r="E174" i="7"/>
  <c r="F174" i="7"/>
  <c r="G174" i="7"/>
  <c r="H174" i="7"/>
  <c r="I174" i="7"/>
  <c r="J174" i="7"/>
  <c r="D175" i="7"/>
  <c r="E175" i="7"/>
  <c r="F175" i="7"/>
  <c r="G175" i="7"/>
  <c r="H175" i="7"/>
  <c r="I175" i="7"/>
  <c r="J175" i="7"/>
  <c r="D176" i="7"/>
  <c r="E176" i="7"/>
  <c r="F176" i="7"/>
  <c r="G176" i="7"/>
  <c r="H176" i="7"/>
  <c r="I176" i="7"/>
  <c r="J176" i="7"/>
  <c r="D177" i="7"/>
  <c r="E177" i="7"/>
  <c r="F177" i="7"/>
  <c r="G177" i="7"/>
  <c r="H177" i="7"/>
  <c r="I177" i="7"/>
  <c r="J177" i="7"/>
  <c r="D178" i="7"/>
  <c r="E178" i="7"/>
  <c r="F178" i="7"/>
  <c r="G178" i="7"/>
  <c r="H178" i="7"/>
  <c r="I178" i="7"/>
  <c r="J178" i="7"/>
  <c r="D179" i="7"/>
  <c r="E179" i="7"/>
  <c r="F179" i="7"/>
  <c r="G179" i="7"/>
  <c r="H179" i="7"/>
  <c r="I179" i="7"/>
  <c r="J179" i="7"/>
  <c r="D180" i="7"/>
  <c r="E180" i="7"/>
  <c r="F180" i="7"/>
  <c r="G180" i="7"/>
  <c r="H180" i="7"/>
  <c r="I180" i="7"/>
  <c r="J180" i="7"/>
  <c r="D181" i="7"/>
  <c r="E181" i="7"/>
  <c r="F181" i="7"/>
  <c r="G181" i="7"/>
  <c r="H181" i="7"/>
  <c r="I181" i="7"/>
  <c r="J181" i="7"/>
  <c r="D182" i="7"/>
  <c r="E182" i="7"/>
  <c r="F182" i="7"/>
  <c r="G182" i="7"/>
  <c r="H182" i="7"/>
  <c r="I182" i="7"/>
  <c r="J182" i="7"/>
  <c r="D183" i="7"/>
  <c r="E183" i="7"/>
  <c r="F183" i="7"/>
  <c r="G183" i="7"/>
  <c r="H183" i="7"/>
  <c r="I183" i="7"/>
  <c r="J183" i="7"/>
  <c r="D184" i="7"/>
  <c r="E184" i="7"/>
  <c r="F184" i="7"/>
  <c r="G184" i="7"/>
  <c r="H184" i="7"/>
  <c r="I184" i="7"/>
  <c r="J184" i="7"/>
  <c r="D185" i="7"/>
  <c r="E185" i="7"/>
  <c r="F185" i="7"/>
  <c r="G185" i="7"/>
  <c r="H185" i="7"/>
  <c r="I185" i="7"/>
  <c r="J185" i="7"/>
  <c r="D186" i="7"/>
  <c r="E186" i="7"/>
  <c r="F186" i="7"/>
  <c r="G186" i="7"/>
  <c r="H186" i="7"/>
  <c r="I186" i="7"/>
  <c r="J186" i="7"/>
  <c r="D187" i="7"/>
  <c r="E187" i="7"/>
  <c r="F187" i="7"/>
  <c r="G187" i="7"/>
  <c r="H187" i="7"/>
  <c r="I187" i="7"/>
  <c r="J187" i="7"/>
  <c r="D188" i="7"/>
  <c r="E188" i="7"/>
  <c r="F188" i="7"/>
  <c r="G188" i="7"/>
  <c r="H188" i="7"/>
  <c r="I188" i="7"/>
  <c r="J188" i="7"/>
  <c r="D189" i="7"/>
  <c r="E189" i="7"/>
  <c r="F189" i="7"/>
  <c r="G189" i="7"/>
  <c r="H189" i="7"/>
  <c r="I189" i="7"/>
  <c r="J189" i="7"/>
  <c r="D190" i="7"/>
  <c r="E190" i="7"/>
  <c r="F190" i="7"/>
  <c r="G190" i="7"/>
  <c r="H190" i="7"/>
  <c r="I190" i="7"/>
  <c r="J190" i="7"/>
  <c r="D191" i="7"/>
  <c r="E191" i="7"/>
  <c r="F191" i="7"/>
  <c r="G191" i="7"/>
  <c r="H191" i="7"/>
  <c r="I191" i="7"/>
  <c r="J191" i="7"/>
  <c r="D192" i="7"/>
  <c r="E192" i="7"/>
  <c r="F192" i="7"/>
  <c r="G192" i="7"/>
  <c r="H192" i="7"/>
  <c r="I192" i="7"/>
  <c r="J192" i="7"/>
  <c r="D193" i="7"/>
  <c r="E193" i="7"/>
  <c r="F193" i="7"/>
  <c r="G193" i="7"/>
  <c r="H193" i="7"/>
  <c r="I193" i="7"/>
  <c r="J193" i="7"/>
  <c r="D194" i="7"/>
  <c r="E194" i="7"/>
  <c r="F194" i="7"/>
  <c r="G194" i="7"/>
  <c r="H194" i="7"/>
  <c r="I194" i="7"/>
  <c r="J194" i="7"/>
  <c r="D195" i="7"/>
  <c r="E195" i="7"/>
  <c r="F195" i="7"/>
  <c r="G195" i="7"/>
  <c r="H195" i="7"/>
  <c r="I195" i="7"/>
  <c r="J195" i="7"/>
  <c r="D196" i="7"/>
  <c r="E196" i="7"/>
  <c r="F196" i="7"/>
  <c r="G196" i="7"/>
  <c r="H196" i="7"/>
  <c r="I196" i="7"/>
  <c r="J196" i="7"/>
  <c r="D197" i="7"/>
  <c r="E197" i="7"/>
  <c r="F197" i="7"/>
  <c r="G197" i="7"/>
  <c r="H197" i="7"/>
  <c r="I197" i="7"/>
  <c r="J197" i="7"/>
  <c r="D198" i="7"/>
  <c r="E198" i="7"/>
  <c r="F198" i="7"/>
  <c r="G198" i="7"/>
  <c r="H198" i="7"/>
  <c r="I198" i="7"/>
  <c r="J198" i="7"/>
  <c r="D199" i="7"/>
  <c r="E199" i="7"/>
  <c r="F199" i="7"/>
  <c r="G199" i="7"/>
  <c r="H199" i="7"/>
  <c r="I199" i="7"/>
  <c r="J199" i="7"/>
  <c r="D200" i="7"/>
  <c r="E200" i="7"/>
  <c r="F200" i="7"/>
  <c r="G200" i="7"/>
  <c r="H200" i="7"/>
  <c r="I200" i="7"/>
  <c r="J200" i="7"/>
  <c r="D201" i="7"/>
  <c r="E201" i="7"/>
  <c r="F201" i="7"/>
  <c r="G201" i="7"/>
  <c r="H201" i="7"/>
  <c r="I201" i="7"/>
  <c r="J201" i="7"/>
  <c r="D202" i="7"/>
  <c r="E202" i="7"/>
  <c r="F202" i="7"/>
  <c r="G202" i="7"/>
  <c r="H202" i="7"/>
  <c r="I202" i="7"/>
  <c r="J202" i="7"/>
  <c r="D203" i="7"/>
  <c r="E203" i="7"/>
  <c r="F203" i="7"/>
  <c r="G203" i="7"/>
  <c r="H203" i="7"/>
  <c r="I203" i="7"/>
  <c r="J203" i="7"/>
  <c r="D204" i="7"/>
  <c r="E204" i="7"/>
  <c r="F204" i="7"/>
  <c r="G204" i="7"/>
  <c r="H204" i="7"/>
  <c r="I204" i="7"/>
  <c r="J204" i="7"/>
  <c r="D205" i="7"/>
  <c r="E205" i="7"/>
  <c r="F205" i="7"/>
  <c r="G205" i="7"/>
  <c r="H205" i="7"/>
  <c r="I205" i="7"/>
  <c r="J205" i="7"/>
  <c r="D206" i="7"/>
  <c r="E206" i="7"/>
  <c r="F206" i="7"/>
  <c r="G206" i="7"/>
  <c r="H206" i="7"/>
  <c r="I206" i="7"/>
  <c r="J206" i="7"/>
  <c r="D207" i="7"/>
  <c r="E207" i="7"/>
  <c r="F207" i="7"/>
  <c r="G207" i="7"/>
  <c r="H207" i="7"/>
  <c r="I207" i="7"/>
  <c r="J207" i="7"/>
  <c r="D208" i="7"/>
  <c r="E208" i="7"/>
  <c r="F208" i="7"/>
  <c r="G208" i="7"/>
  <c r="H208" i="7"/>
  <c r="I208" i="7"/>
  <c r="J208" i="7"/>
  <c r="D209" i="7"/>
  <c r="E209" i="7"/>
  <c r="F209" i="7"/>
  <c r="G209" i="7"/>
  <c r="H209" i="7"/>
  <c r="I209" i="7"/>
  <c r="J209" i="7"/>
  <c r="D210" i="7"/>
  <c r="E210" i="7"/>
  <c r="F210" i="7"/>
  <c r="G210" i="7"/>
  <c r="H210" i="7"/>
  <c r="I210" i="7"/>
  <c r="J210" i="7"/>
  <c r="D211" i="7"/>
  <c r="E211" i="7"/>
  <c r="F211" i="7"/>
  <c r="G211" i="7"/>
  <c r="H211" i="7"/>
  <c r="I211" i="7"/>
  <c r="J211" i="7"/>
  <c r="D212" i="7"/>
  <c r="E212" i="7"/>
  <c r="F212" i="7"/>
  <c r="G212" i="7"/>
  <c r="H212" i="7"/>
  <c r="I212" i="7"/>
  <c r="J212" i="7"/>
  <c r="D213" i="7"/>
  <c r="E213" i="7"/>
  <c r="F213" i="7"/>
  <c r="G213" i="7"/>
  <c r="H213" i="7"/>
  <c r="I213" i="7"/>
  <c r="J213" i="7"/>
  <c r="D214" i="7"/>
  <c r="E214" i="7"/>
  <c r="F214" i="7"/>
  <c r="G214" i="7"/>
  <c r="H214" i="7"/>
  <c r="I214" i="7"/>
  <c r="J214" i="7"/>
  <c r="D215" i="7"/>
  <c r="E215" i="7"/>
  <c r="F215" i="7"/>
  <c r="G215" i="7"/>
  <c r="H215" i="7"/>
  <c r="I215" i="7"/>
  <c r="J215" i="7"/>
  <c r="D216" i="7"/>
  <c r="E216" i="7"/>
  <c r="F216" i="7"/>
  <c r="G216" i="7"/>
  <c r="H216" i="7"/>
  <c r="I216" i="7"/>
  <c r="J216" i="7"/>
  <c r="D217" i="7"/>
  <c r="E217" i="7"/>
  <c r="F217" i="7"/>
  <c r="G217" i="7"/>
  <c r="H217" i="7"/>
  <c r="I217" i="7"/>
  <c r="J217" i="7"/>
  <c r="D218" i="7"/>
  <c r="E218" i="7"/>
  <c r="F218" i="7"/>
  <c r="G218" i="7"/>
  <c r="H218" i="7"/>
  <c r="I218" i="7"/>
  <c r="J218" i="7"/>
  <c r="D219" i="7"/>
  <c r="E219" i="7"/>
  <c r="F219" i="7"/>
  <c r="G219" i="7"/>
  <c r="H219" i="7"/>
  <c r="I219" i="7"/>
  <c r="J219" i="7"/>
  <c r="D220" i="7"/>
  <c r="E220" i="7"/>
  <c r="F220" i="7"/>
  <c r="G220" i="7"/>
  <c r="H220" i="7"/>
  <c r="I220" i="7"/>
  <c r="J220" i="7"/>
  <c r="D221" i="7"/>
  <c r="E221" i="7"/>
  <c r="F221" i="7"/>
  <c r="G221" i="7"/>
  <c r="H221" i="7"/>
  <c r="I221" i="7"/>
  <c r="J221" i="7"/>
  <c r="D222" i="7"/>
  <c r="E222" i="7"/>
  <c r="F222" i="7"/>
  <c r="G222" i="7"/>
  <c r="H222" i="7"/>
  <c r="I222" i="7"/>
  <c r="J222" i="7"/>
  <c r="D223" i="7"/>
  <c r="E223" i="7"/>
  <c r="F223" i="7"/>
  <c r="G223" i="7"/>
  <c r="H223" i="7"/>
  <c r="I223" i="7"/>
  <c r="J223" i="7"/>
  <c r="D224" i="7"/>
  <c r="E224" i="7"/>
  <c r="F224" i="7"/>
  <c r="G224" i="7"/>
  <c r="H224" i="7"/>
  <c r="I224" i="7"/>
  <c r="J224" i="7"/>
  <c r="D225" i="7"/>
  <c r="E225" i="7"/>
  <c r="F225" i="7"/>
  <c r="G225" i="7"/>
  <c r="H225" i="7"/>
  <c r="I225" i="7"/>
  <c r="J225" i="7"/>
  <c r="D226" i="7"/>
  <c r="E226" i="7"/>
  <c r="F226" i="7"/>
  <c r="G226" i="7"/>
  <c r="H226" i="7"/>
  <c r="I226" i="7"/>
  <c r="J226" i="7"/>
  <c r="D227" i="7"/>
  <c r="E227" i="7"/>
  <c r="F227" i="7"/>
  <c r="G227" i="7"/>
  <c r="H227" i="7"/>
  <c r="I227" i="7"/>
  <c r="J227" i="7"/>
  <c r="D228" i="7"/>
  <c r="E228" i="7"/>
  <c r="F228" i="7"/>
  <c r="G228" i="7"/>
  <c r="H228" i="7"/>
  <c r="I228" i="7"/>
  <c r="J228" i="7"/>
  <c r="D229" i="7"/>
  <c r="E229" i="7"/>
  <c r="F229" i="7"/>
  <c r="G229" i="7"/>
  <c r="H229" i="7"/>
  <c r="I229" i="7"/>
  <c r="J229" i="7"/>
  <c r="D230" i="7"/>
  <c r="E230" i="7"/>
  <c r="F230" i="7"/>
  <c r="G230" i="7"/>
  <c r="H230" i="7"/>
  <c r="I230" i="7"/>
  <c r="J230" i="7"/>
  <c r="D231" i="7"/>
  <c r="E231" i="7"/>
  <c r="F231" i="7"/>
  <c r="G231" i="7"/>
  <c r="H231" i="7"/>
  <c r="I231" i="7"/>
  <c r="J231" i="7"/>
  <c r="D232" i="7"/>
  <c r="E232" i="7"/>
  <c r="F232" i="7"/>
  <c r="G232" i="7"/>
  <c r="H232" i="7"/>
  <c r="I232" i="7"/>
  <c r="J232" i="7"/>
  <c r="D233" i="7"/>
  <c r="E233" i="7"/>
  <c r="F233" i="7"/>
  <c r="G233" i="7"/>
  <c r="H233" i="7"/>
  <c r="I233" i="7"/>
  <c r="J233" i="7"/>
  <c r="D234" i="7"/>
  <c r="E234" i="7"/>
  <c r="F234" i="7"/>
  <c r="G234" i="7"/>
  <c r="H234" i="7"/>
  <c r="I234" i="7"/>
  <c r="J234" i="7"/>
  <c r="D235" i="7"/>
  <c r="E235" i="7"/>
  <c r="F235" i="7"/>
  <c r="G235" i="7"/>
  <c r="H235" i="7"/>
  <c r="I235" i="7"/>
  <c r="J235" i="7"/>
  <c r="D236" i="7"/>
  <c r="E236" i="7"/>
  <c r="F236" i="7"/>
  <c r="G236" i="7"/>
  <c r="H236" i="7"/>
  <c r="I236" i="7"/>
  <c r="J236" i="7"/>
  <c r="D237" i="7"/>
  <c r="E237" i="7"/>
  <c r="F237" i="7"/>
  <c r="G237" i="7"/>
  <c r="H237" i="7"/>
  <c r="I237" i="7"/>
  <c r="J237" i="7"/>
  <c r="D238" i="7"/>
  <c r="E238" i="7"/>
  <c r="F238" i="7"/>
  <c r="G238" i="7"/>
  <c r="H238" i="7"/>
  <c r="I238" i="7"/>
  <c r="J238" i="7"/>
  <c r="D239" i="7"/>
  <c r="E239" i="7"/>
  <c r="F239" i="7"/>
  <c r="G239" i="7"/>
  <c r="H239" i="7"/>
  <c r="I239" i="7"/>
  <c r="J239" i="7"/>
  <c r="D240" i="7"/>
  <c r="E240" i="7"/>
  <c r="F240" i="7"/>
  <c r="G240" i="7"/>
  <c r="H240" i="7"/>
  <c r="I240" i="7"/>
  <c r="J240" i="7"/>
  <c r="D241" i="7"/>
  <c r="E241" i="7"/>
  <c r="F241" i="7"/>
  <c r="G241" i="7"/>
  <c r="H241" i="7"/>
  <c r="I241" i="7"/>
  <c r="J241" i="7"/>
  <c r="D242" i="7"/>
  <c r="E242" i="7"/>
  <c r="F242" i="7"/>
  <c r="G242" i="7"/>
  <c r="H242" i="7"/>
  <c r="I242" i="7"/>
  <c r="J242" i="7"/>
  <c r="D243" i="7"/>
  <c r="E243" i="7"/>
  <c r="F243" i="7"/>
  <c r="G243" i="7"/>
  <c r="H243" i="7"/>
  <c r="I243" i="7"/>
  <c r="J243" i="7"/>
  <c r="D244" i="7"/>
  <c r="E244" i="7"/>
  <c r="F244" i="7"/>
  <c r="G244" i="7"/>
  <c r="H244" i="7"/>
  <c r="I244" i="7"/>
  <c r="J244" i="7"/>
  <c r="D245" i="7"/>
  <c r="E245" i="7"/>
  <c r="F245" i="7"/>
  <c r="G245" i="7"/>
  <c r="H245" i="7"/>
  <c r="I245" i="7"/>
  <c r="J245" i="7"/>
  <c r="D246" i="7"/>
  <c r="E246" i="7"/>
  <c r="F246" i="7"/>
  <c r="G246" i="7"/>
  <c r="H246" i="7"/>
  <c r="I246" i="7"/>
  <c r="J246" i="7"/>
  <c r="D247" i="7"/>
  <c r="E247" i="7"/>
  <c r="F247" i="7"/>
  <c r="G247" i="7"/>
  <c r="H247" i="7"/>
  <c r="I247" i="7"/>
  <c r="J247" i="7"/>
  <c r="D248" i="7"/>
  <c r="E248" i="7"/>
  <c r="F248" i="7"/>
  <c r="G248" i="7"/>
  <c r="H248" i="7"/>
  <c r="I248" i="7"/>
  <c r="J248" i="7"/>
  <c r="D249" i="7"/>
  <c r="E249" i="7"/>
  <c r="F249" i="7"/>
  <c r="G249" i="7"/>
  <c r="H249" i="7"/>
  <c r="I249" i="7"/>
  <c r="J249" i="7"/>
  <c r="D250" i="7"/>
  <c r="E250" i="7"/>
  <c r="F250" i="7"/>
  <c r="G250" i="7"/>
  <c r="H250" i="7"/>
  <c r="I250" i="7"/>
  <c r="J250" i="7"/>
  <c r="D251" i="7"/>
  <c r="E251" i="7"/>
  <c r="F251" i="7"/>
  <c r="G251" i="7"/>
  <c r="H251" i="7"/>
  <c r="I251" i="7"/>
  <c r="J251" i="7"/>
  <c r="D252" i="7"/>
  <c r="E252" i="7"/>
  <c r="F252" i="7"/>
  <c r="G252" i="7"/>
  <c r="H252" i="7"/>
  <c r="I252" i="7"/>
  <c r="J252" i="7"/>
  <c r="D253" i="7"/>
  <c r="E253" i="7"/>
  <c r="F253" i="7"/>
  <c r="G253" i="7"/>
  <c r="H253" i="7"/>
  <c r="I253" i="7"/>
  <c r="J253" i="7"/>
  <c r="D254" i="7"/>
  <c r="E254" i="7"/>
  <c r="F254" i="7"/>
  <c r="G254" i="7"/>
  <c r="H254" i="7"/>
  <c r="I254" i="7"/>
  <c r="J254" i="7"/>
  <c r="D255" i="7"/>
  <c r="E255" i="7"/>
  <c r="F255" i="7"/>
  <c r="G255" i="7"/>
  <c r="H255" i="7"/>
  <c r="I255" i="7"/>
  <c r="J255" i="7"/>
  <c r="D256" i="7"/>
  <c r="E256" i="7"/>
  <c r="F256" i="7"/>
  <c r="G256" i="7"/>
  <c r="H256" i="7"/>
  <c r="I256" i="7"/>
  <c r="J256" i="7"/>
  <c r="D257" i="7"/>
  <c r="E257" i="7"/>
  <c r="F257" i="7"/>
  <c r="G257" i="7"/>
  <c r="H257" i="7"/>
  <c r="I257" i="7"/>
  <c r="J257" i="7"/>
  <c r="D258" i="7"/>
  <c r="E258" i="7"/>
  <c r="F258" i="7"/>
  <c r="G258" i="7"/>
  <c r="H258" i="7"/>
  <c r="I258" i="7"/>
  <c r="J258" i="7"/>
  <c r="D259" i="7"/>
  <c r="E259" i="7"/>
  <c r="F259" i="7"/>
  <c r="G259" i="7"/>
  <c r="H259" i="7"/>
  <c r="I259" i="7"/>
  <c r="J259" i="7"/>
  <c r="D260" i="7"/>
  <c r="E260" i="7"/>
  <c r="F260" i="7"/>
  <c r="G260" i="7"/>
  <c r="H260" i="7"/>
  <c r="I260" i="7"/>
  <c r="J260" i="7"/>
  <c r="D261" i="7"/>
  <c r="E261" i="7"/>
  <c r="F261" i="7"/>
  <c r="G261" i="7"/>
  <c r="H261" i="7"/>
  <c r="I261" i="7"/>
  <c r="J261" i="7"/>
  <c r="D262" i="7"/>
  <c r="E262" i="7"/>
  <c r="F262" i="7"/>
  <c r="G262" i="7"/>
  <c r="H262" i="7"/>
  <c r="I262" i="7"/>
  <c r="J262" i="7"/>
  <c r="D263" i="7"/>
  <c r="E263" i="7"/>
  <c r="F263" i="7"/>
  <c r="G263" i="7"/>
  <c r="H263" i="7"/>
  <c r="I263" i="7"/>
  <c r="J263" i="7"/>
  <c r="D264" i="7"/>
  <c r="E264" i="7"/>
  <c r="F264" i="7"/>
  <c r="G264" i="7"/>
  <c r="H264" i="7"/>
  <c r="I264" i="7"/>
  <c r="J264" i="7"/>
  <c r="D265" i="7"/>
  <c r="E265" i="7"/>
  <c r="F265" i="7"/>
  <c r="G265" i="7"/>
  <c r="H265" i="7"/>
  <c r="I265" i="7"/>
  <c r="J265" i="7"/>
  <c r="D266" i="7"/>
  <c r="E266" i="7"/>
  <c r="F266" i="7"/>
  <c r="G266" i="7"/>
  <c r="H266" i="7"/>
  <c r="I266" i="7"/>
  <c r="J266" i="7"/>
  <c r="D267" i="7"/>
  <c r="E267" i="7"/>
  <c r="F267" i="7"/>
  <c r="G267" i="7"/>
  <c r="H267" i="7"/>
  <c r="I267" i="7"/>
  <c r="J267" i="7"/>
  <c r="D268" i="7"/>
  <c r="E268" i="7"/>
  <c r="F268" i="7"/>
  <c r="G268" i="7"/>
  <c r="H268" i="7"/>
  <c r="I268" i="7"/>
  <c r="J268" i="7"/>
  <c r="D269" i="7"/>
  <c r="E269" i="7"/>
  <c r="F269" i="7"/>
  <c r="G269" i="7"/>
  <c r="H269" i="7"/>
  <c r="I269" i="7"/>
  <c r="J269" i="7"/>
  <c r="D270" i="7"/>
  <c r="E270" i="7"/>
  <c r="F270" i="7"/>
  <c r="G270" i="7"/>
  <c r="H270" i="7"/>
  <c r="I270" i="7"/>
  <c r="J270" i="7"/>
  <c r="D271" i="7"/>
  <c r="E271" i="7"/>
  <c r="F271" i="7"/>
  <c r="G271" i="7"/>
  <c r="H271" i="7"/>
  <c r="I271" i="7"/>
  <c r="J271" i="7"/>
  <c r="D272" i="7"/>
  <c r="E272" i="7"/>
  <c r="F272" i="7"/>
  <c r="G272" i="7"/>
  <c r="H272" i="7"/>
  <c r="I272" i="7"/>
  <c r="J272" i="7"/>
  <c r="D273" i="7"/>
  <c r="E273" i="7"/>
  <c r="F273" i="7"/>
  <c r="G273" i="7"/>
  <c r="H273" i="7"/>
  <c r="I273" i="7"/>
  <c r="J273" i="7"/>
  <c r="D274" i="7"/>
  <c r="E274" i="7"/>
  <c r="F274" i="7"/>
  <c r="G274" i="7"/>
  <c r="H274" i="7"/>
  <c r="I274" i="7"/>
  <c r="J274" i="7"/>
  <c r="D275" i="7"/>
  <c r="E275" i="7"/>
  <c r="F275" i="7"/>
  <c r="G275" i="7"/>
  <c r="H275" i="7"/>
  <c r="I275" i="7"/>
  <c r="J275" i="7"/>
  <c r="D276" i="7"/>
  <c r="E276" i="7"/>
  <c r="F276" i="7"/>
  <c r="G276" i="7"/>
  <c r="H276" i="7"/>
  <c r="I276" i="7"/>
  <c r="J276" i="7"/>
  <c r="D277" i="7"/>
  <c r="E277" i="7"/>
  <c r="F277" i="7"/>
  <c r="G277" i="7"/>
  <c r="H277" i="7"/>
  <c r="I277" i="7"/>
  <c r="J277" i="7"/>
  <c r="D278" i="7"/>
  <c r="E278" i="7"/>
  <c r="F278" i="7"/>
  <c r="G278" i="7"/>
  <c r="H278" i="7"/>
  <c r="I278" i="7"/>
  <c r="J278" i="7"/>
  <c r="D279" i="7"/>
  <c r="E279" i="7"/>
  <c r="F279" i="7"/>
  <c r="G279" i="7"/>
  <c r="H279" i="7"/>
  <c r="I279" i="7"/>
  <c r="J279" i="7"/>
  <c r="D280" i="7"/>
  <c r="E280" i="7"/>
  <c r="F280" i="7"/>
  <c r="G280" i="7"/>
  <c r="H280" i="7"/>
  <c r="I280" i="7"/>
  <c r="J280" i="7"/>
  <c r="D281" i="7"/>
  <c r="E281" i="7"/>
  <c r="F281" i="7"/>
  <c r="G281" i="7"/>
  <c r="H281" i="7"/>
  <c r="I281" i="7"/>
  <c r="J281" i="7"/>
  <c r="D282" i="7"/>
  <c r="E282" i="7"/>
  <c r="F282" i="7"/>
  <c r="G282" i="7"/>
  <c r="H282" i="7"/>
  <c r="I282" i="7"/>
  <c r="J282" i="7"/>
  <c r="D283" i="7"/>
  <c r="E283" i="7"/>
  <c r="F283" i="7"/>
  <c r="G283" i="7"/>
  <c r="H283" i="7"/>
  <c r="I283" i="7"/>
  <c r="J283" i="7"/>
  <c r="D284" i="7"/>
  <c r="E284" i="7"/>
  <c r="F284" i="7"/>
  <c r="G284" i="7"/>
  <c r="H284" i="7"/>
  <c r="I284" i="7"/>
  <c r="J284" i="7"/>
  <c r="D285" i="7"/>
  <c r="E285" i="7"/>
  <c r="F285" i="7"/>
  <c r="G285" i="7"/>
  <c r="H285" i="7"/>
  <c r="I285" i="7"/>
  <c r="J285" i="7"/>
  <c r="D286" i="7"/>
  <c r="E286" i="7"/>
  <c r="F286" i="7"/>
  <c r="G286" i="7"/>
  <c r="H286" i="7"/>
  <c r="I286" i="7"/>
  <c r="J286" i="7"/>
  <c r="D287" i="7"/>
  <c r="E287" i="7"/>
  <c r="F287" i="7"/>
  <c r="G287" i="7"/>
  <c r="H287" i="7"/>
  <c r="I287" i="7"/>
  <c r="J287" i="7"/>
  <c r="D288" i="7"/>
  <c r="E288" i="7"/>
  <c r="F288" i="7"/>
  <c r="G288" i="7"/>
  <c r="H288" i="7"/>
  <c r="I288" i="7"/>
  <c r="J288" i="7"/>
  <c r="D289" i="7"/>
  <c r="E289" i="7"/>
  <c r="F289" i="7"/>
  <c r="G289" i="7"/>
  <c r="H289" i="7"/>
  <c r="I289" i="7"/>
  <c r="J289" i="7"/>
  <c r="D290" i="7"/>
  <c r="E290" i="7"/>
  <c r="F290" i="7"/>
  <c r="G290" i="7"/>
  <c r="H290" i="7"/>
  <c r="I290" i="7"/>
  <c r="J290" i="7"/>
  <c r="D291" i="7"/>
  <c r="E291" i="7"/>
  <c r="F291" i="7"/>
  <c r="G291" i="7"/>
  <c r="H291" i="7"/>
  <c r="I291" i="7"/>
  <c r="J291" i="7"/>
  <c r="D292" i="7"/>
  <c r="E292" i="7"/>
  <c r="F292" i="7"/>
  <c r="G292" i="7"/>
  <c r="H292" i="7"/>
  <c r="I292" i="7"/>
  <c r="J292" i="7"/>
  <c r="D293" i="7"/>
  <c r="E293" i="7"/>
  <c r="F293" i="7"/>
  <c r="G293" i="7"/>
  <c r="H293" i="7"/>
  <c r="I293" i="7"/>
  <c r="J293" i="7"/>
  <c r="D294" i="7"/>
  <c r="E294" i="7"/>
  <c r="F294" i="7"/>
  <c r="G294" i="7"/>
  <c r="H294" i="7"/>
  <c r="I294" i="7"/>
  <c r="J294" i="7"/>
  <c r="D295" i="7"/>
  <c r="E295" i="7"/>
  <c r="F295" i="7"/>
  <c r="G295" i="7"/>
  <c r="H295" i="7"/>
  <c r="I295" i="7"/>
  <c r="J295" i="7"/>
  <c r="D296" i="7"/>
  <c r="E296" i="7"/>
  <c r="F296" i="7"/>
  <c r="G296" i="7"/>
  <c r="H296" i="7"/>
  <c r="I296" i="7"/>
  <c r="J296" i="7"/>
  <c r="D297" i="7"/>
  <c r="E297" i="7"/>
  <c r="F297" i="7"/>
  <c r="G297" i="7"/>
  <c r="H297" i="7"/>
  <c r="I297" i="7"/>
  <c r="J297" i="7"/>
  <c r="D298" i="7"/>
  <c r="E298" i="7"/>
  <c r="F298" i="7"/>
  <c r="G298" i="7"/>
  <c r="H298" i="7"/>
  <c r="I298" i="7"/>
  <c r="J298" i="7"/>
  <c r="D299" i="7"/>
  <c r="E299" i="7"/>
  <c r="F299" i="7"/>
  <c r="G299" i="7"/>
  <c r="H299" i="7"/>
  <c r="I299" i="7"/>
  <c r="J299" i="7"/>
  <c r="D300" i="7"/>
  <c r="E300" i="7"/>
  <c r="F300" i="7"/>
  <c r="G300" i="7"/>
  <c r="H300" i="7"/>
  <c r="I300" i="7"/>
  <c r="J300" i="7"/>
  <c r="D301" i="7"/>
  <c r="E301" i="7"/>
  <c r="F301" i="7"/>
  <c r="G301" i="7"/>
  <c r="H301" i="7"/>
  <c r="I301" i="7"/>
  <c r="J301" i="7"/>
  <c r="D302" i="7"/>
  <c r="E302" i="7"/>
  <c r="F302" i="7"/>
  <c r="G302" i="7"/>
  <c r="H302" i="7"/>
  <c r="I302" i="7"/>
  <c r="J302" i="7"/>
  <c r="D303" i="7"/>
  <c r="E303" i="7"/>
  <c r="F303" i="7"/>
  <c r="G303" i="7"/>
  <c r="H303" i="7"/>
  <c r="I303" i="7"/>
  <c r="J303" i="7"/>
  <c r="D304" i="7"/>
  <c r="E304" i="7"/>
  <c r="F304" i="7"/>
  <c r="G304" i="7"/>
  <c r="H304" i="7"/>
  <c r="I304" i="7"/>
  <c r="J304" i="7"/>
  <c r="D305" i="7"/>
  <c r="E305" i="7"/>
  <c r="F305" i="7"/>
  <c r="G305" i="7"/>
  <c r="H305" i="7"/>
  <c r="I305" i="7"/>
  <c r="J305" i="7"/>
  <c r="D306" i="7"/>
  <c r="E306" i="7"/>
  <c r="F306" i="7"/>
  <c r="G306" i="7"/>
  <c r="H306" i="7"/>
  <c r="I306" i="7"/>
  <c r="J306" i="7"/>
  <c r="D307" i="7"/>
  <c r="E307" i="7"/>
  <c r="F307" i="7"/>
  <c r="G307" i="7"/>
  <c r="H307" i="7"/>
  <c r="I307" i="7"/>
  <c r="J307" i="7"/>
  <c r="D308" i="7"/>
  <c r="E308" i="7"/>
  <c r="F308" i="7"/>
  <c r="G308" i="7"/>
  <c r="H308" i="7"/>
  <c r="I308" i="7"/>
  <c r="J308" i="7"/>
  <c r="D309" i="7"/>
  <c r="E309" i="7"/>
  <c r="F309" i="7"/>
  <c r="G309" i="7"/>
  <c r="H309" i="7"/>
  <c r="I309" i="7"/>
  <c r="J309" i="7"/>
  <c r="D310" i="7"/>
  <c r="E310" i="7"/>
  <c r="F310" i="7"/>
  <c r="G310" i="7"/>
  <c r="H310" i="7"/>
  <c r="I310" i="7"/>
  <c r="J310" i="7"/>
  <c r="D311" i="7"/>
  <c r="E311" i="7"/>
  <c r="F311" i="7"/>
  <c r="G311" i="7"/>
  <c r="H311" i="7"/>
  <c r="I311" i="7"/>
  <c r="J311" i="7"/>
  <c r="D312" i="7"/>
  <c r="E312" i="7"/>
  <c r="F312" i="7"/>
  <c r="G312" i="7"/>
  <c r="H312" i="7"/>
  <c r="I312" i="7"/>
  <c r="J312" i="7"/>
  <c r="D313" i="7"/>
  <c r="E313" i="7"/>
  <c r="F313" i="7"/>
  <c r="G313" i="7"/>
  <c r="H313" i="7"/>
  <c r="I313" i="7"/>
  <c r="J313" i="7"/>
  <c r="D314" i="7"/>
  <c r="E314" i="7"/>
  <c r="F314" i="7"/>
  <c r="G314" i="7"/>
  <c r="H314" i="7"/>
  <c r="I314" i="7"/>
  <c r="J314" i="7"/>
  <c r="D315" i="7"/>
  <c r="E315" i="7"/>
  <c r="F315" i="7"/>
  <c r="G315" i="7"/>
  <c r="H315" i="7"/>
  <c r="I315" i="7"/>
  <c r="J315" i="7"/>
  <c r="D316" i="7"/>
  <c r="E316" i="7"/>
  <c r="F316" i="7"/>
  <c r="G316" i="7"/>
  <c r="H316" i="7"/>
  <c r="I316" i="7"/>
  <c r="J316" i="7"/>
  <c r="D317" i="7"/>
  <c r="E317" i="7"/>
  <c r="F317" i="7"/>
  <c r="G317" i="7"/>
  <c r="H317" i="7"/>
  <c r="I317" i="7"/>
  <c r="J317" i="7"/>
  <c r="D318" i="7"/>
  <c r="E318" i="7"/>
  <c r="F318" i="7"/>
  <c r="G318" i="7"/>
  <c r="H318" i="7"/>
  <c r="I318" i="7"/>
  <c r="J318" i="7"/>
  <c r="D319" i="7"/>
  <c r="E319" i="7"/>
  <c r="F319" i="7"/>
  <c r="G319" i="7"/>
  <c r="H319" i="7"/>
  <c r="I319" i="7"/>
  <c r="J319" i="7"/>
  <c r="D320" i="7"/>
  <c r="E320" i="7"/>
  <c r="F320" i="7"/>
  <c r="G320" i="7"/>
  <c r="H320" i="7"/>
  <c r="I320" i="7"/>
  <c r="J320" i="7"/>
  <c r="D321" i="7"/>
  <c r="E321" i="7"/>
  <c r="F321" i="7"/>
  <c r="G321" i="7"/>
  <c r="H321" i="7"/>
  <c r="I321" i="7"/>
  <c r="J321" i="7"/>
  <c r="D322" i="7"/>
  <c r="E322" i="7"/>
  <c r="F322" i="7"/>
  <c r="G322" i="7"/>
  <c r="H322" i="7"/>
  <c r="I322" i="7"/>
  <c r="J322" i="7"/>
  <c r="D323" i="7"/>
  <c r="E323" i="7"/>
  <c r="F323" i="7"/>
  <c r="G323" i="7"/>
  <c r="H323" i="7"/>
  <c r="I323" i="7"/>
  <c r="J323" i="7"/>
  <c r="D324" i="7"/>
  <c r="E324" i="7"/>
  <c r="F324" i="7"/>
  <c r="G324" i="7"/>
  <c r="H324" i="7"/>
  <c r="I324" i="7"/>
  <c r="J324" i="7"/>
  <c r="D325" i="7"/>
  <c r="E325" i="7"/>
  <c r="F325" i="7"/>
  <c r="G325" i="7"/>
  <c r="H325" i="7"/>
  <c r="I325" i="7"/>
  <c r="J325" i="7"/>
  <c r="D326" i="7"/>
  <c r="E326" i="7"/>
  <c r="F326" i="7"/>
  <c r="G326" i="7"/>
  <c r="H326" i="7"/>
  <c r="I326" i="7"/>
  <c r="J326" i="7"/>
  <c r="D327" i="7"/>
  <c r="E327" i="7"/>
  <c r="F327" i="7"/>
  <c r="G327" i="7"/>
  <c r="H327" i="7"/>
  <c r="I327" i="7"/>
  <c r="J327" i="7"/>
  <c r="D328" i="7"/>
  <c r="E328" i="7"/>
  <c r="F328" i="7"/>
  <c r="G328" i="7"/>
  <c r="H328" i="7"/>
  <c r="I328" i="7"/>
  <c r="J328" i="7"/>
  <c r="D329" i="7"/>
  <c r="E329" i="7"/>
  <c r="F329" i="7"/>
  <c r="G329" i="7"/>
  <c r="H329" i="7"/>
  <c r="I329" i="7"/>
  <c r="J329" i="7"/>
  <c r="D330" i="7"/>
  <c r="E330" i="7"/>
  <c r="F330" i="7"/>
  <c r="G330" i="7"/>
  <c r="H330" i="7"/>
  <c r="I330" i="7"/>
  <c r="J330" i="7"/>
  <c r="D331" i="7"/>
  <c r="E331" i="7"/>
  <c r="F331" i="7"/>
  <c r="G331" i="7"/>
  <c r="H331" i="7"/>
  <c r="I331" i="7"/>
  <c r="J331" i="7"/>
  <c r="D332" i="7"/>
  <c r="E332" i="7"/>
  <c r="F332" i="7"/>
  <c r="G332" i="7"/>
  <c r="H332" i="7"/>
  <c r="I332" i="7"/>
  <c r="J332" i="7"/>
  <c r="D333" i="7"/>
  <c r="E333" i="7"/>
  <c r="F333" i="7"/>
  <c r="G333" i="7"/>
  <c r="H333" i="7"/>
  <c r="I333" i="7"/>
  <c r="J333" i="7"/>
  <c r="D334" i="7"/>
  <c r="E334" i="7"/>
  <c r="F334" i="7"/>
  <c r="G334" i="7"/>
  <c r="H334" i="7"/>
  <c r="I334" i="7"/>
  <c r="J334" i="7"/>
  <c r="D335" i="7"/>
  <c r="E335" i="7"/>
  <c r="F335" i="7"/>
  <c r="G335" i="7"/>
  <c r="H335" i="7"/>
  <c r="I335" i="7"/>
  <c r="J335" i="7"/>
  <c r="D336" i="7"/>
  <c r="E336" i="7"/>
  <c r="F336" i="7"/>
  <c r="G336" i="7"/>
  <c r="H336" i="7"/>
  <c r="I336" i="7"/>
  <c r="J336" i="7"/>
  <c r="D337" i="7"/>
  <c r="E337" i="7"/>
  <c r="F337" i="7"/>
  <c r="G337" i="7"/>
  <c r="H337" i="7"/>
  <c r="I337" i="7"/>
  <c r="J337" i="7"/>
  <c r="D338" i="7"/>
  <c r="E338" i="7"/>
  <c r="F338" i="7"/>
  <c r="G338" i="7"/>
  <c r="H338" i="7"/>
  <c r="I338" i="7"/>
  <c r="J338" i="7"/>
  <c r="D339" i="7"/>
  <c r="E339" i="7"/>
  <c r="F339" i="7"/>
  <c r="G339" i="7"/>
  <c r="H339" i="7"/>
  <c r="I339" i="7"/>
  <c r="J339" i="7"/>
  <c r="D340" i="7"/>
  <c r="E340" i="7"/>
  <c r="F340" i="7"/>
  <c r="G340" i="7"/>
  <c r="H340" i="7"/>
  <c r="I340" i="7"/>
  <c r="J340" i="7"/>
  <c r="D341" i="7"/>
  <c r="E341" i="7"/>
  <c r="F341" i="7"/>
  <c r="G341" i="7"/>
  <c r="H341" i="7"/>
  <c r="I341" i="7"/>
  <c r="J341" i="7"/>
  <c r="D342" i="7"/>
  <c r="E342" i="7"/>
  <c r="F342" i="7"/>
  <c r="G342" i="7"/>
  <c r="H342" i="7"/>
  <c r="I342" i="7"/>
  <c r="J342" i="7"/>
  <c r="D343" i="7"/>
  <c r="E343" i="7"/>
  <c r="F343" i="7"/>
  <c r="G343" i="7"/>
  <c r="H343" i="7"/>
  <c r="I343" i="7"/>
  <c r="J343" i="7"/>
  <c r="D344" i="7"/>
  <c r="E344" i="7"/>
  <c r="F344" i="7"/>
  <c r="G344" i="7"/>
  <c r="H344" i="7"/>
  <c r="I344" i="7"/>
  <c r="J344" i="7"/>
  <c r="D345" i="7"/>
  <c r="E345" i="7"/>
  <c r="F345" i="7"/>
  <c r="G345" i="7"/>
  <c r="H345" i="7"/>
  <c r="I345" i="7"/>
  <c r="J345" i="7"/>
  <c r="D346" i="7"/>
  <c r="E346" i="7"/>
  <c r="F346" i="7"/>
  <c r="G346" i="7"/>
  <c r="H346" i="7"/>
  <c r="I346" i="7"/>
  <c r="J346" i="7"/>
  <c r="D347" i="7"/>
  <c r="E347" i="7"/>
  <c r="F347" i="7"/>
  <c r="G347" i="7"/>
  <c r="H347" i="7"/>
  <c r="I347" i="7"/>
  <c r="J347" i="7"/>
  <c r="D348" i="7"/>
  <c r="E348" i="7"/>
  <c r="F348" i="7"/>
  <c r="G348" i="7"/>
  <c r="H348" i="7"/>
  <c r="I348" i="7"/>
  <c r="J348" i="7"/>
  <c r="D349" i="7"/>
  <c r="E349" i="7"/>
  <c r="F349" i="7"/>
  <c r="G349" i="7"/>
  <c r="H349" i="7"/>
  <c r="I349" i="7"/>
  <c r="J349" i="7"/>
  <c r="D350" i="7"/>
  <c r="E350" i="7"/>
  <c r="F350" i="7"/>
  <c r="G350" i="7"/>
  <c r="H350" i="7"/>
  <c r="I350" i="7"/>
  <c r="J350" i="7"/>
  <c r="D351" i="7"/>
  <c r="E351" i="7"/>
  <c r="F351" i="7"/>
  <c r="G351" i="7"/>
  <c r="H351" i="7"/>
  <c r="I351" i="7"/>
  <c r="J351" i="7"/>
  <c r="D352" i="7"/>
  <c r="E352" i="7"/>
  <c r="F352" i="7"/>
  <c r="G352" i="7"/>
  <c r="H352" i="7"/>
  <c r="I352" i="7"/>
  <c r="J352" i="7"/>
  <c r="D353" i="7"/>
  <c r="E353" i="7"/>
  <c r="F353" i="7"/>
  <c r="G353" i="7"/>
  <c r="H353" i="7"/>
  <c r="I353" i="7"/>
  <c r="J353" i="7"/>
  <c r="D354" i="7"/>
  <c r="E354" i="7"/>
  <c r="F354" i="7"/>
  <c r="G354" i="7"/>
  <c r="H354" i="7"/>
  <c r="I354" i="7"/>
  <c r="J354" i="7"/>
  <c r="D355" i="7"/>
  <c r="E355" i="7"/>
  <c r="F355" i="7"/>
  <c r="G355" i="7"/>
  <c r="H355" i="7"/>
  <c r="I355" i="7"/>
  <c r="J355" i="7"/>
  <c r="D356" i="7"/>
  <c r="E356" i="7"/>
  <c r="F356" i="7"/>
  <c r="G356" i="7"/>
  <c r="H356" i="7"/>
  <c r="I356" i="7"/>
  <c r="J356" i="7"/>
  <c r="D357" i="7"/>
  <c r="E357" i="7"/>
  <c r="F357" i="7"/>
  <c r="G357" i="7"/>
  <c r="H357" i="7"/>
  <c r="I357" i="7"/>
  <c r="J357" i="7"/>
  <c r="D358" i="7"/>
  <c r="E358" i="7"/>
  <c r="F358" i="7"/>
  <c r="G358" i="7"/>
  <c r="H358" i="7"/>
  <c r="I358" i="7"/>
  <c r="J358" i="7"/>
  <c r="D359" i="7"/>
  <c r="E359" i="7"/>
  <c r="F359" i="7"/>
  <c r="G359" i="7"/>
  <c r="H359" i="7"/>
  <c r="I359" i="7"/>
  <c r="J359" i="7"/>
  <c r="D360" i="7"/>
  <c r="E360" i="7"/>
  <c r="F360" i="7"/>
  <c r="G360" i="7"/>
  <c r="H360" i="7"/>
  <c r="I360" i="7"/>
  <c r="J360" i="7"/>
  <c r="D361" i="7"/>
  <c r="E361" i="7"/>
  <c r="F361" i="7"/>
  <c r="G361" i="7"/>
  <c r="H361" i="7"/>
  <c r="I361" i="7"/>
  <c r="J361" i="7"/>
  <c r="D362" i="7"/>
  <c r="E362" i="7"/>
  <c r="F362" i="7"/>
  <c r="G362" i="7"/>
  <c r="H362" i="7"/>
  <c r="I362" i="7"/>
  <c r="J362" i="7"/>
  <c r="D363" i="7"/>
  <c r="E363" i="7"/>
  <c r="F363" i="7"/>
  <c r="G363" i="7"/>
  <c r="H363" i="7"/>
  <c r="I363" i="7"/>
  <c r="J363" i="7"/>
  <c r="D364" i="7"/>
  <c r="E364" i="7"/>
  <c r="F364" i="7"/>
  <c r="G364" i="7"/>
  <c r="H364" i="7"/>
  <c r="I364" i="7"/>
  <c r="J364" i="7"/>
  <c r="D365" i="7"/>
  <c r="E365" i="7"/>
  <c r="F365" i="7"/>
  <c r="G365" i="7"/>
  <c r="H365" i="7"/>
  <c r="I365" i="7"/>
  <c r="J365" i="7"/>
  <c r="D366" i="7"/>
  <c r="E366" i="7"/>
  <c r="F366" i="7"/>
  <c r="G366" i="7"/>
  <c r="H366" i="7"/>
  <c r="I366" i="7"/>
  <c r="J366" i="7"/>
  <c r="D367" i="7"/>
  <c r="E367" i="7"/>
  <c r="F367" i="7"/>
  <c r="G367" i="7"/>
  <c r="H367" i="7"/>
  <c r="I367" i="7"/>
  <c r="J367" i="7"/>
  <c r="D368" i="7"/>
  <c r="E368" i="7"/>
  <c r="F368" i="7"/>
  <c r="G368" i="7"/>
  <c r="H368" i="7"/>
  <c r="I368" i="7"/>
  <c r="J368" i="7"/>
  <c r="D369" i="7"/>
  <c r="E369" i="7"/>
  <c r="F369" i="7"/>
  <c r="G369" i="7"/>
  <c r="H369" i="7"/>
  <c r="I369" i="7"/>
  <c r="J369" i="7"/>
  <c r="D370" i="7"/>
  <c r="E370" i="7"/>
  <c r="F370" i="7"/>
  <c r="G370" i="7"/>
  <c r="H370" i="7"/>
  <c r="I370" i="7"/>
  <c r="J370" i="7"/>
  <c r="D371" i="7"/>
  <c r="E371" i="7"/>
  <c r="F371" i="7"/>
  <c r="G371" i="7"/>
  <c r="H371" i="7"/>
  <c r="I371" i="7"/>
  <c r="J371" i="7"/>
  <c r="D372" i="7"/>
  <c r="E372" i="7"/>
  <c r="F372" i="7"/>
  <c r="G372" i="7"/>
  <c r="H372" i="7"/>
  <c r="I372" i="7"/>
  <c r="J372" i="7"/>
  <c r="D373" i="7"/>
  <c r="E373" i="7"/>
  <c r="F373" i="7"/>
  <c r="G373" i="7"/>
  <c r="H373" i="7"/>
  <c r="I373" i="7"/>
  <c r="J373" i="7"/>
  <c r="D374" i="7"/>
  <c r="E374" i="7"/>
  <c r="F374" i="7"/>
  <c r="G374" i="7"/>
  <c r="H374" i="7"/>
  <c r="I374" i="7"/>
  <c r="J374" i="7"/>
  <c r="D375" i="7"/>
  <c r="E375" i="7"/>
  <c r="F375" i="7"/>
  <c r="G375" i="7"/>
  <c r="H375" i="7"/>
  <c r="I375" i="7"/>
  <c r="J375" i="7"/>
  <c r="D376" i="7"/>
  <c r="E376" i="7"/>
  <c r="F376" i="7"/>
  <c r="G376" i="7"/>
  <c r="H376" i="7"/>
  <c r="I376" i="7"/>
  <c r="J376" i="7"/>
  <c r="D377" i="7"/>
  <c r="E377" i="7"/>
  <c r="F377" i="7"/>
  <c r="G377" i="7"/>
  <c r="H377" i="7"/>
  <c r="I377" i="7"/>
  <c r="J377" i="7"/>
  <c r="D378" i="7"/>
  <c r="E378" i="7"/>
  <c r="F378" i="7"/>
  <c r="G378" i="7"/>
  <c r="H378" i="7"/>
  <c r="I378" i="7"/>
  <c r="J378" i="7"/>
  <c r="D379" i="7"/>
  <c r="E379" i="7"/>
  <c r="F379" i="7"/>
  <c r="G379" i="7"/>
  <c r="H379" i="7"/>
  <c r="I379" i="7"/>
  <c r="J379" i="7"/>
  <c r="D380" i="7"/>
  <c r="E380" i="7"/>
  <c r="F380" i="7"/>
  <c r="G380" i="7"/>
  <c r="H380" i="7"/>
  <c r="I380" i="7"/>
  <c r="J380" i="7"/>
  <c r="D381" i="7"/>
  <c r="E381" i="7"/>
  <c r="F381" i="7"/>
  <c r="G381" i="7"/>
  <c r="H381" i="7"/>
  <c r="I381" i="7"/>
  <c r="J381" i="7"/>
  <c r="D382" i="7"/>
  <c r="E382" i="7"/>
  <c r="F382" i="7"/>
  <c r="G382" i="7"/>
  <c r="H382" i="7"/>
  <c r="I382" i="7"/>
  <c r="J382" i="7"/>
  <c r="D383" i="7"/>
  <c r="E383" i="7"/>
  <c r="F383" i="7"/>
  <c r="G383" i="7"/>
  <c r="H383" i="7"/>
  <c r="I383" i="7"/>
  <c r="J383" i="7"/>
  <c r="D384" i="7"/>
  <c r="E384" i="7"/>
  <c r="F384" i="7"/>
  <c r="G384" i="7"/>
  <c r="H384" i="7"/>
  <c r="I384" i="7"/>
  <c r="J384" i="7"/>
  <c r="D385" i="7"/>
  <c r="E385" i="7"/>
  <c r="F385" i="7"/>
  <c r="G385" i="7"/>
  <c r="H385" i="7"/>
  <c r="I385" i="7"/>
  <c r="J385" i="7"/>
  <c r="D386" i="7"/>
  <c r="E386" i="7"/>
  <c r="F386" i="7"/>
  <c r="G386" i="7"/>
  <c r="H386" i="7"/>
  <c r="I386" i="7"/>
  <c r="J386" i="7"/>
  <c r="D387" i="7"/>
  <c r="E387" i="7"/>
  <c r="F387" i="7"/>
  <c r="G387" i="7"/>
  <c r="H387" i="7"/>
  <c r="I387" i="7"/>
  <c r="J387" i="7"/>
  <c r="D388" i="7"/>
  <c r="E388" i="7"/>
  <c r="F388" i="7"/>
  <c r="G388" i="7"/>
  <c r="H388" i="7"/>
  <c r="I388" i="7"/>
  <c r="J388" i="7"/>
  <c r="D389" i="7"/>
  <c r="E389" i="7"/>
  <c r="F389" i="7"/>
  <c r="G389" i="7"/>
  <c r="H389" i="7"/>
  <c r="I389" i="7"/>
  <c r="J389" i="7"/>
  <c r="D390" i="7"/>
  <c r="E390" i="7"/>
  <c r="F390" i="7"/>
  <c r="G390" i="7"/>
  <c r="H390" i="7"/>
  <c r="I390" i="7"/>
  <c r="J390" i="7"/>
  <c r="D391" i="7"/>
  <c r="E391" i="7"/>
  <c r="F391" i="7"/>
  <c r="G391" i="7"/>
  <c r="H391" i="7"/>
  <c r="I391" i="7"/>
  <c r="J391" i="7"/>
  <c r="D392" i="7"/>
  <c r="E392" i="7"/>
  <c r="F392" i="7"/>
  <c r="G392" i="7"/>
  <c r="H392" i="7"/>
  <c r="I392" i="7"/>
  <c r="J392" i="7"/>
  <c r="D393" i="7"/>
  <c r="E393" i="7"/>
  <c r="F393" i="7"/>
  <c r="G393" i="7"/>
  <c r="H393" i="7"/>
  <c r="I393" i="7"/>
  <c r="J393" i="7"/>
  <c r="D394" i="7"/>
  <c r="E394" i="7"/>
  <c r="F394" i="7"/>
  <c r="G394" i="7"/>
  <c r="H394" i="7"/>
  <c r="I394" i="7"/>
  <c r="J394" i="7"/>
  <c r="D395" i="7"/>
  <c r="E395" i="7"/>
  <c r="F395" i="7"/>
  <c r="G395" i="7"/>
  <c r="H395" i="7"/>
  <c r="I395" i="7"/>
  <c r="J395" i="7"/>
  <c r="D396" i="7"/>
  <c r="E396" i="7"/>
  <c r="F396" i="7"/>
  <c r="G396" i="7"/>
  <c r="H396" i="7"/>
  <c r="I396" i="7"/>
  <c r="J396" i="7"/>
  <c r="D397" i="7"/>
  <c r="E397" i="7"/>
  <c r="F397" i="7"/>
  <c r="G397" i="7"/>
  <c r="H397" i="7"/>
  <c r="I397" i="7"/>
  <c r="J397" i="7"/>
  <c r="D398" i="7"/>
  <c r="E398" i="7"/>
  <c r="F398" i="7"/>
  <c r="G398" i="7"/>
  <c r="H398" i="7"/>
  <c r="I398" i="7"/>
  <c r="J398" i="7"/>
  <c r="D399" i="7"/>
  <c r="E399" i="7"/>
  <c r="F399" i="7"/>
  <c r="G399" i="7"/>
  <c r="H399" i="7"/>
  <c r="I399" i="7"/>
  <c r="J399" i="7"/>
  <c r="D400" i="7"/>
  <c r="E400" i="7"/>
  <c r="F400" i="7"/>
  <c r="G400" i="7"/>
  <c r="H400" i="7"/>
  <c r="I400" i="7"/>
  <c r="J400" i="7"/>
  <c r="D401" i="7"/>
  <c r="E401" i="7"/>
  <c r="F401" i="7"/>
  <c r="G401" i="7"/>
  <c r="H401" i="7"/>
  <c r="I401" i="7"/>
  <c r="J401" i="7"/>
  <c r="D402" i="7"/>
  <c r="E402" i="7"/>
  <c r="F402" i="7"/>
  <c r="G402" i="7"/>
  <c r="H402" i="7"/>
  <c r="I402" i="7"/>
  <c r="J402" i="7"/>
  <c r="D403" i="7"/>
  <c r="E403" i="7"/>
  <c r="F403" i="7"/>
  <c r="G403" i="7"/>
  <c r="H403" i="7"/>
  <c r="I403" i="7"/>
  <c r="J403" i="7"/>
  <c r="D404" i="7"/>
  <c r="E404" i="7"/>
  <c r="F404" i="7"/>
  <c r="G404" i="7"/>
  <c r="H404" i="7"/>
  <c r="I404" i="7"/>
  <c r="J404" i="7"/>
  <c r="D405" i="7"/>
  <c r="E405" i="7"/>
  <c r="F405" i="7"/>
  <c r="G405" i="7"/>
  <c r="H405" i="7"/>
  <c r="I405" i="7"/>
  <c r="J405" i="7"/>
  <c r="D406" i="7"/>
  <c r="E406" i="7"/>
  <c r="F406" i="7"/>
  <c r="G406" i="7"/>
  <c r="H406" i="7"/>
  <c r="I406" i="7"/>
  <c r="J406" i="7"/>
  <c r="D407" i="7"/>
  <c r="E407" i="7"/>
  <c r="F407" i="7"/>
  <c r="G407" i="7"/>
  <c r="H407" i="7"/>
  <c r="I407" i="7"/>
  <c r="J407" i="7"/>
  <c r="D408" i="7"/>
  <c r="E408" i="7"/>
  <c r="F408" i="7"/>
  <c r="G408" i="7"/>
  <c r="H408" i="7"/>
  <c r="I408" i="7"/>
  <c r="J408" i="7"/>
  <c r="D409" i="7"/>
  <c r="E409" i="7"/>
  <c r="F409" i="7"/>
  <c r="G409" i="7"/>
  <c r="H409" i="7"/>
  <c r="I409" i="7"/>
  <c r="J409" i="7"/>
  <c r="D410" i="7"/>
  <c r="E410" i="7"/>
  <c r="F410" i="7"/>
  <c r="G410" i="7"/>
  <c r="H410" i="7"/>
  <c r="I410" i="7"/>
  <c r="J410" i="7"/>
  <c r="D411" i="7"/>
  <c r="E411" i="7"/>
  <c r="F411" i="7"/>
  <c r="G411" i="7"/>
  <c r="H411" i="7"/>
  <c r="I411" i="7"/>
  <c r="J411" i="7"/>
  <c r="D412" i="7"/>
  <c r="E412" i="7"/>
  <c r="F412" i="7"/>
  <c r="G412" i="7"/>
  <c r="H412" i="7"/>
  <c r="I412" i="7"/>
  <c r="J412" i="7"/>
  <c r="D413" i="7"/>
  <c r="E413" i="7"/>
  <c r="F413" i="7"/>
  <c r="G413" i="7"/>
  <c r="H413" i="7"/>
  <c r="I413" i="7"/>
  <c r="J413" i="7"/>
  <c r="D414" i="7"/>
  <c r="E414" i="7"/>
  <c r="F414" i="7"/>
  <c r="G414" i="7"/>
  <c r="H414" i="7"/>
  <c r="I414" i="7"/>
  <c r="J414" i="7"/>
  <c r="D415" i="7"/>
  <c r="E415" i="7"/>
  <c r="F415" i="7"/>
  <c r="G415" i="7"/>
  <c r="H415" i="7"/>
  <c r="I415" i="7"/>
  <c r="J415" i="7"/>
  <c r="D416" i="7"/>
  <c r="E416" i="7"/>
  <c r="F416" i="7"/>
  <c r="G416" i="7"/>
  <c r="H416" i="7"/>
  <c r="I416" i="7"/>
  <c r="J416" i="7"/>
  <c r="D417" i="7"/>
  <c r="E417" i="7"/>
  <c r="F417" i="7"/>
  <c r="G417" i="7"/>
  <c r="H417" i="7"/>
  <c r="I417" i="7"/>
  <c r="J417" i="7"/>
  <c r="D418" i="7"/>
  <c r="E418" i="7"/>
  <c r="F418" i="7"/>
  <c r="G418" i="7"/>
  <c r="H418" i="7"/>
  <c r="I418" i="7"/>
  <c r="J418" i="7"/>
  <c r="D419" i="7"/>
  <c r="E419" i="7"/>
  <c r="F419" i="7"/>
  <c r="G419" i="7"/>
  <c r="H419" i="7"/>
  <c r="I419" i="7"/>
  <c r="J419" i="7"/>
  <c r="D420" i="7"/>
  <c r="E420" i="7"/>
  <c r="F420" i="7"/>
  <c r="G420" i="7"/>
  <c r="H420" i="7"/>
  <c r="I420" i="7"/>
  <c r="J420" i="7"/>
  <c r="D421" i="7"/>
  <c r="E421" i="7"/>
  <c r="F421" i="7"/>
  <c r="G421" i="7"/>
  <c r="H421" i="7"/>
  <c r="I421" i="7"/>
  <c r="J421" i="7"/>
  <c r="D422" i="7"/>
  <c r="E422" i="7"/>
  <c r="F422" i="7"/>
  <c r="G422" i="7"/>
  <c r="H422" i="7"/>
  <c r="I422" i="7"/>
  <c r="J422" i="7"/>
  <c r="D423" i="7"/>
  <c r="E423" i="7"/>
  <c r="F423" i="7"/>
  <c r="G423" i="7"/>
  <c r="H423" i="7"/>
  <c r="I423" i="7"/>
  <c r="J423" i="7"/>
  <c r="D424" i="7"/>
  <c r="E424" i="7"/>
  <c r="F424" i="7"/>
  <c r="G424" i="7"/>
  <c r="H424" i="7"/>
  <c r="I424" i="7"/>
  <c r="J424" i="7"/>
  <c r="D425" i="7"/>
  <c r="E425" i="7"/>
  <c r="F425" i="7"/>
  <c r="G425" i="7"/>
  <c r="H425" i="7"/>
  <c r="I425" i="7"/>
  <c r="J425" i="7"/>
  <c r="D426" i="7"/>
  <c r="E426" i="7"/>
  <c r="F426" i="7"/>
  <c r="G426" i="7"/>
  <c r="H426" i="7"/>
  <c r="I426" i="7"/>
  <c r="J426" i="7"/>
  <c r="D427" i="7"/>
  <c r="E427" i="7"/>
  <c r="F427" i="7"/>
  <c r="G427" i="7"/>
  <c r="H427" i="7"/>
  <c r="I427" i="7"/>
  <c r="J427" i="7"/>
  <c r="D428" i="7"/>
  <c r="E428" i="7"/>
  <c r="F428" i="7"/>
  <c r="G428" i="7"/>
  <c r="H428" i="7"/>
  <c r="I428" i="7"/>
  <c r="J428" i="7"/>
  <c r="D429" i="7"/>
  <c r="E429" i="7"/>
  <c r="F429" i="7"/>
  <c r="G429" i="7"/>
  <c r="H429" i="7"/>
  <c r="I429" i="7"/>
  <c r="J429" i="7"/>
  <c r="D430" i="7"/>
  <c r="E430" i="7"/>
  <c r="F430" i="7"/>
  <c r="G430" i="7"/>
  <c r="H430" i="7"/>
  <c r="I430" i="7"/>
  <c r="J430" i="7"/>
  <c r="D431" i="7"/>
  <c r="E431" i="7"/>
  <c r="F431" i="7"/>
  <c r="G431" i="7"/>
  <c r="H431" i="7"/>
  <c r="I431" i="7"/>
  <c r="J431" i="7"/>
  <c r="D432" i="7"/>
  <c r="E432" i="7"/>
  <c r="F432" i="7"/>
  <c r="G432" i="7"/>
  <c r="H432" i="7"/>
  <c r="I432" i="7"/>
  <c r="J432" i="7"/>
  <c r="D433" i="7"/>
  <c r="E433" i="7"/>
  <c r="F433" i="7"/>
  <c r="G433" i="7"/>
  <c r="H433" i="7"/>
  <c r="I433" i="7"/>
  <c r="J433" i="7"/>
  <c r="D434" i="7"/>
  <c r="E434" i="7"/>
  <c r="F434" i="7"/>
  <c r="G434" i="7"/>
  <c r="H434" i="7"/>
  <c r="I434" i="7"/>
  <c r="J434" i="7"/>
  <c r="D435" i="7"/>
  <c r="E435" i="7"/>
  <c r="F435" i="7"/>
  <c r="G435" i="7"/>
  <c r="H435" i="7"/>
  <c r="I435" i="7"/>
  <c r="J435" i="7"/>
  <c r="D436" i="7"/>
  <c r="E436" i="7"/>
  <c r="F436" i="7"/>
  <c r="G436" i="7"/>
  <c r="H436" i="7"/>
  <c r="I436" i="7"/>
  <c r="J436" i="7"/>
  <c r="D437" i="7"/>
  <c r="E437" i="7"/>
  <c r="F437" i="7"/>
  <c r="G437" i="7"/>
  <c r="H437" i="7"/>
  <c r="I437" i="7"/>
  <c r="J437" i="7"/>
  <c r="D438" i="7"/>
  <c r="E438" i="7"/>
  <c r="F438" i="7"/>
  <c r="G438" i="7"/>
  <c r="H438" i="7"/>
  <c r="I438" i="7"/>
  <c r="J438" i="7"/>
  <c r="D439" i="7"/>
  <c r="E439" i="7"/>
  <c r="F439" i="7"/>
  <c r="G439" i="7"/>
  <c r="H439" i="7"/>
  <c r="I439" i="7"/>
  <c r="J439" i="7"/>
  <c r="D440" i="7"/>
  <c r="E440" i="7"/>
  <c r="F440" i="7"/>
  <c r="G440" i="7"/>
  <c r="H440" i="7"/>
  <c r="I440" i="7"/>
  <c r="J440" i="7"/>
  <c r="D441" i="7"/>
  <c r="E441" i="7"/>
  <c r="F441" i="7"/>
  <c r="G441" i="7"/>
  <c r="H441" i="7"/>
  <c r="I441" i="7"/>
  <c r="J441" i="7"/>
  <c r="D442" i="7"/>
  <c r="E442" i="7"/>
  <c r="F442" i="7"/>
  <c r="G442" i="7"/>
  <c r="H442" i="7"/>
  <c r="I442" i="7"/>
  <c r="J442" i="7"/>
  <c r="D443" i="7"/>
  <c r="E443" i="7"/>
  <c r="F443" i="7"/>
  <c r="G443" i="7"/>
  <c r="H443" i="7"/>
  <c r="I443" i="7"/>
  <c r="J443" i="7"/>
  <c r="D444" i="7"/>
  <c r="E444" i="7"/>
  <c r="F444" i="7"/>
  <c r="G444" i="7"/>
  <c r="H444" i="7"/>
  <c r="I444" i="7"/>
  <c r="J444" i="7"/>
  <c r="D445" i="7"/>
  <c r="E445" i="7"/>
  <c r="F445" i="7"/>
  <c r="G445" i="7"/>
  <c r="H445" i="7"/>
  <c r="I445" i="7"/>
  <c r="J445" i="7"/>
  <c r="D446" i="7"/>
  <c r="E446" i="7"/>
  <c r="F446" i="7"/>
  <c r="G446" i="7"/>
  <c r="H446" i="7"/>
  <c r="I446" i="7"/>
  <c r="J446" i="7"/>
  <c r="D447" i="7"/>
  <c r="E447" i="7"/>
  <c r="F447" i="7"/>
  <c r="G447" i="7"/>
  <c r="H447" i="7"/>
  <c r="I447" i="7"/>
  <c r="J447" i="7"/>
  <c r="D448" i="7"/>
  <c r="E448" i="7"/>
  <c r="F448" i="7"/>
  <c r="G448" i="7"/>
  <c r="H448" i="7"/>
  <c r="I448" i="7"/>
  <c r="J448" i="7"/>
  <c r="D449" i="7"/>
  <c r="E449" i="7"/>
  <c r="F449" i="7"/>
  <c r="G449" i="7"/>
  <c r="H449" i="7"/>
  <c r="I449" i="7"/>
  <c r="J449" i="7"/>
  <c r="D450" i="7"/>
  <c r="E450" i="7"/>
  <c r="F450" i="7"/>
  <c r="G450" i="7"/>
  <c r="H450" i="7"/>
  <c r="I450" i="7"/>
  <c r="J450" i="7"/>
  <c r="D451" i="7"/>
  <c r="E451" i="7"/>
  <c r="F451" i="7"/>
  <c r="G451" i="7"/>
  <c r="H451" i="7"/>
  <c r="I451" i="7"/>
  <c r="J451" i="7"/>
  <c r="D452" i="7"/>
  <c r="E452" i="7"/>
  <c r="F452" i="7"/>
  <c r="G452" i="7"/>
  <c r="H452" i="7"/>
  <c r="I452" i="7"/>
  <c r="J452" i="7"/>
  <c r="D453" i="7"/>
  <c r="E453" i="7"/>
  <c r="F453" i="7"/>
  <c r="G453" i="7"/>
  <c r="H453" i="7"/>
  <c r="I453" i="7"/>
  <c r="J453" i="7"/>
  <c r="D454" i="7"/>
  <c r="E454" i="7"/>
  <c r="F454" i="7"/>
  <c r="G454" i="7"/>
  <c r="H454" i="7"/>
  <c r="I454" i="7"/>
  <c r="J454" i="7"/>
  <c r="D455" i="7"/>
  <c r="E455" i="7"/>
  <c r="F455" i="7"/>
  <c r="G455" i="7"/>
  <c r="H455" i="7"/>
  <c r="I455" i="7"/>
  <c r="J455" i="7"/>
  <c r="D456" i="7"/>
  <c r="E456" i="7"/>
  <c r="F456" i="7"/>
  <c r="G456" i="7"/>
  <c r="H456" i="7"/>
  <c r="I456" i="7"/>
  <c r="J456" i="7"/>
  <c r="D457" i="7"/>
  <c r="E457" i="7"/>
  <c r="F457" i="7"/>
  <c r="G457" i="7"/>
  <c r="H457" i="7"/>
  <c r="I457" i="7"/>
  <c r="J457" i="7"/>
  <c r="D458" i="7"/>
  <c r="E458" i="7"/>
  <c r="F458" i="7"/>
  <c r="G458" i="7"/>
  <c r="H458" i="7"/>
  <c r="I458" i="7"/>
  <c r="J458" i="7"/>
  <c r="D459" i="7"/>
  <c r="E459" i="7"/>
  <c r="F459" i="7"/>
  <c r="G459" i="7"/>
  <c r="H459" i="7"/>
  <c r="I459" i="7"/>
  <c r="J459" i="7"/>
  <c r="D460" i="7"/>
  <c r="E460" i="7"/>
  <c r="F460" i="7"/>
  <c r="G460" i="7"/>
  <c r="H460" i="7"/>
  <c r="I460" i="7"/>
  <c r="J460" i="7"/>
  <c r="D461" i="7"/>
  <c r="E461" i="7"/>
  <c r="F461" i="7"/>
  <c r="G461" i="7"/>
  <c r="H461" i="7"/>
  <c r="I461" i="7"/>
  <c r="J461" i="7"/>
  <c r="D462" i="7"/>
  <c r="E462" i="7"/>
  <c r="F462" i="7"/>
  <c r="G462" i="7"/>
  <c r="H462" i="7"/>
  <c r="I462" i="7"/>
  <c r="J462" i="7"/>
  <c r="D463" i="7"/>
  <c r="E463" i="7"/>
  <c r="F463" i="7"/>
  <c r="G463" i="7"/>
  <c r="H463" i="7"/>
  <c r="I463" i="7"/>
  <c r="J463" i="7"/>
  <c r="D464" i="7"/>
  <c r="E464" i="7"/>
  <c r="F464" i="7"/>
  <c r="G464" i="7"/>
  <c r="H464" i="7"/>
  <c r="I464" i="7"/>
  <c r="J464" i="7"/>
  <c r="D465" i="7"/>
  <c r="E465" i="7"/>
  <c r="F465" i="7"/>
  <c r="G465" i="7"/>
  <c r="H465" i="7"/>
  <c r="I465" i="7"/>
  <c r="J465" i="7"/>
  <c r="D466" i="7"/>
  <c r="E466" i="7"/>
  <c r="F466" i="7"/>
  <c r="G466" i="7"/>
  <c r="H466" i="7"/>
  <c r="I466" i="7"/>
  <c r="J466" i="7"/>
  <c r="D467" i="7"/>
  <c r="E467" i="7"/>
  <c r="F467" i="7"/>
  <c r="G467" i="7"/>
  <c r="H467" i="7"/>
  <c r="I467" i="7"/>
  <c r="J467" i="7"/>
  <c r="D468" i="7"/>
  <c r="E468" i="7"/>
  <c r="F468" i="7"/>
  <c r="G468" i="7"/>
  <c r="H468" i="7"/>
  <c r="I468" i="7"/>
  <c r="J468" i="7"/>
  <c r="D469" i="7"/>
  <c r="E469" i="7"/>
  <c r="F469" i="7"/>
  <c r="G469" i="7"/>
  <c r="H469" i="7"/>
  <c r="I469" i="7"/>
  <c r="J469" i="7"/>
  <c r="D470" i="7"/>
  <c r="E470" i="7"/>
  <c r="F470" i="7"/>
  <c r="G470" i="7"/>
  <c r="H470" i="7"/>
  <c r="I470" i="7"/>
  <c r="J470" i="7"/>
  <c r="D471" i="7"/>
  <c r="E471" i="7"/>
  <c r="F471" i="7"/>
  <c r="G471" i="7"/>
  <c r="H471" i="7"/>
  <c r="I471" i="7"/>
  <c r="J471" i="7"/>
  <c r="D472" i="7"/>
  <c r="E472" i="7"/>
  <c r="F472" i="7"/>
  <c r="G472" i="7"/>
  <c r="H472" i="7"/>
  <c r="I472" i="7"/>
  <c r="J472" i="7"/>
  <c r="D473" i="7"/>
  <c r="E473" i="7"/>
  <c r="F473" i="7"/>
  <c r="G473" i="7"/>
  <c r="H473" i="7"/>
  <c r="I473" i="7"/>
  <c r="J473" i="7"/>
  <c r="D474" i="7"/>
  <c r="E474" i="7"/>
  <c r="F474" i="7"/>
  <c r="G474" i="7"/>
  <c r="H474" i="7"/>
  <c r="I474" i="7"/>
  <c r="J474" i="7"/>
  <c r="D475" i="7"/>
  <c r="E475" i="7"/>
  <c r="F475" i="7"/>
  <c r="G475" i="7"/>
  <c r="H475" i="7"/>
  <c r="I475" i="7"/>
  <c r="J475" i="7"/>
  <c r="D476" i="7"/>
  <c r="E476" i="7"/>
  <c r="F476" i="7"/>
  <c r="G476" i="7"/>
  <c r="H476" i="7"/>
  <c r="I476" i="7"/>
  <c r="J476" i="7"/>
  <c r="D477" i="7"/>
  <c r="E477" i="7"/>
  <c r="F477" i="7"/>
  <c r="G477" i="7"/>
  <c r="H477" i="7"/>
  <c r="I477" i="7"/>
  <c r="J477" i="7"/>
  <c r="D478" i="7"/>
  <c r="E478" i="7"/>
  <c r="F478" i="7"/>
  <c r="G478" i="7"/>
  <c r="H478" i="7"/>
  <c r="I478" i="7"/>
  <c r="J478" i="7"/>
  <c r="D479" i="7"/>
  <c r="E479" i="7"/>
  <c r="F479" i="7"/>
  <c r="G479" i="7"/>
  <c r="H479" i="7"/>
  <c r="I479" i="7"/>
  <c r="J479" i="7"/>
  <c r="D480" i="7"/>
  <c r="E480" i="7"/>
  <c r="F480" i="7"/>
  <c r="G480" i="7"/>
  <c r="H480" i="7"/>
  <c r="I480" i="7"/>
  <c r="J480" i="7"/>
  <c r="D481" i="7"/>
  <c r="E481" i="7"/>
  <c r="F481" i="7"/>
  <c r="G481" i="7"/>
  <c r="H481" i="7"/>
  <c r="I481" i="7"/>
  <c r="J481" i="7"/>
  <c r="D482" i="7"/>
  <c r="E482" i="7"/>
  <c r="F482" i="7"/>
  <c r="G482" i="7"/>
  <c r="H482" i="7"/>
  <c r="I482" i="7"/>
  <c r="J482" i="7"/>
  <c r="D483" i="7"/>
  <c r="E483" i="7"/>
  <c r="F483" i="7"/>
  <c r="G483" i="7"/>
  <c r="H483" i="7"/>
  <c r="I483" i="7"/>
  <c r="J483" i="7"/>
  <c r="D484" i="7"/>
  <c r="E484" i="7"/>
  <c r="F484" i="7"/>
  <c r="G484" i="7"/>
  <c r="H484" i="7"/>
  <c r="I484" i="7"/>
  <c r="J484" i="7"/>
  <c r="D485" i="7"/>
  <c r="E485" i="7"/>
  <c r="F485" i="7"/>
  <c r="G485" i="7"/>
  <c r="H485" i="7"/>
  <c r="I485" i="7"/>
  <c r="J485" i="7"/>
  <c r="D486" i="7"/>
  <c r="E486" i="7"/>
  <c r="F486" i="7"/>
  <c r="G486" i="7"/>
  <c r="H486" i="7"/>
  <c r="I486" i="7"/>
  <c r="J486" i="7"/>
  <c r="D487" i="7"/>
  <c r="E487" i="7"/>
  <c r="F487" i="7"/>
  <c r="G487" i="7"/>
  <c r="H487" i="7"/>
  <c r="I487" i="7"/>
  <c r="J487" i="7"/>
  <c r="D488" i="7"/>
  <c r="E488" i="7"/>
  <c r="F488" i="7"/>
  <c r="G488" i="7"/>
  <c r="H488" i="7"/>
  <c r="I488" i="7"/>
  <c r="J488" i="7"/>
  <c r="D489" i="7"/>
  <c r="E489" i="7"/>
  <c r="F489" i="7"/>
  <c r="G489" i="7"/>
  <c r="H489" i="7"/>
  <c r="I489" i="7"/>
  <c r="J489" i="7"/>
  <c r="D490" i="7"/>
  <c r="E490" i="7"/>
  <c r="F490" i="7"/>
  <c r="G490" i="7"/>
  <c r="H490" i="7"/>
  <c r="I490" i="7"/>
  <c r="J490" i="7"/>
  <c r="D491" i="7"/>
  <c r="E491" i="7"/>
  <c r="F491" i="7"/>
  <c r="G491" i="7"/>
  <c r="H491" i="7"/>
  <c r="I491" i="7"/>
  <c r="J491" i="7"/>
  <c r="D492" i="7"/>
  <c r="E492" i="7"/>
  <c r="F492" i="7"/>
  <c r="G492" i="7"/>
  <c r="H492" i="7"/>
  <c r="I492" i="7"/>
  <c r="J492" i="7"/>
  <c r="D493" i="7"/>
  <c r="E493" i="7"/>
  <c r="F493" i="7"/>
  <c r="G493" i="7"/>
  <c r="H493" i="7"/>
  <c r="I493" i="7"/>
  <c r="J493" i="7"/>
  <c r="D494" i="7"/>
  <c r="E494" i="7"/>
  <c r="F494" i="7"/>
  <c r="G494" i="7"/>
  <c r="H494" i="7"/>
  <c r="I494" i="7"/>
  <c r="J494" i="7"/>
  <c r="D495" i="7"/>
  <c r="E495" i="7"/>
  <c r="F495" i="7"/>
  <c r="G495" i="7"/>
  <c r="H495" i="7"/>
  <c r="I495" i="7"/>
  <c r="J495" i="7"/>
  <c r="D496" i="7"/>
  <c r="E496" i="7"/>
  <c r="F496" i="7"/>
  <c r="G496" i="7"/>
  <c r="H496" i="7"/>
  <c r="I496" i="7"/>
  <c r="J496" i="7"/>
  <c r="D497" i="7"/>
  <c r="E497" i="7"/>
  <c r="F497" i="7"/>
  <c r="G497" i="7"/>
  <c r="H497" i="7"/>
  <c r="I497" i="7"/>
  <c r="J497" i="7"/>
  <c r="D498" i="7"/>
  <c r="E498" i="7"/>
  <c r="F498" i="7"/>
  <c r="G498" i="7"/>
  <c r="H498" i="7"/>
  <c r="I498" i="7"/>
  <c r="J498" i="7"/>
  <c r="D499" i="7"/>
  <c r="E499" i="7"/>
  <c r="F499" i="7"/>
  <c r="G499" i="7"/>
  <c r="H499" i="7"/>
  <c r="I499" i="7"/>
  <c r="J499" i="7"/>
  <c r="D500" i="7"/>
  <c r="E500" i="7"/>
  <c r="F500" i="7"/>
  <c r="G500" i="7"/>
  <c r="H500" i="7"/>
  <c r="I500" i="7"/>
  <c r="J500" i="7"/>
  <c r="D501" i="7"/>
  <c r="E501" i="7"/>
  <c r="F501" i="7"/>
  <c r="G501" i="7"/>
  <c r="H501" i="7"/>
  <c r="I501" i="7"/>
  <c r="J501" i="7"/>
  <c r="D502" i="7"/>
  <c r="E502" i="7"/>
  <c r="F502" i="7"/>
  <c r="G502" i="7"/>
  <c r="H502" i="7"/>
  <c r="I502" i="7"/>
  <c r="J502" i="7"/>
  <c r="D503" i="7"/>
  <c r="E503" i="7"/>
  <c r="F503" i="7"/>
  <c r="G503" i="7"/>
  <c r="H503" i="7"/>
  <c r="I503" i="7"/>
  <c r="J503" i="7"/>
  <c r="D504" i="7"/>
  <c r="E504" i="7"/>
  <c r="F504" i="7"/>
  <c r="G504" i="7"/>
  <c r="H504" i="7"/>
  <c r="I504" i="7"/>
  <c r="J504" i="7"/>
  <c r="D505" i="7"/>
  <c r="E505" i="7"/>
  <c r="F505" i="7"/>
  <c r="G505" i="7"/>
  <c r="H505" i="7"/>
  <c r="I505" i="7"/>
  <c r="J505" i="7"/>
  <c r="D506" i="7"/>
  <c r="E506" i="7"/>
  <c r="F506" i="7"/>
  <c r="G506" i="7"/>
  <c r="H506" i="7"/>
  <c r="I506" i="7"/>
  <c r="J506" i="7"/>
  <c r="D507" i="7"/>
  <c r="E507" i="7"/>
  <c r="F507" i="7"/>
  <c r="G507" i="7"/>
  <c r="H507" i="7"/>
  <c r="I507" i="7"/>
  <c r="J507" i="7"/>
  <c r="D508" i="7"/>
  <c r="E508" i="7"/>
  <c r="F508" i="7"/>
  <c r="G508" i="7"/>
  <c r="H508" i="7"/>
  <c r="I508" i="7"/>
  <c r="J508" i="7"/>
  <c r="D509" i="7"/>
  <c r="E509" i="7"/>
  <c r="F509" i="7"/>
  <c r="G509" i="7"/>
  <c r="H509" i="7"/>
  <c r="I509" i="7"/>
  <c r="J509" i="7"/>
  <c r="D510" i="7"/>
  <c r="E510" i="7"/>
  <c r="F510" i="7"/>
  <c r="G510" i="7"/>
  <c r="H510" i="7"/>
  <c r="I510" i="7"/>
  <c r="J510" i="7"/>
  <c r="D511" i="7"/>
  <c r="E511" i="7"/>
  <c r="F511" i="7"/>
  <c r="G511" i="7"/>
  <c r="H511" i="7"/>
  <c r="I511" i="7"/>
  <c r="J511" i="7"/>
  <c r="D512" i="7"/>
  <c r="E512" i="7"/>
  <c r="F512" i="7"/>
  <c r="G512" i="7"/>
  <c r="H512" i="7"/>
  <c r="I512" i="7"/>
  <c r="J512" i="7"/>
  <c r="D513" i="7"/>
  <c r="E513" i="7"/>
  <c r="F513" i="7"/>
  <c r="G513" i="7"/>
  <c r="H513" i="7"/>
  <c r="I513" i="7"/>
  <c r="J513" i="7"/>
  <c r="D514" i="7"/>
  <c r="E514" i="7"/>
  <c r="F514" i="7"/>
  <c r="G514" i="7"/>
  <c r="H514" i="7"/>
  <c r="I514" i="7"/>
  <c r="J514" i="7"/>
  <c r="D515" i="7"/>
  <c r="E515" i="7"/>
  <c r="F515" i="7"/>
  <c r="G515" i="7"/>
  <c r="H515" i="7"/>
  <c r="I515" i="7"/>
  <c r="J515" i="7"/>
  <c r="D516" i="7"/>
  <c r="E516" i="7"/>
  <c r="F516" i="7"/>
  <c r="G516" i="7"/>
  <c r="H516" i="7"/>
  <c r="I516" i="7"/>
  <c r="J516" i="7"/>
  <c r="D517" i="7"/>
  <c r="E517" i="7"/>
  <c r="F517" i="7"/>
  <c r="G517" i="7"/>
  <c r="H517" i="7"/>
  <c r="I517" i="7"/>
  <c r="J517" i="7"/>
  <c r="D518" i="7"/>
  <c r="E518" i="7"/>
  <c r="F518" i="7"/>
  <c r="G518" i="7"/>
  <c r="H518" i="7"/>
  <c r="I518" i="7"/>
  <c r="J518" i="7"/>
  <c r="D519" i="7"/>
  <c r="E519" i="7"/>
  <c r="F519" i="7"/>
  <c r="G519" i="7"/>
  <c r="H519" i="7"/>
  <c r="I519" i="7"/>
  <c r="J519" i="7"/>
  <c r="D520" i="7"/>
  <c r="E520" i="7"/>
  <c r="F520" i="7"/>
  <c r="G520" i="7"/>
  <c r="H520" i="7"/>
  <c r="I520" i="7"/>
  <c r="J520" i="7"/>
  <c r="D521" i="7"/>
  <c r="E521" i="7"/>
  <c r="F521" i="7"/>
  <c r="G521" i="7"/>
  <c r="H521" i="7"/>
  <c r="I521" i="7"/>
  <c r="J521" i="7"/>
  <c r="D522" i="7"/>
  <c r="E522" i="7"/>
  <c r="F522" i="7"/>
  <c r="G522" i="7"/>
  <c r="H522" i="7"/>
  <c r="I522" i="7"/>
  <c r="J522" i="7"/>
  <c r="D523" i="7"/>
  <c r="E523" i="7"/>
  <c r="F523" i="7"/>
  <c r="G523" i="7"/>
  <c r="H523" i="7"/>
  <c r="I523" i="7"/>
  <c r="J523" i="7"/>
  <c r="D524" i="7"/>
  <c r="E524" i="7"/>
  <c r="F524" i="7"/>
  <c r="G524" i="7"/>
  <c r="H524" i="7"/>
  <c r="I524" i="7"/>
  <c r="J524" i="7"/>
  <c r="D525" i="7"/>
  <c r="E525" i="7"/>
  <c r="F525" i="7"/>
  <c r="G525" i="7"/>
  <c r="H525" i="7"/>
  <c r="I525" i="7"/>
  <c r="J525" i="7"/>
  <c r="D526" i="7"/>
  <c r="E526" i="7"/>
  <c r="F526" i="7"/>
  <c r="G526" i="7"/>
  <c r="H526" i="7"/>
  <c r="I526" i="7"/>
  <c r="J526" i="7"/>
  <c r="D527" i="7"/>
  <c r="E527" i="7"/>
  <c r="F527" i="7"/>
  <c r="G527" i="7"/>
  <c r="H527" i="7"/>
  <c r="I527" i="7"/>
  <c r="J527" i="7"/>
  <c r="D528" i="7"/>
  <c r="E528" i="7"/>
  <c r="F528" i="7"/>
  <c r="G528" i="7"/>
  <c r="H528" i="7"/>
  <c r="I528" i="7"/>
  <c r="J528" i="7"/>
  <c r="D529" i="7"/>
  <c r="E529" i="7"/>
  <c r="F529" i="7"/>
  <c r="G529" i="7"/>
  <c r="H529" i="7"/>
  <c r="I529" i="7"/>
  <c r="J529" i="7"/>
  <c r="D530" i="7"/>
  <c r="E530" i="7"/>
  <c r="F530" i="7"/>
  <c r="G530" i="7"/>
  <c r="H530" i="7"/>
  <c r="I530" i="7"/>
  <c r="J530" i="7"/>
  <c r="D531" i="7"/>
  <c r="E531" i="7"/>
  <c r="F531" i="7"/>
  <c r="G531" i="7"/>
  <c r="H531" i="7"/>
  <c r="I531" i="7"/>
  <c r="J531" i="7"/>
  <c r="D532" i="7"/>
  <c r="E532" i="7"/>
  <c r="F532" i="7"/>
  <c r="G532" i="7"/>
  <c r="H532" i="7"/>
  <c r="I532" i="7"/>
  <c r="J532" i="7"/>
  <c r="D533" i="7"/>
  <c r="E533" i="7"/>
  <c r="F533" i="7"/>
  <c r="G533" i="7"/>
  <c r="H533" i="7"/>
  <c r="I533" i="7"/>
  <c r="J533" i="7"/>
  <c r="D534" i="7"/>
  <c r="E534" i="7"/>
  <c r="F534" i="7"/>
  <c r="G534" i="7"/>
  <c r="H534" i="7"/>
  <c r="I534" i="7"/>
  <c r="J534" i="7"/>
  <c r="D535" i="7"/>
  <c r="E535" i="7"/>
  <c r="F535" i="7"/>
  <c r="G535" i="7"/>
  <c r="H535" i="7"/>
  <c r="I535" i="7"/>
  <c r="J535" i="7"/>
  <c r="D536" i="7"/>
  <c r="E536" i="7"/>
  <c r="F536" i="7"/>
  <c r="G536" i="7"/>
  <c r="H536" i="7"/>
  <c r="I536" i="7"/>
  <c r="J536" i="7"/>
  <c r="D537" i="7"/>
  <c r="E537" i="7"/>
  <c r="F537" i="7"/>
  <c r="G537" i="7"/>
  <c r="H537" i="7"/>
  <c r="I537" i="7"/>
  <c r="J537" i="7"/>
  <c r="D538" i="7"/>
  <c r="E538" i="7"/>
  <c r="F538" i="7"/>
  <c r="G538" i="7"/>
  <c r="H538" i="7"/>
  <c r="I538" i="7"/>
  <c r="J538" i="7"/>
  <c r="D539" i="7"/>
  <c r="E539" i="7"/>
  <c r="F539" i="7"/>
  <c r="G539" i="7"/>
  <c r="H539" i="7"/>
  <c r="I539" i="7"/>
  <c r="J539" i="7"/>
  <c r="D540" i="7"/>
  <c r="E540" i="7"/>
  <c r="F540" i="7"/>
  <c r="G540" i="7"/>
  <c r="H540" i="7"/>
  <c r="I540" i="7"/>
  <c r="J540" i="7"/>
  <c r="D541" i="7"/>
  <c r="E541" i="7"/>
  <c r="F541" i="7"/>
  <c r="G541" i="7"/>
  <c r="H541" i="7"/>
  <c r="I541" i="7"/>
  <c r="J541" i="7"/>
  <c r="D542" i="7"/>
  <c r="E542" i="7"/>
  <c r="F542" i="7"/>
  <c r="G542" i="7"/>
  <c r="H542" i="7"/>
  <c r="I542" i="7"/>
  <c r="J542" i="7"/>
  <c r="D543" i="7"/>
  <c r="E543" i="7"/>
  <c r="F543" i="7"/>
  <c r="G543" i="7"/>
  <c r="H543" i="7"/>
  <c r="I543" i="7"/>
  <c r="J543" i="7"/>
  <c r="D544" i="7"/>
  <c r="E544" i="7"/>
  <c r="F544" i="7"/>
  <c r="G544" i="7"/>
  <c r="H544" i="7"/>
  <c r="I544" i="7"/>
  <c r="J544" i="7"/>
  <c r="D545" i="7"/>
  <c r="E545" i="7"/>
  <c r="F545" i="7"/>
  <c r="G545" i="7"/>
  <c r="H545" i="7"/>
  <c r="I545" i="7"/>
  <c r="J545" i="7"/>
  <c r="D546" i="7"/>
  <c r="E546" i="7"/>
  <c r="F546" i="7"/>
  <c r="G546" i="7"/>
  <c r="H546" i="7"/>
  <c r="I546" i="7"/>
  <c r="J546" i="7"/>
  <c r="D547" i="7"/>
  <c r="E547" i="7"/>
  <c r="F547" i="7"/>
  <c r="G547" i="7"/>
  <c r="H547" i="7"/>
  <c r="I547" i="7"/>
  <c r="J547" i="7"/>
  <c r="D548" i="7"/>
  <c r="E548" i="7"/>
  <c r="F548" i="7"/>
  <c r="G548" i="7"/>
  <c r="H548" i="7"/>
  <c r="I548" i="7"/>
  <c r="J548" i="7"/>
  <c r="D549" i="7"/>
  <c r="E549" i="7"/>
  <c r="F549" i="7"/>
  <c r="G549" i="7"/>
  <c r="H549" i="7"/>
  <c r="I549" i="7"/>
  <c r="J549" i="7"/>
  <c r="D550" i="7"/>
  <c r="E550" i="7"/>
  <c r="F550" i="7"/>
  <c r="G550" i="7"/>
  <c r="H550" i="7"/>
  <c r="I550" i="7"/>
  <c r="J550" i="7"/>
  <c r="D551" i="7"/>
  <c r="E551" i="7"/>
  <c r="F551" i="7"/>
  <c r="G551" i="7"/>
  <c r="H551" i="7"/>
  <c r="I551" i="7"/>
  <c r="J551" i="7"/>
  <c r="D552" i="7"/>
  <c r="E552" i="7"/>
  <c r="F552" i="7"/>
  <c r="G552" i="7"/>
  <c r="H552" i="7"/>
  <c r="I552" i="7"/>
  <c r="J552" i="7"/>
  <c r="D553" i="7"/>
  <c r="E553" i="7"/>
  <c r="F553" i="7"/>
  <c r="G553" i="7"/>
  <c r="H553" i="7"/>
  <c r="I553" i="7"/>
  <c r="J553" i="7"/>
  <c r="D554" i="7"/>
  <c r="E554" i="7"/>
  <c r="F554" i="7"/>
  <c r="G554" i="7"/>
  <c r="H554" i="7"/>
  <c r="I554" i="7"/>
  <c r="J554" i="7"/>
  <c r="D555" i="7"/>
  <c r="E555" i="7"/>
  <c r="F555" i="7"/>
  <c r="G555" i="7"/>
  <c r="H555" i="7"/>
  <c r="I555" i="7"/>
  <c r="J555" i="7"/>
  <c r="D556" i="7"/>
  <c r="E556" i="7"/>
  <c r="F556" i="7"/>
  <c r="G556" i="7"/>
  <c r="H556" i="7"/>
  <c r="I556" i="7"/>
  <c r="J556" i="7"/>
  <c r="D557" i="7"/>
  <c r="E557" i="7"/>
  <c r="F557" i="7"/>
  <c r="G557" i="7"/>
  <c r="H557" i="7"/>
  <c r="I557" i="7"/>
  <c r="J557" i="7"/>
  <c r="D558" i="7"/>
  <c r="E558" i="7"/>
  <c r="F558" i="7"/>
  <c r="G558" i="7"/>
  <c r="H558" i="7"/>
  <c r="I558" i="7"/>
  <c r="J558" i="7"/>
  <c r="D559" i="7"/>
  <c r="E559" i="7"/>
  <c r="F559" i="7"/>
  <c r="G559" i="7"/>
  <c r="H559" i="7"/>
  <c r="I559" i="7"/>
  <c r="J559" i="7"/>
  <c r="D560" i="7"/>
  <c r="E560" i="7"/>
  <c r="F560" i="7"/>
  <c r="G560" i="7"/>
  <c r="H560" i="7"/>
  <c r="I560" i="7"/>
  <c r="J560" i="7"/>
  <c r="D561" i="7"/>
  <c r="E561" i="7"/>
  <c r="F561" i="7"/>
  <c r="G561" i="7"/>
  <c r="H561" i="7"/>
  <c r="I561" i="7"/>
  <c r="J561" i="7"/>
  <c r="D562" i="7"/>
  <c r="E562" i="7"/>
  <c r="F562" i="7"/>
  <c r="G562" i="7"/>
  <c r="H562" i="7"/>
  <c r="I562" i="7"/>
  <c r="J562" i="7"/>
  <c r="D563" i="7"/>
  <c r="E563" i="7"/>
  <c r="F563" i="7"/>
  <c r="G563" i="7"/>
  <c r="H563" i="7"/>
  <c r="I563" i="7"/>
  <c r="J563" i="7"/>
  <c r="D564" i="7"/>
  <c r="E564" i="7"/>
  <c r="F564" i="7"/>
  <c r="G564" i="7"/>
  <c r="H564" i="7"/>
  <c r="I564" i="7"/>
  <c r="J564" i="7"/>
  <c r="D565" i="7"/>
  <c r="E565" i="7"/>
  <c r="F565" i="7"/>
  <c r="G565" i="7"/>
  <c r="H565" i="7"/>
  <c r="I565" i="7"/>
  <c r="J565" i="7"/>
  <c r="D566" i="7"/>
  <c r="E566" i="7"/>
  <c r="F566" i="7"/>
  <c r="G566" i="7"/>
  <c r="H566" i="7"/>
  <c r="I566" i="7"/>
  <c r="J566" i="7"/>
  <c r="D567" i="7"/>
  <c r="E567" i="7"/>
  <c r="F567" i="7"/>
  <c r="G567" i="7"/>
  <c r="H567" i="7"/>
  <c r="I567" i="7"/>
  <c r="J567" i="7"/>
  <c r="D568" i="7"/>
  <c r="E568" i="7"/>
  <c r="F568" i="7"/>
  <c r="G568" i="7"/>
  <c r="H568" i="7"/>
  <c r="I568" i="7"/>
  <c r="J568" i="7"/>
  <c r="D569" i="7"/>
  <c r="E569" i="7"/>
  <c r="F569" i="7"/>
  <c r="G569" i="7"/>
  <c r="H569" i="7"/>
  <c r="I569" i="7"/>
  <c r="J569" i="7"/>
  <c r="D570" i="7"/>
  <c r="E570" i="7"/>
  <c r="F570" i="7"/>
  <c r="G570" i="7"/>
  <c r="H570" i="7"/>
  <c r="I570" i="7"/>
  <c r="J570" i="7"/>
  <c r="D571" i="7"/>
  <c r="E571" i="7"/>
  <c r="F571" i="7"/>
  <c r="G571" i="7"/>
  <c r="H571" i="7"/>
  <c r="I571" i="7"/>
  <c r="J571" i="7"/>
  <c r="D572" i="7"/>
  <c r="E572" i="7"/>
  <c r="F572" i="7"/>
  <c r="G572" i="7"/>
  <c r="H572" i="7"/>
  <c r="I572" i="7"/>
  <c r="J572" i="7"/>
  <c r="D573" i="7"/>
  <c r="E573" i="7"/>
  <c r="F573" i="7"/>
  <c r="G573" i="7"/>
  <c r="H573" i="7"/>
  <c r="I573" i="7"/>
  <c r="J573" i="7"/>
  <c r="D574" i="7"/>
  <c r="E574" i="7"/>
  <c r="F574" i="7"/>
  <c r="G574" i="7"/>
  <c r="H574" i="7"/>
  <c r="I574" i="7"/>
  <c r="J574" i="7"/>
  <c r="D575" i="7"/>
  <c r="E575" i="7"/>
  <c r="F575" i="7"/>
  <c r="G575" i="7"/>
  <c r="H575" i="7"/>
  <c r="I575" i="7"/>
  <c r="J575" i="7"/>
  <c r="D576" i="7"/>
  <c r="E576" i="7"/>
  <c r="F576" i="7"/>
  <c r="G576" i="7"/>
  <c r="H576" i="7"/>
  <c r="I576" i="7"/>
  <c r="J576" i="7"/>
  <c r="D577" i="7"/>
  <c r="E577" i="7"/>
  <c r="F577" i="7"/>
  <c r="G577" i="7"/>
  <c r="H577" i="7"/>
  <c r="I577" i="7"/>
  <c r="J577" i="7"/>
  <c r="D578" i="7"/>
  <c r="E578" i="7"/>
  <c r="F578" i="7"/>
  <c r="G578" i="7"/>
  <c r="H578" i="7"/>
  <c r="I578" i="7"/>
  <c r="J578" i="7"/>
  <c r="D579" i="7"/>
  <c r="E579" i="7"/>
  <c r="F579" i="7"/>
  <c r="G579" i="7"/>
  <c r="H579" i="7"/>
  <c r="I579" i="7"/>
  <c r="J579" i="7"/>
  <c r="D580" i="7"/>
  <c r="E580" i="7"/>
  <c r="F580" i="7"/>
  <c r="G580" i="7"/>
  <c r="H580" i="7"/>
  <c r="I580" i="7"/>
  <c r="J580" i="7"/>
  <c r="D581" i="7"/>
  <c r="E581" i="7"/>
  <c r="F581" i="7"/>
  <c r="G581" i="7"/>
  <c r="H581" i="7"/>
  <c r="I581" i="7"/>
  <c r="J581" i="7"/>
  <c r="D582" i="7"/>
  <c r="E582" i="7"/>
  <c r="F582" i="7"/>
  <c r="G582" i="7"/>
  <c r="H582" i="7"/>
  <c r="I582" i="7"/>
  <c r="J582" i="7"/>
  <c r="D583" i="7"/>
  <c r="E583" i="7"/>
  <c r="F583" i="7"/>
  <c r="G583" i="7"/>
  <c r="H583" i="7"/>
  <c r="I583" i="7"/>
  <c r="J583" i="7"/>
  <c r="D584" i="7"/>
  <c r="E584" i="7"/>
  <c r="F584" i="7"/>
  <c r="G584" i="7"/>
  <c r="H584" i="7"/>
  <c r="I584" i="7"/>
  <c r="J584" i="7"/>
  <c r="D585" i="7"/>
  <c r="E585" i="7"/>
  <c r="F585" i="7"/>
  <c r="G585" i="7"/>
  <c r="H585" i="7"/>
  <c r="I585" i="7"/>
  <c r="J585" i="7"/>
  <c r="D586" i="7"/>
  <c r="E586" i="7"/>
  <c r="F586" i="7"/>
  <c r="G586" i="7"/>
  <c r="H586" i="7"/>
  <c r="I586" i="7"/>
  <c r="J586" i="7"/>
  <c r="D587" i="7"/>
  <c r="E587" i="7"/>
  <c r="F587" i="7"/>
  <c r="G587" i="7"/>
  <c r="H587" i="7"/>
  <c r="I587" i="7"/>
  <c r="J587" i="7"/>
  <c r="D588" i="7"/>
  <c r="E588" i="7"/>
  <c r="F588" i="7"/>
  <c r="G588" i="7"/>
  <c r="H588" i="7"/>
  <c r="I588" i="7"/>
  <c r="J588" i="7"/>
  <c r="D589" i="7"/>
  <c r="E589" i="7"/>
  <c r="F589" i="7"/>
  <c r="G589" i="7"/>
  <c r="H589" i="7"/>
  <c r="I589" i="7"/>
  <c r="J589" i="7"/>
  <c r="D590" i="7"/>
  <c r="E590" i="7"/>
  <c r="F590" i="7"/>
  <c r="G590" i="7"/>
  <c r="H590" i="7"/>
  <c r="I590" i="7"/>
  <c r="J590" i="7"/>
  <c r="D591" i="7"/>
  <c r="E591" i="7"/>
  <c r="F591" i="7"/>
  <c r="G591" i="7"/>
  <c r="H591" i="7"/>
  <c r="I591" i="7"/>
  <c r="J591" i="7"/>
  <c r="D592" i="7"/>
  <c r="E592" i="7"/>
  <c r="F592" i="7"/>
  <c r="G592" i="7"/>
  <c r="H592" i="7"/>
  <c r="I592" i="7"/>
  <c r="J592" i="7"/>
  <c r="D593" i="7"/>
  <c r="E593" i="7"/>
  <c r="F593" i="7"/>
  <c r="G593" i="7"/>
  <c r="H593" i="7"/>
  <c r="I593" i="7"/>
  <c r="J593" i="7"/>
  <c r="D594" i="7"/>
  <c r="E594" i="7"/>
  <c r="F594" i="7"/>
  <c r="G594" i="7"/>
  <c r="H594" i="7"/>
  <c r="I594" i="7"/>
  <c r="J594" i="7"/>
  <c r="D595" i="7"/>
  <c r="E595" i="7"/>
  <c r="F595" i="7"/>
  <c r="G595" i="7"/>
  <c r="H595" i="7"/>
  <c r="I595" i="7"/>
  <c r="J595" i="7"/>
  <c r="D596" i="7"/>
  <c r="E596" i="7"/>
  <c r="F596" i="7"/>
  <c r="G596" i="7"/>
  <c r="H596" i="7"/>
  <c r="I596" i="7"/>
  <c r="J596" i="7"/>
  <c r="D597" i="7"/>
  <c r="E597" i="7"/>
  <c r="F597" i="7"/>
  <c r="G597" i="7"/>
  <c r="H597" i="7"/>
  <c r="I597" i="7"/>
  <c r="J597" i="7"/>
  <c r="D598" i="7"/>
  <c r="E598" i="7"/>
  <c r="F598" i="7"/>
  <c r="G598" i="7"/>
  <c r="H598" i="7"/>
  <c r="I598" i="7"/>
  <c r="J598" i="7"/>
  <c r="D599" i="7"/>
  <c r="E599" i="7"/>
  <c r="F599" i="7"/>
  <c r="G599" i="7"/>
  <c r="H599" i="7"/>
  <c r="I599" i="7"/>
  <c r="J599" i="7"/>
  <c r="D600" i="7"/>
  <c r="E600" i="7"/>
  <c r="F600" i="7"/>
  <c r="G600" i="7"/>
  <c r="H600" i="7"/>
  <c r="I600" i="7"/>
  <c r="J600" i="7"/>
  <c r="D601" i="7"/>
  <c r="E601" i="7"/>
  <c r="F601" i="7"/>
  <c r="G601" i="7"/>
  <c r="H601" i="7"/>
  <c r="I601" i="7"/>
  <c r="J601" i="7"/>
  <c r="D602" i="7"/>
  <c r="E602" i="7"/>
  <c r="F602" i="7"/>
  <c r="G602" i="7"/>
  <c r="H602" i="7"/>
  <c r="I602" i="7"/>
  <c r="J602" i="7"/>
  <c r="D603" i="7"/>
  <c r="E603" i="7"/>
  <c r="F603" i="7"/>
  <c r="G603" i="7"/>
  <c r="H603" i="7"/>
  <c r="I603" i="7"/>
  <c r="J603" i="7"/>
  <c r="D604" i="7"/>
  <c r="E604" i="7"/>
  <c r="F604" i="7"/>
  <c r="G604" i="7"/>
  <c r="H604" i="7"/>
  <c r="I604" i="7"/>
  <c r="J604" i="7"/>
  <c r="D605" i="7"/>
  <c r="E605" i="7"/>
  <c r="F605" i="7"/>
  <c r="G605" i="7"/>
  <c r="H605" i="7"/>
  <c r="I605" i="7"/>
  <c r="J605" i="7"/>
  <c r="D606" i="7"/>
  <c r="E606" i="7"/>
  <c r="F606" i="7"/>
  <c r="G606" i="7"/>
  <c r="H606" i="7"/>
  <c r="I606" i="7"/>
  <c r="J606" i="7"/>
  <c r="D607" i="7"/>
  <c r="E607" i="7"/>
  <c r="F607" i="7"/>
  <c r="G607" i="7"/>
  <c r="H607" i="7"/>
  <c r="I607" i="7"/>
  <c r="J607" i="7"/>
  <c r="D608" i="7"/>
  <c r="E608" i="7"/>
  <c r="F608" i="7"/>
  <c r="G608" i="7"/>
  <c r="H608" i="7"/>
  <c r="I608" i="7"/>
  <c r="J608" i="7"/>
  <c r="D609" i="7"/>
  <c r="E609" i="7"/>
  <c r="F609" i="7"/>
  <c r="G609" i="7"/>
  <c r="H609" i="7"/>
  <c r="I609" i="7"/>
  <c r="J609" i="7"/>
  <c r="D610" i="7"/>
  <c r="E610" i="7"/>
  <c r="F610" i="7"/>
  <c r="G610" i="7"/>
  <c r="H610" i="7"/>
  <c r="I610" i="7"/>
  <c r="J610" i="7"/>
  <c r="D611" i="7"/>
  <c r="E611" i="7"/>
  <c r="F611" i="7"/>
  <c r="G611" i="7"/>
  <c r="H611" i="7"/>
  <c r="I611" i="7"/>
  <c r="J611" i="7"/>
  <c r="D612" i="7"/>
  <c r="E612" i="7"/>
  <c r="F612" i="7"/>
  <c r="G612" i="7"/>
  <c r="H612" i="7"/>
  <c r="I612" i="7"/>
  <c r="J612" i="7"/>
  <c r="D613" i="7"/>
  <c r="E613" i="7"/>
  <c r="F613" i="7"/>
  <c r="G613" i="7"/>
  <c r="H613" i="7"/>
  <c r="I613" i="7"/>
  <c r="J613" i="7"/>
  <c r="D614" i="7"/>
  <c r="E614" i="7"/>
  <c r="F614" i="7"/>
  <c r="G614" i="7"/>
  <c r="H614" i="7"/>
  <c r="I614" i="7"/>
  <c r="J614" i="7"/>
  <c r="D615" i="7"/>
  <c r="E615" i="7"/>
  <c r="F615" i="7"/>
  <c r="G615" i="7"/>
  <c r="H615" i="7"/>
  <c r="I615" i="7"/>
  <c r="J615" i="7"/>
  <c r="D616" i="7"/>
  <c r="E616" i="7"/>
  <c r="F616" i="7"/>
  <c r="G616" i="7"/>
  <c r="H616" i="7"/>
  <c r="I616" i="7"/>
  <c r="J616" i="7"/>
  <c r="D617" i="7"/>
  <c r="E617" i="7"/>
  <c r="F617" i="7"/>
  <c r="G617" i="7"/>
  <c r="H617" i="7"/>
  <c r="I617" i="7"/>
  <c r="J617" i="7"/>
  <c r="D618" i="7"/>
  <c r="E618" i="7"/>
  <c r="F618" i="7"/>
  <c r="G618" i="7"/>
  <c r="H618" i="7"/>
  <c r="I618" i="7"/>
  <c r="J618" i="7"/>
  <c r="D619" i="7"/>
  <c r="E619" i="7"/>
  <c r="F619" i="7"/>
  <c r="G619" i="7"/>
  <c r="H619" i="7"/>
  <c r="I619" i="7"/>
  <c r="J619" i="7"/>
  <c r="D620" i="7"/>
  <c r="E620" i="7"/>
  <c r="F620" i="7"/>
  <c r="G620" i="7"/>
  <c r="H620" i="7"/>
  <c r="I620" i="7"/>
  <c r="J620" i="7"/>
  <c r="D621" i="7"/>
  <c r="E621" i="7"/>
  <c r="F621" i="7"/>
  <c r="G621" i="7"/>
  <c r="H621" i="7"/>
  <c r="I621" i="7"/>
  <c r="J621" i="7"/>
  <c r="D622" i="7"/>
  <c r="E622" i="7"/>
  <c r="F622" i="7"/>
  <c r="G622" i="7"/>
  <c r="H622" i="7"/>
  <c r="I622" i="7"/>
  <c r="J622" i="7"/>
  <c r="D623" i="7"/>
  <c r="E623" i="7"/>
  <c r="F623" i="7"/>
  <c r="G623" i="7"/>
  <c r="H623" i="7"/>
  <c r="I623" i="7"/>
  <c r="J623" i="7"/>
  <c r="D624" i="7"/>
  <c r="E624" i="7"/>
  <c r="F624" i="7"/>
  <c r="G624" i="7"/>
  <c r="H624" i="7"/>
  <c r="I624" i="7"/>
  <c r="J624" i="7"/>
  <c r="D625" i="7"/>
  <c r="E625" i="7"/>
  <c r="F625" i="7"/>
  <c r="G625" i="7"/>
  <c r="H625" i="7"/>
  <c r="I625" i="7"/>
  <c r="J625" i="7"/>
  <c r="D626" i="7"/>
  <c r="E626" i="7"/>
  <c r="F626" i="7"/>
  <c r="G626" i="7"/>
  <c r="H626" i="7"/>
  <c r="I626" i="7"/>
  <c r="J626" i="7"/>
  <c r="D627" i="7"/>
  <c r="E627" i="7"/>
  <c r="F627" i="7"/>
  <c r="G627" i="7"/>
  <c r="H627" i="7"/>
  <c r="I627" i="7"/>
  <c r="J627" i="7"/>
  <c r="D628" i="7"/>
  <c r="E628" i="7"/>
  <c r="F628" i="7"/>
  <c r="G628" i="7"/>
  <c r="H628" i="7"/>
  <c r="I628" i="7"/>
  <c r="J628" i="7"/>
  <c r="D629" i="7"/>
  <c r="E629" i="7"/>
  <c r="F629" i="7"/>
  <c r="G629" i="7"/>
  <c r="H629" i="7"/>
  <c r="I629" i="7"/>
  <c r="J629" i="7"/>
  <c r="D630" i="7"/>
  <c r="E630" i="7"/>
  <c r="F630" i="7"/>
  <c r="G630" i="7"/>
  <c r="H630" i="7"/>
  <c r="I630" i="7"/>
  <c r="J630" i="7"/>
  <c r="D631" i="7"/>
  <c r="E631" i="7"/>
  <c r="F631" i="7"/>
  <c r="G631" i="7"/>
  <c r="H631" i="7"/>
  <c r="I631" i="7"/>
  <c r="J631" i="7"/>
  <c r="D632" i="7"/>
  <c r="E632" i="7"/>
  <c r="F632" i="7"/>
  <c r="G632" i="7"/>
  <c r="H632" i="7"/>
  <c r="I632" i="7"/>
  <c r="J632" i="7"/>
  <c r="D633" i="7"/>
  <c r="E633" i="7"/>
  <c r="F633" i="7"/>
  <c r="G633" i="7"/>
  <c r="H633" i="7"/>
  <c r="I633" i="7"/>
  <c r="J633" i="7"/>
  <c r="D634" i="7"/>
  <c r="E634" i="7"/>
  <c r="F634" i="7"/>
  <c r="G634" i="7"/>
  <c r="H634" i="7"/>
  <c r="I634" i="7"/>
  <c r="J634" i="7"/>
  <c r="D635" i="7"/>
  <c r="E635" i="7"/>
  <c r="F635" i="7"/>
  <c r="G635" i="7"/>
  <c r="H635" i="7"/>
  <c r="I635" i="7"/>
  <c r="J635" i="7"/>
  <c r="D636" i="7"/>
  <c r="E636" i="7"/>
  <c r="F636" i="7"/>
  <c r="G636" i="7"/>
  <c r="H636" i="7"/>
  <c r="I636" i="7"/>
  <c r="J636" i="7"/>
  <c r="D637" i="7"/>
  <c r="E637" i="7"/>
  <c r="F637" i="7"/>
  <c r="G637" i="7"/>
  <c r="H637" i="7"/>
  <c r="I637" i="7"/>
  <c r="J637" i="7"/>
  <c r="D638" i="7"/>
  <c r="E638" i="7"/>
  <c r="F638" i="7"/>
  <c r="G638" i="7"/>
  <c r="H638" i="7"/>
  <c r="I638" i="7"/>
  <c r="J638" i="7"/>
  <c r="D639" i="7"/>
  <c r="E639" i="7"/>
  <c r="F639" i="7"/>
  <c r="G639" i="7"/>
  <c r="H639" i="7"/>
  <c r="I639" i="7"/>
  <c r="J639" i="7"/>
  <c r="D640" i="7"/>
  <c r="E640" i="7"/>
  <c r="F640" i="7"/>
  <c r="G640" i="7"/>
  <c r="H640" i="7"/>
  <c r="I640" i="7"/>
  <c r="J640" i="7"/>
  <c r="D641" i="7"/>
  <c r="E641" i="7"/>
  <c r="F641" i="7"/>
  <c r="G641" i="7"/>
  <c r="H641" i="7"/>
  <c r="I641" i="7"/>
  <c r="J641" i="7"/>
  <c r="D642" i="7"/>
  <c r="E642" i="7"/>
  <c r="F642" i="7"/>
  <c r="G642" i="7"/>
  <c r="H642" i="7"/>
  <c r="I642" i="7"/>
  <c r="J642" i="7"/>
  <c r="D643" i="7"/>
  <c r="E643" i="7"/>
  <c r="F643" i="7"/>
  <c r="G643" i="7"/>
  <c r="H643" i="7"/>
  <c r="I643" i="7"/>
  <c r="J643" i="7"/>
  <c r="D644" i="7"/>
  <c r="E644" i="7"/>
  <c r="F644" i="7"/>
  <c r="G644" i="7"/>
  <c r="H644" i="7"/>
  <c r="I644" i="7"/>
  <c r="J644" i="7"/>
  <c r="D645" i="7"/>
  <c r="E645" i="7"/>
  <c r="F645" i="7"/>
  <c r="G645" i="7"/>
  <c r="H645" i="7"/>
  <c r="I645" i="7"/>
  <c r="J645" i="7"/>
  <c r="D646" i="7"/>
  <c r="E646" i="7"/>
  <c r="F646" i="7"/>
  <c r="G646" i="7"/>
  <c r="H646" i="7"/>
  <c r="I646" i="7"/>
  <c r="J646" i="7"/>
  <c r="D647" i="7"/>
  <c r="E647" i="7"/>
  <c r="F647" i="7"/>
  <c r="G647" i="7"/>
  <c r="H647" i="7"/>
  <c r="I647" i="7"/>
  <c r="J647" i="7"/>
  <c r="D648" i="7"/>
  <c r="E648" i="7"/>
  <c r="F648" i="7"/>
  <c r="G648" i="7"/>
  <c r="H648" i="7"/>
  <c r="I648" i="7"/>
  <c r="J648" i="7"/>
  <c r="D649" i="7"/>
  <c r="E649" i="7"/>
  <c r="F649" i="7"/>
  <c r="G649" i="7"/>
  <c r="H649" i="7"/>
  <c r="I649" i="7"/>
  <c r="J649" i="7"/>
  <c r="D650" i="7"/>
  <c r="E650" i="7"/>
  <c r="F650" i="7"/>
  <c r="G650" i="7"/>
  <c r="H650" i="7"/>
  <c r="I650" i="7"/>
  <c r="J650" i="7"/>
  <c r="D651" i="7"/>
  <c r="E651" i="7"/>
  <c r="F651" i="7"/>
  <c r="G651" i="7"/>
  <c r="H651" i="7"/>
  <c r="I651" i="7"/>
  <c r="J651" i="7"/>
  <c r="D652" i="7"/>
  <c r="E652" i="7"/>
  <c r="F652" i="7"/>
  <c r="G652" i="7"/>
  <c r="H652" i="7"/>
  <c r="I652" i="7"/>
  <c r="J652" i="7"/>
  <c r="D653" i="7"/>
  <c r="E653" i="7"/>
  <c r="F653" i="7"/>
  <c r="G653" i="7"/>
  <c r="H653" i="7"/>
  <c r="I653" i="7"/>
  <c r="J653" i="7"/>
  <c r="D654" i="7"/>
  <c r="E654" i="7"/>
  <c r="F654" i="7"/>
  <c r="G654" i="7"/>
  <c r="H654" i="7"/>
  <c r="I654" i="7"/>
  <c r="J654" i="7"/>
  <c r="D655" i="7"/>
  <c r="E655" i="7"/>
  <c r="F655" i="7"/>
  <c r="G655" i="7"/>
  <c r="H655" i="7"/>
  <c r="I655" i="7"/>
  <c r="J655" i="7"/>
  <c r="D656" i="7"/>
  <c r="E656" i="7"/>
  <c r="F656" i="7"/>
  <c r="G656" i="7"/>
  <c r="H656" i="7"/>
  <c r="I656" i="7"/>
  <c r="J656" i="7"/>
  <c r="D657" i="7"/>
  <c r="E657" i="7"/>
  <c r="F657" i="7"/>
  <c r="G657" i="7"/>
  <c r="H657" i="7"/>
  <c r="I657" i="7"/>
  <c r="J657" i="7"/>
  <c r="D658" i="7"/>
  <c r="E658" i="7"/>
  <c r="F658" i="7"/>
  <c r="G658" i="7"/>
  <c r="H658" i="7"/>
  <c r="I658" i="7"/>
  <c r="J658" i="7"/>
  <c r="D659" i="7"/>
  <c r="E659" i="7"/>
  <c r="F659" i="7"/>
  <c r="G659" i="7"/>
  <c r="H659" i="7"/>
  <c r="I659" i="7"/>
  <c r="J659" i="7"/>
  <c r="D660" i="7"/>
  <c r="E660" i="7"/>
  <c r="F660" i="7"/>
  <c r="G660" i="7"/>
  <c r="H660" i="7"/>
  <c r="I660" i="7"/>
  <c r="J660" i="7"/>
  <c r="D661" i="7"/>
  <c r="E661" i="7"/>
  <c r="F661" i="7"/>
  <c r="G661" i="7"/>
  <c r="H661" i="7"/>
  <c r="I661" i="7"/>
  <c r="J661" i="7"/>
  <c r="D662" i="7"/>
  <c r="E662" i="7"/>
  <c r="F662" i="7"/>
  <c r="G662" i="7"/>
  <c r="H662" i="7"/>
  <c r="I662" i="7"/>
  <c r="J662" i="7"/>
  <c r="D663" i="7"/>
  <c r="E663" i="7"/>
  <c r="F663" i="7"/>
  <c r="G663" i="7"/>
  <c r="H663" i="7"/>
  <c r="I663" i="7"/>
  <c r="J663" i="7"/>
  <c r="D664" i="7"/>
  <c r="E664" i="7"/>
  <c r="F664" i="7"/>
  <c r="G664" i="7"/>
  <c r="H664" i="7"/>
  <c r="I664" i="7"/>
  <c r="J664" i="7"/>
  <c r="D665" i="7"/>
  <c r="E665" i="7"/>
  <c r="F665" i="7"/>
  <c r="G665" i="7"/>
  <c r="H665" i="7"/>
  <c r="I665" i="7"/>
  <c r="J665" i="7"/>
  <c r="D666" i="7"/>
  <c r="E666" i="7"/>
  <c r="F666" i="7"/>
  <c r="G666" i="7"/>
  <c r="H666" i="7"/>
  <c r="I666" i="7"/>
  <c r="J666" i="7"/>
  <c r="D667" i="7"/>
  <c r="E667" i="7"/>
  <c r="F667" i="7"/>
  <c r="G667" i="7"/>
  <c r="H667" i="7"/>
  <c r="I667" i="7"/>
  <c r="J667" i="7"/>
  <c r="D668" i="7"/>
  <c r="E668" i="7"/>
  <c r="F668" i="7"/>
  <c r="G668" i="7"/>
  <c r="H668" i="7"/>
  <c r="I668" i="7"/>
  <c r="J668" i="7"/>
  <c r="D669" i="7"/>
  <c r="E669" i="7"/>
  <c r="F669" i="7"/>
  <c r="G669" i="7"/>
  <c r="H669" i="7"/>
  <c r="I669" i="7"/>
  <c r="J669" i="7"/>
  <c r="D670" i="7"/>
  <c r="E670" i="7"/>
  <c r="F670" i="7"/>
  <c r="G670" i="7"/>
  <c r="H670" i="7"/>
  <c r="I670" i="7"/>
  <c r="J670" i="7"/>
  <c r="D671" i="7"/>
  <c r="E671" i="7"/>
  <c r="F671" i="7"/>
  <c r="G671" i="7"/>
  <c r="H671" i="7"/>
  <c r="I671" i="7"/>
  <c r="J671" i="7"/>
  <c r="D672" i="7"/>
  <c r="E672" i="7"/>
  <c r="F672" i="7"/>
  <c r="G672" i="7"/>
  <c r="H672" i="7"/>
  <c r="I672" i="7"/>
  <c r="J672" i="7"/>
  <c r="D673" i="7"/>
  <c r="E673" i="7"/>
  <c r="F673" i="7"/>
  <c r="G673" i="7"/>
  <c r="H673" i="7"/>
  <c r="I673" i="7"/>
  <c r="J673" i="7"/>
  <c r="D674" i="7"/>
  <c r="E674" i="7"/>
  <c r="F674" i="7"/>
  <c r="G674" i="7"/>
  <c r="H674" i="7"/>
  <c r="I674" i="7"/>
  <c r="J674" i="7"/>
  <c r="D675" i="7"/>
  <c r="E675" i="7"/>
  <c r="F675" i="7"/>
  <c r="G675" i="7"/>
  <c r="H675" i="7"/>
  <c r="I675" i="7"/>
  <c r="J675" i="7"/>
  <c r="D676" i="7"/>
  <c r="E676" i="7"/>
  <c r="F676" i="7"/>
  <c r="G676" i="7"/>
  <c r="H676" i="7"/>
  <c r="I676" i="7"/>
  <c r="J676" i="7"/>
  <c r="D677" i="7"/>
  <c r="E677" i="7"/>
  <c r="F677" i="7"/>
  <c r="G677" i="7"/>
  <c r="H677" i="7"/>
  <c r="I677" i="7"/>
  <c r="J677" i="7"/>
  <c r="D678" i="7"/>
  <c r="E678" i="7"/>
  <c r="F678" i="7"/>
  <c r="G678" i="7"/>
  <c r="H678" i="7"/>
  <c r="I678" i="7"/>
  <c r="J678" i="7"/>
  <c r="D679" i="7"/>
  <c r="E679" i="7"/>
  <c r="F679" i="7"/>
  <c r="G679" i="7"/>
  <c r="H679" i="7"/>
  <c r="I679" i="7"/>
  <c r="J679" i="7"/>
  <c r="D680" i="7"/>
  <c r="E680" i="7"/>
  <c r="F680" i="7"/>
  <c r="G680" i="7"/>
  <c r="H680" i="7"/>
  <c r="I680" i="7"/>
  <c r="J680" i="7"/>
  <c r="D681" i="7"/>
  <c r="E681" i="7"/>
  <c r="F681" i="7"/>
  <c r="G681" i="7"/>
  <c r="H681" i="7"/>
  <c r="I681" i="7"/>
  <c r="J681" i="7"/>
  <c r="D682" i="7"/>
  <c r="E682" i="7"/>
  <c r="F682" i="7"/>
  <c r="G682" i="7"/>
  <c r="H682" i="7"/>
  <c r="I682" i="7"/>
  <c r="J682" i="7"/>
  <c r="D683" i="7"/>
  <c r="E683" i="7"/>
  <c r="F683" i="7"/>
  <c r="G683" i="7"/>
  <c r="H683" i="7"/>
  <c r="I683" i="7"/>
  <c r="J683" i="7"/>
  <c r="D684" i="7"/>
  <c r="E684" i="7"/>
  <c r="F684" i="7"/>
  <c r="G684" i="7"/>
  <c r="H684" i="7"/>
  <c r="I684" i="7"/>
  <c r="J684" i="7"/>
  <c r="D685" i="7"/>
  <c r="E685" i="7"/>
  <c r="F685" i="7"/>
  <c r="G685" i="7"/>
  <c r="H685" i="7"/>
  <c r="I685" i="7"/>
  <c r="J685" i="7"/>
  <c r="D686" i="7"/>
  <c r="E686" i="7"/>
  <c r="F686" i="7"/>
  <c r="G686" i="7"/>
  <c r="H686" i="7"/>
  <c r="I686" i="7"/>
  <c r="J686" i="7"/>
  <c r="D687" i="7"/>
  <c r="E687" i="7"/>
  <c r="F687" i="7"/>
  <c r="G687" i="7"/>
  <c r="H687" i="7"/>
  <c r="I687" i="7"/>
  <c r="J687" i="7"/>
  <c r="D688" i="7"/>
  <c r="E688" i="7"/>
  <c r="F688" i="7"/>
  <c r="G688" i="7"/>
  <c r="H688" i="7"/>
  <c r="I688" i="7"/>
  <c r="J688" i="7"/>
  <c r="D689" i="7"/>
  <c r="E689" i="7"/>
  <c r="F689" i="7"/>
  <c r="G689" i="7"/>
  <c r="H689" i="7"/>
  <c r="I689" i="7"/>
  <c r="J689" i="7"/>
  <c r="D690" i="7"/>
  <c r="E690" i="7"/>
  <c r="F690" i="7"/>
  <c r="G690" i="7"/>
  <c r="H690" i="7"/>
  <c r="I690" i="7"/>
  <c r="J690" i="7"/>
  <c r="D691" i="7"/>
  <c r="E691" i="7"/>
  <c r="F691" i="7"/>
  <c r="G691" i="7"/>
  <c r="H691" i="7"/>
  <c r="I691" i="7"/>
  <c r="J691" i="7"/>
  <c r="D692" i="7"/>
  <c r="E692" i="7"/>
  <c r="F692" i="7"/>
  <c r="G692" i="7"/>
  <c r="H692" i="7"/>
  <c r="I692" i="7"/>
  <c r="J692" i="7"/>
  <c r="D693" i="7"/>
  <c r="E693" i="7"/>
  <c r="F693" i="7"/>
  <c r="G693" i="7"/>
  <c r="H693" i="7"/>
  <c r="I693" i="7"/>
  <c r="J693" i="7"/>
  <c r="D694" i="7"/>
  <c r="E694" i="7"/>
  <c r="F694" i="7"/>
  <c r="G694" i="7"/>
  <c r="H694" i="7"/>
  <c r="I694" i="7"/>
  <c r="J694" i="7"/>
  <c r="D695" i="7"/>
  <c r="E695" i="7"/>
  <c r="F695" i="7"/>
  <c r="G695" i="7"/>
  <c r="H695" i="7"/>
  <c r="I695" i="7"/>
  <c r="J695" i="7"/>
  <c r="D696" i="7"/>
  <c r="E696" i="7"/>
  <c r="F696" i="7"/>
  <c r="G696" i="7"/>
  <c r="H696" i="7"/>
  <c r="I696" i="7"/>
  <c r="J696" i="7"/>
  <c r="D697" i="7"/>
  <c r="E697" i="7"/>
  <c r="F697" i="7"/>
  <c r="G697" i="7"/>
  <c r="H697" i="7"/>
  <c r="I697" i="7"/>
  <c r="J697" i="7"/>
  <c r="D698" i="7"/>
  <c r="E698" i="7"/>
  <c r="F698" i="7"/>
  <c r="G698" i="7"/>
  <c r="H698" i="7"/>
  <c r="I698" i="7"/>
  <c r="J698" i="7"/>
  <c r="D699" i="7"/>
  <c r="E699" i="7"/>
  <c r="F699" i="7"/>
  <c r="G699" i="7"/>
  <c r="H699" i="7"/>
  <c r="I699" i="7"/>
  <c r="J699" i="7"/>
  <c r="D700" i="7"/>
  <c r="E700" i="7"/>
  <c r="F700" i="7"/>
  <c r="G700" i="7"/>
  <c r="H700" i="7"/>
  <c r="I700" i="7"/>
  <c r="J700" i="7"/>
  <c r="D701" i="7"/>
  <c r="E701" i="7"/>
  <c r="F701" i="7"/>
  <c r="G701" i="7"/>
  <c r="H701" i="7"/>
  <c r="I701" i="7"/>
  <c r="J701" i="7"/>
  <c r="D702" i="7"/>
  <c r="E702" i="7"/>
  <c r="F702" i="7"/>
  <c r="G702" i="7"/>
  <c r="H702" i="7"/>
  <c r="I702" i="7"/>
  <c r="J702" i="7"/>
  <c r="D703" i="7"/>
  <c r="E703" i="7"/>
  <c r="F703" i="7"/>
  <c r="G703" i="7"/>
  <c r="H703" i="7"/>
  <c r="I703" i="7"/>
  <c r="J703" i="7"/>
  <c r="D704" i="7"/>
  <c r="E704" i="7"/>
  <c r="F704" i="7"/>
  <c r="G704" i="7"/>
  <c r="H704" i="7"/>
  <c r="I704" i="7"/>
  <c r="J704" i="7"/>
  <c r="D705" i="7"/>
  <c r="E705" i="7"/>
  <c r="F705" i="7"/>
  <c r="G705" i="7"/>
  <c r="H705" i="7"/>
  <c r="I705" i="7"/>
  <c r="J705" i="7"/>
  <c r="D706" i="7"/>
  <c r="E706" i="7"/>
  <c r="F706" i="7"/>
  <c r="G706" i="7"/>
  <c r="H706" i="7"/>
  <c r="I706" i="7"/>
  <c r="J706" i="7"/>
  <c r="D707" i="7"/>
  <c r="E707" i="7"/>
  <c r="F707" i="7"/>
  <c r="G707" i="7"/>
  <c r="H707" i="7"/>
  <c r="I707" i="7"/>
  <c r="J707" i="7"/>
  <c r="D708" i="7"/>
  <c r="E708" i="7"/>
  <c r="F708" i="7"/>
  <c r="G708" i="7"/>
  <c r="H708" i="7"/>
  <c r="I708" i="7"/>
  <c r="J708" i="7"/>
  <c r="D709" i="7"/>
  <c r="E709" i="7"/>
  <c r="F709" i="7"/>
  <c r="G709" i="7"/>
  <c r="H709" i="7"/>
  <c r="I709" i="7"/>
  <c r="J709" i="7"/>
  <c r="D710" i="7"/>
  <c r="E710" i="7"/>
  <c r="F710" i="7"/>
  <c r="G710" i="7"/>
  <c r="H710" i="7"/>
  <c r="I710" i="7"/>
  <c r="J710" i="7"/>
  <c r="D711" i="7"/>
  <c r="E711" i="7"/>
  <c r="F711" i="7"/>
  <c r="G711" i="7"/>
  <c r="H711" i="7"/>
  <c r="I711" i="7"/>
  <c r="J711" i="7"/>
  <c r="D712" i="7"/>
  <c r="E712" i="7"/>
  <c r="F712" i="7"/>
  <c r="G712" i="7"/>
  <c r="H712" i="7"/>
  <c r="I712" i="7"/>
  <c r="J712" i="7"/>
  <c r="D713" i="7"/>
  <c r="E713" i="7"/>
  <c r="F713" i="7"/>
  <c r="G713" i="7"/>
  <c r="H713" i="7"/>
  <c r="I713" i="7"/>
  <c r="J713" i="7"/>
  <c r="D714" i="7"/>
  <c r="E714" i="7"/>
  <c r="F714" i="7"/>
  <c r="G714" i="7"/>
  <c r="H714" i="7"/>
  <c r="I714" i="7"/>
  <c r="J714" i="7"/>
  <c r="D715" i="7"/>
  <c r="E715" i="7"/>
  <c r="F715" i="7"/>
  <c r="G715" i="7"/>
  <c r="H715" i="7"/>
  <c r="I715" i="7"/>
  <c r="J715" i="7"/>
  <c r="D716" i="7"/>
  <c r="E716" i="7"/>
  <c r="F716" i="7"/>
  <c r="G716" i="7"/>
  <c r="H716" i="7"/>
  <c r="I716" i="7"/>
  <c r="J716" i="7"/>
  <c r="D717" i="7"/>
  <c r="E717" i="7"/>
  <c r="F717" i="7"/>
  <c r="G717" i="7"/>
  <c r="H717" i="7"/>
  <c r="I717" i="7"/>
  <c r="J717" i="7"/>
  <c r="D718" i="7"/>
  <c r="E718" i="7"/>
  <c r="F718" i="7"/>
  <c r="G718" i="7"/>
  <c r="H718" i="7"/>
  <c r="I718" i="7"/>
  <c r="J718" i="7"/>
  <c r="D719" i="7"/>
  <c r="E719" i="7"/>
  <c r="F719" i="7"/>
  <c r="G719" i="7"/>
  <c r="H719" i="7"/>
  <c r="I719" i="7"/>
  <c r="J719" i="7"/>
  <c r="D720" i="7"/>
  <c r="E720" i="7"/>
  <c r="F720" i="7"/>
  <c r="G720" i="7"/>
  <c r="H720" i="7"/>
  <c r="I720" i="7"/>
  <c r="J720" i="7"/>
  <c r="D721" i="7"/>
  <c r="E721" i="7"/>
  <c r="F721" i="7"/>
  <c r="G721" i="7"/>
  <c r="H721" i="7"/>
  <c r="I721" i="7"/>
  <c r="J721" i="7"/>
  <c r="D722" i="7"/>
  <c r="E722" i="7"/>
  <c r="F722" i="7"/>
  <c r="G722" i="7"/>
  <c r="H722" i="7"/>
  <c r="I722" i="7"/>
  <c r="J722" i="7"/>
  <c r="D723" i="7"/>
  <c r="E723" i="7"/>
  <c r="F723" i="7"/>
  <c r="G723" i="7"/>
  <c r="H723" i="7"/>
  <c r="I723" i="7"/>
  <c r="J723" i="7"/>
  <c r="D724" i="7"/>
  <c r="E724" i="7"/>
  <c r="F724" i="7"/>
  <c r="G724" i="7"/>
  <c r="H724" i="7"/>
  <c r="I724" i="7"/>
  <c r="J724" i="7"/>
  <c r="D725" i="7"/>
  <c r="E725" i="7"/>
  <c r="F725" i="7"/>
  <c r="G725" i="7"/>
  <c r="H725" i="7"/>
  <c r="I725" i="7"/>
  <c r="J725" i="7"/>
  <c r="D726" i="7"/>
  <c r="E726" i="7"/>
  <c r="F726" i="7"/>
  <c r="G726" i="7"/>
  <c r="H726" i="7"/>
  <c r="I726" i="7"/>
  <c r="J726" i="7"/>
  <c r="D727" i="7"/>
  <c r="E727" i="7"/>
  <c r="F727" i="7"/>
  <c r="G727" i="7"/>
  <c r="H727" i="7"/>
  <c r="I727" i="7"/>
  <c r="J727" i="7"/>
  <c r="D728" i="7"/>
  <c r="E728" i="7"/>
  <c r="F728" i="7"/>
  <c r="G728" i="7"/>
  <c r="H728" i="7"/>
  <c r="I728" i="7"/>
  <c r="J728" i="7"/>
  <c r="D729" i="7"/>
  <c r="E729" i="7"/>
  <c r="F729" i="7"/>
  <c r="G729" i="7"/>
  <c r="H729" i="7"/>
  <c r="I729" i="7"/>
  <c r="J729" i="7"/>
  <c r="D730" i="7"/>
  <c r="E730" i="7"/>
  <c r="F730" i="7"/>
  <c r="G730" i="7"/>
  <c r="H730" i="7"/>
  <c r="I730" i="7"/>
  <c r="J730" i="7"/>
  <c r="D731" i="7"/>
  <c r="E731" i="7"/>
  <c r="F731" i="7"/>
  <c r="G731" i="7"/>
  <c r="H731" i="7"/>
  <c r="I731" i="7"/>
  <c r="J731" i="7"/>
  <c r="D732" i="7"/>
  <c r="E732" i="7"/>
  <c r="F732" i="7"/>
  <c r="G732" i="7"/>
  <c r="H732" i="7"/>
  <c r="I732" i="7"/>
  <c r="J732" i="7"/>
  <c r="D733" i="7"/>
  <c r="E733" i="7"/>
  <c r="F733" i="7"/>
  <c r="G733" i="7"/>
  <c r="H733" i="7"/>
  <c r="I733" i="7"/>
  <c r="J733" i="7"/>
  <c r="D734" i="7"/>
  <c r="E734" i="7"/>
  <c r="F734" i="7"/>
  <c r="G734" i="7"/>
  <c r="H734" i="7"/>
  <c r="I734" i="7"/>
  <c r="J734" i="7"/>
  <c r="D735" i="7"/>
  <c r="E735" i="7"/>
  <c r="F735" i="7"/>
  <c r="G735" i="7"/>
  <c r="H735" i="7"/>
  <c r="I735" i="7"/>
  <c r="J735" i="7"/>
  <c r="D736" i="7"/>
  <c r="E736" i="7"/>
  <c r="F736" i="7"/>
  <c r="G736" i="7"/>
  <c r="H736" i="7"/>
  <c r="I736" i="7"/>
  <c r="J736" i="7"/>
  <c r="D737" i="7"/>
  <c r="E737" i="7"/>
  <c r="F737" i="7"/>
  <c r="G737" i="7"/>
  <c r="H737" i="7"/>
  <c r="I737" i="7"/>
  <c r="J737" i="7"/>
  <c r="D738" i="7"/>
  <c r="E738" i="7"/>
  <c r="F738" i="7"/>
  <c r="G738" i="7"/>
  <c r="H738" i="7"/>
  <c r="I738" i="7"/>
  <c r="J738" i="7"/>
  <c r="D739" i="7"/>
  <c r="E739" i="7"/>
  <c r="F739" i="7"/>
  <c r="G739" i="7"/>
  <c r="H739" i="7"/>
  <c r="I739" i="7"/>
  <c r="J739" i="7"/>
  <c r="D740" i="7"/>
  <c r="E740" i="7"/>
  <c r="F740" i="7"/>
  <c r="G740" i="7"/>
  <c r="H740" i="7"/>
  <c r="I740" i="7"/>
  <c r="J740" i="7"/>
  <c r="D741" i="7"/>
  <c r="E741" i="7"/>
  <c r="F741" i="7"/>
  <c r="G741" i="7"/>
  <c r="H741" i="7"/>
  <c r="I741" i="7"/>
  <c r="J741" i="7"/>
  <c r="D742" i="7"/>
  <c r="E742" i="7"/>
  <c r="F742" i="7"/>
  <c r="G742" i="7"/>
  <c r="H742" i="7"/>
  <c r="I742" i="7"/>
  <c r="J742" i="7"/>
  <c r="D743" i="7"/>
  <c r="E743" i="7"/>
  <c r="F743" i="7"/>
  <c r="G743" i="7"/>
  <c r="H743" i="7"/>
  <c r="I743" i="7"/>
  <c r="J743" i="7"/>
  <c r="D744" i="7"/>
  <c r="E744" i="7"/>
  <c r="F744" i="7"/>
  <c r="G744" i="7"/>
  <c r="H744" i="7"/>
  <c r="I744" i="7"/>
  <c r="J744" i="7"/>
  <c r="D745" i="7"/>
  <c r="E745" i="7"/>
  <c r="F745" i="7"/>
  <c r="G745" i="7"/>
  <c r="H745" i="7"/>
  <c r="I745" i="7"/>
  <c r="J745" i="7"/>
  <c r="D746" i="7"/>
  <c r="E746" i="7"/>
  <c r="F746" i="7"/>
  <c r="G746" i="7"/>
  <c r="H746" i="7"/>
  <c r="I746" i="7"/>
  <c r="J746" i="7"/>
  <c r="D747" i="7"/>
  <c r="E747" i="7"/>
  <c r="F747" i="7"/>
  <c r="G747" i="7"/>
  <c r="H747" i="7"/>
  <c r="I747" i="7"/>
  <c r="J747" i="7"/>
  <c r="D748" i="7"/>
  <c r="E748" i="7"/>
  <c r="F748" i="7"/>
  <c r="G748" i="7"/>
  <c r="H748" i="7"/>
  <c r="I748" i="7"/>
  <c r="J748" i="7"/>
  <c r="D749" i="7"/>
  <c r="E749" i="7"/>
  <c r="F749" i="7"/>
  <c r="G749" i="7"/>
  <c r="H749" i="7"/>
  <c r="I749" i="7"/>
  <c r="J749" i="7"/>
  <c r="D750" i="7"/>
  <c r="E750" i="7"/>
  <c r="F750" i="7"/>
  <c r="G750" i="7"/>
  <c r="H750" i="7"/>
  <c r="I750" i="7"/>
  <c r="J750" i="7"/>
  <c r="D751" i="7"/>
  <c r="E751" i="7"/>
  <c r="F751" i="7"/>
  <c r="G751" i="7"/>
  <c r="H751" i="7"/>
  <c r="I751" i="7"/>
  <c r="J751" i="7"/>
  <c r="D752" i="7"/>
  <c r="E752" i="7"/>
  <c r="F752" i="7"/>
  <c r="G752" i="7"/>
  <c r="H752" i="7"/>
  <c r="I752" i="7"/>
  <c r="J752" i="7"/>
  <c r="D753" i="7"/>
  <c r="E753" i="7"/>
  <c r="F753" i="7"/>
  <c r="G753" i="7"/>
  <c r="H753" i="7"/>
  <c r="I753" i="7"/>
  <c r="J753" i="7"/>
  <c r="D754" i="7"/>
  <c r="E754" i="7"/>
  <c r="F754" i="7"/>
  <c r="G754" i="7"/>
  <c r="H754" i="7"/>
  <c r="I754" i="7"/>
  <c r="J754" i="7"/>
  <c r="D755" i="7"/>
  <c r="E755" i="7"/>
  <c r="F755" i="7"/>
  <c r="G755" i="7"/>
  <c r="H755" i="7"/>
  <c r="I755" i="7"/>
  <c r="J755" i="7"/>
  <c r="D756" i="7"/>
  <c r="E756" i="7"/>
  <c r="F756" i="7"/>
  <c r="G756" i="7"/>
  <c r="H756" i="7"/>
  <c r="I756" i="7"/>
  <c r="J756" i="7"/>
  <c r="D757" i="7"/>
  <c r="E757" i="7"/>
  <c r="F757" i="7"/>
  <c r="G757" i="7"/>
  <c r="H757" i="7"/>
  <c r="I757" i="7"/>
  <c r="J757" i="7"/>
  <c r="D758" i="7"/>
  <c r="E758" i="7"/>
  <c r="F758" i="7"/>
  <c r="G758" i="7"/>
  <c r="H758" i="7"/>
  <c r="I758" i="7"/>
  <c r="J758" i="7"/>
  <c r="D759" i="7"/>
  <c r="E759" i="7"/>
  <c r="F759" i="7"/>
  <c r="G759" i="7"/>
  <c r="H759" i="7"/>
  <c r="I759" i="7"/>
  <c r="J759" i="7"/>
  <c r="D760" i="7"/>
  <c r="E760" i="7"/>
  <c r="F760" i="7"/>
  <c r="G760" i="7"/>
  <c r="H760" i="7"/>
  <c r="I760" i="7"/>
  <c r="J760" i="7"/>
  <c r="D761" i="7"/>
  <c r="E761" i="7"/>
  <c r="F761" i="7"/>
  <c r="G761" i="7"/>
  <c r="H761" i="7"/>
  <c r="I761" i="7"/>
  <c r="J761" i="7"/>
  <c r="D762" i="7"/>
  <c r="E762" i="7"/>
  <c r="F762" i="7"/>
  <c r="G762" i="7"/>
  <c r="H762" i="7"/>
  <c r="I762" i="7"/>
  <c r="J762" i="7"/>
  <c r="D763" i="7"/>
  <c r="E763" i="7"/>
  <c r="F763" i="7"/>
  <c r="G763" i="7"/>
  <c r="H763" i="7"/>
  <c r="I763" i="7"/>
  <c r="J763" i="7"/>
  <c r="D764" i="7"/>
  <c r="E764" i="7"/>
  <c r="F764" i="7"/>
  <c r="G764" i="7"/>
  <c r="H764" i="7"/>
  <c r="I764" i="7"/>
  <c r="J764" i="7"/>
  <c r="D765" i="7"/>
  <c r="E765" i="7"/>
  <c r="F765" i="7"/>
  <c r="G765" i="7"/>
  <c r="H765" i="7"/>
  <c r="I765" i="7"/>
  <c r="J765" i="7"/>
  <c r="D766" i="7"/>
  <c r="E766" i="7"/>
  <c r="F766" i="7"/>
  <c r="G766" i="7"/>
  <c r="H766" i="7"/>
  <c r="I766" i="7"/>
  <c r="J766" i="7"/>
  <c r="D767" i="7"/>
  <c r="E767" i="7"/>
  <c r="F767" i="7"/>
  <c r="G767" i="7"/>
  <c r="H767" i="7"/>
  <c r="I767" i="7"/>
  <c r="J767" i="7"/>
  <c r="D768" i="7"/>
  <c r="E768" i="7"/>
  <c r="F768" i="7"/>
  <c r="G768" i="7"/>
  <c r="H768" i="7"/>
  <c r="I768" i="7"/>
  <c r="J768" i="7"/>
  <c r="D769" i="7"/>
  <c r="E769" i="7"/>
  <c r="F769" i="7"/>
  <c r="G769" i="7"/>
  <c r="H769" i="7"/>
  <c r="I769" i="7"/>
  <c r="J769" i="7"/>
  <c r="D770" i="7"/>
  <c r="E770" i="7"/>
  <c r="F770" i="7"/>
  <c r="G770" i="7"/>
  <c r="H770" i="7"/>
  <c r="I770" i="7"/>
  <c r="J770" i="7"/>
  <c r="D771" i="7"/>
  <c r="E771" i="7"/>
  <c r="F771" i="7"/>
  <c r="G771" i="7"/>
  <c r="H771" i="7"/>
  <c r="I771" i="7"/>
  <c r="J771" i="7"/>
  <c r="D772" i="7"/>
  <c r="E772" i="7"/>
  <c r="F772" i="7"/>
  <c r="G772" i="7"/>
  <c r="H772" i="7"/>
  <c r="I772" i="7"/>
  <c r="J772" i="7"/>
  <c r="D773" i="7"/>
  <c r="E773" i="7"/>
  <c r="F773" i="7"/>
  <c r="G773" i="7"/>
  <c r="H773" i="7"/>
  <c r="I773" i="7"/>
  <c r="J773" i="7"/>
  <c r="D774" i="7"/>
  <c r="E774" i="7"/>
  <c r="F774" i="7"/>
  <c r="G774" i="7"/>
  <c r="H774" i="7"/>
  <c r="I774" i="7"/>
  <c r="J774" i="7"/>
  <c r="D775" i="7"/>
  <c r="E775" i="7"/>
  <c r="F775" i="7"/>
  <c r="G775" i="7"/>
  <c r="H775" i="7"/>
  <c r="I775" i="7"/>
  <c r="J775" i="7"/>
  <c r="D776" i="7"/>
  <c r="E776" i="7"/>
  <c r="F776" i="7"/>
  <c r="G776" i="7"/>
  <c r="H776" i="7"/>
  <c r="I776" i="7"/>
  <c r="J776" i="7"/>
  <c r="D777" i="7"/>
  <c r="E777" i="7"/>
  <c r="F777" i="7"/>
  <c r="G777" i="7"/>
  <c r="H777" i="7"/>
  <c r="I777" i="7"/>
  <c r="J777" i="7"/>
  <c r="D778" i="7"/>
  <c r="E778" i="7"/>
  <c r="F778" i="7"/>
  <c r="G778" i="7"/>
  <c r="H778" i="7"/>
  <c r="I778" i="7"/>
  <c r="J778" i="7"/>
  <c r="D779" i="7"/>
  <c r="E779" i="7"/>
  <c r="F779" i="7"/>
  <c r="G779" i="7"/>
  <c r="H779" i="7"/>
  <c r="I779" i="7"/>
  <c r="J779" i="7"/>
  <c r="D780" i="7"/>
  <c r="E780" i="7"/>
  <c r="F780" i="7"/>
  <c r="G780" i="7"/>
  <c r="H780" i="7"/>
  <c r="I780" i="7"/>
  <c r="J780" i="7"/>
  <c r="D781" i="7"/>
  <c r="E781" i="7"/>
  <c r="F781" i="7"/>
  <c r="G781" i="7"/>
  <c r="H781" i="7"/>
  <c r="I781" i="7"/>
  <c r="J781" i="7"/>
  <c r="D782" i="7"/>
  <c r="E782" i="7"/>
  <c r="F782" i="7"/>
  <c r="G782" i="7"/>
  <c r="H782" i="7"/>
  <c r="I782" i="7"/>
  <c r="J782" i="7"/>
  <c r="D783" i="7"/>
  <c r="E783" i="7"/>
  <c r="F783" i="7"/>
  <c r="G783" i="7"/>
  <c r="H783" i="7"/>
  <c r="I783" i="7"/>
  <c r="J783" i="7"/>
  <c r="D784" i="7"/>
  <c r="E784" i="7"/>
  <c r="F784" i="7"/>
  <c r="G784" i="7"/>
  <c r="H784" i="7"/>
  <c r="I784" i="7"/>
  <c r="J784" i="7"/>
  <c r="D785" i="7"/>
  <c r="E785" i="7"/>
  <c r="F785" i="7"/>
  <c r="G785" i="7"/>
  <c r="H785" i="7"/>
  <c r="I785" i="7"/>
  <c r="J785" i="7"/>
  <c r="D786" i="7"/>
  <c r="E786" i="7"/>
  <c r="F786" i="7"/>
  <c r="G786" i="7"/>
  <c r="H786" i="7"/>
  <c r="I786" i="7"/>
  <c r="J786" i="7"/>
  <c r="D787" i="7"/>
  <c r="E787" i="7"/>
  <c r="F787" i="7"/>
  <c r="G787" i="7"/>
  <c r="H787" i="7"/>
  <c r="I787" i="7"/>
  <c r="J787" i="7"/>
  <c r="D788" i="7"/>
  <c r="E788" i="7"/>
  <c r="F788" i="7"/>
  <c r="G788" i="7"/>
  <c r="H788" i="7"/>
  <c r="I788" i="7"/>
  <c r="J788" i="7"/>
  <c r="D789" i="7"/>
  <c r="E789" i="7"/>
  <c r="F789" i="7"/>
  <c r="G789" i="7"/>
  <c r="H789" i="7"/>
  <c r="I789" i="7"/>
  <c r="J789" i="7"/>
  <c r="D790" i="7"/>
  <c r="E790" i="7"/>
  <c r="F790" i="7"/>
  <c r="G790" i="7"/>
  <c r="H790" i="7"/>
  <c r="I790" i="7"/>
  <c r="J790" i="7"/>
  <c r="D791" i="7"/>
  <c r="E791" i="7"/>
  <c r="F791" i="7"/>
  <c r="G791" i="7"/>
  <c r="H791" i="7"/>
  <c r="I791" i="7"/>
  <c r="J791" i="7"/>
  <c r="D792" i="7"/>
  <c r="E792" i="7"/>
  <c r="F792" i="7"/>
  <c r="G792" i="7"/>
  <c r="H792" i="7"/>
  <c r="I792" i="7"/>
  <c r="J792" i="7"/>
  <c r="D793" i="7"/>
  <c r="E793" i="7"/>
  <c r="F793" i="7"/>
  <c r="G793" i="7"/>
  <c r="H793" i="7"/>
  <c r="I793" i="7"/>
  <c r="J793" i="7"/>
  <c r="D794" i="7"/>
  <c r="E794" i="7"/>
  <c r="F794" i="7"/>
  <c r="G794" i="7"/>
  <c r="H794" i="7"/>
  <c r="I794" i="7"/>
  <c r="J794" i="7"/>
  <c r="D795" i="7"/>
  <c r="E795" i="7"/>
  <c r="F795" i="7"/>
  <c r="G795" i="7"/>
  <c r="H795" i="7"/>
  <c r="I795" i="7"/>
  <c r="J795" i="7"/>
  <c r="D796" i="7"/>
  <c r="E796" i="7"/>
  <c r="F796" i="7"/>
  <c r="G796" i="7"/>
  <c r="H796" i="7"/>
  <c r="I796" i="7"/>
  <c r="J796" i="7"/>
  <c r="D797" i="7"/>
  <c r="E797" i="7"/>
  <c r="F797" i="7"/>
  <c r="G797" i="7"/>
  <c r="H797" i="7"/>
  <c r="I797" i="7"/>
  <c r="J797" i="7"/>
  <c r="D798" i="7"/>
  <c r="E798" i="7"/>
  <c r="F798" i="7"/>
  <c r="G798" i="7"/>
  <c r="H798" i="7"/>
  <c r="I798" i="7"/>
  <c r="J798" i="7"/>
  <c r="D799" i="7"/>
  <c r="E799" i="7"/>
  <c r="F799" i="7"/>
  <c r="G799" i="7"/>
  <c r="H799" i="7"/>
  <c r="I799" i="7"/>
  <c r="J799" i="7"/>
  <c r="D800" i="7"/>
  <c r="E800" i="7"/>
  <c r="F800" i="7"/>
  <c r="G800" i="7"/>
  <c r="H800" i="7"/>
  <c r="I800" i="7"/>
  <c r="J800" i="7"/>
  <c r="D801" i="7"/>
  <c r="E801" i="7"/>
  <c r="F801" i="7"/>
  <c r="G801" i="7"/>
  <c r="H801" i="7"/>
  <c r="I801" i="7"/>
  <c r="J801" i="7"/>
  <c r="D802" i="7"/>
  <c r="E802" i="7"/>
  <c r="F802" i="7"/>
  <c r="G802" i="7"/>
  <c r="H802" i="7"/>
  <c r="I802" i="7"/>
  <c r="J802" i="7"/>
  <c r="D803" i="7"/>
  <c r="E803" i="7"/>
  <c r="F803" i="7"/>
  <c r="G803" i="7"/>
  <c r="H803" i="7"/>
  <c r="I803" i="7"/>
  <c r="J803" i="7"/>
  <c r="D804" i="7"/>
  <c r="E804" i="7"/>
  <c r="F804" i="7"/>
  <c r="G804" i="7"/>
  <c r="H804" i="7"/>
  <c r="I804" i="7"/>
  <c r="J804" i="7"/>
  <c r="D805" i="7"/>
  <c r="E805" i="7"/>
  <c r="F805" i="7"/>
  <c r="G805" i="7"/>
  <c r="H805" i="7"/>
  <c r="I805" i="7"/>
  <c r="J805" i="7"/>
  <c r="D806" i="7"/>
  <c r="E806" i="7"/>
  <c r="F806" i="7"/>
  <c r="G806" i="7"/>
  <c r="H806" i="7"/>
  <c r="I806" i="7"/>
  <c r="J806" i="7"/>
  <c r="D807" i="7"/>
  <c r="E807" i="7"/>
  <c r="F807" i="7"/>
  <c r="G807" i="7"/>
  <c r="H807" i="7"/>
  <c r="I807" i="7"/>
  <c r="J807" i="7"/>
  <c r="D808" i="7"/>
  <c r="E808" i="7"/>
  <c r="F808" i="7"/>
  <c r="G808" i="7"/>
  <c r="H808" i="7"/>
  <c r="I808" i="7"/>
  <c r="J808" i="7"/>
  <c r="D809" i="7"/>
  <c r="E809" i="7"/>
  <c r="F809" i="7"/>
  <c r="G809" i="7"/>
  <c r="H809" i="7"/>
  <c r="I809" i="7"/>
  <c r="J809" i="7"/>
  <c r="D810" i="7"/>
  <c r="E810" i="7"/>
  <c r="F810" i="7"/>
  <c r="G810" i="7"/>
  <c r="H810" i="7"/>
  <c r="I810" i="7"/>
  <c r="J810" i="7"/>
  <c r="D811" i="7"/>
  <c r="E811" i="7"/>
  <c r="F811" i="7"/>
  <c r="G811" i="7"/>
  <c r="H811" i="7"/>
  <c r="I811" i="7"/>
  <c r="J811" i="7"/>
  <c r="D812" i="7"/>
  <c r="E812" i="7"/>
  <c r="F812" i="7"/>
  <c r="G812" i="7"/>
  <c r="H812" i="7"/>
  <c r="I812" i="7"/>
  <c r="J812" i="7"/>
  <c r="D813" i="7"/>
  <c r="E813" i="7"/>
  <c r="F813" i="7"/>
  <c r="G813" i="7"/>
  <c r="H813" i="7"/>
  <c r="I813" i="7"/>
  <c r="J813" i="7"/>
  <c r="D814" i="7"/>
  <c r="E814" i="7"/>
  <c r="F814" i="7"/>
  <c r="G814" i="7"/>
  <c r="H814" i="7"/>
  <c r="I814" i="7"/>
  <c r="J814" i="7"/>
  <c r="D815" i="7"/>
  <c r="E815" i="7"/>
  <c r="F815" i="7"/>
  <c r="G815" i="7"/>
  <c r="H815" i="7"/>
  <c r="I815" i="7"/>
  <c r="J815" i="7"/>
  <c r="D816" i="7"/>
  <c r="E816" i="7"/>
  <c r="F816" i="7"/>
  <c r="G816" i="7"/>
  <c r="H816" i="7"/>
  <c r="I816" i="7"/>
  <c r="J816" i="7"/>
  <c r="D817" i="7"/>
  <c r="E817" i="7"/>
  <c r="F817" i="7"/>
  <c r="G817" i="7"/>
  <c r="H817" i="7"/>
  <c r="I817" i="7"/>
  <c r="J817" i="7"/>
  <c r="D818" i="7"/>
  <c r="E818" i="7"/>
  <c r="F818" i="7"/>
  <c r="G818" i="7"/>
  <c r="H818" i="7"/>
  <c r="I818" i="7"/>
  <c r="J818" i="7"/>
  <c r="D819" i="7"/>
  <c r="E819" i="7"/>
  <c r="F819" i="7"/>
  <c r="G819" i="7"/>
  <c r="H819" i="7"/>
  <c r="I819" i="7"/>
  <c r="J819" i="7"/>
  <c r="D820" i="7"/>
  <c r="E820" i="7"/>
  <c r="F820" i="7"/>
  <c r="G820" i="7"/>
  <c r="H820" i="7"/>
  <c r="I820" i="7"/>
  <c r="J820" i="7"/>
  <c r="D821" i="7"/>
  <c r="E821" i="7"/>
  <c r="F821" i="7"/>
  <c r="G821" i="7"/>
  <c r="H821" i="7"/>
  <c r="I821" i="7"/>
  <c r="J821" i="7"/>
  <c r="D822" i="7"/>
  <c r="E822" i="7"/>
  <c r="F822" i="7"/>
  <c r="G822" i="7"/>
  <c r="H822" i="7"/>
  <c r="I822" i="7"/>
  <c r="J822" i="7"/>
  <c r="D823" i="7"/>
  <c r="E823" i="7"/>
  <c r="F823" i="7"/>
  <c r="G823" i="7"/>
  <c r="H823" i="7"/>
  <c r="I823" i="7"/>
  <c r="J823" i="7"/>
  <c r="D824" i="7"/>
  <c r="E824" i="7"/>
  <c r="F824" i="7"/>
  <c r="G824" i="7"/>
  <c r="H824" i="7"/>
  <c r="I824" i="7"/>
  <c r="J824" i="7"/>
  <c r="D825" i="7"/>
  <c r="E825" i="7"/>
  <c r="F825" i="7"/>
  <c r="G825" i="7"/>
  <c r="H825" i="7"/>
  <c r="I825" i="7"/>
  <c r="J825" i="7"/>
  <c r="D826" i="7"/>
  <c r="E826" i="7"/>
  <c r="F826" i="7"/>
  <c r="G826" i="7"/>
  <c r="H826" i="7"/>
  <c r="I826" i="7"/>
  <c r="J826" i="7"/>
  <c r="D827" i="7"/>
  <c r="E827" i="7"/>
  <c r="F827" i="7"/>
  <c r="G827" i="7"/>
  <c r="H827" i="7"/>
  <c r="I827" i="7"/>
  <c r="J827" i="7"/>
  <c r="D828" i="7"/>
  <c r="E828" i="7"/>
  <c r="F828" i="7"/>
  <c r="G828" i="7"/>
  <c r="H828" i="7"/>
  <c r="I828" i="7"/>
  <c r="J828" i="7"/>
  <c r="D829" i="7"/>
  <c r="E829" i="7"/>
  <c r="F829" i="7"/>
  <c r="G829" i="7"/>
  <c r="H829" i="7"/>
  <c r="I829" i="7"/>
  <c r="J829" i="7"/>
  <c r="D830" i="7"/>
  <c r="E830" i="7"/>
  <c r="F830" i="7"/>
  <c r="G830" i="7"/>
  <c r="H830" i="7"/>
  <c r="I830" i="7"/>
  <c r="J830" i="7"/>
  <c r="D831" i="7"/>
  <c r="E831" i="7"/>
  <c r="F831" i="7"/>
  <c r="G831" i="7"/>
  <c r="H831" i="7"/>
  <c r="I831" i="7"/>
  <c r="J831" i="7"/>
  <c r="D832" i="7"/>
  <c r="E832" i="7"/>
  <c r="F832" i="7"/>
  <c r="G832" i="7"/>
  <c r="H832" i="7"/>
  <c r="I832" i="7"/>
  <c r="J832" i="7"/>
  <c r="D833" i="7"/>
  <c r="E833" i="7"/>
  <c r="F833" i="7"/>
  <c r="G833" i="7"/>
  <c r="H833" i="7"/>
  <c r="I833" i="7"/>
  <c r="J833" i="7"/>
  <c r="D834" i="7"/>
  <c r="E834" i="7"/>
  <c r="F834" i="7"/>
  <c r="G834" i="7"/>
  <c r="H834" i="7"/>
  <c r="I834" i="7"/>
  <c r="J834" i="7"/>
  <c r="D835" i="7"/>
  <c r="E835" i="7"/>
  <c r="F835" i="7"/>
  <c r="G835" i="7"/>
  <c r="H835" i="7"/>
  <c r="I835" i="7"/>
  <c r="J835" i="7"/>
  <c r="D836" i="7"/>
  <c r="E836" i="7"/>
  <c r="F836" i="7"/>
  <c r="G836" i="7"/>
  <c r="H836" i="7"/>
  <c r="I836" i="7"/>
  <c r="J836" i="7"/>
  <c r="D837" i="7"/>
  <c r="E837" i="7"/>
  <c r="F837" i="7"/>
  <c r="G837" i="7"/>
  <c r="H837" i="7"/>
  <c r="I837" i="7"/>
  <c r="J837" i="7"/>
  <c r="D838" i="7"/>
  <c r="E838" i="7"/>
  <c r="F838" i="7"/>
  <c r="G838" i="7"/>
  <c r="H838" i="7"/>
  <c r="I838" i="7"/>
  <c r="J838" i="7"/>
  <c r="D839" i="7"/>
  <c r="E839" i="7"/>
  <c r="F839" i="7"/>
  <c r="G839" i="7"/>
  <c r="H839" i="7"/>
  <c r="I839" i="7"/>
  <c r="J839" i="7"/>
  <c r="D840" i="7"/>
  <c r="E840" i="7"/>
  <c r="F840" i="7"/>
  <c r="G840" i="7"/>
  <c r="H840" i="7"/>
  <c r="I840" i="7"/>
  <c r="J840" i="7"/>
  <c r="D841" i="7"/>
  <c r="E841" i="7"/>
  <c r="F841" i="7"/>
  <c r="G841" i="7"/>
  <c r="H841" i="7"/>
  <c r="I841" i="7"/>
  <c r="J841" i="7"/>
  <c r="D842" i="7"/>
  <c r="E842" i="7"/>
  <c r="F842" i="7"/>
  <c r="G842" i="7"/>
  <c r="H842" i="7"/>
  <c r="I842" i="7"/>
  <c r="J842" i="7"/>
  <c r="D843" i="7"/>
  <c r="E843" i="7"/>
  <c r="F843" i="7"/>
  <c r="G843" i="7"/>
  <c r="H843" i="7"/>
  <c r="I843" i="7"/>
  <c r="J843" i="7"/>
  <c r="D844" i="7"/>
  <c r="E844" i="7"/>
  <c r="F844" i="7"/>
  <c r="G844" i="7"/>
  <c r="H844" i="7"/>
  <c r="I844" i="7"/>
  <c r="J844" i="7"/>
  <c r="D845" i="7"/>
  <c r="E845" i="7"/>
  <c r="F845" i="7"/>
  <c r="G845" i="7"/>
  <c r="H845" i="7"/>
  <c r="I845" i="7"/>
  <c r="J845" i="7"/>
  <c r="D846" i="7"/>
  <c r="E846" i="7"/>
  <c r="F846" i="7"/>
  <c r="G846" i="7"/>
  <c r="H846" i="7"/>
  <c r="I846" i="7"/>
  <c r="J846" i="7"/>
  <c r="D847" i="7"/>
  <c r="E847" i="7"/>
  <c r="F847" i="7"/>
  <c r="G847" i="7"/>
  <c r="H847" i="7"/>
  <c r="I847" i="7"/>
  <c r="J847" i="7"/>
  <c r="D848" i="7"/>
  <c r="E848" i="7"/>
  <c r="F848" i="7"/>
  <c r="G848" i="7"/>
  <c r="H848" i="7"/>
  <c r="I848" i="7"/>
  <c r="J848" i="7"/>
  <c r="D849" i="7"/>
  <c r="E849" i="7"/>
  <c r="F849" i="7"/>
  <c r="G849" i="7"/>
  <c r="H849" i="7"/>
  <c r="I849" i="7"/>
  <c r="J849" i="7"/>
  <c r="D850" i="7"/>
  <c r="E850" i="7"/>
  <c r="F850" i="7"/>
  <c r="G850" i="7"/>
  <c r="H850" i="7"/>
  <c r="I850" i="7"/>
  <c r="J850" i="7"/>
  <c r="D851" i="7"/>
  <c r="E851" i="7"/>
  <c r="F851" i="7"/>
  <c r="G851" i="7"/>
  <c r="H851" i="7"/>
  <c r="I851" i="7"/>
  <c r="J851" i="7"/>
  <c r="D852" i="7"/>
  <c r="E852" i="7"/>
  <c r="F852" i="7"/>
  <c r="G852" i="7"/>
  <c r="H852" i="7"/>
  <c r="I852" i="7"/>
  <c r="J852" i="7"/>
  <c r="D853" i="7"/>
  <c r="E853" i="7"/>
  <c r="F853" i="7"/>
  <c r="G853" i="7"/>
  <c r="H853" i="7"/>
  <c r="I853" i="7"/>
  <c r="J853" i="7"/>
  <c r="D854" i="7"/>
  <c r="E854" i="7"/>
  <c r="F854" i="7"/>
  <c r="G854" i="7"/>
  <c r="H854" i="7"/>
  <c r="I854" i="7"/>
  <c r="J854" i="7"/>
  <c r="D855" i="7"/>
  <c r="E855" i="7"/>
  <c r="F855" i="7"/>
  <c r="G855" i="7"/>
  <c r="H855" i="7"/>
  <c r="I855" i="7"/>
  <c r="J855" i="7"/>
  <c r="D856" i="7"/>
  <c r="E856" i="7"/>
  <c r="F856" i="7"/>
  <c r="G856" i="7"/>
  <c r="H856" i="7"/>
  <c r="I856" i="7"/>
  <c r="J856" i="7"/>
  <c r="D857" i="7"/>
  <c r="E857" i="7"/>
  <c r="F857" i="7"/>
  <c r="G857" i="7"/>
  <c r="H857" i="7"/>
  <c r="I857" i="7"/>
  <c r="J857" i="7"/>
  <c r="D858" i="7"/>
  <c r="E858" i="7"/>
  <c r="F858" i="7"/>
  <c r="G858" i="7"/>
  <c r="H858" i="7"/>
  <c r="I858" i="7"/>
  <c r="J858" i="7"/>
  <c r="D859" i="7"/>
  <c r="E859" i="7"/>
  <c r="F859" i="7"/>
  <c r="G859" i="7"/>
  <c r="H859" i="7"/>
  <c r="I859" i="7"/>
  <c r="J859" i="7"/>
  <c r="D860" i="7"/>
  <c r="E860" i="7"/>
  <c r="F860" i="7"/>
  <c r="G860" i="7"/>
  <c r="H860" i="7"/>
  <c r="I860" i="7"/>
  <c r="J860" i="7"/>
  <c r="D861" i="7"/>
  <c r="E861" i="7"/>
  <c r="F861" i="7"/>
  <c r="G861" i="7"/>
  <c r="H861" i="7"/>
  <c r="I861" i="7"/>
  <c r="J861" i="7"/>
  <c r="D862" i="7"/>
  <c r="E862" i="7"/>
  <c r="F862" i="7"/>
  <c r="G862" i="7"/>
  <c r="H862" i="7"/>
  <c r="I862" i="7"/>
  <c r="J862" i="7"/>
  <c r="D863" i="7"/>
  <c r="E863" i="7"/>
  <c r="F863" i="7"/>
  <c r="G863" i="7"/>
  <c r="H863" i="7"/>
  <c r="I863" i="7"/>
  <c r="J863" i="7"/>
  <c r="D864" i="7"/>
  <c r="E864" i="7"/>
  <c r="F864" i="7"/>
  <c r="G864" i="7"/>
  <c r="H864" i="7"/>
  <c r="I864" i="7"/>
  <c r="J864" i="7"/>
  <c r="D865" i="7"/>
  <c r="E865" i="7"/>
  <c r="F865" i="7"/>
  <c r="G865" i="7"/>
  <c r="H865" i="7"/>
  <c r="I865" i="7"/>
  <c r="J865" i="7"/>
  <c r="D866" i="7"/>
  <c r="E866" i="7"/>
  <c r="F866" i="7"/>
  <c r="G866" i="7"/>
  <c r="H866" i="7"/>
  <c r="I866" i="7"/>
  <c r="J866" i="7"/>
  <c r="D867" i="7"/>
  <c r="E867" i="7"/>
  <c r="F867" i="7"/>
  <c r="G867" i="7"/>
  <c r="H867" i="7"/>
  <c r="I867" i="7"/>
  <c r="J867" i="7"/>
  <c r="D868" i="7"/>
  <c r="E868" i="7"/>
  <c r="F868" i="7"/>
  <c r="G868" i="7"/>
  <c r="H868" i="7"/>
  <c r="I868" i="7"/>
  <c r="J868" i="7"/>
  <c r="D869" i="7"/>
  <c r="E869" i="7"/>
  <c r="F869" i="7"/>
  <c r="G869" i="7"/>
  <c r="H869" i="7"/>
  <c r="I869" i="7"/>
  <c r="J869" i="7"/>
  <c r="D870" i="7"/>
  <c r="E870" i="7"/>
  <c r="F870" i="7"/>
  <c r="G870" i="7"/>
  <c r="H870" i="7"/>
  <c r="I870" i="7"/>
  <c r="J870" i="7"/>
  <c r="D871" i="7"/>
  <c r="E871" i="7"/>
  <c r="F871" i="7"/>
  <c r="G871" i="7"/>
  <c r="H871" i="7"/>
  <c r="I871" i="7"/>
  <c r="J871" i="7"/>
  <c r="D872" i="7"/>
  <c r="E872" i="7"/>
  <c r="F872" i="7"/>
  <c r="G872" i="7"/>
  <c r="H872" i="7"/>
  <c r="I872" i="7"/>
  <c r="J872" i="7"/>
  <c r="D873" i="7"/>
  <c r="E873" i="7"/>
  <c r="F873" i="7"/>
  <c r="G873" i="7"/>
  <c r="H873" i="7"/>
  <c r="I873" i="7"/>
  <c r="J873" i="7"/>
  <c r="D874" i="7"/>
  <c r="E874" i="7"/>
  <c r="F874" i="7"/>
  <c r="G874" i="7"/>
  <c r="H874" i="7"/>
  <c r="I874" i="7"/>
  <c r="J874" i="7"/>
  <c r="D875" i="7"/>
  <c r="E875" i="7"/>
  <c r="F875" i="7"/>
  <c r="G875" i="7"/>
  <c r="H875" i="7"/>
  <c r="I875" i="7"/>
  <c r="J875" i="7"/>
  <c r="D876" i="7"/>
  <c r="E876" i="7"/>
  <c r="F876" i="7"/>
  <c r="G876" i="7"/>
  <c r="H876" i="7"/>
  <c r="I876" i="7"/>
  <c r="J876" i="7"/>
  <c r="D877" i="7"/>
  <c r="E877" i="7"/>
  <c r="F877" i="7"/>
  <c r="G877" i="7"/>
  <c r="H877" i="7"/>
  <c r="I877" i="7"/>
  <c r="J877" i="7"/>
  <c r="D878" i="7"/>
  <c r="E878" i="7"/>
  <c r="F878" i="7"/>
  <c r="G878" i="7"/>
  <c r="H878" i="7"/>
  <c r="I878" i="7"/>
  <c r="J878" i="7"/>
  <c r="D879" i="7"/>
  <c r="E879" i="7"/>
  <c r="F879" i="7"/>
  <c r="G879" i="7"/>
  <c r="H879" i="7"/>
  <c r="I879" i="7"/>
  <c r="J879" i="7"/>
  <c r="D880" i="7"/>
  <c r="E880" i="7"/>
  <c r="F880" i="7"/>
  <c r="G880" i="7"/>
  <c r="H880" i="7"/>
  <c r="I880" i="7"/>
  <c r="J880" i="7"/>
  <c r="D881" i="7"/>
  <c r="E881" i="7"/>
  <c r="F881" i="7"/>
  <c r="G881" i="7"/>
  <c r="H881" i="7"/>
  <c r="I881" i="7"/>
  <c r="J881" i="7"/>
  <c r="D882" i="7"/>
  <c r="E882" i="7"/>
  <c r="F882" i="7"/>
  <c r="G882" i="7"/>
  <c r="H882" i="7"/>
  <c r="I882" i="7"/>
  <c r="J882" i="7"/>
  <c r="D883" i="7"/>
  <c r="E883" i="7"/>
  <c r="F883" i="7"/>
  <c r="G883" i="7"/>
  <c r="H883" i="7"/>
  <c r="I883" i="7"/>
  <c r="J883" i="7"/>
  <c r="D884" i="7"/>
  <c r="E884" i="7"/>
  <c r="F884" i="7"/>
  <c r="G884" i="7"/>
  <c r="H884" i="7"/>
  <c r="I884" i="7"/>
  <c r="J884" i="7"/>
  <c r="D885" i="7"/>
  <c r="E885" i="7"/>
  <c r="F885" i="7"/>
  <c r="G885" i="7"/>
  <c r="H885" i="7"/>
  <c r="I885" i="7"/>
  <c r="J885" i="7"/>
  <c r="D886" i="7"/>
  <c r="E886" i="7"/>
  <c r="F886" i="7"/>
  <c r="G886" i="7"/>
  <c r="H886" i="7"/>
  <c r="I886" i="7"/>
  <c r="J886" i="7"/>
  <c r="D887" i="7"/>
  <c r="E887" i="7"/>
  <c r="F887" i="7"/>
  <c r="G887" i="7"/>
  <c r="H887" i="7"/>
  <c r="I887" i="7"/>
  <c r="J887" i="7"/>
  <c r="D888" i="7"/>
  <c r="E888" i="7"/>
  <c r="F888" i="7"/>
  <c r="G888" i="7"/>
  <c r="H888" i="7"/>
  <c r="I888" i="7"/>
  <c r="J888" i="7"/>
  <c r="D889" i="7"/>
  <c r="E889" i="7"/>
  <c r="F889" i="7"/>
  <c r="G889" i="7"/>
  <c r="H889" i="7"/>
  <c r="I889" i="7"/>
  <c r="J889" i="7"/>
  <c r="D890" i="7"/>
  <c r="E890" i="7"/>
  <c r="F890" i="7"/>
  <c r="G890" i="7"/>
  <c r="H890" i="7"/>
  <c r="I890" i="7"/>
  <c r="J890" i="7"/>
  <c r="D891" i="7"/>
  <c r="E891" i="7"/>
  <c r="F891" i="7"/>
  <c r="G891" i="7"/>
  <c r="H891" i="7"/>
  <c r="I891" i="7"/>
  <c r="J891" i="7"/>
  <c r="D892" i="7"/>
  <c r="E892" i="7"/>
  <c r="F892" i="7"/>
  <c r="G892" i="7"/>
  <c r="H892" i="7"/>
  <c r="I892" i="7"/>
  <c r="J892" i="7"/>
  <c r="D893" i="7"/>
  <c r="E893" i="7"/>
  <c r="F893" i="7"/>
  <c r="G893" i="7"/>
  <c r="H893" i="7"/>
  <c r="I893" i="7"/>
  <c r="J893" i="7"/>
  <c r="D894" i="7"/>
  <c r="E894" i="7"/>
  <c r="F894" i="7"/>
  <c r="G894" i="7"/>
  <c r="H894" i="7"/>
  <c r="I894" i="7"/>
  <c r="J894" i="7"/>
  <c r="D895" i="7"/>
  <c r="E895" i="7"/>
  <c r="F895" i="7"/>
  <c r="G895" i="7"/>
  <c r="H895" i="7"/>
  <c r="I895" i="7"/>
  <c r="J895" i="7"/>
  <c r="D896" i="7"/>
  <c r="E896" i="7"/>
  <c r="F896" i="7"/>
  <c r="G896" i="7"/>
  <c r="H896" i="7"/>
  <c r="I896" i="7"/>
  <c r="J896" i="7"/>
  <c r="D897" i="7"/>
  <c r="E897" i="7"/>
  <c r="F897" i="7"/>
  <c r="G897" i="7"/>
  <c r="H897" i="7"/>
  <c r="I897" i="7"/>
  <c r="J897" i="7"/>
  <c r="D898" i="7"/>
  <c r="E898" i="7"/>
  <c r="F898" i="7"/>
  <c r="G898" i="7"/>
  <c r="H898" i="7"/>
  <c r="I898" i="7"/>
  <c r="J898" i="7"/>
  <c r="D899" i="7"/>
  <c r="E899" i="7"/>
  <c r="F899" i="7"/>
  <c r="G899" i="7"/>
  <c r="H899" i="7"/>
  <c r="I899" i="7"/>
  <c r="J899" i="7"/>
  <c r="D900" i="7"/>
  <c r="E900" i="7"/>
  <c r="F900" i="7"/>
  <c r="G900" i="7"/>
  <c r="H900" i="7"/>
  <c r="I900" i="7"/>
  <c r="J900" i="7"/>
  <c r="D901" i="7"/>
  <c r="E901" i="7"/>
  <c r="F901" i="7"/>
  <c r="G901" i="7"/>
  <c r="H901" i="7"/>
  <c r="I901" i="7"/>
  <c r="J901" i="7"/>
  <c r="D902" i="7"/>
  <c r="E902" i="7"/>
  <c r="F902" i="7"/>
  <c r="G902" i="7"/>
  <c r="H902" i="7"/>
  <c r="I902" i="7"/>
  <c r="J902" i="7"/>
  <c r="D903" i="7"/>
  <c r="E903" i="7"/>
  <c r="F903" i="7"/>
  <c r="G903" i="7"/>
  <c r="H903" i="7"/>
  <c r="I903" i="7"/>
  <c r="J903" i="7"/>
  <c r="D904" i="7"/>
  <c r="E904" i="7"/>
  <c r="F904" i="7"/>
  <c r="G904" i="7"/>
  <c r="H904" i="7"/>
  <c r="I904" i="7"/>
  <c r="J904" i="7"/>
  <c r="D905" i="7"/>
  <c r="E905" i="7"/>
  <c r="F905" i="7"/>
  <c r="G905" i="7"/>
  <c r="H905" i="7"/>
  <c r="I905" i="7"/>
  <c r="J905" i="7"/>
  <c r="D906" i="7"/>
  <c r="E906" i="7"/>
  <c r="F906" i="7"/>
  <c r="G906" i="7"/>
  <c r="H906" i="7"/>
  <c r="I906" i="7"/>
  <c r="J906" i="7"/>
  <c r="D907" i="7"/>
  <c r="E907" i="7"/>
  <c r="F907" i="7"/>
  <c r="G907" i="7"/>
  <c r="H907" i="7"/>
  <c r="I907" i="7"/>
  <c r="J907" i="7"/>
  <c r="D908" i="7"/>
  <c r="E908" i="7"/>
  <c r="F908" i="7"/>
  <c r="G908" i="7"/>
  <c r="H908" i="7"/>
  <c r="I908" i="7"/>
  <c r="J908" i="7"/>
  <c r="D909" i="7"/>
  <c r="E909" i="7"/>
  <c r="F909" i="7"/>
  <c r="G909" i="7"/>
  <c r="H909" i="7"/>
  <c r="I909" i="7"/>
  <c r="J909" i="7"/>
  <c r="D910" i="7"/>
  <c r="E910" i="7"/>
  <c r="F910" i="7"/>
  <c r="G910" i="7"/>
  <c r="H910" i="7"/>
  <c r="I910" i="7"/>
  <c r="J910" i="7"/>
  <c r="D911" i="7"/>
  <c r="E911" i="7"/>
  <c r="F911" i="7"/>
  <c r="G911" i="7"/>
  <c r="H911" i="7"/>
  <c r="I911" i="7"/>
  <c r="J911" i="7"/>
  <c r="D912" i="7"/>
  <c r="E912" i="7"/>
  <c r="F912" i="7"/>
  <c r="G912" i="7"/>
  <c r="H912" i="7"/>
  <c r="I912" i="7"/>
  <c r="J912" i="7"/>
  <c r="D913" i="7"/>
  <c r="E913" i="7"/>
  <c r="F913" i="7"/>
  <c r="G913" i="7"/>
  <c r="H913" i="7"/>
  <c r="I913" i="7"/>
  <c r="J913" i="7"/>
  <c r="D914" i="7"/>
  <c r="E914" i="7"/>
  <c r="F914" i="7"/>
  <c r="G914" i="7"/>
  <c r="H914" i="7"/>
  <c r="I914" i="7"/>
  <c r="J914" i="7"/>
  <c r="D915" i="7"/>
  <c r="E915" i="7"/>
  <c r="F915" i="7"/>
  <c r="G915" i="7"/>
  <c r="H915" i="7"/>
  <c r="I915" i="7"/>
  <c r="J915" i="7"/>
  <c r="D916" i="7"/>
  <c r="E916" i="7"/>
  <c r="F916" i="7"/>
  <c r="G916" i="7"/>
  <c r="H916" i="7"/>
  <c r="I916" i="7"/>
  <c r="J916" i="7"/>
  <c r="D917" i="7"/>
  <c r="E917" i="7"/>
  <c r="F917" i="7"/>
  <c r="G917" i="7"/>
  <c r="H917" i="7"/>
  <c r="I917" i="7"/>
  <c r="J917" i="7"/>
  <c r="D918" i="7"/>
  <c r="E918" i="7"/>
  <c r="F918" i="7"/>
  <c r="G918" i="7"/>
  <c r="H918" i="7"/>
  <c r="I918" i="7"/>
  <c r="J918" i="7"/>
  <c r="D919" i="7"/>
  <c r="E919" i="7"/>
  <c r="F919" i="7"/>
  <c r="G919" i="7"/>
  <c r="H919" i="7"/>
  <c r="I919" i="7"/>
  <c r="J919" i="7"/>
  <c r="D920" i="7"/>
  <c r="E920" i="7"/>
  <c r="F920" i="7"/>
  <c r="G920" i="7"/>
  <c r="H920" i="7"/>
  <c r="I920" i="7"/>
  <c r="J920" i="7"/>
  <c r="D921" i="7"/>
  <c r="E921" i="7"/>
  <c r="F921" i="7"/>
  <c r="G921" i="7"/>
  <c r="H921" i="7"/>
  <c r="I921" i="7"/>
  <c r="J921" i="7"/>
  <c r="D922" i="7"/>
  <c r="E922" i="7"/>
  <c r="F922" i="7"/>
  <c r="G922" i="7"/>
  <c r="H922" i="7"/>
  <c r="I922" i="7"/>
  <c r="J922" i="7"/>
  <c r="D923" i="7"/>
  <c r="E923" i="7"/>
  <c r="F923" i="7"/>
  <c r="G923" i="7"/>
  <c r="H923" i="7"/>
  <c r="I923" i="7"/>
  <c r="J923" i="7"/>
  <c r="D924" i="7"/>
  <c r="E924" i="7"/>
  <c r="F924" i="7"/>
  <c r="G924" i="7"/>
  <c r="H924" i="7"/>
  <c r="I924" i="7"/>
  <c r="J924" i="7"/>
  <c r="D925" i="7"/>
  <c r="E925" i="7"/>
  <c r="F925" i="7"/>
  <c r="G925" i="7"/>
  <c r="H925" i="7"/>
  <c r="I925" i="7"/>
  <c r="J925" i="7"/>
  <c r="D926" i="7"/>
  <c r="E926" i="7"/>
  <c r="F926" i="7"/>
  <c r="G926" i="7"/>
  <c r="H926" i="7"/>
  <c r="I926" i="7"/>
  <c r="J926" i="7"/>
  <c r="D927" i="7"/>
  <c r="E927" i="7"/>
  <c r="F927" i="7"/>
  <c r="G927" i="7"/>
  <c r="H927" i="7"/>
  <c r="I927" i="7"/>
  <c r="J927" i="7"/>
  <c r="D928" i="7"/>
  <c r="E928" i="7"/>
  <c r="F928" i="7"/>
  <c r="G928" i="7"/>
  <c r="H928" i="7"/>
  <c r="I928" i="7"/>
  <c r="J928" i="7"/>
  <c r="D929" i="7"/>
  <c r="E929" i="7"/>
  <c r="F929" i="7"/>
  <c r="G929" i="7"/>
  <c r="H929" i="7"/>
  <c r="I929" i="7"/>
  <c r="J929" i="7"/>
  <c r="D930" i="7"/>
  <c r="E930" i="7"/>
  <c r="F930" i="7"/>
  <c r="G930" i="7"/>
  <c r="H930" i="7"/>
  <c r="I930" i="7"/>
  <c r="J930" i="7"/>
  <c r="D931" i="7"/>
  <c r="E931" i="7"/>
  <c r="F931" i="7"/>
  <c r="G931" i="7"/>
  <c r="H931" i="7"/>
  <c r="I931" i="7"/>
  <c r="J931" i="7"/>
  <c r="D932" i="7"/>
  <c r="E932" i="7"/>
  <c r="F932" i="7"/>
  <c r="G932" i="7"/>
  <c r="H932" i="7"/>
  <c r="I932" i="7"/>
  <c r="J932" i="7"/>
  <c r="D933" i="7"/>
  <c r="E933" i="7"/>
  <c r="F933" i="7"/>
  <c r="G933" i="7"/>
  <c r="H933" i="7"/>
  <c r="I933" i="7"/>
  <c r="J933" i="7"/>
  <c r="D934" i="7"/>
  <c r="E934" i="7"/>
  <c r="F934" i="7"/>
  <c r="G934" i="7"/>
  <c r="H934" i="7"/>
  <c r="I934" i="7"/>
  <c r="J934" i="7"/>
  <c r="D935" i="7"/>
  <c r="E935" i="7"/>
  <c r="F935" i="7"/>
  <c r="G935" i="7"/>
  <c r="H935" i="7"/>
  <c r="I935" i="7"/>
  <c r="J935" i="7"/>
  <c r="D936" i="7"/>
  <c r="E936" i="7"/>
  <c r="F936" i="7"/>
  <c r="G936" i="7"/>
  <c r="H936" i="7"/>
  <c r="I936" i="7"/>
  <c r="J936" i="7"/>
  <c r="D937" i="7"/>
  <c r="E937" i="7"/>
  <c r="F937" i="7"/>
  <c r="G937" i="7"/>
  <c r="H937" i="7"/>
  <c r="I937" i="7"/>
  <c r="J937" i="7"/>
  <c r="D938" i="7"/>
  <c r="E938" i="7"/>
  <c r="F938" i="7"/>
  <c r="G938" i="7"/>
  <c r="H938" i="7"/>
  <c r="I938" i="7"/>
  <c r="J938" i="7"/>
  <c r="D939" i="7"/>
  <c r="E939" i="7"/>
  <c r="F939" i="7"/>
  <c r="G939" i="7"/>
  <c r="H939" i="7"/>
  <c r="I939" i="7"/>
  <c r="J939" i="7"/>
  <c r="D940" i="7"/>
  <c r="E940" i="7"/>
  <c r="F940" i="7"/>
  <c r="G940" i="7"/>
  <c r="H940" i="7"/>
  <c r="I940" i="7"/>
  <c r="J940" i="7"/>
  <c r="D941" i="7"/>
  <c r="E941" i="7"/>
  <c r="F941" i="7"/>
  <c r="G941" i="7"/>
  <c r="H941" i="7"/>
  <c r="I941" i="7"/>
  <c r="J941" i="7"/>
  <c r="D942" i="7"/>
  <c r="E942" i="7"/>
  <c r="F942" i="7"/>
  <c r="G942" i="7"/>
  <c r="H942" i="7"/>
  <c r="I942" i="7"/>
  <c r="J942" i="7"/>
  <c r="D943" i="7"/>
  <c r="E943" i="7"/>
  <c r="F943" i="7"/>
  <c r="G943" i="7"/>
  <c r="H943" i="7"/>
  <c r="I943" i="7"/>
  <c r="J943" i="7"/>
  <c r="D944" i="7"/>
  <c r="E944" i="7"/>
  <c r="F944" i="7"/>
  <c r="G944" i="7"/>
  <c r="H944" i="7"/>
  <c r="I944" i="7"/>
  <c r="J944" i="7"/>
  <c r="D945" i="7"/>
  <c r="E945" i="7"/>
  <c r="F945" i="7"/>
  <c r="G945" i="7"/>
  <c r="H945" i="7"/>
  <c r="I945" i="7"/>
  <c r="J945" i="7"/>
  <c r="D946" i="7"/>
  <c r="E946" i="7"/>
  <c r="F946" i="7"/>
  <c r="G946" i="7"/>
  <c r="H946" i="7"/>
  <c r="I946" i="7"/>
  <c r="J946" i="7"/>
  <c r="D947" i="7"/>
  <c r="E947" i="7"/>
  <c r="F947" i="7"/>
  <c r="G947" i="7"/>
  <c r="H947" i="7"/>
  <c r="I947" i="7"/>
  <c r="J947" i="7"/>
  <c r="D948" i="7"/>
  <c r="E948" i="7"/>
  <c r="F948" i="7"/>
  <c r="G948" i="7"/>
  <c r="H948" i="7"/>
  <c r="I948" i="7"/>
  <c r="J948" i="7"/>
  <c r="D949" i="7"/>
  <c r="E949" i="7"/>
  <c r="F949" i="7"/>
  <c r="G949" i="7"/>
  <c r="H949" i="7"/>
  <c r="I949" i="7"/>
  <c r="J949" i="7"/>
  <c r="D950" i="7"/>
  <c r="E950" i="7"/>
  <c r="F950" i="7"/>
  <c r="G950" i="7"/>
  <c r="H950" i="7"/>
  <c r="I950" i="7"/>
  <c r="J950" i="7"/>
  <c r="D951" i="7"/>
  <c r="E951" i="7"/>
  <c r="F951" i="7"/>
  <c r="G951" i="7"/>
  <c r="H951" i="7"/>
  <c r="I951" i="7"/>
  <c r="J951" i="7"/>
  <c r="D952" i="7"/>
  <c r="E952" i="7"/>
  <c r="F952" i="7"/>
  <c r="G952" i="7"/>
  <c r="H952" i="7"/>
  <c r="I952" i="7"/>
  <c r="J952" i="7"/>
  <c r="D953" i="7"/>
  <c r="E953" i="7"/>
  <c r="F953" i="7"/>
  <c r="G953" i="7"/>
  <c r="H953" i="7"/>
  <c r="I953" i="7"/>
  <c r="J953" i="7"/>
  <c r="D954" i="7"/>
  <c r="E954" i="7"/>
  <c r="F954" i="7"/>
  <c r="G954" i="7"/>
  <c r="H954" i="7"/>
  <c r="I954" i="7"/>
  <c r="J954" i="7"/>
  <c r="D955" i="7"/>
  <c r="E955" i="7"/>
  <c r="F955" i="7"/>
  <c r="G955" i="7"/>
  <c r="H955" i="7"/>
  <c r="I955" i="7"/>
  <c r="J955" i="7"/>
  <c r="D956" i="7"/>
  <c r="E956" i="7"/>
  <c r="F956" i="7"/>
  <c r="G956" i="7"/>
  <c r="H956" i="7"/>
  <c r="I956" i="7"/>
  <c r="J956" i="7"/>
  <c r="D957" i="7"/>
  <c r="E957" i="7"/>
  <c r="F957" i="7"/>
  <c r="G957" i="7"/>
  <c r="H957" i="7"/>
  <c r="I957" i="7"/>
  <c r="J957" i="7"/>
  <c r="D958" i="7"/>
  <c r="E958" i="7"/>
  <c r="F958" i="7"/>
  <c r="G958" i="7"/>
  <c r="H958" i="7"/>
  <c r="I958" i="7"/>
  <c r="J958" i="7"/>
  <c r="D959" i="7"/>
  <c r="E959" i="7"/>
  <c r="F959" i="7"/>
  <c r="G959" i="7"/>
  <c r="H959" i="7"/>
  <c r="I959" i="7"/>
  <c r="J959" i="7"/>
  <c r="D960" i="7"/>
  <c r="E960" i="7"/>
  <c r="F960" i="7"/>
  <c r="G960" i="7"/>
  <c r="H960" i="7"/>
  <c r="I960" i="7"/>
  <c r="J960" i="7"/>
  <c r="D961" i="7"/>
  <c r="E961" i="7"/>
  <c r="F961" i="7"/>
  <c r="G961" i="7"/>
  <c r="H961" i="7"/>
  <c r="I961" i="7"/>
  <c r="J961" i="7"/>
  <c r="D962" i="7"/>
  <c r="E962" i="7"/>
  <c r="F962" i="7"/>
  <c r="G962" i="7"/>
  <c r="H962" i="7"/>
  <c r="I962" i="7"/>
  <c r="J962" i="7"/>
  <c r="D963" i="7"/>
  <c r="E963" i="7"/>
  <c r="F963" i="7"/>
  <c r="G963" i="7"/>
  <c r="H963" i="7"/>
  <c r="I963" i="7"/>
  <c r="J963" i="7"/>
  <c r="D964" i="7"/>
  <c r="E964" i="7"/>
  <c r="F964" i="7"/>
  <c r="G964" i="7"/>
  <c r="H964" i="7"/>
  <c r="I964" i="7"/>
  <c r="J964" i="7"/>
  <c r="D965" i="7"/>
  <c r="E965" i="7"/>
  <c r="F965" i="7"/>
  <c r="G965" i="7"/>
  <c r="H965" i="7"/>
  <c r="I965" i="7"/>
  <c r="J965" i="7"/>
  <c r="D966" i="7"/>
  <c r="E966" i="7"/>
  <c r="F966" i="7"/>
  <c r="G966" i="7"/>
  <c r="H966" i="7"/>
  <c r="I966" i="7"/>
  <c r="J966" i="7"/>
  <c r="D967" i="7"/>
  <c r="E967" i="7"/>
  <c r="F967" i="7"/>
  <c r="G967" i="7"/>
  <c r="H967" i="7"/>
  <c r="I967" i="7"/>
  <c r="J967" i="7"/>
  <c r="D968" i="7"/>
  <c r="E968" i="7"/>
  <c r="F968" i="7"/>
  <c r="G968" i="7"/>
  <c r="H968" i="7"/>
  <c r="I968" i="7"/>
  <c r="J968" i="7"/>
  <c r="D969" i="7"/>
  <c r="E969" i="7"/>
  <c r="F969" i="7"/>
  <c r="G969" i="7"/>
  <c r="H969" i="7"/>
  <c r="I969" i="7"/>
  <c r="J969" i="7"/>
  <c r="D970" i="7"/>
  <c r="E970" i="7"/>
  <c r="F970" i="7"/>
  <c r="G970" i="7"/>
  <c r="H970" i="7"/>
  <c r="I970" i="7"/>
  <c r="J970" i="7"/>
  <c r="D971" i="7"/>
  <c r="E971" i="7"/>
  <c r="F971" i="7"/>
  <c r="G971" i="7"/>
  <c r="H971" i="7"/>
  <c r="I971" i="7"/>
  <c r="J971" i="7"/>
  <c r="D972" i="7"/>
  <c r="E972" i="7"/>
  <c r="F972" i="7"/>
  <c r="G972" i="7"/>
  <c r="H972" i="7"/>
  <c r="I972" i="7"/>
  <c r="J972" i="7"/>
  <c r="D973" i="7"/>
  <c r="E973" i="7"/>
  <c r="F973" i="7"/>
  <c r="G973" i="7"/>
  <c r="H973" i="7"/>
  <c r="I973" i="7"/>
  <c r="J973" i="7"/>
  <c r="D974" i="7"/>
  <c r="E974" i="7"/>
  <c r="F974" i="7"/>
  <c r="G974" i="7"/>
  <c r="H974" i="7"/>
  <c r="I974" i="7"/>
  <c r="J974" i="7"/>
  <c r="D975" i="7"/>
  <c r="E975" i="7"/>
  <c r="F975" i="7"/>
  <c r="G975" i="7"/>
  <c r="H975" i="7"/>
  <c r="I975" i="7"/>
  <c r="J975" i="7"/>
  <c r="D976" i="7"/>
  <c r="E976" i="7"/>
  <c r="F976" i="7"/>
  <c r="G976" i="7"/>
  <c r="H976" i="7"/>
  <c r="I976" i="7"/>
  <c r="J976" i="7"/>
  <c r="D977" i="7"/>
  <c r="E977" i="7"/>
  <c r="F977" i="7"/>
  <c r="G977" i="7"/>
  <c r="H977" i="7"/>
  <c r="I977" i="7"/>
  <c r="J977" i="7"/>
  <c r="D978" i="7"/>
  <c r="E978" i="7"/>
  <c r="F978" i="7"/>
  <c r="G978" i="7"/>
  <c r="H978" i="7"/>
  <c r="I978" i="7"/>
  <c r="J978" i="7"/>
  <c r="D979" i="7"/>
  <c r="E979" i="7"/>
  <c r="F979" i="7"/>
  <c r="G979" i="7"/>
  <c r="H979" i="7"/>
  <c r="I979" i="7"/>
  <c r="J979" i="7"/>
  <c r="D980" i="7"/>
  <c r="E980" i="7"/>
  <c r="F980" i="7"/>
  <c r="G980" i="7"/>
  <c r="H980" i="7"/>
  <c r="I980" i="7"/>
  <c r="J980" i="7"/>
  <c r="D981" i="7"/>
  <c r="E981" i="7"/>
  <c r="F981" i="7"/>
  <c r="G981" i="7"/>
  <c r="H981" i="7"/>
  <c r="I981" i="7"/>
  <c r="J981" i="7"/>
  <c r="D982" i="7"/>
  <c r="E982" i="7"/>
  <c r="F982" i="7"/>
  <c r="G982" i="7"/>
  <c r="H982" i="7"/>
  <c r="I982" i="7"/>
  <c r="J982" i="7"/>
  <c r="D983" i="7"/>
  <c r="E983" i="7"/>
  <c r="F983" i="7"/>
  <c r="G983" i="7"/>
  <c r="H983" i="7"/>
  <c r="I983" i="7"/>
  <c r="J983" i="7"/>
  <c r="D984" i="7"/>
  <c r="E984" i="7"/>
  <c r="F984" i="7"/>
  <c r="G984" i="7"/>
  <c r="H984" i="7"/>
  <c r="I984" i="7"/>
  <c r="J984" i="7"/>
  <c r="D985" i="7"/>
  <c r="E985" i="7"/>
  <c r="F985" i="7"/>
  <c r="G985" i="7"/>
  <c r="H985" i="7"/>
  <c r="I985" i="7"/>
  <c r="J985" i="7"/>
  <c r="D986" i="7"/>
  <c r="E986" i="7"/>
  <c r="F986" i="7"/>
  <c r="G986" i="7"/>
  <c r="H986" i="7"/>
  <c r="I986" i="7"/>
  <c r="J986" i="7"/>
  <c r="D987" i="7"/>
  <c r="E987" i="7"/>
  <c r="F987" i="7"/>
  <c r="G987" i="7"/>
  <c r="H987" i="7"/>
  <c r="I987" i="7"/>
  <c r="J987" i="7"/>
  <c r="D988" i="7"/>
  <c r="E988" i="7"/>
  <c r="F988" i="7"/>
  <c r="G988" i="7"/>
  <c r="H988" i="7"/>
  <c r="I988" i="7"/>
  <c r="J988" i="7"/>
  <c r="D989" i="7"/>
  <c r="E989" i="7"/>
  <c r="F989" i="7"/>
  <c r="G989" i="7"/>
  <c r="H989" i="7"/>
  <c r="I989" i="7"/>
  <c r="J989" i="7"/>
  <c r="D990" i="7"/>
  <c r="E990" i="7"/>
  <c r="F990" i="7"/>
  <c r="G990" i="7"/>
  <c r="H990" i="7"/>
  <c r="I990" i="7"/>
  <c r="J990" i="7"/>
  <c r="D991" i="7"/>
  <c r="E991" i="7"/>
  <c r="F991" i="7"/>
  <c r="G991" i="7"/>
  <c r="H991" i="7"/>
  <c r="I991" i="7"/>
  <c r="J991" i="7"/>
  <c r="D992" i="7"/>
  <c r="E992" i="7"/>
  <c r="F992" i="7"/>
  <c r="G992" i="7"/>
  <c r="H992" i="7"/>
  <c r="I992" i="7"/>
  <c r="J992" i="7"/>
  <c r="D993" i="7"/>
  <c r="E993" i="7"/>
  <c r="F993" i="7"/>
  <c r="G993" i="7"/>
  <c r="H993" i="7"/>
  <c r="I993" i="7"/>
  <c r="J993" i="7"/>
  <c r="D994" i="7"/>
  <c r="E994" i="7"/>
  <c r="F994" i="7"/>
  <c r="G994" i="7"/>
  <c r="H994" i="7"/>
  <c r="I994" i="7"/>
  <c r="J994" i="7"/>
  <c r="D995" i="7"/>
  <c r="E995" i="7"/>
  <c r="F995" i="7"/>
  <c r="G995" i="7"/>
  <c r="H995" i="7"/>
  <c r="I995" i="7"/>
  <c r="J995" i="7"/>
  <c r="D996" i="7"/>
  <c r="E996" i="7"/>
  <c r="F996" i="7"/>
  <c r="G996" i="7"/>
  <c r="H996" i="7"/>
  <c r="I996" i="7"/>
  <c r="J996" i="7"/>
  <c r="D997" i="7"/>
  <c r="E997" i="7"/>
  <c r="F997" i="7"/>
  <c r="G997" i="7"/>
  <c r="H997" i="7"/>
  <c r="I997" i="7"/>
  <c r="J997" i="7"/>
  <c r="D998" i="7"/>
  <c r="E998" i="7"/>
  <c r="F998" i="7"/>
  <c r="G998" i="7"/>
  <c r="H998" i="7"/>
  <c r="I998" i="7"/>
  <c r="J998" i="7"/>
  <c r="D999" i="7"/>
  <c r="E999" i="7"/>
  <c r="F999" i="7"/>
  <c r="G999" i="7"/>
  <c r="H999" i="7"/>
  <c r="I999" i="7"/>
  <c r="J999" i="7"/>
  <c r="D1000" i="7"/>
  <c r="E1000" i="7"/>
  <c r="F1000" i="7"/>
  <c r="G1000" i="7"/>
  <c r="H1000" i="7"/>
  <c r="I1000" i="7"/>
  <c r="J1000" i="7"/>
  <c r="D1001" i="7"/>
  <c r="E1001" i="7"/>
  <c r="F1001" i="7"/>
  <c r="G1001" i="7"/>
  <c r="H1001" i="7"/>
  <c r="I1001" i="7"/>
  <c r="J1001" i="7"/>
  <c r="D1002" i="7"/>
  <c r="E1002" i="7"/>
  <c r="F1002" i="7"/>
  <c r="G1002" i="7"/>
  <c r="H1002" i="7"/>
  <c r="I1002" i="7"/>
  <c r="J1002" i="7"/>
  <c r="D1003" i="7"/>
  <c r="E1003" i="7"/>
  <c r="F1003" i="7"/>
  <c r="G1003" i="7"/>
  <c r="H1003" i="7"/>
  <c r="I1003" i="7"/>
  <c r="J1003" i="7"/>
  <c r="D1004" i="7"/>
  <c r="E1004" i="7"/>
  <c r="F1004" i="7"/>
  <c r="G1004" i="7"/>
  <c r="H1004" i="7"/>
  <c r="I1004" i="7"/>
  <c r="J1004" i="7"/>
  <c r="D1005" i="7"/>
  <c r="E1005" i="7"/>
  <c r="F1005" i="7"/>
  <c r="G1005" i="7"/>
  <c r="H1005" i="7"/>
  <c r="I1005" i="7"/>
  <c r="J1005" i="7"/>
  <c r="D1006" i="7"/>
  <c r="E1006" i="7"/>
  <c r="F1006" i="7"/>
  <c r="G1006" i="7"/>
  <c r="H1006" i="7"/>
  <c r="I1006" i="7"/>
  <c r="J1006" i="7"/>
  <c r="D1007" i="7"/>
  <c r="E1007" i="7"/>
  <c r="F1007" i="7"/>
  <c r="G1007" i="7"/>
  <c r="H1007" i="7"/>
  <c r="I1007" i="7"/>
  <c r="J1007" i="7"/>
  <c r="D1008" i="7"/>
  <c r="E1008" i="7"/>
  <c r="F1008" i="7"/>
  <c r="G1008" i="7"/>
  <c r="H1008" i="7"/>
  <c r="I1008" i="7"/>
  <c r="J1008" i="7"/>
  <c r="D1009" i="7"/>
  <c r="E1009" i="7"/>
  <c r="F1009" i="7"/>
  <c r="G1009" i="7"/>
  <c r="H1009" i="7"/>
  <c r="I1009" i="7"/>
  <c r="J1009" i="7"/>
  <c r="D1010" i="7"/>
  <c r="E1010" i="7"/>
  <c r="F1010" i="7"/>
  <c r="G1010" i="7"/>
  <c r="H1010" i="7"/>
  <c r="I1010" i="7"/>
  <c r="J1010" i="7"/>
  <c r="D1011" i="7"/>
  <c r="E1011" i="7"/>
  <c r="F1011" i="7"/>
  <c r="G1011" i="7"/>
  <c r="H1011" i="7"/>
  <c r="I1011" i="7"/>
  <c r="J1011" i="7"/>
  <c r="D1012" i="7"/>
  <c r="E1012" i="7"/>
  <c r="F1012" i="7"/>
  <c r="G1012" i="7"/>
  <c r="H1012" i="7"/>
  <c r="I1012" i="7"/>
  <c r="J1012" i="7"/>
  <c r="D1013" i="7"/>
  <c r="E1013" i="7"/>
  <c r="F1013" i="7"/>
  <c r="G1013" i="7"/>
  <c r="H1013" i="7"/>
  <c r="I1013" i="7"/>
  <c r="J1013" i="7"/>
  <c r="D1014" i="7"/>
  <c r="E1014" i="7"/>
  <c r="F1014" i="7"/>
  <c r="G1014" i="7"/>
  <c r="H1014" i="7"/>
  <c r="I1014" i="7"/>
  <c r="J1014" i="7"/>
  <c r="D1015" i="7"/>
  <c r="E1015" i="7"/>
  <c r="F1015" i="7"/>
  <c r="G1015" i="7"/>
  <c r="H1015" i="7"/>
  <c r="I1015" i="7"/>
  <c r="J1015" i="7"/>
  <c r="D1016" i="7"/>
  <c r="E1016" i="7"/>
  <c r="F1016" i="7"/>
  <c r="G1016" i="7"/>
  <c r="H1016" i="7"/>
  <c r="I1016" i="7"/>
  <c r="J1016" i="7"/>
  <c r="D1017" i="7"/>
  <c r="E1017" i="7"/>
  <c r="F1017" i="7"/>
  <c r="G1017" i="7"/>
  <c r="H1017" i="7"/>
  <c r="I1017" i="7"/>
  <c r="J1017" i="7"/>
  <c r="D1018" i="7"/>
  <c r="E1018" i="7"/>
  <c r="F1018" i="7"/>
  <c r="G1018" i="7"/>
  <c r="H1018" i="7"/>
  <c r="I1018" i="7"/>
  <c r="J1018" i="7"/>
  <c r="D1019" i="7"/>
  <c r="E1019" i="7"/>
  <c r="F1019" i="7"/>
  <c r="G1019" i="7"/>
  <c r="H1019" i="7"/>
  <c r="I1019" i="7"/>
  <c r="J1019" i="7"/>
  <c r="D1020" i="7"/>
  <c r="E1020" i="7"/>
  <c r="F1020" i="7"/>
  <c r="G1020" i="7"/>
  <c r="H1020" i="7"/>
  <c r="I1020" i="7"/>
  <c r="J1020" i="7"/>
  <c r="D1021" i="7"/>
  <c r="E1021" i="7"/>
  <c r="F1021" i="7"/>
  <c r="G1021" i="7"/>
  <c r="H1021" i="7"/>
  <c r="I1021" i="7"/>
  <c r="J1021" i="7"/>
  <c r="D1022" i="7"/>
  <c r="E1022" i="7"/>
  <c r="F1022" i="7"/>
  <c r="G1022" i="7"/>
  <c r="H1022" i="7"/>
  <c r="I1022" i="7"/>
  <c r="J1022" i="7"/>
  <c r="D1023" i="7"/>
  <c r="E1023" i="7"/>
  <c r="F1023" i="7"/>
  <c r="G1023" i="7"/>
  <c r="H1023" i="7"/>
  <c r="I1023" i="7"/>
  <c r="J1023" i="7"/>
  <c r="D1024" i="7"/>
  <c r="E1024" i="7"/>
  <c r="F1024" i="7"/>
  <c r="G1024" i="7"/>
  <c r="H1024" i="7"/>
  <c r="I1024" i="7"/>
  <c r="J1024" i="7"/>
  <c r="D1025" i="7"/>
  <c r="E1025" i="7"/>
  <c r="F1025" i="7"/>
  <c r="G1025" i="7"/>
  <c r="H1025" i="7"/>
  <c r="I1025" i="7"/>
  <c r="J1025" i="7"/>
  <c r="D1026" i="7"/>
  <c r="E1026" i="7"/>
  <c r="F1026" i="7"/>
  <c r="G1026" i="7"/>
  <c r="H1026" i="7"/>
  <c r="I1026" i="7"/>
  <c r="J1026" i="7"/>
  <c r="D1027" i="7"/>
  <c r="E1027" i="7"/>
  <c r="F1027" i="7"/>
  <c r="G1027" i="7"/>
  <c r="H1027" i="7"/>
  <c r="I1027" i="7"/>
  <c r="J1027" i="7"/>
  <c r="D1028" i="7"/>
  <c r="E1028" i="7"/>
  <c r="F1028" i="7"/>
  <c r="G1028" i="7"/>
  <c r="H1028" i="7"/>
  <c r="I1028" i="7"/>
  <c r="J1028" i="7"/>
  <c r="D1029" i="7"/>
  <c r="E1029" i="7"/>
  <c r="F1029" i="7"/>
  <c r="G1029" i="7"/>
  <c r="H1029" i="7"/>
  <c r="I1029" i="7"/>
  <c r="J1029" i="7"/>
  <c r="D1030" i="7"/>
  <c r="E1030" i="7"/>
  <c r="F1030" i="7"/>
  <c r="G1030" i="7"/>
  <c r="H1030" i="7"/>
  <c r="I1030" i="7"/>
  <c r="J1030" i="7"/>
  <c r="D1031" i="7"/>
  <c r="E1031" i="7"/>
  <c r="F1031" i="7"/>
  <c r="G1031" i="7"/>
  <c r="H1031" i="7"/>
  <c r="I1031" i="7"/>
  <c r="J1031" i="7"/>
  <c r="D1032" i="7"/>
  <c r="E1032" i="7"/>
  <c r="F1032" i="7"/>
  <c r="G1032" i="7"/>
  <c r="H1032" i="7"/>
  <c r="I1032" i="7"/>
  <c r="J1032" i="7"/>
  <c r="D1033" i="7"/>
  <c r="E1033" i="7"/>
  <c r="F1033" i="7"/>
  <c r="G1033" i="7"/>
  <c r="H1033" i="7"/>
  <c r="I1033" i="7"/>
  <c r="J1033" i="7"/>
  <c r="D1034" i="7"/>
  <c r="E1034" i="7"/>
  <c r="F1034" i="7"/>
  <c r="G1034" i="7"/>
  <c r="H1034" i="7"/>
  <c r="I1034" i="7"/>
  <c r="J1034" i="7"/>
  <c r="D1035" i="7"/>
  <c r="E1035" i="7"/>
  <c r="F1035" i="7"/>
  <c r="G1035" i="7"/>
  <c r="H1035" i="7"/>
  <c r="I1035" i="7"/>
  <c r="J1035" i="7"/>
  <c r="D1036" i="7"/>
  <c r="E1036" i="7"/>
  <c r="F1036" i="7"/>
  <c r="G1036" i="7"/>
  <c r="H1036" i="7"/>
  <c r="I1036" i="7"/>
  <c r="J1036" i="7"/>
  <c r="D1037" i="7"/>
  <c r="E1037" i="7"/>
  <c r="F1037" i="7"/>
  <c r="G1037" i="7"/>
  <c r="H1037" i="7"/>
  <c r="I1037" i="7"/>
  <c r="J1037" i="7"/>
  <c r="D1038" i="7"/>
  <c r="E1038" i="7"/>
  <c r="F1038" i="7"/>
  <c r="G1038" i="7"/>
  <c r="H1038" i="7"/>
  <c r="I1038" i="7"/>
  <c r="J1038" i="7"/>
  <c r="D1039" i="7"/>
  <c r="E1039" i="7"/>
  <c r="F1039" i="7"/>
  <c r="G1039" i="7"/>
  <c r="H1039" i="7"/>
  <c r="I1039" i="7"/>
  <c r="J1039" i="7"/>
  <c r="D1040" i="7"/>
  <c r="E1040" i="7"/>
  <c r="F1040" i="7"/>
  <c r="G1040" i="7"/>
  <c r="H1040" i="7"/>
  <c r="I1040" i="7"/>
  <c r="J1040" i="7"/>
  <c r="D1041" i="7"/>
  <c r="E1041" i="7"/>
  <c r="F1041" i="7"/>
  <c r="G1041" i="7"/>
  <c r="H1041" i="7"/>
  <c r="I1041" i="7"/>
  <c r="J1041" i="7"/>
  <c r="D1042" i="7"/>
  <c r="E1042" i="7"/>
  <c r="F1042" i="7"/>
  <c r="G1042" i="7"/>
  <c r="H1042" i="7"/>
  <c r="I1042" i="7"/>
  <c r="J1042" i="7"/>
  <c r="D1043" i="7"/>
  <c r="E1043" i="7"/>
  <c r="F1043" i="7"/>
  <c r="G1043" i="7"/>
  <c r="H1043" i="7"/>
  <c r="I1043" i="7"/>
  <c r="J1043" i="7"/>
  <c r="D1044" i="7"/>
  <c r="E1044" i="7"/>
  <c r="F1044" i="7"/>
  <c r="G1044" i="7"/>
  <c r="H1044" i="7"/>
  <c r="I1044" i="7"/>
  <c r="J1044" i="7"/>
  <c r="D1045" i="7"/>
  <c r="E1045" i="7"/>
  <c r="F1045" i="7"/>
  <c r="G1045" i="7"/>
  <c r="H1045" i="7"/>
  <c r="I1045" i="7"/>
  <c r="J1045" i="7"/>
  <c r="D1046" i="7"/>
  <c r="E1046" i="7"/>
  <c r="F1046" i="7"/>
  <c r="G1046" i="7"/>
  <c r="H1046" i="7"/>
  <c r="I1046" i="7"/>
  <c r="J1046" i="7"/>
  <c r="D1047" i="7"/>
  <c r="E1047" i="7"/>
  <c r="F1047" i="7"/>
  <c r="G1047" i="7"/>
  <c r="H1047" i="7"/>
  <c r="I1047" i="7"/>
  <c r="J1047" i="7"/>
  <c r="D1048" i="7"/>
  <c r="E1048" i="7"/>
  <c r="F1048" i="7"/>
  <c r="G1048" i="7"/>
  <c r="H1048" i="7"/>
  <c r="I1048" i="7"/>
  <c r="J1048" i="7"/>
  <c r="D1049" i="7"/>
  <c r="E1049" i="7"/>
  <c r="F1049" i="7"/>
  <c r="G1049" i="7"/>
  <c r="H1049" i="7"/>
  <c r="I1049" i="7"/>
  <c r="J1049" i="7"/>
  <c r="D1050" i="7"/>
  <c r="E1050" i="7"/>
  <c r="F1050" i="7"/>
  <c r="G1050" i="7"/>
  <c r="H1050" i="7"/>
  <c r="I1050" i="7"/>
  <c r="J1050" i="7"/>
  <c r="D1051" i="7"/>
  <c r="E1051" i="7"/>
  <c r="F1051" i="7"/>
  <c r="G1051" i="7"/>
  <c r="H1051" i="7"/>
  <c r="I1051" i="7"/>
  <c r="J1051" i="7"/>
  <c r="D1052" i="7"/>
  <c r="E1052" i="7"/>
  <c r="F1052" i="7"/>
  <c r="G1052" i="7"/>
  <c r="H1052" i="7"/>
  <c r="I1052" i="7"/>
  <c r="J1052" i="7"/>
  <c r="D1053" i="7"/>
  <c r="E1053" i="7"/>
  <c r="F1053" i="7"/>
  <c r="G1053" i="7"/>
  <c r="H1053" i="7"/>
  <c r="I1053" i="7"/>
  <c r="J1053" i="7"/>
  <c r="D1054" i="7"/>
  <c r="E1054" i="7"/>
  <c r="F1054" i="7"/>
  <c r="G1054" i="7"/>
  <c r="H1054" i="7"/>
  <c r="I1054" i="7"/>
  <c r="J1054" i="7"/>
  <c r="D1055" i="7"/>
  <c r="E1055" i="7"/>
  <c r="F1055" i="7"/>
  <c r="G1055" i="7"/>
  <c r="H1055" i="7"/>
  <c r="I1055" i="7"/>
  <c r="J1055" i="7"/>
  <c r="D1056" i="7"/>
  <c r="E1056" i="7"/>
  <c r="F1056" i="7"/>
  <c r="G1056" i="7"/>
  <c r="H1056" i="7"/>
  <c r="I1056" i="7"/>
  <c r="J1056" i="7"/>
  <c r="D1057" i="7"/>
  <c r="E1057" i="7"/>
  <c r="F1057" i="7"/>
  <c r="G1057" i="7"/>
  <c r="H1057" i="7"/>
  <c r="I1057" i="7"/>
  <c r="J1057" i="7"/>
  <c r="D1058" i="7"/>
  <c r="E1058" i="7"/>
  <c r="F1058" i="7"/>
  <c r="G1058" i="7"/>
  <c r="H1058" i="7"/>
  <c r="I1058" i="7"/>
  <c r="J1058" i="7"/>
  <c r="D1059" i="7"/>
  <c r="E1059" i="7"/>
  <c r="F1059" i="7"/>
  <c r="G1059" i="7"/>
  <c r="H1059" i="7"/>
  <c r="I1059" i="7"/>
  <c r="J1059" i="7"/>
  <c r="D1060" i="7"/>
  <c r="E1060" i="7"/>
  <c r="F1060" i="7"/>
  <c r="G1060" i="7"/>
  <c r="H1060" i="7"/>
  <c r="I1060" i="7"/>
  <c r="J1060" i="7"/>
  <c r="D1061" i="7"/>
  <c r="E1061" i="7"/>
  <c r="F1061" i="7"/>
  <c r="G1061" i="7"/>
  <c r="H1061" i="7"/>
  <c r="I1061" i="7"/>
  <c r="J1061" i="7"/>
  <c r="D1062" i="7"/>
  <c r="E1062" i="7"/>
  <c r="F1062" i="7"/>
  <c r="G1062" i="7"/>
  <c r="H1062" i="7"/>
  <c r="I1062" i="7"/>
  <c r="J1062" i="7"/>
  <c r="D1063" i="7"/>
  <c r="E1063" i="7"/>
  <c r="F1063" i="7"/>
  <c r="G1063" i="7"/>
  <c r="H1063" i="7"/>
  <c r="I1063" i="7"/>
  <c r="J1063" i="7"/>
  <c r="D1064" i="7"/>
  <c r="E1064" i="7"/>
  <c r="F1064" i="7"/>
  <c r="G1064" i="7"/>
  <c r="H1064" i="7"/>
  <c r="I1064" i="7"/>
  <c r="J1064" i="7"/>
  <c r="D1065" i="7"/>
  <c r="E1065" i="7"/>
  <c r="F1065" i="7"/>
  <c r="G1065" i="7"/>
  <c r="H1065" i="7"/>
  <c r="I1065" i="7"/>
  <c r="J1065" i="7"/>
  <c r="D1066" i="7"/>
  <c r="E1066" i="7"/>
  <c r="F1066" i="7"/>
  <c r="G1066" i="7"/>
  <c r="H1066" i="7"/>
  <c r="I1066" i="7"/>
  <c r="J1066" i="7"/>
  <c r="D1067" i="7"/>
  <c r="E1067" i="7"/>
  <c r="F1067" i="7"/>
  <c r="G1067" i="7"/>
  <c r="H1067" i="7"/>
  <c r="I1067" i="7"/>
  <c r="J1067" i="7"/>
  <c r="D1068" i="7"/>
  <c r="E1068" i="7"/>
  <c r="F1068" i="7"/>
  <c r="G1068" i="7"/>
  <c r="H1068" i="7"/>
  <c r="I1068" i="7"/>
  <c r="J1068" i="7"/>
  <c r="D1069" i="7"/>
  <c r="E1069" i="7"/>
  <c r="F1069" i="7"/>
  <c r="G1069" i="7"/>
  <c r="H1069" i="7"/>
  <c r="I1069" i="7"/>
  <c r="J1069" i="7"/>
  <c r="D1070" i="7"/>
  <c r="E1070" i="7"/>
  <c r="F1070" i="7"/>
  <c r="G1070" i="7"/>
  <c r="H1070" i="7"/>
  <c r="I1070" i="7"/>
  <c r="J1070" i="7"/>
  <c r="D1071" i="7"/>
  <c r="E1071" i="7"/>
  <c r="F1071" i="7"/>
  <c r="G1071" i="7"/>
  <c r="H1071" i="7"/>
  <c r="I1071" i="7"/>
  <c r="J1071" i="7"/>
  <c r="D1072" i="7"/>
  <c r="E1072" i="7"/>
  <c r="F1072" i="7"/>
  <c r="G1072" i="7"/>
  <c r="H1072" i="7"/>
  <c r="I1072" i="7"/>
  <c r="J1072" i="7"/>
  <c r="D1073" i="7"/>
  <c r="E1073" i="7"/>
  <c r="F1073" i="7"/>
  <c r="G1073" i="7"/>
  <c r="H1073" i="7"/>
  <c r="I1073" i="7"/>
  <c r="J1073" i="7"/>
  <c r="D1074" i="7"/>
  <c r="E1074" i="7"/>
  <c r="F1074" i="7"/>
  <c r="G1074" i="7"/>
  <c r="H1074" i="7"/>
  <c r="I1074" i="7"/>
  <c r="J1074" i="7"/>
  <c r="D1075" i="7"/>
  <c r="E1075" i="7"/>
  <c r="F1075" i="7"/>
  <c r="G1075" i="7"/>
  <c r="H1075" i="7"/>
  <c r="I1075" i="7"/>
  <c r="J1075" i="7"/>
  <c r="D1076" i="7"/>
  <c r="E1076" i="7"/>
  <c r="F1076" i="7"/>
  <c r="G1076" i="7"/>
  <c r="H1076" i="7"/>
  <c r="I1076" i="7"/>
  <c r="J1076" i="7"/>
  <c r="D1077" i="7"/>
  <c r="E1077" i="7"/>
  <c r="F1077" i="7"/>
  <c r="G1077" i="7"/>
  <c r="H1077" i="7"/>
  <c r="I1077" i="7"/>
  <c r="J1077" i="7"/>
  <c r="D1078" i="7"/>
  <c r="E1078" i="7"/>
  <c r="F1078" i="7"/>
  <c r="G1078" i="7"/>
  <c r="H1078" i="7"/>
  <c r="I1078" i="7"/>
  <c r="J1078" i="7"/>
  <c r="D1079" i="7"/>
  <c r="E1079" i="7"/>
  <c r="F1079" i="7"/>
  <c r="G1079" i="7"/>
  <c r="H1079" i="7"/>
  <c r="I1079" i="7"/>
  <c r="J1079" i="7"/>
  <c r="D1080" i="7"/>
  <c r="E1080" i="7"/>
  <c r="F1080" i="7"/>
  <c r="G1080" i="7"/>
  <c r="H1080" i="7"/>
  <c r="I1080" i="7"/>
  <c r="J1080" i="7"/>
  <c r="D1081" i="7"/>
  <c r="E1081" i="7"/>
  <c r="F1081" i="7"/>
  <c r="G1081" i="7"/>
  <c r="H1081" i="7"/>
  <c r="I1081" i="7"/>
  <c r="J1081" i="7"/>
  <c r="D1082" i="7"/>
  <c r="E1082" i="7"/>
  <c r="F1082" i="7"/>
  <c r="G1082" i="7"/>
  <c r="H1082" i="7"/>
  <c r="I1082" i="7"/>
  <c r="J1082" i="7"/>
  <c r="D1083" i="7"/>
  <c r="E1083" i="7"/>
  <c r="F1083" i="7"/>
  <c r="G1083" i="7"/>
  <c r="H1083" i="7"/>
  <c r="I1083" i="7"/>
  <c r="J1083" i="7"/>
  <c r="D1084" i="7"/>
  <c r="E1084" i="7"/>
  <c r="F1084" i="7"/>
  <c r="G1084" i="7"/>
  <c r="H1084" i="7"/>
  <c r="I1084" i="7"/>
  <c r="J1084" i="7"/>
  <c r="D1085" i="7"/>
  <c r="E1085" i="7"/>
  <c r="F1085" i="7"/>
  <c r="G1085" i="7"/>
  <c r="H1085" i="7"/>
  <c r="I1085" i="7"/>
  <c r="J1085" i="7"/>
  <c r="D1086" i="7"/>
  <c r="E1086" i="7"/>
  <c r="F1086" i="7"/>
  <c r="G1086" i="7"/>
  <c r="H1086" i="7"/>
  <c r="I1086" i="7"/>
  <c r="J1086" i="7"/>
  <c r="D1087" i="7"/>
  <c r="E1087" i="7"/>
  <c r="F1087" i="7"/>
  <c r="G1087" i="7"/>
  <c r="H1087" i="7"/>
  <c r="I1087" i="7"/>
  <c r="J1087" i="7"/>
  <c r="D1088" i="7"/>
  <c r="E1088" i="7"/>
  <c r="F1088" i="7"/>
  <c r="G1088" i="7"/>
  <c r="H1088" i="7"/>
  <c r="I1088" i="7"/>
  <c r="J1088" i="7"/>
  <c r="D1089" i="7"/>
  <c r="E1089" i="7"/>
  <c r="F1089" i="7"/>
  <c r="G1089" i="7"/>
  <c r="H1089" i="7"/>
  <c r="I1089" i="7"/>
  <c r="J1089" i="7"/>
  <c r="D1090" i="7"/>
  <c r="E1090" i="7"/>
  <c r="F1090" i="7"/>
  <c r="G1090" i="7"/>
  <c r="H1090" i="7"/>
  <c r="I1090" i="7"/>
  <c r="J1090" i="7"/>
  <c r="D1091" i="7"/>
  <c r="E1091" i="7"/>
  <c r="F1091" i="7"/>
  <c r="G1091" i="7"/>
  <c r="H1091" i="7"/>
  <c r="I1091" i="7"/>
  <c r="J1091" i="7"/>
  <c r="D1092" i="7"/>
  <c r="E1092" i="7"/>
  <c r="F1092" i="7"/>
  <c r="G1092" i="7"/>
  <c r="H1092" i="7"/>
  <c r="I1092" i="7"/>
  <c r="J1092" i="7"/>
  <c r="D1093" i="7"/>
  <c r="E1093" i="7"/>
  <c r="F1093" i="7"/>
  <c r="G1093" i="7"/>
  <c r="H1093" i="7"/>
  <c r="I1093" i="7"/>
  <c r="J1093" i="7"/>
  <c r="D1094" i="7"/>
  <c r="E1094" i="7"/>
  <c r="F1094" i="7"/>
  <c r="G1094" i="7"/>
  <c r="H1094" i="7"/>
  <c r="I1094" i="7"/>
  <c r="J1094" i="7"/>
  <c r="D1095" i="7"/>
  <c r="E1095" i="7"/>
  <c r="F1095" i="7"/>
  <c r="G1095" i="7"/>
  <c r="H1095" i="7"/>
  <c r="I1095" i="7"/>
  <c r="J1095" i="7"/>
  <c r="D1096" i="7"/>
  <c r="E1096" i="7"/>
  <c r="F1096" i="7"/>
  <c r="G1096" i="7"/>
  <c r="H1096" i="7"/>
  <c r="I1096" i="7"/>
  <c r="J1096" i="7"/>
  <c r="D1097" i="7"/>
  <c r="E1097" i="7"/>
  <c r="F1097" i="7"/>
  <c r="G1097" i="7"/>
  <c r="H1097" i="7"/>
  <c r="I1097" i="7"/>
  <c r="J1097" i="7"/>
  <c r="D1098" i="7"/>
  <c r="E1098" i="7"/>
  <c r="F1098" i="7"/>
  <c r="G1098" i="7"/>
  <c r="H1098" i="7"/>
  <c r="I1098" i="7"/>
  <c r="J1098" i="7"/>
  <c r="D1099" i="7"/>
  <c r="E1099" i="7"/>
  <c r="F1099" i="7"/>
  <c r="G1099" i="7"/>
  <c r="H1099" i="7"/>
  <c r="I1099" i="7"/>
  <c r="J1099" i="7"/>
  <c r="D1100" i="7"/>
  <c r="E1100" i="7"/>
  <c r="F1100" i="7"/>
  <c r="G1100" i="7"/>
  <c r="H1100" i="7"/>
  <c r="I1100" i="7"/>
  <c r="J1100" i="7"/>
  <c r="D1101" i="7"/>
  <c r="E1101" i="7"/>
  <c r="F1101" i="7"/>
  <c r="G1101" i="7"/>
  <c r="H1101" i="7"/>
  <c r="I1101" i="7"/>
  <c r="J1101" i="7"/>
  <c r="D1102" i="7"/>
  <c r="E1102" i="7"/>
  <c r="F1102" i="7"/>
  <c r="G1102" i="7"/>
  <c r="H1102" i="7"/>
  <c r="I1102" i="7"/>
  <c r="J1102" i="7"/>
  <c r="D1103" i="7"/>
  <c r="E1103" i="7"/>
  <c r="F1103" i="7"/>
  <c r="G1103" i="7"/>
  <c r="H1103" i="7"/>
  <c r="I1103" i="7"/>
  <c r="J1103" i="7"/>
  <c r="D1104" i="7"/>
  <c r="E1104" i="7"/>
  <c r="F1104" i="7"/>
  <c r="G1104" i="7"/>
  <c r="H1104" i="7"/>
  <c r="I1104" i="7"/>
  <c r="J1104" i="7"/>
  <c r="D1105" i="7"/>
  <c r="E1105" i="7"/>
  <c r="F1105" i="7"/>
  <c r="G1105" i="7"/>
  <c r="H1105" i="7"/>
  <c r="I1105" i="7"/>
  <c r="J1105" i="7"/>
  <c r="D1106" i="7"/>
  <c r="E1106" i="7"/>
  <c r="F1106" i="7"/>
  <c r="G1106" i="7"/>
  <c r="H1106" i="7"/>
  <c r="I1106" i="7"/>
  <c r="J1106" i="7"/>
  <c r="D1107" i="7"/>
  <c r="E1107" i="7"/>
  <c r="F1107" i="7"/>
  <c r="G1107" i="7"/>
  <c r="H1107" i="7"/>
  <c r="I1107" i="7"/>
  <c r="J1107" i="7"/>
  <c r="D1108" i="7"/>
  <c r="E1108" i="7"/>
  <c r="F1108" i="7"/>
  <c r="G1108" i="7"/>
  <c r="H1108" i="7"/>
  <c r="I1108" i="7"/>
  <c r="J1108" i="7"/>
  <c r="D1109" i="7"/>
  <c r="E1109" i="7"/>
  <c r="F1109" i="7"/>
  <c r="G1109" i="7"/>
  <c r="H1109" i="7"/>
  <c r="I1109" i="7"/>
  <c r="J1109" i="7"/>
  <c r="D1110" i="7"/>
  <c r="E1110" i="7"/>
  <c r="F1110" i="7"/>
  <c r="G1110" i="7"/>
  <c r="H1110" i="7"/>
  <c r="I1110" i="7"/>
  <c r="J1110" i="7"/>
  <c r="D1111" i="7"/>
  <c r="E1111" i="7"/>
  <c r="F1111" i="7"/>
  <c r="G1111" i="7"/>
  <c r="H1111" i="7"/>
  <c r="I1111" i="7"/>
  <c r="J1111" i="7"/>
  <c r="D1112" i="7"/>
  <c r="E1112" i="7"/>
  <c r="F1112" i="7"/>
  <c r="G1112" i="7"/>
  <c r="H1112" i="7"/>
  <c r="I1112" i="7"/>
  <c r="J1112" i="7"/>
  <c r="D1113" i="7"/>
  <c r="E1113" i="7"/>
  <c r="F1113" i="7"/>
  <c r="G1113" i="7"/>
  <c r="H1113" i="7"/>
  <c r="I1113" i="7"/>
  <c r="J1113" i="7"/>
  <c r="D1114" i="7"/>
  <c r="E1114" i="7"/>
  <c r="F1114" i="7"/>
  <c r="G1114" i="7"/>
  <c r="H1114" i="7"/>
  <c r="I1114" i="7"/>
  <c r="J1114" i="7"/>
  <c r="D1115" i="7"/>
  <c r="E1115" i="7"/>
  <c r="F1115" i="7"/>
  <c r="G1115" i="7"/>
  <c r="H1115" i="7"/>
  <c r="I1115" i="7"/>
  <c r="J1115" i="7"/>
  <c r="D1116" i="7"/>
  <c r="E1116" i="7"/>
  <c r="F1116" i="7"/>
  <c r="G1116" i="7"/>
  <c r="H1116" i="7"/>
  <c r="I1116" i="7"/>
  <c r="J1116" i="7"/>
  <c r="D1117" i="7"/>
  <c r="E1117" i="7"/>
  <c r="F1117" i="7"/>
  <c r="G1117" i="7"/>
  <c r="H1117" i="7"/>
  <c r="I1117" i="7"/>
  <c r="J1117" i="7"/>
  <c r="D1118" i="7"/>
  <c r="E1118" i="7"/>
  <c r="F1118" i="7"/>
  <c r="G1118" i="7"/>
  <c r="H1118" i="7"/>
  <c r="I1118" i="7"/>
  <c r="J1118" i="7"/>
  <c r="D1119" i="7"/>
  <c r="E1119" i="7"/>
  <c r="F1119" i="7"/>
  <c r="G1119" i="7"/>
  <c r="H1119" i="7"/>
  <c r="I1119" i="7"/>
  <c r="J1119" i="7"/>
  <c r="D1120" i="7"/>
  <c r="E1120" i="7"/>
  <c r="F1120" i="7"/>
  <c r="G1120" i="7"/>
  <c r="H1120" i="7"/>
  <c r="I1120" i="7"/>
  <c r="J1120" i="7"/>
  <c r="D1121" i="7"/>
  <c r="E1121" i="7"/>
  <c r="F1121" i="7"/>
  <c r="G1121" i="7"/>
  <c r="H1121" i="7"/>
  <c r="I1121" i="7"/>
  <c r="J1121" i="7"/>
  <c r="D1122" i="7"/>
  <c r="E1122" i="7"/>
  <c r="F1122" i="7"/>
  <c r="G1122" i="7"/>
  <c r="H1122" i="7"/>
  <c r="I1122" i="7"/>
  <c r="J1122" i="7"/>
  <c r="D1123" i="7"/>
  <c r="E1123" i="7"/>
  <c r="F1123" i="7"/>
  <c r="G1123" i="7"/>
  <c r="H1123" i="7"/>
  <c r="I1123" i="7"/>
  <c r="J1123" i="7"/>
  <c r="D1124" i="7"/>
  <c r="E1124" i="7"/>
  <c r="F1124" i="7"/>
  <c r="G1124" i="7"/>
  <c r="H1124" i="7"/>
  <c r="I1124" i="7"/>
  <c r="J1124" i="7"/>
  <c r="D1125" i="7"/>
  <c r="E1125" i="7"/>
  <c r="F1125" i="7"/>
  <c r="G1125" i="7"/>
  <c r="H1125" i="7"/>
  <c r="I1125" i="7"/>
  <c r="J1125" i="7"/>
  <c r="D1126" i="7"/>
  <c r="E1126" i="7"/>
  <c r="F1126" i="7"/>
  <c r="G1126" i="7"/>
  <c r="H1126" i="7"/>
  <c r="I1126" i="7"/>
  <c r="J1126" i="7"/>
  <c r="D1127" i="7"/>
  <c r="E1127" i="7"/>
  <c r="F1127" i="7"/>
  <c r="G1127" i="7"/>
  <c r="H1127" i="7"/>
  <c r="I1127" i="7"/>
  <c r="J1127" i="7"/>
  <c r="D1128" i="7"/>
  <c r="E1128" i="7"/>
  <c r="F1128" i="7"/>
  <c r="G1128" i="7"/>
  <c r="H1128" i="7"/>
  <c r="I1128" i="7"/>
  <c r="J1128" i="7"/>
  <c r="D1129" i="7"/>
  <c r="E1129" i="7"/>
  <c r="F1129" i="7"/>
  <c r="G1129" i="7"/>
  <c r="H1129" i="7"/>
  <c r="I1129" i="7"/>
  <c r="J1129" i="7"/>
  <c r="D1130" i="7"/>
  <c r="E1130" i="7"/>
  <c r="F1130" i="7"/>
  <c r="G1130" i="7"/>
  <c r="H1130" i="7"/>
  <c r="I1130" i="7"/>
  <c r="J1130" i="7"/>
  <c r="D1131" i="7"/>
  <c r="E1131" i="7"/>
  <c r="F1131" i="7"/>
  <c r="G1131" i="7"/>
  <c r="H1131" i="7"/>
  <c r="I1131" i="7"/>
  <c r="J1131" i="7"/>
  <c r="D1132" i="7"/>
  <c r="E1132" i="7"/>
  <c r="F1132" i="7"/>
  <c r="G1132" i="7"/>
  <c r="H1132" i="7"/>
  <c r="I1132" i="7"/>
  <c r="J1132" i="7"/>
  <c r="D1133" i="7"/>
  <c r="E1133" i="7"/>
  <c r="F1133" i="7"/>
  <c r="G1133" i="7"/>
  <c r="H1133" i="7"/>
  <c r="I1133" i="7"/>
  <c r="J1133" i="7"/>
  <c r="D1134" i="7"/>
  <c r="E1134" i="7"/>
  <c r="F1134" i="7"/>
  <c r="G1134" i="7"/>
  <c r="H1134" i="7"/>
  <c r="I1134" i="7"/>
  <c r="J1134" i="7"/>
  <c r="D1135" i="7"/>
  <c r="E1135" i="7"/>
  <c r="F1135" i="7"/>
  <c r="G1135" i="7"/>
  <c r="H1135" i="7"/>
  <c r="I1135" i="7"/>
  <c r="J1135" i="7"/>
  <c r="D1136" i="7"/>
  <c r="E1136" i="7"/>
  <c r="F1136" i="7"/>
  <c r="G1136" i="7"/>
  <c r="H1136" i="7"/>
  <c r="I1136" i="7"/>
  <c r="J1136" i="7"/>
  <c r="D1137" i="7"/>
  <c r="E1137" i="7"/>
  <c r="F1137" i="7"/>
  <c r="G1137" i="7"/>
  <c r="H1137" i="7"/>
  <c r="I1137" i="7"/>
  <c r="J1137" i="7"/>
  <c r="D1138" i="7"/>
  <c r="E1138" i="7"/>
  <c r="F1138" i="7"/>
  <c r="G1138" i="7"/>
  <c r="H1138" i="7"/>
  <c r="I1138" i="7"/>
  <c r="J1138" i="7"/>
  <c r="D1139" i="7"/>
  <c r="E1139" i="7"/>
  <c r="F1139" i="7"/>
  <c r="G1139" i="7"/>
  <c r="H1139" i="7"/>
  <c r="I1139" i="7"/>
  <c r="J1139" i="7"/>
  <c r="D1140" i="7"/>
  <c r="E1140" i="7"/>
  <c r="F1140" i="7"/>
  <c r="G1140" i="7"/>
  <c r="H1140" i="7"/>
  <c r="I1140" i="7"/>
  <c r="J1140" i="7"/>
  <c r="D1141" i="7"/>
  <c r="E1141" i="7"/>
  <c r="F1141" i="7"/>
  <c r="G1141" i="7"/>
  <c r="H1141" i="7"/>
  <c r="I1141" i="7"/>
  <c r="J1141" i="7"/>
  <c r="D1142" i="7"/>
  <c r="E1142" i="7"/>
  <c r="F1142" i="7"/>
  <c r="G1142" i="7"/>
  <c r="H1142" i="7"/>
  <c r="I1142" i="7"/>
  <c r="J1142" i="7"/>
  <c r="D1143" i="7"/>
  <c r="E1143" i="7"/>
  <c r="F1143" i="7"/>
  <c r="G1143" i="7"/>
  <c r="H1143" i="7"/>
  <c r="I1143" i="7"/>
  <c r="J1143" i="7"/>
  <c r="D1144" i="7"/>
  <c r="E1144" i="7"/>
  <c r="F1144" i="7"/>
  <c r="G1144" i="7"/>
  <c r="H1144" i="7"/>
  <c r="I1144" i="7"/>
  <c r="J1144" i="7"/>
  <c r="D1145" i="7"/>
  <c r="E1145" i="7"/>
  <c r="F1145" i="7"/>
  <c r="G1145" i="7"/>
  <c r="H1145" i="7"/>
  <c r="I1145" i="7"/>
  <c r="J1145" i="7"/>
  <c r="D1146" i="7"/>
  <c r="E1146" i="7"/>
  <c r="F1146" i="7"/>
  <c r="G1146" i="7"/>
  <c r="H1146" i="7"/>
  <c r="I1146" i="7"/>
  <c r="J1146" i="7"/>
  <c r="D1147" i="7"/>
  <c r="E1147" i="7"/>
  <c r="F1147" i="7"/>
  <c r="G1147" i="7"/>
  <c r="H1147" i="7"/>
  <c r="I1147" i="7"/>
  <c r="J1147" i="7"/>
  <c r="D1148" i="7"/>
  <c r="E1148" i="7"/>
  <c r="F1148" i="7"/>
  <c r="G1148" i="7"/>
  <c r="H1148" i="7"/>
  <c r="I1148" i="7"/>
  <c r="J1148" i="7"/>
  <c r="D1149" i="7"/>
  <c r="E1149" i="7"/>
  <c r="F1149" i="7"/>
  <c r="G1149" i="7"/>
  <c r="H1149" i="7"/>
  <c r="I1149" i="7"/>
  <c r="J1149" i="7"/>
  <c r="D1150" i="7"/>
  <c r="E1150" i="7"/>
  <c r="F1150" i="7"/>
  <c r="G1150" i="7"/>
  <c r="H1150" i="7"/>
  <c r="I1150" i="7"/>
  <c r="J1150" i="7"/>
  <c r="D1151" i="7"/>
  <c r="E1151" i="7"/>
  <c r="F1151" i="7"/>
  <c r="G1151" i="7"/>
  <c r="H1151" i="7"/>
  <c r="I1151" i="7"/>
  <c r="J1151" i="7"/>
  <c r="D1152" i="7"/>
  <c r="E1152" i="7"/>
  <c r="F1152" i="7"/>
  <c r="G1152" i="7"/>
  <c r="H1152" i="7"/>
  <c r="I1152" i="7"/>
  <c r="J1152" i="7"/>
  <c r="D1153" i="7"/>
  <c r="E1153" i="7"/>
  <c r="F1153" i="7"/>
  <c r="G1153" i="7"/>
  <c r="H1153" i="7"/>
  <c r="I1153" i="7"/>
  <c r="J1153" i="7"/>
  <c r="D1154" i="7"/>
  <c r="E1154" i="7"/>
  <c r="F1154" i="7"/>
  <c r="G1154" i="7"/>
  <c r="H1154" i="7"/>
  <c r="I1154" i="7"/>
  <c r="J1154" i="7"/>
  <c r="D1155" i="7"/>
  <c r="E1155" i="7"/>
  <c r="F1155" i="7"/>
  <c r="G1155" i="7"/>
  <c r="H1155" i="7"/>
  <c r="I1155" i="7"/>
  <c r="J1155" i="7"/>
  <c r="D1156" i="7"/>
  <c r="E1156" i="7"/>
  <c r="F1156" i="7"/>
  <c r="G1156" i="7"/>
  <c r="H1156" i="7"/>
  <c r="I1156" i="7"/>
  <c r="J1156" i="7"/>
  <c r="D1157" i="7"/>
  <c r="E1157" i="7"/>
  <c r="F1157" i="7"/>
  <c r="G1157" i="7"/>
  <c r="H1157" i="7"/>
  <c r="I1157" i="7"/>
  <c r="J1157" i="7"/>
  <c r="D1158" i="7"/>
  <c r="E1158" i="7"/>
  <c r="F1158" i="7"/>
  <c r="G1158" i="7"/>
  <c r="H1158" i="7"/>
  <c r="I1158" i="7"/>
  <c r="J1158" i="7"/>
  <c r="D1159" i="7"/>
  <c r="E1159" i="7"/>
  <c r="F1159" i="7"/>
  <c r="G1159" i="7"/>
  <c r="H1159" i="7"/>
  <c r="I1159" i="7"/>
  <c r="J1159" i="7"/>
  <c r="D1160" i="7"/>
  <c r="E1160" i="7"/>
  <c r="F1160" i="7"/>
  <c r="G1160" i="7"/>
  <c r="H1160" i="7"/>
  <c r="I1160" i="7"/>
  <c r="J1160" i="7"/>
  <c r="D1161" i="7"/>
  <c r="E1161" i="7"/>
  <c r="F1161" i="7"/>
  <c r="G1161" i="7"/>
  <c r="H1161" i="7"/>
  <c r="I1161" i="7"/>
  <c r="J1161" i="7"/>
  <c r="D1162" i="7"/>
  <c r="E1162" i="7"/>
  <c r="F1162" i="7"/>
  <c r="G1162" i="7"/>
  <c r="H1162" i="7"/>
  <c r="I1162" i="7"/>
  <c r="J1162" i="7"/>
  <c r="D1163" i="7"/>
  <c r="E1163" i="7"/>
  <c r="F1163" i="7"/>
  <c r="G1163" i="7"/>
  <c r="H1163" i="7"/>
  <c r="I1163" i="7"/>
  <c r="J1163" i="7"/>
  <c r="D1164" i="7"/>
  <c r="E1164" i="7"/>
  <c r="F1164" i="7"/>
  <c r="G1164" i="7"/>
  <c r="H1164" i="7"/>
  <c r="I1164" i="7"/>
  <c r="J1164" i="7"/>
  <c r="D1165" i="7"/>
  <c r="E1165" i="7"/>
  <c r="F1165" i="7"/>
  <c r="G1165" i="7"/>
  <c r="H1165" i="7"/>
  <c r="I1165" i="7"/>
  <c r="J1165" i="7"/>
  <c r="D1166" i="7"/>
  <c r="E1166" i="7"/>
  <c r="F1166" i="7"/>
  <c r="G1166" i="7"/>
  <c r="H1166" i="7"/>
  <c r="I1166" i="7"/>
  <c r="J1166" i="7"/>
  <c r="D1167" i="7"/>
  <c r="E1167" i="7"/>
  <c r="F1167" i="7"/>
  <c r="G1167" i="7"/>
  <c r="H1167" i="7"/>
  <c r="I1167" i="7"/>
  <c r="J1167" i="7"/>
  <c r="D1168" i="7"/>
  <c r="E1168" i="7"/>
  <c r="F1168" i="7"/>
  <c r="G1168" i="7"/>
  <c r="H1168" i="7"/>
  <c r="I1168" i="7"/>
  <c r="J1168" i="7"/>
  <c r="D1169" i="7"/>
  <c r="E1169" i="7"/>
  <c r="F1169" i="7"/>
  <c r="G1169" i="7"/>
  <c r="H1169" i="7"/>
  <c r="I1169" i="7"/>
  <c r="J1169" i="7"/>
  <c r="D1170" i="7"/>
  <c r="E1170" i="7"/>
  <c r="F1170" i="7"/>
  <c r="G1170" i="7"/>
  <c r="H1170" i="7"/>
  <c r="I1170" i="7"/>
  <c r="J1170" i="7"/>
  <c r="D1171" i="7"/>
  <c r="E1171" i="7"/>
  <c r="F1171" i="7"/>
  <c r="G1171" i="7"/>
  <c r="H1171" i="7"/>
  <c r="I1171" i="7"/>
  <c r="J1171" i="7"/>
  <c r="D1172" i="7"/>
  <c r="E1172" i="7"/>
  <c r="F1172" i="7"/>
  <c r="G1172" i="7"/>
  <c r="H1172" i="7"/>
  <c r="I1172" i="7"/>
  <c r="J1172" i="7"/>
  <c r="D1173" i="7"/>
  <c r="E1173" i="7"/>
  <c r="F1173" i="7"/>
  <c r="G1173" i="7"/>
  <c r="H1173" i="7"/>
  <c r="I1173" i="7"/>
  <c r="J1173" i="7"/>
  <c r="D1174" i="7"/>
  <c r="E1174" i="7"/>
  <c r="F1174" i="7"/>
  <c r="G1174" i="7"/>
  <c r="H1174" i="7"/>
  <c r="I1174" i="7"/>
  <c r="J1174" i="7"/>
  <c r="D1175" i="7"/>
  <c r="E1175" i="7"/>
  <c r="F1175" i="7"/>
  <c r="G1175" i="7"/>
  <c r="H1175" i="7"/>
  <c r="I1175" i="7"/>
  <c r="J1175" i="7"/>
  <c r="D1176" i="7"/>
  <c r="E1176" i="7"/>
  <c r="F1176" i="7"/>
  <c r="G1176" i="7"/>
  <c r="H1176" i="7"/>
  <c r="I1176" i="7"/>
  <c r="J1176" i="7"/>
  <c r="D1177" i="7"/>
  <c r="E1177" i="7"/>
  <c r="F1177" i="7"/>
  <c r="G1177" i="7"/>
  <c r="H1177" i="7"/>
  <c r="I1177" i="7"/>
  <c r="J1177" i="7"/>
  <c r="D1178" i="7"/>
  <c r="E1178" i="7"/>
  <c r="F1178" i="7"/>
  <c r="G1178" i="7"/>
  <c r="H1178" i="7"/>
  <c r="I1178" i="7"/>
  <c r="J1178" i="7"/>
  <c r="D1179" i="7"/>
  <c r="E1179" i="7"/>
  <c r="F1179" i="7"/>
  <c r="G1179" i="7"/>
  <c r="H1179" i="7"/>
  <c r="I1179" i="7"/>
  <c r="J1179" i="7"/>
  <c r="D1180" i="7"/>
  <c r="E1180" i="7"/>
  <c r="F1180" i="7"/>
  <c r="G1180" i="7"/>
  <c r="H1180" i="7"/>
  <c r="I1180" i="7"/>
  <c r="J1180" i="7"/>
  <c r="D1181" i="7"/>
  <c r="E1181" i="7"/>
  <c r="F1181" i="7"/>
  <c r="G1181" i="7"/>
  <c r="H1181" i="7"/>
  <c r="I1181" i="7"/>
  <c r="J1181" i="7"/>
  <c r="D1182" i="7"/>
  <c r="E1182" i="7"/>
  <c r="F1182" i="7"/>
  <c r="G1182" i="7"/>
  <c r="H1182" i="7"/>
  <c r="I1182" i="7"/>
  <c r="J1182" i="7"/>
  <c r="D1183" i="7"/>
  <c r="E1183" i="7"/>
  <c r="F1183" i="7"/>
  <c r="G1183" i="7"/>
  <c r="H1183" i="7"/>
  <c r="I1183" i="7"/>
  <c r="J1183" i="7"/>
  <c r="D1184" i="7"/>
  <c r="E1184" i="7"/>
  <c r="F1184" i="7"/>
  <c r="G1184" i="7"/>
  <c r="H1184" i="7"/>
  <c r="I1184" i="7"/>
  <c r="J1184" i="7"/>
  <c r="D1185" i="7"/>
  <c r="E1185" i="7"/>
  <c r="F1185" i="7"/>
  <c r="G1185" i="7"/>
  <c r="H1185" i="7"/>
  <c r="I1185" i="7"/>
  <c r="J1185" i="7"/>
  <c r="D1186" i="7"/>
  <c r="E1186" i="7"/>
  <c r="F1186" i="7"/>
  <c r="G1186" i="7"/>
  <c r="H1186" i="7"/>
  <c r="I1186" i="7"/>
  <c r="J1186" i="7"/>
  <c r="D1187" i="7"/>
  <c r="E1187" i="7"/>
  <c r="F1187" i="7"/>
  <c r="G1187" i="7"/>
  <c r="H1187" i="7"/>
  <c r="I1187" i="7"/>
  <c r="J1187" i="7"/>
  <c r="D1188" i="7"/>
  <c r="E1188" i="7"/>
  <c r="F1188" i="7"/>
  <c r="G1188" i="7"/>
  <c r="H1188" i="7"/>
  <c r="I1188" i="7"/>
  <c r="J1188" i="7"/>
  <c r="D1189" i="7"/>
  <c r="E1189" i="7"/>
  <c r="F1189" i="7"/>
  <c r="G1189" i="7"/>
  <c r="H1189" i="7"/>
  <c r="I1189" i="7"/>
  <c r="J1189" i="7"/>
  <c r="D1190" i="7"/>
  <c r="E1190" i="7"/>
  <c r="F1190" i="7"/>
  <c r="G1190" i="7"/>
  <c r="H1190" i="7"/>
  <c r="I1190" i="7"/>
  <c r="J1190" i="7"/>
  <c r="D1191" i="7"/>
  <c r="E1191" i="7"/>
  <c r="F1191" i="7"/>
  <c r="G1191" i="7"/>
  <c r="H1191" i="7"/>
  <c r="I1191" i="7"/>
  <c r="J1191" i="7"/>
  <c r="D1192" i="7"/>
  <c r="E1192" i="7"/>
  <c r="F1192" i="7"/>
  <c r="G1192" i="7"/>
  <c r="H1192" i="7"/>
  <c r="I1192" i="7"/>
  <c r="J1192" i="7"/>
  <c r="D1193" i="7"/>
  <c r="E1193" i="7"/>
  <c r="F1193" i="7"/>
  <c r="G1193" i="7"/>
  <c r="H1193" i="7"/>
  <c r="I1193" i="7"/>
  <c r="J1193" i="7"/>
  <c r="D1194" i="7"/>
  <c r="E1194" i="7"/>
  <c r="F1194" i="7"/>
  <c r="G1194" i="7"/>
  <c r="H1194" i="7"/>
  <c r="I1194" i="7"/>
  <c r="J1194" i="7"/>
  <c r="D1195" i="7"/>
  <c r="E1195" i="7"/>
  <c r="F1195" i="7"/>
  <c r="G1195" i="7"/>
  <c r="H1195" i="7"/>
  <c r="I1195" i="7"/>
  <c r="J1195" i="7"/>
  <c r="D1196" i="7"/>
  <c r="E1196" i="7"/>
  <c r="F1196" i="7"/>
  <c r="G1196" i="7"/>
  <c r="H1196" i="7"/>
  <c r="I1196" i="7"/>
  <c r="J1196" i="7"/>
  <c r="D1197" i="7"/>
  <c r="E1197" i="7"/>
  <c r="F1197" i="7"/>
  <c r="G1197" i="7"/>
  <c r="H1197" i="7"/>
  <c r="I1197" i="7"/>
  <c r="J1197" i="7"/>
  <c r="D1198" i="7"/>
  <c r="E1198" i="7"/>
  <c r="F1198" i="7"/>
  <c r="G1198" i="7"/>
  <c r="H1198" i="7"/>
  <c r="I1198" i="7"/>
  <c r="J1198" i="7"/>
  <c r="D1199" i="7"/>
  <c r="E1199" i="7"/>
  <c r="F1199" i="7"/>
  <c r="G1199" i="7"/>
  <c r="H1199" i="7"/>
  <c r="I1199" i="7"/>
  <c r="J1199" i="7"/>
  <c r="D1200" i="7"/>
  <c r="E1200" i="7"/>
  <c r="F1200" i="7"/>
  <c r="G1200" i="7"/>
  <c r="H1200" i="7"/>
  <c r="I1200" i="7"/>
  <c r="J1200" i="7"/>
  <c r="D1201" i="7"/>
  <c r="E1201" i="7"/>
  <c r="F1201" i="7"/>
  <c r="G1201" i="7"/>
  <c r="H1201" i="7"/>
  <c r="I1201" i="7"/>
  <c r="J1201" i="7"/>
  <c r="D1202" i="7"/>
  <c r="E1202" i="7"/>
  <c r="F1202" i="7"/>
  <c r="G1202" i="7"/>
  <c r="H1202" i="7"/>
  <c r="I1202" i="7"/>
  <c r="J1202" i="7"/>
  <c r="J2" i="7"/>
  <c r="I2" i="7"/>
  <c r="H2" i="7"/>
  <c r="G2" i="7"/>
  <c r="F2" i="7"/>
  <c r="E2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2" i="7"/>
  <c r="F6" i="2"/>
  <c r="D1" i="6"/>
  <c r="C41" i="2"/>
  <c r="C40" i="2"/>
  <c r="C39" i="2"/>
  <c r="C38" i="2"/>
  <c r="C37" i="2"/>
  <c r="C36" i="2"/>
  <c r="C35" i="2"/>
  <c r="C34" i="2"/>
  <c r="BD30" i="2"/>
  <c r="BC30" i="2"/>
  <c r="BB30" i="2"/>
  <c r="BA30" i="2"/>
  <c r="AZ30" i="2"/>
  <c r="AY30" i="2"/>
  <c r="AX30" i="2"/>
  <c r="AW30" i="2"/>
  <c r="AV30" i="2"/>
  <c r="BD29" i="2"/>
  <c r="BC29" i="2"/>
  <c r="BB29" i="2"/>
  <c r="BA29" i="2"/>
  <c r="AZ29" i="2"/>
  <c r="AY29" i="2"/>
  <c r="AX29" i="2"/>
  <c r="AW29" i="2"/>
  <c r="AV29" i="2"/>
  <c r="BD28" i="2"/>
  <c r="BC28" i="2"/>
  <c r="BB28" i="2"/>
  <c r="BA28" i="2"/>
  <c r="AZ28" i="2"/>
  <c r="AY28" i="2"/>
  <c r="AX28" i="2"/>
  <c r="AW28" i="2"/>
  <c r="AV28" i="2"/>
  <c r="BD27" i="2"/>
  <c r="BC27" i="2"/>
  <c r="BB27" i="2"/>
  <c r="BA27" i="2"/>
  <c r="AZ27" i="2"/>
  <c r="AY27" i="2"/>
  <c r="AX27" i="2"/>
  <c r="AW27" i="2"/>
  <c r="AV27" i="2"/>
  <c r="BD26" i="2"/>
  <c r="BC26" i="2"/>
  <c r="BB26" i="2"/>
  <c r="BA26" i="2"/>
  <c r="AZ26" i="2"/>
  <c r="AY26" i="2"/>
  <c r="AX26" i="2"/>
  <c r="AW26" i="2"/>
  <c r="AV26" i="2"/>
  <c r="BD25" i="2"/>
  <c r="BC25" i="2"/>
  <c r="BB25" i="2"/>
  <c r="BA25" i="2"/>
  <c r="AZ25" i="2"/>
  <c r="AY25" i="2"/>
  <c r="AX25" i="2"/>
  <c r="AW25" i="2"/>
  <c r="AV25" i="2"/>
  <c r="BD24" i="2"/>
  <c r="BC24" i="2"/>
  <c r="BB24" i="2"/>
  <c r="BA24" i="2"/>
  <c r="AZ24" i="2"/>
  <c r="AY24" i="2"/>
  <c r="AX24" i="2"/>
  <c r="AW24" i="2"/>
  <c r="AV24" i="2"/>
  <c r="BD23" i="2"/>
  <c r="BC23" i="2"/>
  <c r="BB23" i="2"/>
  <c r="BA23" i="2"/>
  <c r="AZ23" i="2"/>
  <c r="AY23" i="2"/>
  <c r="AX23" i="2"/>
  <c r="AW23" i="2"/>
  <c r="AV23" i="2"/>
  <c r="BD22" i="2"/>
  <c r="BC22" i="2"/>
  <c r="BB22" i="2"/>
  <c r="BA22" i="2"/>
  <c r="AZ22" i="2"/>
  <c r="AY22" i="2"/>
  <c r="AX22" i="2"/>
  <c r="AW22" i="2"/>
  <c r="AV22" i="2"/>
  <c r="BD21" i="2"/>
  <c r="BC21" i="2"/>
  <c r="BB21" i="2"/>
  <c r="BA21" i="2"/>
  <c r="AZ21" i="2"/>
  <c r="AY21" i="2"/>
  <c r="AX21" i="2"/>
  <c r="AW21" i="2"/>
  <c r="AV21" i="2"/>
  <c r="BD20" i="2"/>
  <c r="BC20" i="2"/>
  <c r="BB20" i="2"/>
  <c r="BA20" i="2"/>
  <c r="AZ20" i="2"/>
  <c r="AY20" i="2"/>
  <c r="AX20" i="2"/>
  <c r="AW20" i="2"/>
  <c r="AV20" i="2"/>
  <c r="BD19" i="2"/>
  <c r="BC19" i="2"/>
  <c r="BB19" i="2"/>
  <c r="BA19" i="2"/>
  <c r="AZ19" i="2"/>
  <c r="AY19" i="2"/>
  <c r="AX19" i="2"/>
  <c r="AW19" i="2"/>
  <c r="AV19" i="2"/>
  <c r="BD18" i="2"/>
  <c r="BC18" i="2"/>
  <c r="BB18" i="2"/>
  <c r="BA18" i="2"/>
  <c r="AZ18" i="2"/>
  <c r="AY18" i="2"/>
  <c r="AX18" i="2"/>
  <c r="AW18" i="2"/>
  <c r="AV18" i="2"/>
  <c r="BD17" i="2"/>
  <c r="BC17" i="2"/>
  <c r="BB17" i="2"/>
  <c r="BA17" i="2"/>
  <c r="AZ17" i="2"/>
  <c r="AY17" i="2"/>
  <c r="AX17" i="2"/>
  <c r="AW17" i="2"/>
  <c r="AV17" i="2"/>
  <c r="BD16" i="2"/>
  <c r="BC16" i="2"/>
  <c r="BB16" i="2"/>
  <c r="BA16" i="2"/>
  <c r="AZ16" i="2"/>
  <c r="AY16" i="2"/>
  <c r="AX16" i="2"/>
  <c r="AW16" i="2"/>
  <c r="AV16" i="2"/>
  <c r="BD15" i="2"/>
  <c r="BC15" i="2"/>
  <c r="BB15" i="2"/>
  <c r="BA15" i="2"/>
  <c r="AZ15" i="2"/>
  <c r="AY15" i="2"/>
  <c r="AX15" i="2"/>
  <c r="AW15" i="2"/>
  <c r="AV15" i="2"/>
  <c r="BD14" i="2"/>
  <c r="BC14" i="2"/>
  <c r="BB14" i="2"/>
  <c r="BA14" i="2"/>
  <c r="AZ14" i="2"/>
  <c r="AY14" i="2"/>
  <c r="AX14" i="2"/>
  <c r="AW14" i="2"/>
  <c r="AV14" i="2"/>
  <c r="BD13" i="2"/>
  <c r="BC13" i="2"/>
  <c r="BB13" i="2"/>
  <c r="BA13" i="2"/>
  <c r="AZ13" i="2"/>
  <c r="AY13" i="2"/>
  <c r="AX13" i="2"/>
  <c r="AW13" i="2"/>
  <c r="AV13" i="2"/>
  <c r="BD12" i="2"/>
  <c r="BC12" i="2"/>
  <c r="BB12" i="2"/>
  <c r="BA12" i="2"/>
  <c r="AZ12" i="2"/>
  <c r="AY12" i="2"/>
  <c r="AX12" i="2"/>
  <c r="AW12" i="2"/>
  <c r="AV12" i="2"/>
  <c r="L11" i="2"/>
  <c r="AJ10" i="2"/>
  <c r="AI10" i="2"/>
  <c r="AG10" i="2"/>
  <c r="B2" i="3" a="1"/>
  <c r="U15" i="3" s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C501" i="6"/>
  <c r="B501" i="6"/>
  <c r="A501" i="6"/>
  <c r="C500" i="6"/>
  <c r="B500" i="6"/>
  <c r="A500" i="6"/>
  <c r="G500" i="6" s="1"/>
  <c r="C499" i="6"/>
  <c r="B499" i="6"/>
  <c r="A499" i="6"/>
  <c r="F499" i="6" s="1"/>
  <c r="C498" i="6"/>
  <c r="B498" i="6"/>
  <c r="A498" i="6"/>
  <c r="G498" i="6" s="1"/>
  <c r="G497" i="6"/>
  <c r="C497" i="6"/>
  <c r="B497" i="6"/>
  <c r="A497" i="6"/>
  <c r="F497" i="6" s="1"/>
  <c r="C496" i="6"/>
  <c r="B496" i="6"/>
  <c r="A496" i="6"/>
  <c r="F496" i="6" s="1"/>
  <c r="C495" i="6"/>
  <c r="B495" i="6"/>
  <c r="A495" i="6"/>
  <c r="F495" i="6" s="1"/>
  <c r="C494" i="6"/>
  <c r="B494" i="6"/>
  <c r="A494" i="6"/>
  <c r="C493" i="6"/>
  <c r="B493" i="6"/>
  <c r="A493" i="6"/>
  <c r="C492" i="6"/>
  <c r="B492" i="6"/>
  <c r="A492" i="6"/>
  <c r="G492" i="6" s="1"/>
  <c r="C491" i="6"/>
  <c r="B491" i="6"/>
  <c r="A491" i="6"/>
  <c r="G491" i="6" s="1"/>
  <c r="C490" i="6"/>
  <c r="B490" i="6"/>
  <c r="A490" i="6"/>
  <c r="G490" i="6" s="1"/>
  <c r="C489" i="6"/>
  <c r="B489" i="6"/>
  <c r="A489" i="6"/>
  <c r="F489" i="6" s="1"/>
  <c r="C488" i="6"/>
  <c r="B488" i="6"/>
  <c r="A488" i="6"/>
  <c r="C487" i="6"/>
  <c r="B487" i="6"/>
  <c r="A487" i="6"/>
  <c r="F487" i="6" s="1"/>
  <c r="C486" i="6"/>
  <c r="B486" i="6"/>
  <c r="A486" i="6"/>
  <c r="C485" i="6"/>
  <c r="B485" i="6"/>
  <c r="A485" i="6"/>
  <c r="C484" i="6"/>
  <c r="B484" i="6"/>
  <c r="A484" i="6"/>
  <c r="C483" i="6"/>
  <c r="B483" i="6"/>
  <c r="A483" i="6"/>
  <c r="G483" i="6" s="1"/>
  <c r="C482" i="6"/>
  <c r="B482" i="6"/>
  <c r="A482" i="6"/>
  <c r="C481" i="6"/>
  <c r="B481" i="6"/>
  <c r="A481" i="6"/>
  <c r="F481" i="6" s="1"/>
  <c r="C480" i="6"/>
  <c r="B480" i="6"/>
  <c r="A480" i="6"/>
  <c r="G480" i="6" s="1"/>
  <c r="C479" i="6"/>
  <c r="B479" i="6"/>
  <c r="A479" i="6"/>
  <c r="F479" i="6" s="1"/>
  <c r="C478" i="6"/>
  <c r="B478" i="6"/>
  <c r="A478" i="6"/>
  <c r="G478" i="6" s="1"/>
  <c r="C477" i="6"/>
  <c r="B477" i="6"/>
  <c r="A477" i="6"/>
  <c r="F477" i="6" s="1"/>
  <c r="C476" i="6"/>
  <c r="B476" i="6"/>
  <c r="A476" i="6"/>
  <c r="F476" i="6" s="1"/>
  <c r="C475" i="6"/>
  <c r="B475" i="6"/>
  <c r="A475" i="6"/>
  <c r="F475" i="6" s="1"/>
  <c r="C474" i="6"/>
  <c r="B474" i="6"/>
  <c r="A474" i="6"/>
  <c r="F474" i="6" s="1"/>
  <c r="C473" i="6"/>
  <c r="B473" i="6"/>
  <c r="A473" i="6"/>
  <c r="F473" i="6" s="1"/>
  <c r="C472" i="6"/>
  <c r="B472" i="6"/>
  <c r="A472" i="6"/>
  <c r="F472" i="6" s="1"/>
  <c r="C471" i="6"/>
  <c r="B471" i="6"/>
  <c r="A471" i="6"/>
  <c r="F471" i="6" s="1"/>
  <c r="C470" i="6"/>
  <c r="B470" i="6"/>
  <c r="A470" i="6"/>
  <c r="C469" i="6"/>
  <c r="B469" i="6"/>
  <c r="A469" i="6"/>
  <c r="G469" i="6" s="1"/>
  <c r="C468" i="6"/>
  <c r="B468" i="6"/>
  <c r="A468" i="6"/>
  <c r="F468" i="6" s="1"/>
  <c r="C467" i="6"/>
  <c r="B467" i="6"/>
  <c r="A467" i="6"/>
  <c r="C466" i="6"/>
  <c r="B466" i="6"/>
  <c r="A466" i="6"/>
  <c r="F466" i="6" s="1"/>
  <c r="C465" i="6"/>
  <c r="B465" i="6"/>
  <c r="A465" i="6"/>
  <c r="G465" i="6" s="1"/>
  <c r="C464" i="6"/>
  <c r="B464" i="6"/>
  <c r="A464" i="6"/>
  <c r="F464" i="6" s="1"/>
  <c r="C463" i="6"/>
  <c r="B463" i="6"/>
  <c r="A463" i="6"/>
  <c r="F463" i="6" s="1"/>
  <c r="C462" i="6"/>
  <c r="B462" i="6"/>
  <c r="A462" i="6"/>
  <c r="F462" i="6" s="1"/>
  <c r="C461" i="6"/>
  <c r="B461" i="6"/>
  <c r="A461" i="6"/>
  <c r="G461" i="6" s="1"/>
  <c r="C460" i="6"/>
  <c r="B460" i="6"/>
  <c r="A460" i="6"/>
  <c r="G460" i="6" s="1"/>
  <c r="C459" i="6"/>
  <c r="B459" i="6"/>
  <c r="A459" i="6"/>
  <c r="G459" i="6" s="1"/>
  <c r="C458" i="6"/>
  <c r="B458" i="6"/>
  <c r="A458" i="6"/>
  <c r="F458" i="6"/>
  <c r="C457" i="6"/>
  <c r="B457" i="6"/>
  <c r="A457" i="6"/>
  <c r="G457" i="6" s="1"/>
  <c r="C456" i="6"/>
  <c r="B456" i="6"/>
  <c r="A456" i="6"/>
  <c r="F456" i="6" s="1"/>
  <c r="C455" i="6"/>
  <c r="B455" i="6"/>
  <c r="A455" i="6"/>
  <c r="G455" i="6" s="1"/>
  <c r="C454" i="6"/>
  <c r="B454" i="6"/>
  <c r="A454" i="6"/>
  <c r="C453" i="6"/>
  <c r="B453" i="6"/>
  <c r="A453" i="6"/>
  <c r="G453" i="6" s="1"/>
  <c r="C452" i="6"/>
  <c r="B452" i="6"/>
  <c r="A452" i="6"/>
  <c r="F452" i="6" s="1"/>
  <c r="C451" i="6"/>
  <c r="B451" i="6"/>
  <c r="A451" i="6"/>
  <c r="G451" i="6" s="1"/>
  <c r="C450" i="6"/>
  <c r="B450" i="6"/>
  <c r="A450" i="6"/>
  <c r="F450" i="6" s="1"/>
  <c r="C449" i="6"/>
  <c r="B449" i="6"/>
  <c r="A449" i="6"/>
  <c r="G449" i="6" s="1"/>
  <c r="C448" i="6"/>
  <c r="B448" i="6"/>
  <c r="A448" i="6"/>
  <c r="F448" i="6" s="1"/>
  <c r="C447" i="6"/>
  <c r="B447" i="6"/>
  <c r="A447" i="6"/>
  <c r="G447" i="6" s="1"/>
  <c r="C446" i="6"/>
  <c r="B446" i="6"/>
  <c r="A446" i="6"/>
  <c r="F446" i="6" s="1"/>
  <c r="C445" i="6"/>
  <c r="B445" i="6"/>
  <c r="A445" i="6"/>
  <c r="G445" i="6" s="1"/>
  <c r="C444" i="6"/>
  <c r="B444" i="6"/>
  <c r="A444" i="6"/>
  <c r="F444" i="6" s="1"/>
  <c r="C443" i="6"/>
  <c r="B443" i="6"/>
  <c r="A443" i="6"/>
  <c r="G443" i="6" s="1"/>
  <c r="C442" i="6"/>
  <c r="B442" i="6"/>
  <c r="A442" i="6"/>
  <c r="F442" i="6" s="1"/>
  <c r="C441" i="6"/>
  <c r="B441" i="6"/>
  <c r="A441" i="6"/>
  <c r="G441" i="6" s="1"/>
  <c r="C440" i="6"/>
  <c r="B440" i="6"/>
  <c r="A440" i="6"/>
  <c r="F440" i="6" s="1"/>
  <c r="C439" i="6"/>
  <c r="B439" i="6"/>
  <c r="A439" i="6"/>
  <c r="G439" i="6" s="1"/>
  <c r="C438" i="6"/>
  <c r="B438" i="6"/>
  <c r="A438" i="6"/>
  <c r="F438" i="6" s="1"/>
  <c r="C437" i="6"/>
  <c r="B437" i="6"/>
  <c r="A437" i="6"/>
  <c r="G437" i="6" s="1"/>
  <c r="C436" i="6"/>
  <c r="B436" i="6"/>
  <c r="A436" i="6"/>
  <c r="F436" i="6" s="1"/>
  <c r="C435" i="6"/>
  <c r="B435" i="6"/>
  <c r="A435" i="6"/>
  <c r="G435" i="6" s="1"/>
  <c r="C434" i="6"/>
  <c r="B434" i="6"/>
  <c r="A434" i="6"/>
  <c r="F434" i="6" s="1"/>
  <c r="C433" i="6"/>
  <c r="B433" i="6"/>
  <c r="A433" i="6"/>
  <c r="G433" i="6" s="1"/>
  <c r="C432" i="6"/>
  <c r="B432" i="6"/>
  <c r="A432" i="6"/>
  <c r="F432" i="6" s="1"/>
  <c r="C431" i="6"/>
  <c r="B431" i="6"/>
  <c r="A431" i="6"/>
  <c r="F431" i="6" s="1"/>
  <c r="C430" i="6"/>
  <c r="B430" i="6"/>
  <c r="A430" i="6"/>
  <c r="F430" i="6" s="1"/>
  <c r="C429" i="6"/>
  <c r="B429" i="6"/>
  <c r="A429" i="6"/>
  <c r="F429" i="6" s="1"/>
  <c r="C428" i="6"/>
  <c r="B428" i="6"/>
  <c r="A428" i="6"/>
  <c r="F428" i="6" s="1"/>
  <c r="C427" i="6"/>
  <c r="B427" i="6"/>
  <c r="A427" i="6"/>
  <c r="F427" i="6" s="1"/>
  <c r="C426" i="6"/>
  <c r="B426" i="6"/>
  <c r="A426" i="6"/>
  <c r="F426" i="6" s="1"/>
  <c r="C425" i="6"/>
  <c r="B425" i="6"/>
  <c r="A425" i="6"/>
  <c r="C424" i="6"/>
  <c r="B424" i="6"/>
  <c r="A424" i="6"/>
  <c r="F424" i="6" s="1"/>
  <c r="C423" i="6"/>
  <c r="B423" i="6"/>
  <c r="A423" i="6"/>
  <c r="G423" i="6" s="1"/>
  <c r="C422" i="6"/>
  <c r="B422" i="6"/>
  <c r="A422" i="6"/>
  <c r="G422" i="6" s="1"/>
  <c r="C421" i="6"/>
  <c r="B421" i="6"/>
  <c r="A421" i="6"/>
  <c r="F421" i="6" s="1"/>
  <c r="C420" i="6"/>
  <c r="B420" i="6"/>
  <c r="A420" i="6"/>
  <c r="G420" i="6" s="1"/>
  <c r="C419" i="6"/>
  <c r="B419" i="6"/>
  <c r="A419" i="6"/>
  <c r="F419" i="6" s="1"/>
  <c r="C418" i="6"/>
  <c r="B418" i="6"/>
  <c r="A418" i="6"/>
  <c r="G418" i="6" s="1"/>
  <c r="C417" i="6"/>
  <c r="B417" i="6"/>
  <c r="A417" i="6"/>
  <c r="F417" i="6" s="1"/>
  <c r="C416" i="6"/>
  <c r="B416" i="6"/>
  <c r="A416" i="6"/>
  <c r="G416" i="6" s="1"/>
  <c r="C415" i="6"/>
  <c r="B415" i="6"/>
  <c r="A415" i="6"/>
  <c r="F415" i="6" s="1"/>
  <c r="C414" i="6"/>
  <c r="B414" i="6"/>
  <c r="A414" i="6"/>
  <c r="G414" i="6" s="1"/>
  <c r="C413" i="6"/>
  <c r="B413" i="6"/>
  <c r="A413" i="6"/>
  <c r="F413" i="6" s="1"/>
  <c r="C412" i="6"/>
  <c r="B412" i="6"/>
  <c r="A412" i="6"/>
  <c r="G412" i="6" s="1"/>
  <c r="C411" i="6"/>
  <c r="B411" i="6"/>
  <c r="A411" i="6"/>
  <c r="F411" i="6" s="1"/>
  <c r="C410" i="6"/>
  <c r="B410" i="6"/>
  <c r="A410" i="6"/>
  <c r="G410" i="6" s="1"/>
  <c r="C409" i="6"/>
  <c r="B409" i="6"/>
  <c r="A409" i="6"/>
  <c r="F409" i="6" s="1"/>
  <c r="C408" i="6"/>
  <c r="B408" i="6"/>
  <c r="A408" i="6"/>
  <c r="G408" i="6" s="1"/>
  <c r="C407" i="6"/>
  <c r="B407" i="6"/>
  <c r="A407" i="6"/>
  <c r="F407" i="6" s="1"/>
  <c r="C406" i="6"/>
  <c r="B406" i="6"/>
  <c r="A406" i="6"/>
  <c r="G406" i="6" s="1"/>
  <c r="C405" i="6"/>
  <c r="B405" i="6"/>
  <c r="A405" i="6"/>
  <c r="F405" i="6" s="1"/>
  <c r="C404" i="6"/>
  <c r="B404" i="6"/>
  <c r="A404" i="6"/>
  <c r="F404" i="6" s="1"/>
  <c r="C403" i="6"/>
  <c r="B403" i="6"/>
  <c r="A403" i="6"/>
  <c r="F403" i="6" s="1"/>
  <c r="C402" i="6"/>
  <c r="B402" i="6"/>
  <c r="A402" i="6"/>
  <c r="F402" i="6" s="1"/>
  <c r="C401" i="6"/>
  <c r="B401" i="6"/>
  <c r="A401" i="6"/>
  <c r="F401" i="6" s="1"/>
  <c r="C400" i="6"/>
  <c r="B400" i="6"/>
  <c r="A400" i="6"/>
  <c r="F400" i="6" s="1"/>
  <c r="C399" i="6"/>
  <c r="B399" i="6"/>
  <c r="A399" i="6"/>
  <c r="F399" i="6" s="1"/>
  <c r="C398" i="6"/>
  <c r="B398" i="6"/>
  <c r="A398" i="6"/>
  <c r="F398" i="6" s="1"/>
  <c r="C397" i="6"/>
  <c r="B397" i="6"/>
  <c r="A397" i="6"/>
  <c r="F397" i="6" s="1"/>
  <c r="C396" i="6"/>
  <c r="B396" i="6"/>
  <c r="A396" i="6"/>
  <c r="F396" i="6" s="1"/>
  <c r="C395" i="6"/>
  <c r="B395" i="6"/>
  <c r="A395" i="6"/>
  <c r="F395" i="6" s="1"/>
  <c r="C394" i="6"/>
  <c r="B394" i="6"/>
  <c r="A394" i="6"/>
  <c r="F394" i="6" s="1"/>
  <c r="C393" i="6"/>
  <c r="B393" i="6"/>
  <c r="A393" i="6"/>
  <c r="F393" i="6" s="1"/>
  <c r="C392" i="6"/>
  <c r="B392" i="6"/>
  <c r="A392" i="6"/>
  <c r="F392" i="6" s="1"/>
  <c r="C391" i="6"/>
  <c r="B391" i="6"/>
  <c r="A391" i="6"/>
  <c r="F391" i="6" s="1"/>
  <c r="C390" i="6"/>
  <c r="B390" i="6"/>
  <c r="A390" i="6"/>
  <c r="F390" i="6" s="1"/>
  <c r="C389" i="6"/>
  <c r="B389" i="6"/>
  <c r="A389" i="6"/>
  <c r="F389" i="6" s="1"/>
  <c r="C388" i="6"/>
  <c r="B388" i="6"/>
  <c r="A388" i="6"/>
  <c r="F388" i="6" s="1"/>
  <c r="C387" i="6"/>
  <c r="B387" i="6"/>
  <c r="A387" i="6"/>
  <c r="F387" i="6" s="1"/>
  <c r="C386" i="6"/>
  <c r="B386" i="6"/>
  <c r="A386" i="6"/>
  <c r="F386" i="6" s="1"/>
  <c r="C385" i="6"/>
  <c r="B385" i="6"/>
  <c r="A385" i="6"/>
  <c r="F385" i="6" s="1"/>
  <c r="C384" i="6"/>
  <c r="B384" i="6"/>
  <c r="A384" i="6"/>
  <c r="F384" i="6" s="1"/>
  <c r="C383" i="6"/>
  <c r="B383" i="6"/>
  <c r="A383" i="6"/>
  <c r="F383" i="6" s="1"/>
  <c r="C382" i="6"/>
  <c r="B382" i="6"/>
  <c r="A382" i="6"/>
  <c r="F382" i="6" s="1"/>
  <c r="C381" i="6"/>
  <c r="B381" i="6"/>
  <c r="A381" i="6"/>
  <c r="F381" i="6" s="1"/>
  <c r="C380" i="6"/>
  <c r="B380" i="6"/>
  <c r="A380" i="6"/>
  <c r="F380" i="6" s="1"/>
  <c r="C379" i="6"/>
  <c r="B379" i="6"/>
  <c r="A379" i="6"/>
  <c r="F379" i="6" s="1"/>
  <c r="C378" i="6"/>
  <c r="B378" i="6"/>
  <c r="A378" i="6"/>
  <c r="F378" i="6" s="1"/>
  <c r="C377" i="6"/>
  <c r="B377" i="6"/>
  <c r="A377" i="6"/>
  <c r="F377" i="6" s="1"/>
  <c r="C376" i="6"/>
  <c r="B376" i="6"/>
  <c r="A376" i="6"/>
  <c r="G376" i="6" s="1"/>
  <c r="C375" i="6"/>
  <c r="B375" i="6"/>
  <c r="A375" i="6"/>
  <c r="G375" i="6"/>
  <c r="C374" i="6"/>
  <c r="B374" i="6"/>
  <c r="A374" i="6"/>
  <c r="F374" i="6" s="1"/>
  <c r="C373" i="6"/>
  <c r="B373" i="6"/>
  <c r="A373" i="6"/>
  <c r="G373" i="6" s="1"/>
  <c r="C372" i="6"/>
  <c r="B372" i="6"/>
  <c r="A372" i="6"/>
  <c r="F372" i="6" s="1"/>
  <c r="C371" i="6"/>
  <c r="B371" i="6"/>
  <c r="A371" i="6"/>
  <c r="C370" i="6"/>
  <c r="B370" i="6"/>
  <c r="A370" i="6"/>
  <c r="F370" i="6" s="1"/>
  <c r="C369" i="6"/>
  <c r="B369" i="6"/>
  <c r="A369" i="6"/>
  <c r="F369" i="6" s="1"/>
  <c r="C368" i="6"/>
  <c r="B368" i="6"/>
  <c r="A368" i="6"/>
  <c r="F368" i="6" s="1"/>
  <c r="C367" i="6"/>
  <c r="B367" i="6"/>
  <c r="A367" i="6"/>
  <c r="F367" i="6" s="1"/>
  <c r="C366" i="6"/>
  <c r="B366" i="6"/>
  <c r="A366" i="6"/>
  <c r="F366" i="6" s="1"/>
  <c r="C365" i="6"/>
  <c r="B365" i="6"/>
  <c r="A365" i="6"/>
  <c r="F365" i="6" s="1"/>
  <c r="C364" i="6"/>
  <c r="B364" i="6"/>
  <c r="A364" i="6"/>
  <c r="F364" i="6" s="1"/>
  <c r="C363" i="6"/>
  <c r="B363" i="6"/>
  <c r="A363" i="6"/>
  <c r="F363" i="6" s="1"/>
  <c r="C362" i="6"/>
  <c r="B362" i="6"/>
  <c r="A362" i="6"/>
  <c r="C361" i="6"/>
  <c r="B361" i="6"/>
  <c r="A361" i="6"/>
  <c r="C360" i="6"/>
  <c r="B360" i="6"/>
  <c r="A360" i="6"/>
  <c r="F360" i="6" s="1"/>
  <c r="C359" i="6"/>
  <c r="B359" i="6"/>
  <c r="A359" i="6"/>
  <c r="F359" i="6" s="1"/>
  <c r="C358" i="6"/>
  <c r="B358" i="6"/>
  <c r="A358" i="6"/>
  <c r="F358" i="6" s="1"/>
  <c r="C357" i="6"/>
  <c r="B357" i="6"/>
  <c r="A357" i="6"/>
  <c r="F357" i="6" s="1"/>
  <c r="C356" i="6"/>
  <c r="B356" i="6"/>
  <c r="A356" i="6"/>
  <c r="F356" i="6" s="1"/>
  <c r="C355" i="6"/>
  <c r="B355" i="6"/>
  <c r="A355" i="6"/>
  <c r="F355" i="6" s="1"/>
  <c r="C354" i="6"/>
  <c r="B354" i="6"/>
  <c r="A354" i="6"/>
  <c r="C353" i="6"/>
  <c r="B353" i="6"/>
  <c r="A353" i="6"/>
  <c r="G353" i="6" s="1"/>
  <c r="C352" i="6"/>
  <c r="B352" i="6"/>
  <c r="A352" i="6"/>
  <c r="F352" i="6" s="1"/>
  <c r="C351" i="6"/>
  <c r="B351" i="6"/>
  <c r="A351" i="6"/>
  <c r="G351" i="6" s="1"/>
  <c r="C350" i="6"/>
  <c r="B350" i="6"/>
  <c r="A350" i="6"/>
  <c r="F350" i="6" s="1"/>
  <c r="C349" i="6"/>
  <c r="B349" i="6"/>
  <c r="A349" i="6"/>
  <c r="G349" i="6" s="1"/>
  <c r="C348" i="6"/>
  <c r="B348" i="6"/>
  <c r="A348" i="6"/>
  <c r="F348" i="6" s="1"/>
  <c r="C347" i="6"/>
  <c r="B347" i="6"/>
  <c r="A347" i="6"/>
  <c r="G347" i="6" s="1"/>
  <c r="C346" i="6"/>
  <c r="B346" i="6"/>
  <c r="A346" i="6"/>
  <c r="C345" i="6"/>
  <c r="B345" i="6"/>
  <c r="A345" i="6"/>
  <c r="F345" i="6" s="1"/>
  <c r="C344" i="6"/>
  <c r="B344" i="6"/>
  <c r="A344" i="6"/>
  <c r="F344" i="6" s="1"/>
  <c r="C343" i="6"/>
  <c r="B343" i="6"/>
  <c r="A343" i="6"/>
  <c r="F343" i="6" s="1"/>
  <c r="C342" i="6"/>
  <c r="B342" i="6"/>
  <c r="A342" i="6"/>
  <c r="F342" i="6" s="1"/>
  <c r="C341" i="6"/>
  <c r="B341" i="6"/>
  <c r="A341" i="6"/>
  <c r="F341" i="6" s="1"/>
  <c r="C340" i="6"/>
  <c r="B340" i="6"/>
  <c r="A340" i="6"/>
  <c r="F340" i="6" s="1"/>
  <c r="C339" i="6"/>
  <c r="B339" i="6"/>
  <c r="A339" i="6"/>
  <c r="F339" i="6" s="1"/>
  <c r="C338" i="6"/>
  <c r="B338" i="6"/>
  <c r="A338" i="6"/>
  <c r="C337" i="6"/>
  <c r="B337" i="6"/>
  <c r="A337" i="6"/>
  <c r="F337" i="6" s="1"/>
  <c r="C336" i="6"/>
  <c r="B336" i="6"/>
  <c r="A336" i="6"/>
  <c r="G336" i="6" s="1"/>
  <c r="C335" i="6"/>
  <c r="B335" i="6"/>
  <c r="A335" i="6"/>
  <c r="F335" i="6" s="1"/>
  <c r="C334" i="6"/>
  <c r="B334" i="6"/>
  <c r="A334" i="6"/>
  <c r="G334" i="6" s="1"/>
  <c r="C333" i="6"/>
  <c r="B333" i="6"/>
  <c r="A333" i="6"/>
  <c r="F333" i="6" s="1"/>
  <c r="C332" i="6"/>
  <c r="B332" i="6"/>
  <c r="A332" i="6"/>
  <c r="G332" i="6" s="1"/>
  <c r="C331" i="6"/>
  <c r="B331" i="6"/>
  <c r="A331" i="6"/>
  <c r="F331" i="6" s="1"/>
  <c r="C330" i="6"/>
  <c r="B330" i="6"/>
  <c r="A330" i="6"/>
  <c r="C329" i="6"/>
  <c r="B329" i="6"/>
  <c r="A329" i="6"/>
  <c r="F329" i="6" s="1"/>
  <c r="C328" i="6"/>
  <c r="B328" i="6"/>
  <c r="A328" i="6"/>
  <c r="G328" i="6" s="1"/>
  <c r="C327" i="6"/>
  <c r="B327" i="6"/>
  <c r="A327" i="6"/>
  <c r="F327" i="6" s="1"/>
  <c r="C326" i="6"/>
  <c r="B326" i="6"/>
  <c r="A326" i="6"/>
  <c r="G326" i="6" s="1"/>
  <c r="C325" i="6"/>
  <c r="B325" i="6"/>
  <c r="A325" i="6"/>
  <c r="F325" i="6" s="1"/>
  <c r="C324" i="6"/>
  <c r="B324" i="6"/>
  <c r="A324" i="6"/>
  <c r="G324" i="6" s="1"/>
  <c r="C323" i="6"/>
  <c r="B323" i="6"/>
  <c r="A323" i="6"/>
  <c r="F323" i="6" s="1"/>
  <c r="C322" i="6"/>
  <c r="B322" i="6"/>
  <c r="A322" i="6"/>
  <c r="C321" i="6"/>
  <c r="B321" i="6"/>
  <c r="A321" i="6"/>
  <c r="F321" i="6" s="1"/>
  <c r="C320" i="6"/>
  <c r="B320" i="6"/>
  <c r="A320" i="6"/>
  <c r="G320" i="6" s="1"/>
  <c r="C319" i="6"/>
  <c r="B319" i="6"/>
  <c r="A319" i="6"/>
  <c r="F319" i="6" s="1"/>
  <c r="C318" i="6"/>
  <c r="B318" i="6"/>
  <c r="A318" i="6"/>
  <c r="G318" i="6" s="1"/>
  <c r="C317" i="6"/>
  <c r="B317" i="6"/>
  <c r="A317" i="6"/>
  <c r="F317" i="6" s="1"/>
  <c r="C316" i="6"/>
  <c r="B316" i="6"/>
  <c r="A316" i="6"/>
  <c r="G316" i="6" s="1"/>
  <c r="C315" i="6"/>
  <c r="B315" i="6"/>
  <c r="A315" i="6"/>
  <c r="F315" i="6" s="1"/>
  <c r="C314" i="6"/>
  <c r="B314" i="6"/>
  <c r="A314" i="6"/>
  <c r="C313" i="6"/>
  <c r="B313" i="6"/>
  <c r="A313" i="6"/>
  <c r="F313" i="6" s="1"/>
  <c r="C312" i="6"/>
  <c r="B312" i="6"/>
  <c r="A312" i="6"/>
  <c r="G312" i="6" s="1"/>
  <c r="C311" i="6"/>
  <c r="B311" i="6"/>
  <c r="A311" i="6"/>
  <c r="G311" i="6" s="1"/>
  <c r="C310" i="6"/>
  <c r="B310" i="6"/>
  <c r="A310" i="6"/>
  <c r="G310" i="6"/>
  <c r="C309" i="6"/>
  <c r="B309" i="6"/>
  <c r="A309" i="6"/>
  <c r="F309" i="6" s="1"/>
  <c r="C308" i="6"/>
  <c r="B308" i="6"/>
  <c r="A308" i="6"/>
  <c r="G308" i="6" s="1"/>
  <c r="C307" i="6"/>
  <c r="B307" i="6"/>
  <c r="A307" i="6"/>
  <c r="F307" i="6" s="1"/>
  <c r="C306" i="6"/>
  <c r="B306" i="6"/>
  <c r="A306" i="6"/>
  <c r="G306" i="6"/>
  <c r="C305" i="6"/>
  <c r="B305" i="6"/>
  <c r="A305" i="6"/>
  <c r="F305" i="6" s="1"/>
  <c r="C304" i="6"/>
  <c r="B304" i="6"/>
  <c r="A304" i="6"/>
  <c r="G304" i="6" s="1"/>
  <c r="C303" i="6"/>
  <c r="B303" i="6"/>
  <c r="A303" i="6"/>
  <c r="C302" i="6"/>
  <c r="B302" i="6"/>
  <c r="A302" i="6"/>
  <c r="G302" i="6" s="1"/>
  <c r="C301" i="6"/>
  <c r="B301" i="6"/>
  <c r="A301" i="6"/>
  <c r="F301" i="6" s="1"/>
  <c r="C300" i="6"/>
  <c r="B300" i="6"/>
  <c r="A300" i="6"/>
  <c r="G300" i="6"/>
  <c r="C299" i="6"/>
  <c r="B299" i="6"/>
  <c r="A299" i="6"/>
  <c r="F299" i="6" s="1"/>
  <c r="C298" i="6"/>
  <c r="B298" i="6"/>
  <c r="A298" i="6"/>
  <c r="G298" i="6" s="1"/>
  <c r="C297" i="6"/>
  <c r="B297" i="6"/>
  <c r="A297" i="6"/>
  <c r="F297" i="6" s="1"/>
  <c r="C296" i="6"/>
  <c r="B296" i="6"/>
  <c r="A296" i="6"/>
  <c r="F296" i="6" s="1"/>
  <c r="C295" i="6"/>
  <c r="B295" i="6"/>
  <c r="A295" i="6"/>
  <c r="F295" i="6" s="1"/>
  <c r="C294" i="6"/>
  <c r="B294" i="6"/>
  <c r="A294" i="6"/>
  <c r="F294" i="6" s="1"/>
  <c r="C293" i="6"/>
  <c r="B293" i="6"/>
  <c r="A293" i="6"/>
  <c r="F293" i="6" s="1"/>
  <c r="C292" i="6"/>
  <c r="B292" i="6"/>
  <c r="A292" i="6"/>
  <c r="F292" i="6" s="1"/>
  <c r="C291" i="6"/>
  <c r="B291" i="6"/>
  <c r="A291" i="6"/>
  <c r="F291" i="6" s="1"/>
  <c r="C290" i="6"/>
  <c r="B290" i="6"/>
  <c r="A290" i="6"/>
  <c r="F290" i="6" s="1"/>
  <c r="C289" i="6"/>
  <c r="B289" i="6"/>
  <c r="A289" i="6"/>
  <c r="F289" i="6" s="1"/>
  <c r="C288" i="6"/>
  <c r="B288" i="6"/>
  <c r="A288" i="6"/>
  <c r="F288" i="6" s="1"/>
  <c r="C287" i="6"/>
  <c r="B287" i="6"/>
  <c r="A287" i="6"/>
  <c r="F287" i="6" s="1"/>
  <c r="C286" i="6"/>
  <c r="B286" i="6"/>
  <c r="A286" i="6"/>
  <c r="F286" i="6"/>
  <c r="C285" i="6"/>
  <c r="B285" i="6"/>
  <c r="A285" i="6"/>
  <c r="F285" i="6" s="1"/>
  <c r="C284" i="6"/>
  <c r="B284" i="6"/>
  <c r="A284" i="6"/>
  <c r="F284" i="6" s="1"/>
  <c r="C283" i="6"/>
  <c r="B283" i="6"/>
  <c r="A283" i="6"/>
  <c r="F283" i="6" s="1"/>
  <c r="C282" i="6"/>
  <c r="B282" i="6"/>
  <c r="A282" i="6"/>
  <c r="F282" i="6" s="1"/>
  <c r="C281" i="6"/>
  <c r="B281" i="6"/>
  <c r="A281" i="6"/>
  <c r="F281" i="6" s="1"/>
  <c r="C280" i="6"/>
  <c r="B280" i="6"/>
  <c r="A280" i="6"/>
  <c r="F280" i="6" s="1"/>
  <c r="C279" i="6"/>
  <c r="B279" i="6"/>
  <c r="A279" i="6"/>
  <c r="F279" i="6" s="1"/>
  <c r="C278" i="6"/>
  <c r="B278" i="6"/>
  <c r="A278" i="6"/>
  <c r="F278" i="6" s="1"/>
  <c r="C277" i="6"/>
  <c r="B277" i="6"/>
  <c r="A277" i="6"/>
  <c r="F277" i="6" s="1"/>
  <c r="C276" i="6"/>
  <c r="B276" i="6"/>
  <c r="A276" i="6"/>
  <c r="F276" i="6" s="1"/>
  <c r="C275" i="6"/>
  <c r="B275" i="6"/>
  <c r="A275" i="6"/>
  <c r="F275" i="6" s="1"/>
  <c r="C274" i="6"/>
  <c r="B274" i="6"/>
  <c r="A274" i="6"/>
  <c r="F274" i="6" s="1"/>
  <c r="C273" i="6"/>
  <c r="B273" i="6"/>
  <c r="A273" i="6"/>
  <c r="G273" i="6" s="1"/>
  <c r="C272" i="6"/>
  <c r="B272" i="6"/>
  <c r="A272" i="6"/>
  <c r="F272" i="6" s="1"/>
  <c r="C271" i="6"/>
  <c r="B271" i="6"/>
  <c r="A271" i="6"/>
  <c r="G271" i="6" s="1"/>
  <c r="C270" i="6"/>
  <c r="B270" i="6"/>
  <c r="A270" i="6"/>
  <c r="F270" i="6" s="1"/>
  <c r="C269" i="6"/>
  <c r="B269" i="6"/>
  <c r="A269" i="6"/>
  <c r="G269" i="6" s="1"/>
  <c r="C268" i="6"/>
  <c r="B268" i="6"/>
  <c r="A268" i="6"/>
  <c r="F268" i="6" s="1"/>
  <c r="C267" i="6"/>
  <c r="B267" i="6"/>
  <c r="A267" i="6"/>
  <c r="G267" i="6" s="1"/>
  <c r="C266" i="6"/>
  <c r="B266" i="6"/>
  <c r="A266" i="6"/>
  <c r="F266" i="6" s="1"/>
  <c r="C265" i="6"/>
  <c r="B265" i="6"/>
  <c r="A265" i="6"/>
  <c r="G265" i="6" s="1"/>
  <c r="C264" i="6"/>
  <c r="B264" i="6"/>
  <c r="A264" i="6"/>
  <c r="F264" i="6" s="1"/>
  <c r="C263" i="6"/>
  <c r="B263" i="6"/>
  <c r="A263" i="6"/>
  <c r="G263" i="6" s="1"/>
  <c r="C262" i="6"/>
  <c r="B262" i="6"/>
  <c r="A262" i="6"/>
  <c r="F262" i="6"/>
  <c r="C261" i="6"/>
  <c r="B261" i="6"/>
  <c r="A261" i="6"/>
  <c r="G261" i="6" s="1"/>
  <c r="C260" i="6"/>
  <c r="B260" i="6"/>
  <c r="A260" i="6"/>
  <c r="F260" i="6"/>
  <c r="C259" i="6"/>
  <c r="B259" i="6"/>
  <c r="A259" i="6"/>
  <c r="G259" i="6" s="1"/>
  <c r="C258" i="6"/>
  <c r="B258" i="6"/>
  <c r="A258" i="6"/>
  <c r="F258" i="6" s="1"/>
  <c r="C257" i="6"/>
  <c r="B257" i="6"/>
  <c r="A257" i="6"/>
  <c r="G257" i="6" s="1"/>
  <c r="C256" i="6"/>
  <c r="B256" i="6"/>
  <c r="A256" i="6"/>
  <c r="F256" i="6"/>
  <c r="C255" i="6"/>
  <c r="B255" i="6"/>
  <c r="A255" i="6"/>
  <c r="F255" i="6" s="1"/>
  <c r="C254" i="6"/>
  <c r="B254" i="6"/>
  <c r="A254" i="6"/>
  <c r="F254" i="6" s="1"/>
  <c r="C253" i="6"/>
  <c r="B253" i="6"/>
  <c r="A253" i="6"/>
  <c r="F253" i="6" s="1"/>
  <c r="C252" i="6"/>
  <c r="B252" i="6"/>
  <c r="A252" i="6"/>
  <c r="F252" i="6" s="1"/>
  <c r="C251" i="6"/>
  <c r="B251" i="6"/>
  <c r="A251" i="6"/>
  <c r="F251" i="6" s="1"/>
  <c r="C250" i="6"/>
  <c r="B250" i="6"/>
  <c r="A250" i="6"/>
  <c r="F250" i="6" s="1"/>
  <c r="C249" i="6"/>
  <c r="B249" i="6"/>
  <c r="A249" i="6"/>
  <c r="F249" i="6" s="1"/>
  <c r="C248" i="6"/>
  <c r="B248" i="6"/>
  <c r="A248" i="6"/>
  <c r="F248" i="6" s="1"/>
  <c r="C247" i="6"/>
  <c r="B247" i="6"/>
  <c r="A247" i="6"/>
  <c r="F247" i="6" s="1"/>
  <c r="C246" i="6"/>
  <c r="B246" i="6"/>
  <c r="A246" i="6"/>
  <c r="F246" i="6" s="1"/>
  <c r="C245" i="6"/>
  <c r="B245" i="6"/>
  <c r="A245" i="6"/>
  <c r="F245" i="6" s="1"/>
  <c r="C244" i="6"/>
  <c r="B244" i="6"/>
  <c r="A244" i="6"/>
  <c r="F244" i="6" s="1"/>
  <c r="C243" i="6"/>
  <c r="B243" i="6"/>
  <c r="A243" i="6"/>
  <c r="F243" i="6" s="1"/>
  <c r="C242" i="6"/>
  <c r="B242" i="6"/>
  <c r="A242" i="6"/>
  <c r="F242" i="6" s="1"/>
  <c r="C241" i="6"/>
  <c r="B241" i="6"/>
  <c r="A241" i="6"/>
  <c r="F241" i="6" s="1"/>
  <c r="C240" i="6"/>
  <c r="B240" i="6"/>
  <c r="A240" i="6"/>
  <c r="F240" i="6" s="1"/>
  <c r="C239" i="6"/>
  <c r="B239" i="6"/>
  <c r="A239" i="6"/>
  <c r="F239" i="6" s="1"/>
  <c r="C238" i="6"/>
  <c r="B238" i="6"/>
  <c r="A238" i="6"/>
  <c r="F238" i="6" s="1"/>
  <c r="C237" i="6"/>
  <c r="B237" i="6"/>
  <c r="A237" i="6"/>
  <c r="F237" i="6" s="1"/>
  <c r="C236" i="6"/>
  <c r="B236" i="6"/>
  <c r="A236" i="6"/>
  <c r="F236" i="6"/>
  <c r="C235" i="6"/>
  <c r="B235" i="6"/>
  <c r="A235" i="6"/>
  <c r="F235" i="6" s="1"/>
  <c r="C234" i="6"/>
  <c r="B234" i="6"/>
  <c r="A234" i="6"/>
  <c r="F234" i="6" s="1"/>
  <c r="C233" i="6"/>
  <c r="B233" i="6"/>
  <c r="A233" i="6"/>
  <c r="F233" i="6" s="1"/>
  <c r="C232" i="6"/>
  <c r="B232" i="6"/>
  <c r="A232" i="6"/>
  <c r="F232" i="6" s="1"/>
  <c r="C231" i="6"/>
  <c r="B231" i="6"/>
  <c r="A231" i="6"/>
  <c r="F231" i="6" s="1"/>
  <c r="C230" i="6"/>
  <c r="B230" i="6"/>
  <c r="A230" i="6"/>
  <c r="F230" i="6"/>
  <c r="C229" i="6"/>
  <c r="B229" i="6"/>
  <c r="A229" i="6"/>
  <c r="F229" i="6" s="1"/>
  <c r="C228" i="6"/>
  <c r="B228" i="6"/>
  <c r="A228" i="6"/>
  <c r="F228" i="6" s="1"/>
  <c r="C227" i="6"/>
  <c r="B227" i="6"/>
  <c r="A227" i="6"/>
  <c r="F227" i="6" s="1"/>
  <c r="C226" i="6"/>
  <c r="B226" i="6"/>
  <c r="A226" i="6"/>
  <c r="F226" i="6" s="1"/>
  <c r="C225" i="6"/>
  <c r="B225" i="6"/>
  <c r="A225" i="6"/>
  <c r="F225" i="6" s="1"/>
  <c r="C224" i="6"/>
  <c r="B224" i="6"/>
  <c r="A224" i="6"/>
  <c r="F224" i="6" s="1"/>
  <c r="C223" i="6"/>
  <c r="B223" i="6"/>
  <c r="A223" i="6"/>
  <c r="F223" i="6" s="1"/>
  <c r="C222" i="6"/>
  <c r="B222" i="6"/>
  <c r="A222" i="6"/>
  <c r="G222" i="6" s="1"/>
  <c r="F222" i="6"/>
  <c r="C221" i="6"/>
  <c r="B221" i="6"/>
  <c r="A221" i="6"/>
  <c r="F221" i="6" s="1"/>
  <c r="C220" i="6"/>
  <c r="B220" i="6"/>
  <c r="A220" i="6"/>
  <c r="F220" i="6"/>
  <c r="C219" i="6"/>
  <c r="B219" i="6"/>
  <c r="A219" i="6"/>
  <c r="F219" i="6" s="1"/>
  <c r="C218" i="6"/>
  <c r="B218" i="6"/>
  <c r="A218" i="6"/>
  <c r="F218" i="6" s="1"/>
  <c r="C217" i="6"/>
  <c r="B217" i="6"/>
  <c r="A217" i="6"/>
  <c r="F217" i="6" s="1"/>
  <c r="C216" i="6"/>
  <c r="B216" i="6"/>
  <c r="A216" i="6"/>
  <c r="F216" i="6" s="1"/>
  <c r="C215" i="6"/>
  <c r="B215" i="6"/>
  <c r="A215" i="6"/>
  <c r="F215" i="6" s="1"/>
  <c r="C214" i="6"/>
  <c r="B214" i="6"/>
  <c r="A214" i="6"/>
  <c r="F214" i="6" s="1"/>
  <c r="C213" i="6"/>
  <c r="B213" i="6"/>
  <c r="A213" i="6"/>
  <c r="C212" i="6"/>
  <c r="B212" i="6"/>
  <c r="A212" i="6"/>
  <c r="C211" i="6"/>
  <c r="B211" i="6"/>
  <c r="A211" i="6"/>
  <c r="G211" i="6" s="1"/>
  <c r="C210" i="6"/>
  <c r="B210" i="6"/>
  <c r="A210" i="6"/>
  <c r="F210" i="6" s="1"/>
  <c r="C209" i="6"/>
  <c r="B209" i="6"/>
  <c r="A209" i="6"/>
  <c r="G209" i="6" s="1"/>
  <c r="C208" i="6"/>
  <c r="B208" i="6"/>
  <c r="A208" i="6"/>
  <c r="F208" i="6" s="1"/>
  <c r="C207" i="6"/>
  <c r="B207" i="6"/>
  <c r="A207" i="6"/>
  <c r="C206" i="6"/>
  <c r="B206" i="6"/>
  <c r="A206" i="6"/>
  <c r="G206" i="6" s="1"/>
  <c r="C205" i="6"/>
  <c r="B205" i="6"/>
  <c r="A205" i="6"/>
  <c r="F205" i="6" s="1"/>
  <c r="C204" i="6"/>
  <c r="B204" i="6"/>
  <c r="A204" i="6"/>
  <c r="F204" i="6" s="1"/>
  <c r="C203" i="6"/>
  <c r="B203" i="6"/>
  <c r="A203" i="6"/>
  <c r="C202" i="6"/>
  <c r="B202" i="6"/>
  <c r="A202" i="6"/>
  <c r="C201" i="6"/>
  <c r="B201" i="6"/>
  <c r="A201" i="6"/>
  <c r="G201" i="6" s="1"/>
  <c r="C200" i="6"/>
  <c r="B200" i="6"/>
  <c r="A200" i="6"/>
  <c r="F200" i="6" s="1"/>
  <c r="C199" i="6"/>
  <c r="B199" i="6"/>
  <c r="A199" i="6"/>
  <c r="C198" i="6"/>
  <c r="B198" i="6"/>
  <c r="A198" i="6"/>
  <c r="F198" i="6" s="1"/>
  <c r="C197" i="6"/>
  <c r="B197" i="6"/>
  <c r="A197" i="6"/>
  <c r="F197" i="6" s="1"/>
  <c r="C196" i="6"/>
  <c r="B196" i="6"/>
  <c r="A196" i="6"/>
  <c r="G196" i="6" s="1"/>
  <c r="C195" i="6"/>
  <c r="B195" i="6"/>
  <c r="A195" i="6"/>
  <c r="F195" i="6" s="1"/>
  <c r="C194" i="6"/>
  <c r="B194" i="6"/>
  <c r="A194" i="6"/>
  <c r="G194" i="6"/>
  <c r="C193" i="6"/>
  <c r="B193" i="6"/>
  <c r="A193" i="6"/>
  <c r="F193" i="6" s="1"/>
  <c r="C192" i="6"/>
  <c r="B192" i="6"/>
  <c r="A192" i="6"/>
  <c r="G192" i="6" s="1"/>
  <c r="C191" i="6"/>
  <c r="B191" i="6"/>
  <c r="A191" i="6"/>
  <c r="G191" i="6" s="1"/>
  <c r="C190" i="6"/>
  <c r="B190" i="6"/>
  <c r="A190" i="6"/>
  <c r="G190" i="6" s="1"/>
  <c r="C189" i="6"/>
  <c r="B189" i="6"/>
  <c r="A189" i="6"/>
  <c r="F189" i="6" s="1"/>
  <c r="C188" i="6"/>
  <c r="B188" i="6"/>
  <c r="A188" i="6"/>
  <c r="G188" i="6" s="1"/>
  <c r="C187" i="6"/>
  <c r="B187" i="6"/>
  <c r="A187" i="6"/>
  <c r="G187" i="6" s="1"/>
  <c r="C186" i="6"/>
  <c r="B186" i="6"/>
  <c r="A186" i="6"/>
  <c r="G186" i="6" s="1"/>
  <c r="C185" i="6"/>
  <c r="B185" i="6"/>
  <c r="A185" i="6"/>
  <c r="F185" i="6"/>
  <c r="C184" i="6"/>
  <c r="B184" i="6"/>
  <c r="A184" i="6"/>
  <c r="G184" i="6" s="1"/>
  <c r="C183" i="6"/>
  <c r="B183" i="6"/>
  <c r="A183" i="6"/>
  <c r="F183" i="6" s="1"/>
  <c r="C182" i="6"/>
  <c r="B182" i="6"/>
  <c r="A182" i="6"/>
  <c r="G182" i="6" s="1"/>
  <c r="C181" i="6"/>
  <c r="B181" i="6"/>
  <c r="A181" i="6"/>
  <c r="F181" i="6" s="1"/>
  <c r="C180" i="6"/>
  <c r="B180" i="6"/>
  <c r="A180" i="6"/>
  <c r="G180" i="6" s="1"/>
  <c r="C179" i="6"/>
  <c r="B179" i="6"/>
  <c r="A179" i="6"/>
  <c r="F179" i="6" s="1"/>
  <c r="C178" i="6"/>
  <c r="B178" i="6"/>
  <c r="A178" i="6"/>
  <c r="C177" i="6"/>
  <c r="B177" i="6"/>
  <c r="A177" i="6"/>
  <c r="F177" i="6" s="1"/>
  <c r="C176" i="6"/>
  <c r="B176" i="6"/>
  <c r="A176" i="6"/>
  <c r="G176" i="6" s="1"/>
  <c r="C175" i="6"/>
  <c r="B175" i="6"/>
  <c r="A175" i="6"/>
  <c r="F175" i="6" s="1"/>
  <c r="C174" i="6"/>
  <c r="B174" i="6"/>
  <c r="A174" i="6"/>
  <c r="G174" i="6" s="1"/>
  <c r="C173" i="6"/>
  <c r="B173" i="6"/>
  <c r="A173" i="6"/>
  <c r="F173" i="6" s="1"/>
  <c r="C172" i="6"/>
  <c r="B172" i="6"/>
  <c r="A172" i="6"/>
  <c r="G172" i="6" s="1"/>
  <c r="C171" i="6"/>
  <c r="B171" i="6"/>
  <c r="A171" i="6"/>
  <c r="F171" i="6" s="1"/>
  <c r="C170" i="6"/>
  <c r="B170" i="6"/>
  <c r="A170" i="6"/>
  <c r="G170" i="6" s="1"/>
  <c r="C169" i="6"/>
  <c r="B169" i="6"/>
  <c r="A169" i="6"/>
  <c r="F169" i="6" s="1"/>
  <c r="C168" i="6"/>
  <c r="B168" i="6"/>
  <c r="A168" i="6"/>
  <c r="G168" i="6" s="1"/>
  <c r="C167" i="6"/>
  <c r="B167" i="6"/>
  <c r="A167" i="6"/>
  <c r="F167" i="6" s="1"/>
  <c r="C166" i="6"/>
  <c r="B166" i="6"/>
  <c r="A166" i="6"/>
  <c r="G166" i="6" s="1"/>
  <c r="C165" i="6"/>
  <c r="B165" i="6"/>
  <c r="A165" i="6"/>
  <c r="F165" i="6" s="1"/>
  <c r="C164" i="6"/>
  <c r="B164" i="6"/>
  <c r="A164" i="6"/>
  <c r="G164" i="6" s="1"/>
  <c r="C163" i="6"/>
  <c r="B163" i="6"/>
  <c r="A163" i="6"/>
  <c r="F163" i="6" s="1"/>
  <c r="C162" i="6"/>
  <c r="B162" i="6"/>
  <c r="A162" i="6"/>
  <c r="G162" i="6" s="1"/>
  <c r="C161" i="6"/>
  <c r="B161" i="6"/>
  <c r="A161" i="6"/>
  <c r="F161" i="6" s="1"/>
  <c r="C160" i="6"/>
  <c r="B160" i="6"/>
  <c r="A160" i="6"/>
  <c r="G160" i="6" s="1"/>
  <c r="C159" i="6"/>
  <c r="B159" i="6"/>
  <c r="A159" i="6"/>
  <c r="F159" i="6" s="1"/>
  <c r="C158" i="6"/>
  <c r="B158" i="6"/>
  <c r="A158" i="6"/>
  <c r="G158" i="6" s="1"/>
  <c r="C157" i="6"/>
  <c r="B157" i="6"/>
  <c r="A157" i="6"/>
  <c r="F157" i="6" s="1"/>
  <c r="C156" i="6"/>
  <c r="B156" i="6"/>
  <c r="A156" i="6"/>
  <c r="G156" i="6" s="1"/>
  <c r="C155" i="6"/>
  <c r="B155" i="6"/>
  <c r="A155" i="6"/>
  <c r="F155" i="6" s="1"/>
  <c r="C154" i="6"/>
  <c r="B154" i="6"/>
  <c r="A154" i="6"/>
  <c r="G154" i="6" s="1"/>
  <c r="C153" i="6"/>
  <c r="B153" i="6"/>
  <c r="A153" i="6"/>
  <c r="F153" i="6" s="1"/>
  <c r="C152" i="6"/>
  <c r="B152" i="6"/>
  <c r="A152" i="6"/>
  <c r="G152" i="6" s="1"/>
  <c r="C151" i="6"/>
  <c r="B151" i="6"/>
  <c r="A151" i="6"/>
  <c r="F151" i="6" s="1"/>
  <c r="C150" i="6"/>
  <c r="B150" i="6"/>
  <c r="A150" i="6"/>
  <c r="G150" i="6" s="1"/>
  <c r="C149" i="6"/>
  <c r="B149" i="6"/>
  <c r="A149" i="6"/>
  <c r="F149" i="6" s="1"/>
  <c r="C148" i="6"/>
  <c r="B148" i="6"/>
  <c r="A148" i="6"/>
  <c r="G148" i="6" s="1"/>
  <c r="C147" i="6"/>
  <c r="B147" i="6"/>
  <c r="A147" i="6"/>
  <c r="F147" i="6" s="1"/>
  <c r="C146" i="6"/>
  <c r="B146" i="6"/>
  <c r="A146" i="6"/>
  <c r="G146" i="6" s="1"/>
  <c r="C145" i="6"/>
  <c r="B145" i="6"/>
  <c r="A145" i="6"/>
  <c r="F145" i="6" s="1"/>
  <c r="C144" i="6"/>
  <c r="B144" i="6"/>
  <c r="A144" i="6"/>
  <c r="G144" i="6" s="1"/>
  <c r="C143" i="6"/>
  <c r="B143" i="6"/>
  <c r="A143" i="6"/>
  <c r="F143" i="6" s="1"/>
  <c r="C142" i="6"/>
  <c r="B142" i="6"/>
  <c r="A142" i="6"/>
  <c r="G142" i="6" s="1"/>
  <c r="C141" i="6"/>
  <c r="B141" i="6"/>
  <c r="A141" i="6"/>
  <c r="F141" i="6" s="1"/>
  <c r="C140" i="6"/>
  <c r="B140" i="6"/>
  <c r="A140" i="6"/>
  <c r="G140" i="6" s="1"/>
  <c r="C139" i="6"/>
  <c r="B139" i="6"/>
  <c r="A139" i="6"/>
  <c r="F139" i="6" s="1"/>
  <c r="C138" i="6"/>
  <c r="B138" i="6"/>
  <c r="A138" i="6"/>
  <c r="G138" i="6" s="1"/>
  <c r="C137" i="6"/>
  <c r="B137" i="6"/>
  <c r="A137" i="6"/>
  <c r="C136" i="6"/>
  <c r="B136" i="6"/>
  <c r="A136" i="6"/>
  <c r="C135" i="6"/>
  <c r="B135" i="6"/>
  <c r="A135" i="6"/>
  <c r="F135" i="6" s="1"/>
  <c r="C134" i="6"/>
  <c r="B134" i="6"/>
  <c r="A134" i="6"/>
  <c r="G134" i="6" s="1"/>
  <c r="C133" i="6"/>
  <c r="B133" i="6"/>
  <c r="A133" i="6"/>
  <c r="F133" i="6" s="1"/>
  <c r="C132" i="6"/>
  <c r="B132" i="6"/>
  <c r="A132" i="6"/>
  <c r="C131" i="6"/>
  <c r="B131" i="6"/>
  <c r="A131" i="6"/>
  <c r="C130" i="6"/>
  <c r="B130" i="6"/>
  <c r="A130" i="6"/>
  <c r="C129" i="6"/>
  <c r="B129" i="6"/>
  <c r="A129" i="6"/>
  <c r="F129" i="6" s="1"/>
  <c r="C128" i="6"/>
  <c r="B128" i="6"/>
  <c r="A128" i="6"/>
  <c r="F128" i="6" s="1"/>
  <c r="C127" i="6"/>
  <c r="B127" i="6"/>
  <c r="A127" i="6"/>
  <c r="F127" i="6" s="1"/>
  <c r="C126" i="6"/>
  <c r="B126" i="6"/>
  <c r="A126" i="6"/>
  <c r="F126" i="6" s="1"/>
  <c r="C125" i="6"/>
  <c r="B125" i="6"/>
  <c r="A125" i="6"/>
  <c r="F125" i="6" s="1"/>
  <c r="C124" i="6"/>
  <c r="B124" i="6"/>
  <c r="A124" i="6"/>
  <c r="G124" i="6" s="1"/>
  <c r="C123" i="6"/>
  <c r="B123" i="6"/>
  <c r="A123" i="6"/>
  <c r="F123" i="6" s="1"/>
  <c r="C122" i="6"/>
  <c r="B122" i="6"/>
  <c r="A122" i="6"/>
  <c r="C121" i="6"/>
  <c r="B121" i="6"/>
  <c r="A121" i="6"/>
  <c r="G121" i="6" s="1"/>
  <c r="C120" i="6"/>
  <c r="B120" i="6"/>
  <c r="A120" i="6"/>
  <c r="G120" i="6" s="1"/>
  <c r="C119" i="6"/>
  <c r="B119" i="6"/>
  <c r="A119" i="6"/>
  <c r="C118" i="6"/>
  <c r="B118" i="6"/>
  <c r="A118" i="6"/>
  <c r="G118" i="6" s="1"/>
  <c r="C117" i="6"/>
  <c r="B117" i="6"/>
  <c r="A117" i="6"/>
  <c r="G117" i="6" s="1"/>
  <c r="C116" i="6"/>
  <c r="B116" i="6"/>
  <c r="A116" i="6"/>
  <c r="G116" i="6" s="1"/>
  <c r="C115" i="6"/>
  <c r="B115" i="6"/>
  <c r="A115" i="6"/>
  <c r="C114" i="6"/>
  <c r="B114" i="6"/>
  <c r="A114" i="6"/>
  <c r="G114" i="6" s="1"/>
  <c r="C113" i="6"/>
  <c r="B113" i="6"/>
  <c r="A113" i="6"/>
  <c r="G113" i="6" s="1"/>
  <c r="C112" i="6"/>
  <c r="B112" i="6"/>
  <c r="A112" i="6"/>
  <c r="F112" i="6" s="1"/>
  <c r="C111" i="6"/>
  <c r="B111" i="6"/>
  <c r="A111" i="6"/>
  <c r="C110" i="6"/>
  <c r="B110" i="6"/>
  <c r="A110" i="6"/>
  <c r="F110" i="6" s="1"/>
  <c r="C109" i="6"/>
  <c r="B109" i="6"/>
  <c r="A109" i="6"/>
  <c r="G109" i="6" s="1"/>
  <c r="C108" i="6"/>
  <c r="B108" i="6"/>
  <c r="A108" i="6"/>
  <c r="F108" i="6" s="1"/>
  <c r="C107" i="6"/>
  <c r="B107" i="6"/>
  <c r="A107" i="6"/>
  <c r="C106" i="6"/>
  <c r="B106" i="6"/>
  <c r="A106" i="6"/>
  <c r="F106" i="6" s="1"/>
  <c r="C105" i="6"/>
  <c r="B105" i="6"/>
  <c r="A105" i="6"/>
  <c r="C104" i="6"/>
  <c r="B104" i="6"/>
  <c r="A104" i="6"/>
  <c r="F104" i="6" s="1"/>
  <c r="C103" i="6"/>
  <c r="B103" i="6"/>
  <c r="A103" i="6"/>
  <c r="G103" i="6" s="1"/>
  <c r="C102" i="6"/>
  <c r="B102" i="6"/>
  <c r="A102" i="6"/>
  <c r="F102" i="6" s="1"/>
  <c r="C101" i="6"/>
  <c r="B101" i="6"/>
  <c r="A101" i="6"/>
  <c r="F101" i="6" s="1"/>
  <c r="C100" i="6"/>
  <c r="B100" i="6"/>
  <c r="A100" i="6"/>
  <c r="F100" i="6" s="1"/>
  <c r="C99" i="6"/>
  <c r="B99" i="6"/>
  <c r="A99" i="6"/>
  <c r="F99" i="6" s="1"/>
  <c r="C98" i="6"/>
  <c r="B98" i="6"/>
  <c r="A98" i="6"/>
  <c r="F98" i="6" s="1"/>
  <c r="C97" i="6"/>
  <c r="B97" i="6"/>
  <c r="A97" i="6"/>
  <c r="C96" i="6"/>
  <c r="B96" i="6"/>
  <c r="A96" i="6"/>
  <c r="C95" i="6"/>
  <c r="B95" i="6"/>
  <c r="A95" i="6"/>
  <c r="F95" i="6" s="1"/>
  <c r="C94" i="6"/>
  <c r="B94" i="6"/>
  <c r="A94" i="6"/>
  <c r="C93" i="6"/>
  <c r="B93" i="6"/>
  <c r="A93" i="6"/>
  <c r="F93" i="6" s="1"/>
  <c r="C92" i="6"/>
  <c r="B92" i="6"/>
  <c r="A92" i="6"/>
  <c r="G92" i="6" s="1"/>
  <c r="C91" i="6"/>
  <c r="B91" i="6"/>
  <c r="A91" i="6"/>
  <c r="F91" i="6" s="1"/>
  <c r="C90" i="6"/>
  <c r="B90" i="6"/>
  <c r="A90" i="6"/>
  <c r="F90" i="6" s="1"/>
  <c r="C89" i="6"/>
  <c r="B89" i="6"/>
  <c r="A89" i="6"/>
  <c r="F89" i="6" s="1"/>
  <c r="C88" i="6"/>
  <c r="B88" i="6"/>
  <c r="A88" i="6"/>
  <c r="C87" i="6"/>
  <c r="B87" i="6"/>
  <c r="A87" i="6"/>
  <c r="F87" i="6" s="1"/>
  <c r="C86" i="6"/>
  <c r="B86" i="6"/>
  <c r="A86" i="6"/>
  <c r="G86" i="6" s="1"/>
  <c r="C85" i="6"/>
  <c r="B85" i="6"/>
  <c r="A85" i="6"/>
  <c r="F85" i="6" s="1"/>
  <c r="C84" i="6"/>
  <c r="B84" i="6"/>
  <c r="A84" i="6"/>
  <c r="G84" i="6" s="1"/>
  <c r="C83" i="6"/>
  <c r="B83" i="6"/>
  <c r="A83" i="6"/>
  <c r="F83" i="6" s="1"/>
  <c r="C82" i="6"/>
  <c r="B82" i="6"/>
  <c r="A82" i="6"/>
  <c r="G82" i="6" s="1"/>
  <c r="C81" i="6"/>
  <c r="B81" i="6"/>
  <c r="A81" i="6"/>
  <c r="F81" i="6" s="1"/>
  <c r="C80" i="6"/>
  <c r="B80" i="6"/>
  <c r="A80" i="6"/>
  <c r="C79" i="6"/>
  <c r="B79" i="6"/>
  <c r="A79" i="6"/>
  <c r="F79" i="6" s="1"/>
  <c r="C78" i="6"/>
  <c r="B78" i="6"/>
  <c r="A78" i="6"/>
  <c r="G78" i="6" s="1"/>
  <c r="C77" i="6"/>
  <c r="B77" i="6"/>
  <c r="A77" i="6"/>
  <c r="F77" i="6" s="1"/>
  <c r="C76" i="6"/>
  <c r="B76" i="6"/>
  <c r="A76" i="6"/>
  <c r="G76" i="6" s="1"/>
  <c r="C75" i="6"/>
  <c r="B75" i="6"/>
  <c r="A75" i="6"/>
  <c r="F75" i="6" s="1"/>
  <c r="C74" i="6"/>
  <c r="B74" i="6"/>
  <c r="A74" i="6"/>
  <c r="F74" i="6" s="1"/>
  <c r="C73" i="6"/>
  <c r="B73" i="6"/>
  <c r="A73" i="6"/>
  <c r="F73" i="6" s="1"/>
  <c r="C72" i="6"/>
  <c r="B72" i="6"/>
  <c r="A72" i="6"/>
  <c r="C71" i="6"/>
  <c r="B71" i="6"/>
  <c r="A71" i="6"/>
  <c r="F71" i="6" s="1"/>
  <c r="C70" i="6"/>
  <c r="B70" i="6"/>
  <c r="A70" i="6"/>
  <c r="G70" i="6" s="1"/>
  <c r="C69" i="6"/>
  <c r="B69" i="6"/>
  <c r="A69" i="6"/>
  <c r="F69" i="6" s="1"/>
  <c r="C68" i="6"/>
  <c r="B68" i="6"/>
  <c r="A68" i="6"/>
  <c r="G68" i="6" s="1"/>
  <c r="C67" i="6"/>
  <c r="B67" i="6"/>
  <c r="A67" i="6"/>
  <c r="F67" i="6" s="1"/>
  <c r="C66" i="6"/>
  <c r="B66" i="6"/>
  <c r="A66" i="6"/>
  <c r="G66" i="6" s="1"/>
  <c r="C65" i="6"/>
  <c r="B65" i="6"/>
  <c r="A65" i="6"/>
  <c r="F65" i="6" s="1"/>
  <c r="C64" i="6"/>
  <c r="B64" i="6"/>
  <c r="A64" i="6"/>
  <c r="C63" i="6"/>
  <c r="B63" i="6"/>
  <c r="A63" i="6"/>
  <c r="F63" i="6" s="1"/>
  <c r="C62" i="6"/>
  <c r="B62" i="6"/>
  <c r="A62" i="6"/>
  <c r="G62" i="6" s="1"/>
  <c r="C61" i="6"/>
  <c r="B61" i="6"/>
  <c r="A61" i="6"/>
  <c r="F61" i="6" s="1"/>
  <c r="C60" i="6"/>
  <c r="B60" i="6"/>
  <c r="A60" i="6"/>
  <c r="F60" i="6" s="1"/>
  <c r="C59" i="6"/>
  <c r="B59" i="6"/>
  <c r="A59" i="6"/>
  <c r="F59" i="6" s="1"/>
  <c r="C58" i="6"/>
  <c r="B58" i="6"/>
  <c r="A58" i="6"/>
  <c r="G58" i="6" s="1"/>
  <c r="C57" i="6"/>
  <c r="B57" i="6"/>
  <c r="A57" i="6"/>
  <c r="F57" i="6" s="1"/>
  <c r="C56" i="6"/>
  <c r="B56" i="6"/>
  <c r="A56" i="6"/>
  <c r="C55" i="6"/>
  <c r="B55" i="6"/>
  <c r="A55" i="6"/>
  <c r="F55" i="6" s="1"/>
  <c r="C54" i="6"/>
  <c r="B54" i="6"/>
  <c r="A54" i="6"/>
  <c r="F54" i="6" s="1"/>
  <c r="C53" i="6"/>
  <c r="B53" i="6"/>
  <c r="A53" i="6"/>
  <c r="F53" i="6" s="1"/>
  <c r="C52" i="6"/>
  <c r="B52" i="6"/>
  <c r="A52" i="6"/>
  <c r="F52" i="6" s="1"/>
  <c r="C51" i="6"/>
  <c r="B51" i="6"/>
  <c r="A51" i="6"/>
  <c r="F51" i="6" s="1"/>
  <c r="C50" i="6"/>
  <c r="B50" i="6"/>
  <c r="A50" i="6"/>
  <c r="F50" i="6" s="1"/>
  <c r="C49" i="6"/>
  <c r="B49" i="6"/>
  <c r="A49" i="6"/>
  <c r="F49" i="6" s="1"/>
  <c r="C48" i="6"/>
  <c r="B48" i="6"/>
  <c r="A48" i="6"/>
  <c r="C47" i="6"/>
  <c r="B47" i="6"/>
  <c r="A47" i="6"/>
  <c r="F47" i="6" s="1"/>
  <c r="C46" i="6"/>
  <c r="B46" i="6"/>
  <c r="A46" i="6"/>
  <c r="F46" i="6" s="1"/>
  <c r="C45" i="6"/>
  <c r="B45" i="6"/>
  <c r="A45" i="6"/>
  <c r="G45" i="6" s="1"/>
  <c r="C44" i="6"/>
  <c r="B44" i="6"/>
  <c r="A44" i="6"/>
  <c r="F44" i="6" s="1"/>
  <c r="C43" i="6"/>
  <c r="B43" i="6"/>
  <c r="A43" i="6"/>
  <c r="F43" i="6" s="1"/>
  <c r="C42" i="6"/>
  <c r="B42" i="6"/>
  <c r="A42" i="6"/>
  <c r="F42" i="6" s="1"/>
  <c r="C41" i="6"/>
  <c r="B41" i="6"/>
  <c r="A41" i="6"/>
  <c r="F41" i="6" s="1"/>
  <c r="C40" i="6"/>
  <c r="B40" i="6"/>
  <c r="A40" i="6"/>
  <c r="F40" i="6" s="1"/>
  <c r="C39" i="6"/>
  <c r="B39" i="6"/>
  <c r="A39" i="6"/>
  <c r="F39" i="6" s="1"/>
  <c r="C38" i="6"/>
  <c r="B38" i="6"/>
  <c r="A38" i="6"/>
  <c r="F38" i="6" s="1"/>
  <c r="C37" i="6"/>
  <c r="B37" i="6"/>
  <c r="A37" i="6"/>
  <c r="F37" i="6" s="1"/>
  <c r="C36" i="6"/>
  <c r="B36" i="6"/>
  <c r="A36" i="6"/>
  <c r="C35" i="6"/>
  <c r="B35" i="6"/>
  <c r="A35" i="6"/>
  <c r="F35" i="6" s="1"/>
  <c r="C34" i="6"/>
  <c r="B34" i="6"/>
  <c r="A34" i="6"/>
  <c r="C33" i="6"/>
  <c r="B33" i="6"/>
  <c r="A33" i="6"/>
  <c r="F33" i="6" s="1"/>
  <c r="C32" i="6"/>
  <c r="B32" i="6"/>
  <c r="A32" i="6"/>
  <c r="F32" i="6" s="1"/>
  <c r="C31" i="6"/>
  <c r="B31" i="6"/>
  <c r="A31" i="6"/>
  <c r="F31" i="6" s="1"/>
  <c r="C30" i="6"/>
  <c r="B30" i="6"/>
  <c r="A30" i="6"/>
  <c r="F30" i="6" s="1"/>
  <c r="C29" i="6"/>
  <c r="B29" i="6"/>
  <c r="A29" i="6"/>
  <c r="C28" i="6"/>
  <c r="B28" i="6"/>
  <c r="A28" i="6"/>
  <c r="C27" i="6"/>
  <c r="B27" i="6"/>
  <c r="A27" i="6"/>
  <c r="G27" i="6" s="1"/>
  <c r="C26" i="6"/>
  <c r="B26" i="6"/>
  <c r="A26" i="6"/>
  <c r="F26" i="6" s="1"/>
  <c r="C25" i="6"/>
  <c r="B25" i="6"/>
  <c r="A25" i="6"/>
  <c r="F25" i="6" s="1"/>
  <c r="C24" i="6"/>
  <c r="B24" i="6"/>
  <c r="A24" i="6"/>
  <c r="G24" i="6" s="1"/>
  <c r="C23" i="6"/>
  <c r="B23" i="6"/>
  <c r="A23" i="6"/>
  <c r="F23" i="6" s="1"/>
  <c r="C22" i="6"/>
  <c r="B22" i="6"/>
  <c r="A22" i="6"/>
  <c r="F22" i="6" s="1"/>
  <c r="C21" i="6"/>
  <c r="B21" i="6"/>
  <c r="A21" i="6"/>
  <c r="F21" i="6"/>
  <c r="C20" i="6"/>
  <c r="B20" i="6"/>
  <c r="A20" i="6"/>
  <c r="C19" i="6"/>
  <c r="B19" i="6"/>
  <c r="A19" i="6"/>
  <c r="F19" i="6" s="1"/>
  <c r="C18" i="6"/>
  <c r="B18" i="6"/>
  <c r="A18" i="6"/>
  <c r="F18" i="6" s="1"/>
  <c r="C17" i="6"/>
  <c r="B17" i="6"/>
  <c r="A17" i="6"/>
  <c r="F17" i="6" s="1"/>
  <c r="C16" i="6"/>
  <c r="B16" i="6"/>
  <c r="A16" i="6"/>
  <c r="G16" i="6" s="1"/>
  <c r="C15" i="6"/>
  <c r="B15" i="6"/>
  <c r="A15" i="6"/>
  <c r="C14" i="6"/>
  <c r="B14" i="6"/>
  <c r="A14" i="6"/>
  <c r="F14" i="6" s="1"/>
  <c r="C13" i="6"/>
  <c r="B13" i="6"/>
  <c r="A13" i="6"/>
  <c r="C12" i="6"/>
  <c r="B12" i="6"/>
  <c r="A12" i="6"/>
  <c r="G12" i="6" s="1"/>
  <c r="C11" i="6"/>
  <c r="B11" i="6"/>
  <c r="A11" i="6"/>
  <c r="G11" i="6" s="1"/>
  <c r="F11" i="6"/>
  <c r="C10" i="6"/>
  <c r="B10" i="6"/>
  <c r="A10" i="6"/>
  <c r="F10" i="6" s="1"/>
  <c r="C9" i="6"/>
  <c r="B9" i="6"/>
  <c r="A9" i="6"/>
  <c r="F9" i="6" s="1"/>
  <c r="C8" i="6"/>
  <c r="B8" i="6"/>
  <c r="A8" i="6"/>
  <c r="G8" i="6" s="1"/>
  <c r="C7" i="6"/>
  <c r="B7" i="6"/>
  <c r="A7" i="6"/>
  <c r="F7" i="6" s="1"/>
  <c r="C6" i="6"/>
  <c r="B6" i="6"/>
  <c r="A6" i="6"/>
  <c r="G6" i="6" s="1"/>
  <c r="F6" i="6"/>
  <c r="C5" i="6"/>
  <c r="B5" i="6"/>
  <c r="A5" i="6"/>
  <c r="F5" i="6" s="1"/>
  <c r="C4" i="6"/>
  <c r="B4" i="6"/>
  <c r="A4" i="6"/>
  <c r="C3" i="6"/>
  <c r="B3" i="6"/>
  <c r="A3" i="6"/>
  <c r="F3" i="6" s="1"/>
  <c r="C2" i="6"/>
  <c r="B2" i="6"/>
  <c r="A2" i="6"/>
  <c r="F2" i="6" s="1"/>
  <c r="C1" i="6"/>
  <c r="A1" i="6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F40" i="1"/>
  <c r="F39" i="1"/>
  <c r="L22" i="1"/>
  <c r="I22" i="1"/>
  <c r="J22" i="1" s="1"/>
  <c r="K22" i="1" s="1"/>
  <c r="R22" i="1"/>
  <c r="Q22" i="1"/>
  <c r="L21" i="1"/>
  <c r="I21" i="1"/>
  <c r="J21" i="1" s="1"/>
  <c r="K21" i="1" s="1"/>
  <c r="R21" i="1"/>
  <c r="Q21" i="1"/>
  <c r="L20" i="1"/>
  <c r="I20" i="1"/>
  <c r="J20" i="1" s="1"/>
  <c r="K20" i="1" s="1"/>
  <c r="R20" i="1"/>
  <c r="Q20" i="1"/>
  <c r="L19" i="1"/>
  <c r="I19" i="1"/>
  <c r="J19" i="1" s="1"/>
  <c r="K19" i="1" s="1"/>
  <c r="R19" i="1"/>
  <c r="Q19" i="1"/>
  <c r="L18" i="1"/>
  <c r="I18" i="1"/>
  <c r="J18" i="1" s="1"/>
  <c r="K18" i="1" s="1"/>
  <c r="R18" i="1"/>
  <c r="Q18" i="1"/>
  <c r="L17" i="1"/>
  <c r="I17" i="1"/>
  <c r="J17" i="1" s="1"/>
  <c r="K17" i="1" s="1"/>
  <c r="R17" i="1"/>
  <c r="Q17" i="1"/>
  <c r="L16" i="1"/>
  <c r="I16" i="1"/>
  <c r="J16" i="1" s="1"/>
  <c r="K16" i="1" s="1"/>
  <c r="R16" i="1"/>
  <c r="Q16" i="1"/>
  <c r="L15" i="1"/>
  <c r="I15" i="1"/>
  <c r="J15" i="1" s="1"/>
  <c r="K15" i="1" s="1"/>
  <c r="R15" i="1"/>
  <c r="Q15" i="1"/>
  <c r="L14" i="1"/>
  <c r="I14" i="1"/>
  <c r="J14" i="1" s="1"/>
  <c r="K14" i="1" s="1"/>
  <c r="R14" i="1"/>
  <c r="Q14" i="1"/>
  <c r="L13" i="1"/>
  <c r="I13" i="1"/>
  <c r="J13" i="1" s="1"/>
  <c r="K13" i="1" s="1"/>
  <c r="R13" i="1"/>
  <c r="Q13" i="1"/>
  <c r="L12" i="1"/>
  <c r="I12" i="1"/>
  <c r="J12" i="1" s="1"/>
  <c r="K12" i="1" s="1"/>
  <c r="R12" i="1"/>
  <c r="Q12" i="1"/>
  <c r="L11" i="1"/>
  <c r="I11" i="1"/>
  <c r="J11" i="1" s="1"/>
  <c r="K11" i="1" s="1"/>
  <c r="R11" i="1"/>
  <c r="Q11" i="1"/>
  <c r="L10" i="1"/>
  <c r="I10" i="1"/>
  <c r="J10" i="1" s="1"/>
  <c r="K10" i="1" s="1"/>
  <c r="R10" i="1"/>
  <c r="Q10" i="1"/>
  <c r="I9" i="1"/>
  <c r="J9" i="1" s="1"/>
  <c r="K9" i="1" s="1"/>
  <c r="R9" i="1"/>
  <c r="Q9" i="1"/>
  <c r="L9" i="1" s="1"/>
  <c r="Y3" i="1" a="1"/>
  <c r="Y22" i="1" s="1"/>
  <c r="A21" i="3" s="1"/>
  <c r="G189" i="6"/>
  <c r="G359" i="6"/>
  <c r="G431" i="6"/>
  <c r="G369" i="6"/>
  <c r="G468" i="6"/>
  <c r="G181" i="6"/>
  <c r="G197" i="6"/>
  <c r="G198" i="6"/>
  <c r="G208" i="6"/>
  <c r="G210" i="6"/>
  <c r="G489" i="6"/>
  <c r="F137" i="6"/>
  <c r="G137" i="6"/>
  <c r="F191" i="6"/>
  <c r="F202" i="6"/>
  <c r="G202" i="6"/>
  <c r="G363" i="6"/>
  <c r="F425" i="6"/>
  <c r="G425" i="6"/>
  <c r="F136" i="6"/>
  <c r="G136" i="6"/>
  <c r="F371" i="6"/>
  <c r="G371" i="6"/>
  <c r="F454" i="6"/>
  <c r="G454" i="6"/>
  <c r="F470" i="6"/>
  <c r="G470" i="6"/>
  <c r="F493" i="6"/>
  <c r="G493" i="6"/>
  <c r="F130" i="6"/>
  <c r="G130" i="6"/>
  <c r="F134" i="6"/>
  <c r="G125" i="6"/>
  <c r="G128" i="6"/>
  <c r="G129" i="6"/>
  <c r="F131" i="6"/>
  <c r="G131" i="6"/>
  <c r="G183" i="6"/>
  <c r="F212" i="6"/>
  <c r="G212" i="6"/>
  <c r="G355" i="6"/>
  <c r="G357" i="6"/>
  <c r="G367" i="6"/>
  <c r="G378" i="6"/>
  <c r="G380" i="6"/>
  <c r="G381" i="6"/>
  <c r="G382" i="6"/>
  <c r="G383" i="6"/>
  <c r="G384" i="6"/>
  <c r="G385" i="6"/>
  <c r="G386" i="6"/>
  <c r="G387" i="6"/>
  <c r="G389" i="6"/>
  <c r="G392" i="6"/>
  <c r="G393" i="6"/>
  <c r="G394" i="6"/>
  <c r="G395" i="6"/>
  <c r="G396" i="6"/>
  <c r="G398" i="6"/>
  <c r="G399" i="6"/>
  <c r="G400" i="6"/>
  <c r="G402" i="6"/>
  <c r="G403" i="6"/>
  <c r="G404" i="6"/>
  <c r="G405" i="6"/>
  <c r="G421" i="6"/>
  <c r="G429" i="6"/>
  <c r="G450" i="6"/>
  <c r="G458" i="6"/>
  <c r="G481" i="6"/>
  <c r="G177" i="6"/>
  <c r="G185" i="6"/>
  <c r="G193" i="6"/>
  <c r="G204" i="6"/>
  <c r="G216" i="6"/>
  <c r="G217" i="6"/>
  <c r="G218" i="6"/>
  <c r="G219" i="6"/>
  <c r="G220" i="6"/>
  <c r="G221" i="6"/>
  <c r="G226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3" i="6"/>
  <c r="G244" i="6"/>
  <c r="G246" i="6"/>
  <c r="G247" i="6"/>
  <c r="G248" i="6"/>
  <c r="G249" i="6"/>
  <c r="G251" i="6"/>
  <c r="G252" i="6"/>
  <c r="G254" i="6"/>
  <c r="G365" i="6"/>
  <c r="G374" i="6"/>
  <c r="G427" i="6"/>
  <c r="G456" i="6"/>
  <c r="G462" i="6"/>
  <c r="G472" i="6"/>
  <c r="G473" i="6"/>
  <c r="G474" i="6"/>
  <c r="G475" i="6"/>
  <c r="G476" i="6"/>
  <c r="G477" i="6"/>
  <c r="G479" i="6"/>
  <c r="G487" i="6"/>
  <c r="G495" i="6"/>
  <c r="G20" i="6"/>
  <c r="G28" i="6"/>
  <c r="G36" i="6"/>
  <c r="G40" i="6"/>
  <c r="G5" i="6"/>
  <c r="G9" i="6"/>
  <c r="G17" i="6"/>
  <c r="G21" i="6"/>
  <c r="G25" i="6"/>
  <c r="G4" i="6"/>
  <c r="G2" i="6"/>
  <c r="G3" i="6"/>
  <c r="G7" i="6"/>
  <c r="G19" i="6"/>
  <c r="G23" i="6"/>
  <c r="G31" i="6"/>
  <c r="F4" i="6"/>
  <c r="F20" i="6"/>
  <c r="F24" i="6"/>
  <c r="F28" i="6"/>
  <c r="F36" i="6"/>
  <c r="G97" i="6"/>
  <c r="F97" i="6"/>
  <c r="G10" i="6"/>
  <c r="G14" i="6"/>
  <c r="G18" i="6"/>
  <c r="G22" i="6"/>
  <c r="G30" i="6"/>
  <c r="G99" i="6"/>
  <c r="G105" i="6"/>
  <c r="F66" i="6"/>
  <c r="F78" i="6"/>
  <c r="F84" i="6"/>
  <c r="F86" i="6"/>
  <c r="F92" i="6"/>
  <c r="F94" i="6"/>
  <c r="G108" i="6"/>
  <c r="G98" i="6"/>
  <c r="G100" i="6"/>
  <c r="G102" i="6"/>
  <c r="G104" i="6"/>
  <c r="G110" i="6"/>
  <c r="G63" i="6"/>
  <c r="G65" i="6"/>
  <c r="G67" i="6"/>
  <c r="G71" i="6"/>
  <c r="G73" i="6"/>
  <c r="G77" i="6"/>
  <c r="G79" i="6"/>
  <c r="G85" i="6"/>
  <c r="G91" i="6"/>
  <c r="G93" i="6"/>
  <c r="G95" i="6"/>
  <c r="F105" i="6"/>
  <c r="F107" i="6"/>
  <c r="F109" i="6"/>
  <c r="F113" i="6"/>
  <c r="F115" i="6"/>
  <c r="F117" i="6"/>
  <c r="F119" i="6"/>
  <c r="F121" i="6"/>
  <c r="F122" i="6"/>
  <c r="G107" i="6"/>
  <c r="G115" i="6"/>
  <c r="G119" i="6"/>
  <c r="G122" i="6"/>
  <c r="F124" i="6"/>
  <c r="F114" i="6"/>
  <c r="F118" i="6"/>
  <c r="F120" i="6"/>
  <c r="F138" i="6"/>
  <c r="F140" i="6"/>
  <c r="F142" i="6"/>
  <c r="F146" i="6"/>
  <c r="F150" i="6"/>
  <c r="F152" i="6"/>
  <c r="F154" i="6"/>
  <c r="F156" i="6"/>
  <c r="F158" i="6"/>
  <c r="F160" i="6"/>
  <c r="F162" i="6"/>
  <c r="F166" i="6"/>
  <c r="F168" i="6"/>
  <c r="F170" i="6"/>
  <c r="F176" i="6"/>
  <c r="G141" i="6"/>
  <c r="G145" i="6"/>
  <c r="G147" i="6"/>
  <c r="G149" i="6"/>
  <c r="G157" i="6"/>
  <c r="G161" i="6"/>
  <c r="G163" i="6"/>
  <c r="G167" i="6"/>
  <c r="G169" i="6"/>
  <c r="G171" i="6"/>
  <c r="G173" i="6"/>
  <c r="G175" i="6"/>
  <c r="F203" i="6"/>
  <c r="F211" i="6"/>
  <c r="F178" i="6"/>
  <c r="F182" i="6"/>
  <c r="F184" i="6"/>
  <c r="F186" i="6"/>
  <c r="F192" i="6"/>
  <c r="F194" i="6"/>
  <c r="F196" i="6"/>
  <c r="G203" i="6"/>
  <c r="F213" i="6"/>
  <c r="G178" i="6"/>
  <c r="F199" i="6"/>
  <c r="F207" i="6"/>
  <c r="G213" i="6"/>
  <c r="G199" i="6"/>
  <c r="F201" i="6"/>
  <c r="G207" i="6"/>
  <c r="F209" i="6"/>
  <c r="G256" i="6"/>
  <c r="G258" i="6"/>
  <c r="G260" i="6"/>
  <c r="G262" i="6"/>
  <c r="G264" i="6"/>
  <c r="G266" i="6"/>
  <c r="G268" i="6"/>
  <c r="G270" i="6"/>
  <c r="G272" i="6"/>
  <c r="G303" i="6"/>
  <c r="G278" i="6"/>
  <c r="G282" i="6"/>
  <c r="G286" i="6"/>
  <c r="G292" i="6"/>
  <c r="G294" i="6"/>
  <c r="G296" i="6"/>
  <c r="G305" i="6"/>
  <c r="G313" i="6"/>
  <c r="F257" i="6"/>
  <c r="F259" i="6"/>
  <c r="F261" i="6"/>
  <c r="F263" i="6"/>
  <c r="F265" i="6"/>
  <c r="F267" i="6"/>
  <c r="F269" i="6"/>
  <c r="F271" i="6"/>
  <c r="F273" i="6"/>
  <c r="G299" i="6"/>
  <c r="G307" i="6"/>
  <c r="G315" i="6"/>
  <c r="G277" i="6"/>
  <c r="G281" i="6"/>
  <c r="G283" i="6"/>
  <c r="G285" i="6"/>
  <c r="G287" i="6"/>
  <c r="G289" i="6"/>
  <c r="G291" i="6"/>
  <c r="G295" i="6"/>
  <c r="G297" i="6"/>
  <c r="G301" i="6"/>
  <c r="F303" i="6"/>
  <c r="G309" i="6"/>
  <c r="F311" i="6"/>
  <c r="G317" i="6"/>
  <c r="G319" i="6"/>
  <c r="G323" i="6"/>
  <c r="G325" i="6"/>
  <c r="G327" i="6"/>
  <c r="G329" i="6"/>
  <c r="G331" i="6"/>
  <c r="G333" i="6"/>
  <c r="G335" i="6"/>
  <c r="G344" i="6"/>
  <c r="G350" i="6"/>
  <c r="G360" i="6"/>
  <c r="F298" i="6"/>
  <c r="F300" i="6"/>
  <c r="F304" i="6"/>
  <c r="F306" i="6"/>
  <c r="F310" i="6"/>
  <c r="F318" i="6"/>
  <c r="F320" i="6"/>
  <c r="G352" i="6"/>
  <c r="F324" i="6"/>
  <c r="F326" i="6"/>
  <c r="F328" i="6"/>
  <c r="F334" i="6"/>
  <c r="F336" i="6"/>
  <c r="G339" i="6"/>
  <c r="G341" i="6"/>
  <c r="G343" i="6"/>
  <c r="G345" i="6"/>
  <c r="G370" i="6"/>
  <c r="F347" i="6"/>
  <c r="F349" i="6"/>
  <c r="F351" i="6"/>
  <c r="F375" i="6"/>
  <c r="G377" i="6"/>
  <c r="G372" i="6"/>
  <c r="G407" i="6"/>
  <c r="G409" i="6"/>
  <c r="G411" i="6"/>
  <c r="G413" i="6"/>
  <c r="G415" i="6"/>
  <c r="G419" i="6"/>
  <c r="F408" i="6"/>
  <c r="F410" i="6"/>
  <c r="F412" i="6"/>
  <c r="F418" i="6"/>
  <c r="G424" i="6"/>
  <c r="G426" i="6"/>
  <c r="G428" i="6"/>
  <c r="G430" i="6"/>
  <c r="G432" i="6"/>
  <c r="G434" i="6"/>
  <c r="G440" i="6"/>
  <c r="F445" i="6"/>
  <c r="F433" i="6"/>
  <c r="F435" i="6"/>
  <c r="F437" i="6"/>
  <c r="F439" i="6"/>
  <c r="F441" i="6"/>
  <c r="G442" i="6"/>
  <c r="G444" i="6"/>
  <c r="G446" i="6"/>
  <c r="F447" i="6"/>
  <c r="F449" i="6"/>
  <c r="F451" i="6"/>
  <c r="F453" i="6"/>
  <c r="F459" i="6"/>
  <c r="F461" i="6"/>
  <c r="G463" i="6"/>
  <c r="F465" i="6"/>
  <c r="F460" i="6"/>
  <c r="F467" i="6"/>
  <c r="G467" i="6"/>
  <c r="G484" i="6"/>
  <c r="F484" i="6"/>
  <c r="G486" i="6"/>
  <c r="F486" i="6"/>
  <c r="F478" i="6"/>
  <c r="G482" i="6"/>
  <c r="F482" i="6"/>
  <c r="F488" i="6"/>
  <c r="F490" i="6"/>
  <c r="F492" i="6"/>
  <c r="F494" i="6"/>
  <c r="F498" i="6"/>
  <c r="G488" i="6"/>
  <c r="G494" i="6"/>
  <c r="G496" i="6"/>
  <c r="M107" i="2" l="1"/>
  <c r="F100" i="2"/>
  <c r="F107" i="2"/>
  <c r="F99" i="2"/>
  <c r="S98" i="2"/>
  <c r="J91" i="2"/>
  <c r="S106" i="2"/>
  <c r="D100" i="2"/>
  <c r="J90" i="2"/>
  <c r="S90" i="2"/>
  <c r="F95" i="2"/>
  <c r="M93" i="2"/>
  <c r="F104" i="2"/>
  <c r="S92" i="2"/>
  <c r="S91" i="2"/>
  <c r="S96" i="2"/>
  <c r="J94" i="2"/>
  <c r="S100" i="2"/>
  <c r="J96" i="2"/>
  <c r="S103" i="2"/>
  <c r="M99" i="2"/>
  <c r="M106" i="2"/>
  <c r="M90" i="2"/>
  <c r="M100" i="2"/>
  <c r="S102" i="2"/>
  <c r="J107" i="2"/>
  <c r="J99" i="2"/>
  <c r="M97" i="2"/>
  <c r="I89" i="2"/>
  <c r="Q88" i="2"/>
  <c r="J92" i="2"/>
  <c r="S94" i="2"/>
  <c r="S93" i="2"/>
  <c r="Q97" i="2"/>
  <c r="I107" i="2"/>
  <c r="S97" i="2"/>
  <c r="Q104" i="2"/>
  <c r="I95" i="2"/>
  <c r="S99" i="2"/>
  <c r="M92" i="2"/>
  <c r="Q92" i="2"/>
  <c r="I96" i="2"/>
  <c r="G95" i="2"/>
  <c r="M101" i="2"/>
  <c r="J104" i="2"/>
  <c r="Q96" i="2"/>
  <c r="I98" i="2"/>
  <c r="G102" i="2"/>
  <c r="F93" i="2"/>
  <c r="M91" i="2"/>
  <c r="Q98" i="2"/>
  <c r="F97" i="2"/>
  <c r="V92" i="2"/>
  <c r="Q95" i="2"/>
  <c r="F102" i="2"/>
  <c r="F89" i="2"/>
  <c r="M104" i="2"/>
  <c r="M95" i="2"/>
  <c r="M94" i="2"/>
  <c r="S89" i="2"/>
  <c r="Q105" i="2"/>
  <c r="F101" i="2"/>
  <c r="V96" i="2"/>
  <c r="M105" i="2"/>
  <c r="F92" i="2"/>
  <c r="G91" i="2"/>
  <c r="L97" i="2"/>
  <c r="G106" i="2"/>
  <c r="Q94" i="2"/>
  <c r="O92" i="2"/>
  <c r="G89" i="2"/>
  <c r="Q99" i="2"/>
  <c r="O93" i="2"/>
  <c r="G96" i="2"/>
  <c r="H93" i="2"/>
  <c r="O98" i="2"/>
  <c r="G94" i="2"/>
  <c r="T91" i="2"/>
  <c r="O97" i="2"/>
  <c r="G99" i="2"/>
  <c r="G92" i="2"/>
  <c r="O102" i="2"/>
  <c r="T107" i="2"/>
  <c r="O104" i="2"/>
  <c r="G104" i="2"/>
  <c r="T98" i="2"/>
  <c r="O96" i="2"/>
  <c r="U106" i="2"/>
  <c r="T106" i="2"/>
  <c r="O106" i="2"/>
  <c r="T105" i="2"/>
  <c r="T96" i="2"/>
  <c r="T90" i="2"/>
  <c r="Q100" i="2"/>
  <c r="I103" i="2"/>
  <c r="O101" i="2"/>
  <c r="D89" i="2"/>
  <c r="T95" i="2"/>
  <c r="I102" i="2"/>
  <c r="Q102" i="2"/>
  <c r="O100" i="2"/>
  <c r="T89" i="2"/>
  <c r="F94" i="2"/>
  <c r="G101" i="2"/>
  <c r="G88" i="2"/>
  <c r="T99" i="2"/>
  <c r="G93" i="2"/>
  <c r="H105" i="2"/>
  <c r="I105" i="2"/>
  <c r="K89" i="2"/>
  <c r="V95" i="2"/>
  <c r="V106" i="2"/>
  <c r="H99" i="2"/>
  <c r="I100" i="2"/>
  <c r="K101" i="2"/>
  <c r="K100" i="2"/>
  <c r="I99" i="2"/>
  <c r="K95" i="2"/>
  <c r="G103" i="2"/>
  <c r="D93" i="2"/>
  <c r="I104" i="2"/>
  <c r="O107" i="2"/>
  <c r="K105" i="2"/>
  <c r="D92" i="2"/>
  <c r="I93" i="2"/>
  <c r="O91" i="2"/>
  <c r="K94" i="2"/>
  <c r="K99" i="2"/>
  <c r="K104" i="2"/>
  <c r="I92" i="2"/>
  <c r="K88" i="2"/>
  <c r="D107" i="2"/>
  <c r="I91" i="2"/>
  <c r="O90" i="2"/>
  <c r="K93" i="2"/>
  <c r="T93" i="2"/>
  <c r="D90" i="2"/>
  <c r="I97" i="2"/>
  <c r="O94" i="2"/>
  <c r="G97" i="2"/>
  <c r="T92" i="2"/>
  <c r="F103" i="2"/>
  <c r="G107" i="2"/>
  <c r="E89" i="2"/>
  <c r="K90" i="2"/>
  <c r="E94" i="2"/>
  <c r="K98" i="2"/>
  <c r="H89" i="2"/>
  <c r="E97" i="2"/>
  <c r="E96" i="2"/>
  <c r="E106" i="2"/>
  <c r="E105" i="2"/>
  <c r="E107" i="2"/>
  <c r="K103" i="2"/>
  <c r="V90" i="2"/>
  <c r="H94" i="2"/>
  <c r="D88" i="2"/>
  <c r="E104" i="2"/>
  <c r="F105" i="2"/>
  <c r="K92" i="2"/>
  <c r="V91" i="2"/>
  <c r="H104" i="2"/>
  <c r="H102" i="2"/>
  <c r="Q93" i="2"/>
  <c r="M96" i="2"/>
  <c r="F88" i="2"/>
  <c r="K107" i="2"/>
  <c r="V89" i="2"/>
  <c r="K97" i="2"/>
  <c r="U107" i="2"/>
  <c r="K91" i="2"/>
  <c r="V104" i="2"/>
  <c r="U98" i="2"/>
  <c r="R89" i="2"/>
  <c r="U97" i="2"/>
  <c r="E99" i="2"/>
  <c r="E93" i="2"/>
  <c r="U91" i="2"/>
  <c r="Q107" i="2"/>
  <c r="F98" i="2"/>
  <c r="E101" i="2"/>
  <c r="U94" i="2"/>
  <c r="Q91" i="2"/>
  <c r="O89" i="2"/>
  <c r="K102" i="2"/>
  <c r="U99" i="2"/>
  <c r="Q103" i="2"/>
  <c r="O99" i="2"/>
  <c r="G90" i="2"/>
  <c r="E95" i="2"/>
  <c r="E100" i="2"/>
  <c r="K106" i="2"/>
  <c r="H98" i="2"/>
  <c r="U104" i="2"/>
  <c r="O88" i="2"/>
  <c r="V101" i="2"/>
  <c r="U88" i="2"/>
  <c r="Q101" i="2"/>
  <c r="J106" i="2"/>
  <c r="O105" i="2"/>
  <c r="G100" i="2"/>
  <c r="E98" i="2"/>
  <c r="U93" i="2"/>
  <c r="Q90" i="2"/>
  <c r="J105" i="2"/>
  <c r="O103" i="2"/>
  <c r="G105" i="2"/>
  <c r="R93" i="2"/>
  <c r="N90" i="2"/>
  <c r="L103" i="2"/>
  <c r="R92" i="2"/>
  <c r="H95" i="2"/>
  <c r="L92" i="2"/>
  <c r="T101" i="2"/>
  <c r="R100" i="2"/>
  <c r="H100" i="2"/>
  <c r="U103" i="2"/>
  <c r="M102" i="2"/>
  <c r="E91" i="2"/>
  <c r="I88" i="2"/>
  <c r="S95" i="2"/>
  <c r="L106" i="2"/>
  <c r="V103" i="2"/>
  <c r="P93" i="2"/>
  <c r="H88" i="2"/>
  <c r="N95" i="2"/>
  <c r="L96" i="2"/>
  <c r="V100" i="2"/>
  <c r="T94" i="2"/>
  <c r="P103" i="2"/>
  <c r="H90" i="2"/>
  <c r="D96" i="2"/>
  <c r="J89" i="2"/>
  <c r="E103" i="2"/>
  <c r="N94" i="2"/>
  <c r="V105" i="2"/>
  <c r="L90" i="2"/>
  <c r="R105" i="2"/>
  <c r="R94" i="2"/>
  <c r="L102" i="2"/>
  <c r="P105" i="2"/>
  <c r="P89" i="2"/>
  <c r="P88" i="2"/>
  <c r="P94" i="2"/>
  <c r="L107" i="2"/>
  <c r="P92" i="2"/>
  <c r="N88" i="2"/>
  <c r="P97" i="2"/>
  <c r="N93" i="2"/>
  <c r="V94" i="2"/>
  <c r="P102" i="2"/>
  <c r="H103" i="2"/>
  <c r="E88" i="2"/>
  <c r="N98" i="2"/>
  <c r="V102" i="2"/>
  <c r="R99" i="2"/>
  <c r="P107" i="2"/>
  <c r="AS16" i="1" s="1"/>
  <c r="H92" i="2"/>
  <c r="D106" i="2"/>
  <c r="J100" i="2"/>
  <c r="E102" i="2"/>
  <c r="N100" i="2"/>
  <c r="V99" i="2"/>
  <c r="L91" i="2"/>
  <c r="L94" i="2"/>
  <c r="R88" i="2"/>
  <c r="P91" i="2"/>
  <c r="R98" i="2"/>
  <c r="N89" i="2"/>
  <c r="V97" i="2"/>
  <c r="R102" i="2"/>
  <c r="P98" i="2"/>
  <c r="U101" i="2"/>
  <c r="J88" i="2"/>
  <c r="N97" i="2"/>
  <c r="V88" i="2"/>
  <c r="P96" i="2"/>
  <c r="R97" i="2"/>
  <c r="P104" i="2"/>
  <c r="V93" i="2"/>
  <c r="R107" i="2"/>
  <c r="P95" i="2"/>
  <c r="U92" i="2"/>
  <c r="J93" i="2"/>
  <c r="N102" i="2"/>
  <c r="L105" i="2"/>
  <c r="V98" i="2"/>
  <c r="R91" i="2"/>
  <c r="P99" i="2"/>
  <c r="U96" i="2"/>
  <c r="D97" i="2"/>
  <c r="M89" i="2"/>
  <c r="J98" i="2"/>
  <c r="I101" i="2"/>
  <c r="S88" i="2"/>
  <c r="N91" i="2"/>
  <c r="L101" i="2"/>
  <c r="R96" i="2"/>
  <c r="P106" i="2"/>
  <c r="U90" i="2"/>
  <c r="D99" i="2"/>
  <c r="M88" i="2"/>
  <c r="J103" i="2"/>
  <c r="I106" i="2"/>
  <c r="S107" i="2"/>
  <c r="N105" i="2"/>
  <c r="L100" i="2"/>
  <c r="L89" i="2"/>
  <c r="N92" i="2"/>
  <c r="R104" i="2"/>
  <c r="P90" i="2"/>
  <c r="U102" i="2"/>
  <c r="J101" i="2"/>
  <c r="N107" i="2"/>
  <c r="L99" i="2"/>
  <c r="L95" i="2"/>
  <c r="R101" i="2"/>
  <c r="P100" i="2"/>
  <c r="U95" i="2"/>
  <c r="N96" i="2"/>
  <c r="L104" i="2"/>
  <c r="R106" i="2"/>
  <c r="H97" i="2"/>
  <c r="U100" i="2"/>
  <c r="J97" i="2"/>
  <c r="N101" i="2"/>
  <c r="L88" i="2"/>
  <c r="T103" i="2"/>
  <c r="R90" i="2"/>
  <c r="H107" i="2"/>
  <c r="U105" i="2"/>
  <c r="M103" i="2"/>
  <c r="J102" i="2"/>
  <c r="I90" i="2"/>
  <c r="S101" i="2"/>
  <c r="N104" i="2"/>
  <c r="L93" i="2"/>
  <c r="N103" i="2"/>
  <c r="R95" i="2"/>
  <c r="H96" i="2"/>
  <c r="U89" i="2"/>
  <c r="E92" i="2"/>
  <c r="N106" i="2"/>
  <c r="L98" i="2"/>
  <c r="F353" i="6"/>
  <c r="F480" i="6"/>
  <c r="F469" i="6"/>
  <c r="G159" i="6"/>
  <c r="G401" i="6"/>
  <c r="F206" i="6"/>
  <c r="F190" i="6"/>
  <c r="G195" i="6"/>
  <c r="F316" i="6"/>
  <c r="F148" i="6"/>
  <c r="G255" i="6"/>
  <c r="F406" i="6"/>
  <c r="F422" i="6"/>
  <c r="G321" i="6"/>
  <c r="G101" i="6"/>
  <c r="F180" i="6"/>
  <c r="G364" i="6"/>
  <c r="G143" i="6"/>
  <c r="F443" i="6"/>
  <c r="G417" i="6"/>
  <c r="G280" i="6"/>
  <c r="G106" i="6"/>
  <c r="G26" i="6"/>
  <c r="G205" i="6"/>
  <c r="G390" i="6"/>
  <c r="G200" i="6"/>
  <c r="F332" i="6"/>
  <c r="G337" i="6"/>
  <c r="F164" i="6"/>
  <c r="G245" i="6"/>
  <c r="J8" i="1"/>
  <c r="I5" i="1"/>
  <c r="J5" i="1" s="1"/>
  <c r="I6" i="1"/>
  <c r="I7" i="1"/>
  <c r="G448" i="6"/>
  <c r="G53" i="6"/>
  <c r="F62" i="6"/>
  <c r="G49" i="6"/>
  <c r="G57" i="6"/>
  <c r="G38" i="6"/>
  <c r="G41" i="6"/>
  <c r="R3" i="1"/>
  <c r="G37" i="6"/>
  <c r="I4" i="1"/>
  <c r="J4" i="1" s="1"/>
  <c r="J3" i="1"/>
  <c r="G33" i="6"/>
  <c r="G47" i="6"/>
  <c r="G39" i="6"/>
  <c r="G35" i="6"/>
  <c r="G61" i="6"/>
  <c r="Z26" i="2"/>
  <c r="S26" i="2" s="1"/>
  <c r="Z19" i="2"/>
  <c r="S19" i="2" s="1"/>
  <c r="F103" i="6"/>
  <c r="Q7" i="1"/>
  <c r="F312" i="6"/>
  <c r="G227" i="6"/>
  <c r="J7" i="1"/>
  <c r="F27" i="6"/>
  <c r="F423" i="6"/>
  <c r="G471" i="6"/>
  <c r="F373" i="6"/>
  <c r="F308" i="6"/>
  <c r="G290" i="6"/>
  <c r="G155" i="6"/>
  <c r="G89" i="6"/>
  <c r="F76" i="6"/>
  <c r="G253" i="6"/>
  <c r="G225" i="6"/>
  <c r="Q8" i="1"/>
  <c r="G438" i="6"/>
  <c r="G436" i="6"/>
  <c r="G293" i="6"/>
  <c r="G288" i="6"/>
  <c r="G153" i="6"/>
  <c r="G87" i="6"/>
  <c r="F16" i="6"/>
  <c r="G224" i="6"/>
  <c r="G397" i="6"/>
  <c r="G135" i="6"/>
  <c r="R8" i="1"/>
  <c r="G223" i="6"/>
  <c r="G151" i="6"/>
  <c r="F70" i="6"/>
  <c r="F12" i="6"/>
  <c r="G44" i="6"/>
  <c r="F302" i="6"/>
  <c r="G284" i="6"/>
  <c r="F116" i="6"/>
  <c r="G83" i="6"/>
  <c r="F68" i="6"/>
  <c r="F8" i="6"/>
  <c r="G250" i="6"/>
  <c r="G81" i="6"/>
  <c r="AA16" i="2"/>
  <c r="AA15" i="2"/>
  <c r="AA14" i="2"/>
  <c r="G379" i="6"/>
  <c r="G51" i="6"/>
  <c r="G32" i="6"/>
  <c r="G368" i="6"/>
  <c r="G356" i="6"/>
  <c r="G276" i="6"/>
  <c r="G75" i="6"/>
  <c r="G43" i="6"/>
  <c r="G391" i="6"/>
  <c r="G127" i="6"/>
  <c r="G133" i="6"/>
  <c r="F420" i="6"/>
  <c r="G366" i="6"/>
  <c r="G279" i="6"/>
  <c r="G139" i="6"/>
  <c r="G126" i="6"/>
  <c r="F457" i="6"/>
  <c r="F416" i="6"/>
  <c r="G348" i="6"/>
  <c r="G342" i="6"/>
  <c r="G275" i="6"/>
  <c r="G274" i="6"/>
  <c r="F188" i="6"/>
  <c r="F174" i="6"/>
  <c r="G69" i="6"/>
  <c r="G52" i="6"/>
  <c r="G215" i="6"/>
  <c r="G388" i="6"/>
  <c r="G123" i="6"/>
  <c r="G466" i="6"/>
  <c r="G452" i="6"/>
  <c r="F455" i="6"/>
  <c r="F414" i="6"/>
  <c r="G358" i="6"/>
  <c r="G340" i="6"/>
  <c r="F172" i="6"/>
  <c r="G42" i="6"/>
  <c r="G242" i="6"/>
  <c r="G214" i="6"/>
  <c r="G464" i="6"/>
  <c r="F491" i="6"/>
  <c r="G112" i="6"/>
  <c r="G165" i="6"/>
  <c r="R6" i="1"/>
  <c r="F144" i="6"/>
  <c r="R7" i="1"/>
  <c r="Z18" i="2"/>
  <c r="S18" i="2" s="1"/>
  <c r="Z25" i="2"/>
  <c r="S25" i="2" s="1"/>
  <c r="Z27" i="2"/>
  <c r="S27" i="2" s="1"/>
  <c r="Z17" i="2"/>
  <c r="S17" i="2" s="1"/>
  <c r="Z20" i="2"/>
  <c r="S20" i="2" s="1"/>
  <c r="F58" i="6"/>
  <c r="Z23" i="2"/>
  <c r="S23" i="2" s="1"/>
  <c r="Z30" i="2"/>
  <c r="S30" i="2" s="1"/>
  <c r="G54" i="6"/>
  <c r="Z24" i="2"/>
  <c r="S24" i="2" s="1"/>
  <c r="G59" i="6"/>
  <c r="G46" i="6"/>
  <c r="Z21" i="2"/>
  <c r="S21" i="2" s="1"/>
  <c r="Z28" i="2"/>
  <c r="S28" i="2" s="1"/>
  <c r="G55" i="6"/>
  <c r="Z22" i="2"/>
  <c r="N14" i="1" s="1"/>
  <c r="Z29" i="2"/>
  <c r="A43" i="3" s="1"/>
  <c r="F483" i="6"/>
  <c r="F376" i="6"/>
  <c r="AA12" i="2"/>
  <c r="AA13" i="2"/>
  <c r="AA11" i="2"/>
  <c r="F187" i="6"/>
  <c r="G499" i="6"/>
  <c r="G179" i="6"/>
  <c r="F48" i="6"/>
  <c r="G48" i="6"/>
  <c r="E48" i="6"/>
  <c r="E212" i="6"/>
  <c r="E110" i="6"/>
  <c r="E69" i="6"/>
  <c r="E297" i="6"/>
  <c r="E317" i="6"/>
  <c r="E452" i="6"/>
  <c r="E445" i="6"/>
  <c r="E201" i="6"/>
  <c r="E62" i="6"/>
  <c r="E109" i="6"/>
  <c r="E108" i="6"/>
  <c r="E119" i="6"/>
  <c r="E183" i="6"/>
  <c r="E275" i="6"/>
  <c r="E318" i="6"/>
  <c r="E411" i="6"/>
  <c r="E439" i="6"/>
  <c r="E454" i="6"/>
  <c r="E387" i="6"/>
  <c r="E210" i="6"/>
  <c r="E82" i="6"/>
  <c r="E121" i="6"/>
  <c r="E155" i="6"/>
  <c r="E169" i="6"/>
  <c r="E189" i="6"/>
  <c r="E442" i="6"/>
  <c r="E38" i="6"/>
  <c r="E99" i="6"/>
  <c r="E143" i="6"/>
  <c r="E272" i="6"/>
  <c r="E320" i="6"/>
  <c r="E366" i="6"/>
  <c r="E158" i="6"/>
  <c r="E51" i="6"/>
  <c r="E281" i="6"/>
  <c r="E293" i="6"/>
  <c r="E499" i="6"/>
  <c r="E261" i="6"/>
  <c r="E137" i="6"/>
  <c r="E18" i="6"/>
  <c r="E77" i="6"/>
  <c r="E259" i="6"/>
  <c r="E309" i="6"/>
  <c r="E162" i="6"/>
  <c r="E31" i="6"/>
  <c r="E87" i="6"/>
  <c r="E118" i="6"/>
  <c r="E213" i="6"/>
  <c r="E75" i="6"/>
  <c r="E298" i="6"/>
  <c r="E91" i="6"/>
  <c r="E283" i="6"/>
  <c r="E476" i="6"/>
  <c r="E103" i="6"/>
  <c r="E345" i="6"/>
  <c r="E347" i="6"/>
  <c r="E36" i="6"/>
  <c r="E76" i="6"/>
  <c r="G56" i="6"/>
  <c r="E56" i="6"/>
  <c r="F56" i="6"/>
  <c r="G64" i="6"/>
  <c r="E64" i="6"/>
  <c r="F64" i="6"/>
  <c r="G72" i="6"/>
  <c r="F72" i="6"/>
  <c r="E72" i="6"/>
  <c r="G80" i="6"/>
  <c r="E80" i="6"/>
  <c r="F80" i="6"/>
  <c r="G88" i="6"/>
  <c r="F88" i="6"/>
  <c r="E88" i="6"/>
  <c r="F96" i="6"/>
  <c r="E96" i="6"/>
  <c r="G96" i="6"/>
  <c r="F111" i="6"/>
  <c r="E111" i="6"/>
  <c r="G111" i="6"/>
  <c r="F132" i="6"/>
  <c r="G132" i="6"/>
  <c r="E132" i="6"/>
  <c r="G314" i="6"/>
  <c r="F314" i="6"/>
  <c r="E314" i="6"/>
  <c r="G322" i="6"/>
  <c r="E322" i="6"/>
  <c r="F322" i="6"/>
  <c r="G330" i="6"/>
  <c r="E330" i="6"/>
  <c r="F330" i="6"/>
  <c r="G338" i="6"/>
  <c r="E338" i="6"/>
  <c r="F338" i="6"/>
  <c r="F346" i="6"/>
  <c r="E346" i="6"/>
  <c r="G346" i="6"/>
  <c r="F354" i="6"/>
  <c r="G354" i="6"/>
  <c r="E354" i="6"/>
  <c r="F362" i="6"/>
  <c r="G362" i="6"/>
  <c r="E362" i="6"/>
  <c r="F501" i="6"/>
  <c r="G501" i="6"/>
  <c r="E501" i="6"/>
  <c r="E400" i="6"/>
  <c r="F15" i="6"/>
  <c r="G15" i="6"/>
  <c r="E17" i="6"/>
  <c r="E37" i="6"/>
  <c r="E495" i="6"/>
  <c r="E496" i="6"/>
  <c r="E453" i="6"/>
  <c r="E447" i="6"/>
  <c r="E393" i="6"/>
  <c r="E384" i="6"/>
  <c r="E326" i="6"/>
  <c r="E273" i="6"/>
  <c r="E232" i="6"/>
  <c r="E225" i="6"/>
  <c r="E218" i="6"/>
  <c r="E205" i="6"/>
  <c r="E180" i="6"/>
  <c r="E131" i="6"/>
  <c r="E148" i="6"/>
  <c r="E3" i="6"/>
  <c r="E115" i="6"/>
  <c r="E83" i="6"/>
  <c r="E107" i="6"/>
  <c r="E147" i="6"/>
  <c r="E175" i="6"/>
  <c r="E187" i="6"/>
  <c r="E276" i="6"/>
  <c r="E294" i="6"/>
  <c r="E289" i="6"/>
  <c r="E300" i="6"/>
  <c r="E325" i="6"/>
  <c r="E344" i="6"/>
  <c r="E341" i="6"/>
  <c r="E348" i="6"/>
  <c r="E359" i="6"/>
  <c r="E413" i="6"/>
  <c r="E420" i="6"/>
  <c r="E427" i="6"/>
  <c r="E435" i="6"/>
  <c r="E438" i="6"/>
  <c r="E484" i="6"/>
  <c r="E21" i="6"/>
  <c r="E487" i="6"/>
  <c r="E486" i="6"/>
  <c r="E468" i="6"/>
  <c r="E416" i="6"/>
  <c r="E385" i="6"/>
  <c r="E402" i="6"/>
  <c r="E254" i="6"/>
  <c r="E263" i="6"/>
  <c r="E224" i="6"/>
  <c r="E209" i="6"/>
  <c r="E202" i="6"/>
  <c r="E196" i="6"/>
  <c r="E168" i="6"/>
  <c r="E125" i="6"/>
  <c r="E133" i="6"/>
  <c r="E78" i="6"/>
  <c r="E67" i="6"/>
  <c r="E85" i="6"/>
  <c r="E112" i="6"/>
  <c r="E159" i="6"/>
  <c r="E177" i="6"/>
  <c r="E191" i="6"/>
  <c r="E278" i="6"/>
  <c r="E305" i="6"/>
  <c r="E315" i="6"/>
  <c r="E291" i="6"/>
  <c r="E304" i="6"/>
  <c r="E327" i="6"/>
  <c r="E343" i="6"/>
  <c r="E375" i="6"/>
  <c r="E379" i="6"/>
  <c r="E364" i="6"/>
  <c r="E429" i="6"/>
  <c r="E437" i="6"/>
  <c r="E450" i="6"/>
  <c r="E53" i="6"/>
  <c r="E482" i="6"/>
  <c r="E459" i="6"/>
  <c r="E443" i="6"/>
  <c r="E403" i="6"/>
  <c r="E390" i="6"/>
  <c r="E388" i="6"/>
  <c r="E242" i="6"/>
  <c r="E257" i="6"/>
  <c r="E247" i="6"/>
  <c r="E241" i="6"/>
  <c r="E231" i="6"/>
  <c r="E192" i="6"/>
  <c r="E154" i="6"/>
  <c r="E164" i="6"/>
  <c r="E126" i="6"/>
  <c r="E19" i="6"/>
  <c r="E22" i="6"/>
  <c r="E117" i="6"/>
  <c r="E98" i="6"/>
  <c r="E61" i="6"/>
  <c r="E79" i="6"/>
  <c r="E120" i="6"/>
  <c r="E153" i="6"/>
  <c r="E171" i="6"/>
  <c r="E262" i="6"/>
  <c r="E270" i="6"/>
  <c r="E311" i="6"/>
  <c r="E282" i="6"/>
  <c r="E285" i="6"/>
  <c r="E312" i="6"/>
  <c r="E331" i="6"/>
  <c r="E356" i="6"/>
  <c r="E321" i="6"/>
  <c r="E353" i="6"/>
  <c r="E365" i="6"/>
  <c r="E372" i="6"/>
  <c r="E419" i="6"/>
  <c r="E446" i="6"/>
  <c r="E456" i="6"/>
  <c r="E20" i="6"/>
  <c r="E491" i="6"/>
  <c r="E457" i="6"/>
  <c r="E410" i="6"/>
  <c r="E392" i="6"/>
  <c r="E248" i="6"/>
  <c r="E228" i="6"/>
  <c r="E226" i="6"/>
  <c r="E194" i="6"/>
  <c r="E135" i="6"/>
  <c r="E134" i="6"/>
  <c r="E47" i="6"/>
  <c r="E6" i="6"/>
  <c r="E106" i="6"/>
  <c r="E145" i="6"/>
  <c r="E167" i="6"/>
  <c r="E179" i="6"/>
  <c r="E211" i="6"/>
  <c r="E264" i="6"/>
  <c r="E290" i="6"/>
  <c r="E308" i="6"/>
  <c r="E323" i="6"/>
  <c r="E335" i="6"/>
  <c r="E25" i="6"/>
  <c r="E55" i="6"/>
  <c r="E498" i="6"/>
  <c r="E455" i="6"/>
  <c r="E405" i="6"/>
  <c r="E380" i="6"/>
  <c r="E240" i="6"/>
  <c r="E216" i="6"/>
  <c r="E222" i="6"/>
  <c r="E186" i="6"/>
  <c r="E127" i="6"/>
  <c r="E54" i="6"/>
  <c r="E63" i="6"/>
  <c r="E95" i="6"/>
  <c r="E256" i="6"/>
  <c r="E274" i="6"/>
  <c r="E299" i="6"/>
  <c r="E332" i="6"/>
  <c r="E357" i="6"/>
  <c r="E370" i="6"/>
  <c r="E381" i="6"/>
  <c r="E33" i="6"/>
  <c r="E84" i="6"/>
  <c r="E481" i="6"/>
  <c r="E465" i="6"/>
  <c r="E399" i="6"/>
  <c r="E396" i="6"/>
  <c r="E269" i="6"/>
  <c r="E239" i="6"/>
  <c r="E243" i="6"/>
  <c r="E184" i="6"/>
  <c r="E123" i="6"/>
  <c r="E58" i="6"/>
  <c r="E100" i="6"/>
  <c r="E113" i="6"/>
  <c r="E139" i="6"/>
  <c r="E161" i="6"/>
  <c r="E185" i="6"/>
  <c r="E258" i="6"/>
  <c r="E303" i="6"/>
  <c r="E284" i="6"/>
  <c r="E340" i="6"/>
  <c r="E360" i="6"/>
  <c r="E352" i="6"/>
  <c r="E358" i="6"/>
  <c r="E363" i="6"/>
  <c r="E377" i="6"/>
  <c r="E431" i="6"/>
  <c r="E441" i="6"/>
  <c r="E434" i="6"/>
  <c r="E497" i="6"/>
  <c r="E430" i="6"/>
  <c r="E404" i="6"/>
  <c r="E253" i="6"/>
  <c r="E235" i="6"/>
  <c r="E146" i="6"/>
  <c r="E193" i="6"/>
  <c r="E203" i="6"/>
  <c r="E302" i="6"/>
  <c r="E319" i="6"/>
  <c r="E349" i="6"/>
  <c r="E421" i="6"/>
  <c r="E433" i="6"/>
  <c r="E444" i="6"/>
  <c r="E458" i="6"/>
  <c r="E494" i="6"/>
  <c r="E449" i="6"/>
  <c r="E378" i="6"/>
  <c r="E236" i="6"/>
  <c r="E227" i="6"/>
  <c r="E136" i="6"/>
  <c r="E35" i="6"/>
  <c r="E50" i="6"/>
  <c r="E59" i="6"/>
  <c r="E71" i="6"/>
  <c r="E93" i="6"/>
  <c r="E195" i="6"/>
  <c r="E266" i="6"/>
  <c r="E286" i="6"/>
  <c r="E313" i="6"/>
  <c r="E277" i="6"/>
  <c r="E301" i="6"/>
  <c r="E306" i="6"/>
  <c r="E355" i="6"/>
  <c r="E423" i="6"/>
  <c r="E462" i="6"/>
  <c r="E477" i="6"/>
  <c r="E418" i="6"/>
  <c r="E371" i="6"/>
  <c r="E198" i="6"/>
  <c r="E219" i="6"/>
  <c r="E160" i="6"/>
  <c r="E15" i="6"/>
  <c r="E101" i="6"/>
  <c r="E102" i="6"/>
  <c r="E316" i="6"/>
  <c r="E342" i="6"/>
  <c r="E361" i="6"/>
  <c r="E422" i="6"/>
  <c r="E488" i="6"/>
  <c r="E401" i="6"/>
  <c r="E324" i="6"/>
  <c r="E233" i="6"/>
  <c r="E200" i="6"/>
  <c r="E156" i="6"/>
  <c r="E114" i="6"/>
  <c r="E151" i="6"/>
  <c r="E163" i="6"/>
  <c r="E268" i="6"/>
  <c r="E417" i="6"/>
  <c r="E425" i="6"/>
  <c r="E467" i="6"/>
  <c r="E86" i="6"/>
  <c r="E472" i="6"/>
  <c r="E383" i="6"/>
  <c r="E238" i="6"/>
  <c r="E204" i="6"/>
  <c r="E174" i="6"/>
  <c r="E129" i="6"/>
  <c r="E70" i="6"/>
  <c r="E116" i="6"/>
  <c r="E260" i="6"/>
  <c r="E292" i="6"/>
  <c r="E333" i="6"/>
  <c r="E350" i="6"/>
  <c r="E334" i="6"/>
  <c r="E367" i="6"/>
  <c r="E409" i="6"/>
  <c r="E436" i="6"/>
  <c r="F29" i="6"/>
  <c r="E29" i="6"/>
  <c r="G29" i="6"/>
  <c r="F34" i="6"/>
  <c r="G34" i="6"/>
  <c r="E34" i="6"/>
  <c r="E252" i="6"/>
  <c r="E188" i="6"/>
  <c r="E424" i="6"/>
  <c r="E469" i="6"/>
  <c r="R5" i="1"/>
  <c r="Q5" i="1"/>
  <c r="E13" i="6"/>
  <c r="F13" i="6"/>
  <c r="E12" i="6"/>
  <c r="E28" i="6"/>
  <c r="E44" i="6"/>
  <c r="E5" i="6"/>
  <c r="E41" i="6"/>
  <c r="E4" i="6"/>
  <c r="E489" i="6"/>
  <c r="E478" i="6"/>
  <c r="E474" i="6"/>
  <c r="E473" i="6"/>
  <c r="E432" i="6"/>
  <c r="E414" i="6"/>
  <c r="E395" i="6"/>
  <c r="E398" i="6"/>
  <c r="E376" i="6"/>
  <c r="E373" i="6"/>
  <c r="E250" i="6"/>
  <c r="E271" i="6"/>
  <c r="E255" i="6"/>
  <c r="E220" i="6"/>
  <c r="E229" i="6"/>
  <c r="E249" i="6"/>
  <c r="E207" i="6"/>
  <c r="E223" i="6"/>
  <c r="E190" i="6"/>
  <c r="E176" i="6"/>
  <c r="E150" i="6"/>
  <c r="E166" i="6"/>
  <c r="E152" i="6"/>
  <c r="E130" i="6"/>
  <c r="E7" i="6"/>
  <c r="E23" i="6"/>
  <c r="E39" i="6"/>
  <c r="E10" i="6"/>
  <c r="E26" i="6"/>
  <c r="E42" i="6"/>
  <c r="E52" i="6"/>
  <c r="E104" i="6"/>
  <c r="E57" i="6"/>
  <c r="E65" i="6"/>
  <c r="E73" i="6"/>
  <c r="E81" i="6"/>
  <c r="E89" i="6"/>
  <c r="E122" i="6"/>
  <c r="E141" i="6"/>
  <c r="E149" i="6"/>
  <c r="E157" i="6"/>
  <c r="E165" i="6"/>
  <c r="E173" i="6"/>
  <c r="E181" i="6"/>
  <c r="E197" i="6"/>
  <c r="E280" i="6"/>
  <c r="E288" i="6"/>
  <c r="E296" i="6"/>
  <c r="E307" i="6"/>
  <c r="E279" i="6"/>
  <c r="E287" i="6"/>
  <c r="E295" i="6"/>
  <c r="E310" i="6"/>
  <c r="E329" i="6"/>
  <c r="E337" i="6"/>
  <c r="E336" i="6"/>
  <c r="E339" i="6"/>
  <c r="E351" i="6"/>
  <c r="E368" i="6"/>
  <c r="E407" i="6"/>
  <c r="E415" i="6"/>
  <c r="E440" i="6"/>
  <c r="E448" i="6"/>
  <c r="E460" i="6"/>
  <c r="E480" i="6"/>
  <c r="E16" i="6"/>
  <c r="E32" i="6"/>
  <c r="E9" i="6"/>
  <c r="E68" i="6"/>
  <c r="E485" i="6"/>
  <c r="E475" i="6"/>
  <c r="E466" i="6"/>
  <c r="E464" i="6"/>
  <c r="E426" i="6"/>
  <c r="E408" i="6"/>
  <c r="E391" i="6"/>
  <c r="E382" i="6"/>
  <c r="E394" i="6"/>
  <c r="E369" i="6"/>
  <c r="E246" i="6"/>
  <c r="E267" i="6"/>
  <c r="E245" i="6"/>
  <c r="E214" i="6"/>
  <c r="E221" i="6"/>
  <c r="E234" i="6"/>
  <c r="E199" i="6"/>
  <c r="E215" i="6"/>
  <c r="E182" i="6"/>
  <c r="E172" i="6"/>
  <c r="E142" i="6"/>
  <c r="E144" i="6"/>
  <c r="E124" i="6"/>
  <c r="E11" i="6"/>
  <c r="E27" i="6"/>
  <c r="E43" i="6"/>
  <c r="E14" i="6"/>
  <c r="E30" i="6"/>
  <c r="E46" i="6"/>
  <c r="E92" i="6"/>
  <c r="G13" i="6"/>
  <c r="E49" i="6"/>
  <c r="E500" i="6"/>
  <c r="E483" i="6"/>
  <c r="E479" i="6"/>
  <c r="E463" i="6"/>
  <c r="E471" i="6"/>
  <c r="E451" i="6"/>
  <c r="E406" i="6"/>
  <c r="E389" i="6"/>
  <c r="E374" i="6"/>
  <c r="E386" i="6"/>
  <c r="E328" i="6"/>
  <c r="E244" i="6"/>
  <c r="E265" i="6"/>
  <c r="E237" i="6"/>
  <c r="E206" i="6"/>
  <c r="E217" i="6"/>
  <c r="E230" i="6"/>
  <c r="E251" i="6"/>
  <c r="E208" i="6"/>
  <c r="E178" i="6"/>
  <c r="E170" i="6"/>
  <c r="E138" i="6"/>
  <c r="E128" i="6"/>
  <c r="E140" i="6"/>
  <c r="E2" i="6"/>
  <c r="E97" i="6"/>
  <c r="E105" i="6"/>
  <c r="E24" i="6"/>
  <c r="E40" i="6"/>
  <c r="F82" i="6"/>
  <c r="G50" i="6"/>
  <c r="E45" i="6"/>
  <c r="F45" i="6"/>
  <c r="G74" i="6"/>
  <c r="E74" i="6"/>
  <c r="G90" i="6"/>
  <c r="E90" i="6"/>
  <c r="E66" i="6"/>
  <c r="Q4" i="1"/>
  <c r="E490" i="6"/>
  <c r="E492" i="6"/>
  <c r="E461" i="6"/>
  <c r="E470" i="6"/>
  <c r="E428" i="6"/>
  <c r="E412" i="6"/>
  <c r="E397" i="6"/>
  <c r="E8" i="6"/>
  <c r="T2" i="6" a="1"/>
  <c r="T2" i="6" s="1"/>
  <c r="G94" i="6"/>
  <c r="E94" i="6"/>
  <c r="F485" i="6"/>
  <c r="G485" i="6"/>
  <c r="J6" i="1"/>
  <c r="R4" i="1"/>
  <c r="G60" i="6"/>
  <c r="E60" i="6"/>
  <c r="G361" i="6"/>
  <c r="F361" i="6"/>
  <c r="E493" i="6"/>
  <c r="Q3" i="1"/>
  <c r="Q6" i="1"/>
  <c r="F500" i="6"/>
  <c r="N11" i="3"/>
  <c r="J6" i="3"/>
  <c r="J2" i="3"/>
  <c r="AH3" i="1" s="1"/>
  <c r="M11" i="3"/>
  <c r="Q6" i="3"/>
  <c r="M3" i="3"/>
  <c r="S18" i="3"/>
  <c r="P10" i="3"/>
  <c r="H6" i="3"/>
  <c r="P2" i="3"/>
  <c r="S11" i="3"/>
  <c r="O6" i="3"/>
  <c r="C3" i="3"/>
  <c r="R13" i="3"/>
  <c r="J7" i="3"/>
  <c r="J3" i="3"/>
  <c r="T15" i="3"/>
  <c r="T8" i="3"/>
  <c r="T4" i="3"/>
  <c r="Q16" i="3"/>
  <c r="O9" i="3"/>
  <c r="G5" i="3"/>
  <c r="Q9" i="3"/>
  <c r="U8" i="3"/>
  <c r="S19" i="3"/>
  <c r="M6" i="3"/>
  <c r="J10" i="3"/>
  <c r="F5" i="3"/>
  <c r="Q15" i="3"/>
  <c r="U9" i="3"/>
  <c r="U5" i="3"/>
  <c r="Q2" i="3"/>
  <c r="P15" i="3"/>
  <c r="L9" i="3"/>
  <c r="L5" i="3"/>
  <c r="U19" i="3"/>
  <c r="O10" i="3"/>
  <c r="S5" i="3"/>
  <c r="G2" i="3"/>
  <c r="R11" i="3"/>
  <c r="F6" i="3"/>
  <c r="F2" i="3"/>
  <c r="T12" i="3"/>
  <c r="P7" i="3"/>
  <c r="D4" i="3"/>
  <c r="U14" i="3"/>
  <c r="K8" i="3"/>
  <c r="AI9" i="1" s="1"/>
  <c r="K4" i="3"/>
  <c r="M2" i="3"/>
  <c r="U12" i="3"/>
  <c r="I7" i="3"/>
  <c r="U2" i="3"/>
  <c r="I6" i="3"/>
  <c r="T5" i="3"/>
  <c r="N12" i="3"/>
  <c r="L4" i="3"/>
  <c r="U4" i="3"/>
  <c r="P16" i="3"/>
  <c r="N9" i="3"/>
  <c r="R4" i="3"/>
  <c r="R14" i="3"/>
  <c r="M9" i="3"/>
  <c r="M5" i="3"/>
  <c r="I2" i="3"/>
  <c r="AG3" i="1" s="1"/>
  <c r="Q14" i="3"/>
  <c r="P8" i="3"/>
  <c r="P4" i="3"/>
  <c r="U18" i="3"/>
  <c r="S9" i="3"/>
  <c r="K5" i="3"/>
  <c r="T19" i="3"/>
  <c r="N10" i="3"/>
  <c r="R5" i="3"/>
  <c r="U21" i="3"/>
  <c r="L12" i="3"/>
  <c r="H7" i="3"/>
  <c r="P3" i="3"/>
  <c r="O13" i="3"/>
  <c r="O7" i="3"/>
  <c r="O3" i="3"/>
  <c r="N14" i="3"/>
  <c r="M8" i="3"/>
  <c r="Q3" i="3"/>
  <c r="R17" i="3"/>
  <c r="H2" i="3"/>
  <c r="AF3" i="1" s="1"/>
  <c r="R15" i="3"/>
  <c r="R8" i="3"/>
  <c r="J4" i="3"/>
  <c r="AH5" i="1" s="1"/>
  <c r="U13" i="3"/>
  <c r="Q8" i="3"/>
  <c r="E5" i="3"/>
  <c r="R18" i="3"/>
  <c r="T13" i="3"/>
  <c r="H8" i="3"/>
  <c r="H4" i="3"/>
  <c r="T17" i="3"/>
  <c r="K9" i="3"/>
  <c r="O4" i="3"/>
  <c r="T18" i="3"/>
  <c r="R9" i="3"/>
  <c r="J5" i="3"/>
  <c r="U20" i="3"/>
  <c r="P11" i="3"/>
  <c r="T6" i="3"/>
  <c r="H3" i="3"/>
  <c r="AF4" i="1" s="1"/>
  <c r="S12" i="3"/>
  <c r="G7" i="3"/>
  <c r="G3" i="3"/>
  <c r="M4" i="3"/>
  <c r="T16" i="3"/>
  <c r="R10" i="3"/>
  <c r="Q10" i="3"/>
  <c r="T9" i="3"/>
  <c r="O2" i="3"/>
  <c r="N6" i="3"/>
  <c r="L8" i="3"/>
  <c r="S8" i="3"/>
  <c r="Q11" i="3"/>
  <c r="T14" i="3"/>
  <c r="J8" i="3"/>
  <c r="AH9" i="1" s="1"/>
  <c r="N3" i="3"/>
  <c r="M13" i="3"/>
  <c r="I8" i="3"/>
  <c r="Q4" i="3"/>
  <c r="S14" i="3"/>
  <c r="P12" i="3"/>
  <c r="T7" i="3"/>
  <c r="T3" i="3"/>
  <c r="P14" i="3"/>
  <c r="O8" i="3"/>
  <c r="G4" i="3"/>
  <c r="S17" i="3"/>
  <c r="J9" i="3"/>
  <c r="N4" i="3"/>
  <c r="T20" i="3"/>
  <c r="T10" i="3"/>
  <c r="L6" i="3"/>
  <c r="T2" i="3"/>
  <c r="O11" i="3"/>
  <c r="S6" i="3"/>
  <c r="S2" i="3"/>
  <c r="I5" i="3"/>
  <c r="AG6" i="1" s="1"/>
  <c r="M12" i="3"/>
  <c r="U10" i="3"/>
  <c r="N5" i="3"/>
  <c r="E3" i="3"/>
  <c r="K11" i="3"/>
  <c r="N2" i="3"/>
  <c r="S15" i="3"/>
  <c r="Q5" i="3"/>
  <c r="N13" i="3"/>
  <c r="N7" i="3"/>
  <c r="F3" i="3"/>
  <c r="Q12" i="3"/>
  <c r="U7" i="3"/>
  <c r="I4" i="3"/>
  <c r="O15" i="3"/>
  <c r="T11" i="3"/>
  <c r="L7" i="3"/>
  <c r="L3" i="3"/>
  <c r="S13" i="3"/>
  <c r="S7" i="3"/>
  <c r="S3" i="3"/>
  <c r="U16" i="3"/>
  <c r="N8" i="3"/>
  <c r="F4" i="3"/>
  <c r="Q17" i="3"/>
  <c r="L10" i="3"/>
  <c r="P5" i="3"/>
  <c r="L2" i="3"/>
  <c r="S10" i="3"/>
  <c r="K6" i="3"/>
  <c r="K2" i="3"/>
  <c r="AI3" i="1" s="1"/>
  <c r="E2" i="3"/>
  <c r="Q7" i="3"/>
  <c r="M10" i="3"/>
  <c r="B2" i="3"/>
  <c r="U17" i="3"/>
  <c r="G6" i="3"/>
  <c r="P13" i="3"/>
  <c r="S4" i="3"/>
  <c r="I3" i="3"/>
  <c r="AG4" i="1" s="1"/>
  <c r="R12" i="3"/>
  <c r="R6" i="3"/>
  <c r="R2" i="3"/>
  <c r="U11" i="3"/>
  <c r="M7" i="3"/>
  <c r="U3" i="3"/>
  <c r="S16" i="3"/>
  <c r="L11" i="3"/>
  <c r="P6" i="3"/>
  <c r="D3" i="3"/>
  <c r="O12" i="3"/>
  <c r="K7" i="3"/>
  <c r="K3" i="3"/>
  <c r="O14" i="3"/>
  <c r="R7" i="3"/>
  <c r="R3" i="3"/>
  <c r="R16" i="3"/>
  <c r="P9" i="3"/>
  <c r="H5" i="3"/>
  <c r="D2" i="3"/>
  <c r="K10" i="3"/>
  <c r="O5" i="3"/>
  <c r="C2" i="3"/>
  <c r="Q13" i="3"/>
  <c r="E4" i="3"/>
  <c r="U6" i="3"/>
  <c r="A38" i="3"/>
  <c r="Y17" i="1"/>
  <c r="A16" i="3" s="1"/>
  <c r="Y20" i="1"/>
  <c r="A19" i="3" s="1"/>
  <c r="Y4" i="1"/>
  <c r="A3" i="3" s="1"/>
  <c r="Y7" i="1"/>
  <c r="A6" i="3" s="1"/>
  <c r="Y14" i="1"/>
  <c r="A13" i="3" s="1"/>
  <c r="Y13" i="1"/>
  <c r="A12" i="3" s="1"/>
  <c r="Y16" i="1"/>
  <c r="A15" i="3" s="1"/>
  <c r="Y19" i="1"/>
  <c r="A18" i="3" s="1"/>
  <c r="Y3" i="1"/>
  <c r="A2" i="3" s="1"/>
  <c r="Y10" i="1"/>
  <c r="A9" i="3" s="1"/>
  <c r="Y21" i="1"/>
  <c r="A20" i="3" s="1"/>
  <c r="Y9" i="1"/>
  <c r="A8" i="3" s="1"/>
  <c r="Y12" i="1"/>
  <c r="A11" i="3" s="1"/>
  <c r="Y15" i="1"/>
  <c r="A14" i="3" s="1"/>
  <c r="Y18" i="1"/>
  <c r="A17" i="3" s="1"/>
  <c r="Y6" i="1"/>
  <c r="A5" i="3" s="1"/>
  <c r="Y5" i="1"/>
  <c r="A4" i="3" s="1"/>
  <c r="Y8" i="1"/>
  <c r="A7" i="3" s="1"/>
  <c r="Y11" i="1"/>
  <c r="A10" i="3" s="1"/>
  <c r="AI6" i="1" l="1"/>
  <c r="AH10" i="1"/>
  <c r="AF6" i="1"/>
  <c r="E53" i="3" s="1" a="1"/>
  <c r="E53" i="3" s="1"/>
  <c r="AH7" i="1"/>
  <c r="F55" i="3" s="1" a="1"/>
  <c r="F55" i="3" s="1"/>
  <c r="AI7" i="1"/>
  <c r="AI5" i="1"/>
  <c r="D56" i="3" s="1" a="1"/>
  <c r="D56" i="3" s="1"/>
  <c r="AG5" i="1"/>
  <c r="I49" i="3" s="1" a="1"/>
  <c r="I49" i="3" s="1"/>
  <c r="AI10" i="1"/>
  <c r="I11" i="3" s="1"/>
  <c r="AF5" i="1"/>
  <c r="H49" i="3" s="1" a="1"/>
  <c r="H49" i="3" s="1"/>
  <c r="AI4" i="1"/>
  <c r="K48" i="3" s="1" a="1"/>
  <c r="K48" i="3" s="1"/>
  <c r="AI8" i="1"/>
  <c r="K52" i="3" s="1" a="1"/>
  <c r="K52" i="3" s="1"/>
  <c r="AI11" i="1"/>
  <c r="K55" i="3" s="1" a="1"/>
  <c r="K55" i="3" s="1"/>
  <c r="AG8" i="1"/>
  <c r="G9" i="3" s="1"/>
  <c r="O66" i="3" a="1"/>
  <c r="O66" i="3" s="1"/>
  <c r="O21" i="3"/>
  <c r="AH8" i="1"/>
  <c r="G55" i="3" s="1" a="1"/>
  <c r="G55" i="3" s="1"/>
  <c r="AH4" i="1"/>
  <c r="J48" i="3" s="1" a="1"/>
  <c r="J48" i="3" s="1"/>
  <c r="U60" i="3" a="1"/>
  <c r="U60" i="3" s="1"/>
  <c r="N11" i="1"/>
  <c r="A33" i="3"/>
  <c r="A42" i="3"/>
  <c r="J54" i="3" a="1"/>
  <c r="J54" i="3" s="1"/>
  <c r="I55" i="3" a="1"/>
  <c r="I55" i="3" s="1"/>
  <c r="B53" i="3" a="1"/>
  <c r="B53" i="3" s="1"/>
  <c r="H47" i="3" a="1"/>
  <c r="H47" i="3" s="1"/>
  <c r="G54" i="3" a="1"/>
  <c r="G54" i="3" s="1"/>
  <c r="I52" i="3" a="1"/>
  <c r="I52" i="3" s="1"/>
  <c r="B55" i="3" a="1"/>
  <c r="B55" i="3" s="1"/>
  <c r="J47" i="3" a="1"/>
  <c r="J47" i="3" s="1"/>
  <c r="B54" i="3" a="1"/>
  <c r="B54" i="3" s="1"/>
  <c r="I47" i="3" a="1"/>
  <c r="I47" i="3" s="1"/>
  <c r="H56" i="3" a="1"/>
  <c r="H56" i="3" s="1"/>
  <c r="K53" i="3" a="1"/>
  <c r="K53" i="3" s="1"/>
  <c r="E54" i="3" a="1"/>
  <c r="E54" i="3" s="1"/>
  <c r="I50" i="3" a="1"/>
  <c r="I50" i="3" s="1"/>
  <c r="B56" i="3" a="1"/>
  <c r="B56" i="3" s="1"/>
  <c r="K47" i="3" a="1"/>
  <c r="K47" i="3" s="1"/>
  <c r="F56" i="3" a="1"/>
  <c r="F56" i="3" s="1"/>
  <c r="K51" i="3" a="1"/>
  <c r="K51" i="3" s="1"/>
  <c r="H48" i="3" a="1"/>
  <c r="H48" i="3" s="1"/>
  <c r="C53" i="3" a="1"/>
  <c r="C53" i="3" s="1"/>
  <c r="J53" i="3" a="1"/>
  <c r="J53" i="3" s="1"/>
  <c r="H55" i="3" a="1"/>
  <c r="H55" i="3" s="1"/>
  <c r="D55" i="3" a="1"/>
  <c r="D55" i="3" s="1"/>
  <c r="J49" i="3" a="1"/>
  <c r="J49" i="3" s="1"/>
  <c r="I48" i="3" a="1"/>
  <c r="I48" i="3" s="1"/>
  <c r="C54" i="3" a="1"/>
  <c r="C54" i="3" s="1"/>
  <c r="K50" i="3" a="1"/>
  <c r="K50" i="3" s="1"/>
  <c r="E56" i="3" a="1"/>
  <c r="E56" i="3" s="1"/>
  <c r="AS21" i="1"/>
  <c r="AS20" i="1"/>
  <c r="AR20" i="1"/>
  <c r="AR19" i="1"/>
  <c r="AS19" i="1"/>
  <c r="R21" i="3" s="1"/>
  <c r="AQ19" i="1"/>
  <c r="R19" i="3" s="1"/>
  <c r="AS18" i="1"/>
  <c r="Q21" i="3" s="1"/>
  <c r="AR18" i="1"/>
  <c r="AQ18" i="1"/>
  <c r="AP18" i="1"/>
  <c r="AP17" i="1"/>
  <c r="AS17" i="1"/>
  <c r="AR17" i="1"/>
  <c r="AQ17" i="1"/>
  <c r="AO17" i="1"/>
  <c r="AR16" i="1"/>
  <c r="AP16" i="1"/>
  <c r="AQ16" i="1"/>
  <c r="O19" i="3" s="1"/>
  <c r="AO16" i="1"/>
  <c r="O17" i="3" s="1"/>
  <c r="AN16" i="1"/>
  <c r="AN15" i="1"/>
  <c r="AO15" i="1"/>
  <c r="AS15" i="1"/>
  <c r="AQ15" i="1"/>
  <c r="AP15" i="1"/>
  <c r="AR15" i="1"/>
  <c r="N20" i="3" s="1"/>
  <c r="AM15" i="1"/>
  <c r="AQ14" i="1"/>
  <c r="AN14" i="1"/>
  <c r="AO14" i="1"/>
  <c r="AM14" i="1"/>
  <c r="AP14" i="1"/>
  <c r="M18" i="3" s="1"/>
  <c r="AR14" i="1"/>
  <c r="AS14" i="1"/>
  <c r="AL14" i="1"/>
  <c r="M14" i="3" s="1"/>
  <c r="AL13" i="1"/>
  <c r="AS13" i="1"/>
  <c r="AP13" i="1"/>
  <c r="AM13" i="1"/>
  <c r="AN13" i="1"/>
  <c r="L16" i="3" s="1"/>
  <c r="AR13" i="1"/>
  <c r="AO13" i="1"/>
  <c r="AQ13" i="1"/>
  <c r="AK13" i="1"/>
  <c r="AN12" i="1"/>
  <c r="AL12" i="1"/>
  <c r="AK12" i="1"/>
  <c r="AR12" i="1"/>
  <c r="AQ12" i="1"/>
  <c r="AS12" i="1"/>
  <c r="AM12" i="1"/>
  <c r="K15" i="3" s="1"/>
  <c r="AO12" i="1"/>
  <c r="AP12" i="1"/>
  <c r="AJ12" i="1"/>
  <c r="AM11" i="1"/>
  <c r="AK11" i="1"/>
  <c r="AS11" i="1"/>
  <c r="AO11" i="1"/>
  <c r="AP11" i="1"/>
  <c r="AQ11" i="1"/>
  <c r="AJ11" i="1"/>
  <c r="AR11" i="1"/>
  <c r="AL11" i="1"/>
  <c r="AN11" i="1"/>
  <c r="AO10" i="1"/>
  <c r="AJ10" i="1"/>
  <c r="AR10" i="1"/>
  <c r="AQ10" i="1"/>
  <c r="AK10" i="1"/>
  <c r="AS10" i="1"/>
  <c r="AM10" i="1"/>
  <c r="AL10" i="1"/>
  <c r="AP10" i="1"/>
  <c r="AN10" i="1"/>
  <c r="AP9" i="1"/>
  <c r="AJ9" i="1"/>
  <c r="AR9" i="1"/>
  <c r="AN9" i="1"/>
  <c r="AM9" i="1"/>
  <c r="AL9" i="1"/>
  <c r="AK9" i="1"/>
  <c r="AQ9" i="1"/>
  <c r="AO9" i="1"/>
  <c r="AS9" i="1"/>
  <c r="AG9" i="1"/>
  <c r="AL8" i="1"/>
  <c r="AP8" i="1"/>
  <c r="AQ8" i="1"/>
  <c r="AO8" i="1"/>
  <c r="AJ8" i="1"/>
  <c r="AR8" i="1"/>
  <c r="AM8" i="1"/>
  <c r="AN8" i="1"/>
  <c r="AS8" i="1"/>
  <c r="AK8" i="1"/>
  <c r="AF8" i="1"/>
  <c r="AG7" i="1"/>
  <c r="AO7" i="1"/>
  <c r="AL7" i="1"/>
  <c r="AS7" i="1"/>
  <c r="AN7" i="1"/>
  <c r="AQ7" i="1"/>
  <c r="AM7" i="1"/>
  <c r="AK7" i="1"/>
  <c r="AJ7" i="1"/>
  <c r="AF7" i="1"/>
  <c r="AP7" i="1"/>
  <c r="AR7" i="1"/>
  <c r="AE7" i="1"/>
  <c r="AH6" i="1"/>
  <c r="AQ6" i="1"/>
  <c r="AJ6" i="1"/>
  <c r="AE6" i="1"/>
  <c r="AL6" i="1"/>
  <c r="AK6" i="1"/>
  <c r="AS6" i="1"/>
  <c r="AR6" i="1"/>
  <c r="AO6" i="1"/>
  <c r="AM6" i="1"/>
  <c r="AN6" i="1"/>
  <c r="AP6" i="1"/>
  <c r="AD6" i="1"/>
  <c r="AE5" i="1"/>
  <c r="AN5" i="1"/>
  <c r="AR5" i="1"/>
  <c r="AM5" i="1"/>
  <c r="AL5" i="1"/>
  <c r="AD5" i="1"/>
  <c r="AQ5" i="1"/>
  <c r="AK5" i="1"/>
  <c r="AO5" i="1"/>
  <c r="AP5" i="1"/>
  <c r="AS5" i="1"/>
  <c r="AJ5" i="1"/>
  <c r="AC5" i="1"/>
  <c r="AK4" i="1"/>
  <c r="AO4" i="1"/>
  <c r="AC4" i="1"/>
  <c r="AJ4" i="1"/>
  <c r="AR4" i="1"/>
  <c r="AM4" i="1"/>
  <c r="AP4" i="1"/>
  <c r="AQ4" i="1"/>
  <c r="AN4" i="1"/>
  <c r="AS4" i="1"/>
  <c r="AE4" i="1"/>
  <c r="AD4" i="1"/>
  <c r="AL4" i="1"/>
  <c r="AB4" i="1"/>
  <c r="AE3" i="1"/>
  <c r="AK3" i="1"/>
  <c r="AS3" i="1"/>
  <c r="AM3" i="1"/>
  <c r="O47" i="3" s="1" a="1"/>
  <c r="O47" i="3" s="1"/>
  <c r="AO3" i="1"/>
  <c r="AC3" i="1"/>
  <c r="E47" i="3" s="1" a="1"/>
  <c r="E47" i="3" s="1"/>
  <c r="AQ3" i="1"/>
  <c r="S47" i="3" s="1" a="1"/>
  <c r="S47" i="3" s="1"/>
  <c r="AL3" i="1"/>
  <c r="AB3" i="1"/>
  <c r="AJ3" i="1"/>
  <c r="L47" i="3" s="1" a="1"/>
  <c r="L47" i="3" s="1"/>
  <c r="AR3" i="1"/>
  <c r="AD3" i="1"/>
  <c r="F47" i="3" s="1" a="1"/>
  <c r="F47" i="3" s="1"/>
  <c r="AN3" i="1"/>
  <c r="AP3" i="1"/>
  <c r="AA3" i="1"/>
  <c r="C47" i="3" s="1" a="1"/>
  <c r="C47" i="3" s="1"/>
  <c r="L3" i="1"/>
  <c r="K3" i="1" s="1"/>
  <c r="B19" i="2"/>
  <c r="A19" i="2" s="1"/>
  <c r="N18" i="1"/>
  <c r="B26" i="2"/>
  <c r="M26" i="2" s="1"/>
  <c r="N22" i="1"/>
  <c r="A40" i="3"/>
  <c r="B30" i="2"/>
  <c r="H30" i="2" s="1"/>
  <c r="P30" i="2" s="1"/>
  <c r="L5" i="1"/>
  <c r="Z13" i="2" s="1"/>
  <c r="N10" i="1"/>
  <c r="B18" i="2"/>
  <c r="C18" i="2" s="1"/>
  <c r="S29" i="2"/>
  <c r="N21" i="1"/>
  <c r="A39" i="3"/>
  <c r="N17" i="1"/>
  <c r="B25" i="2"/>
  <c r="C25" i="2" s="1"/>
  <c r="A41" i="3"/>
  <c r="N19" i="1"/>
  <c r="B27" i="2"/>
  <c r="AE27" i="2" s="1"/>
  <c r="B17" i="2"/>
  <c r="M17" i="2" s="1"/>
  <c r="A31" i="3"/>
  <c r="A34" i="3"/>
  <c r="N12" i="1"/>
  <c r="B29" i="2"/>
  <c r="AE29" i="2" s="1"/>
  <c r="AC14" i="2"/>
  <c r="AB14" i="2"/>
  <c r="S6" i="1" s="1"/>
  <c r="L8" i="1"/>
  <c r="K8" i="1" s="1"/>
  <c r="Z16" i="2" s="1"/>
  <c r="S16" i="2" s="1"/>
  <c r="AC15" i="2"/>
  <c r="AB15" i="2"/>
  <c r="S7" i="1" s="1"/>
  <c r="AC16" i="2"/>
  <c r="AB16" i="2"/>
  <c r="S8" i="1" s="1"/>
  <c r="L6" i="1"/>
  <c r="L7" i="1"/>
  <c r="K7" i="1" s="1"/>
  <c r="A32" i="3"/>
  <c r="S22" i="2"/>
  <c r="B22" i="2"/>
  <c r="H22" i="2" s="1"/>
  <c r="P22" i="2" s="1"/>
  <c r="A36" i="3"/>
  <c r="A44" i="3"/>
  <c r="B21" i="2"/>
  <c r="R21" i="2" s="1"/>
  <c r="A35" i="3"/>
  <c r="B28" i="2"/>
  <c r="A28" i="2" s="1"/>
  <c r="A37" i="3"/>
  <c r="N15" i="1"/>
  <c r="B20" i="2"/>
  <c r="M20" i="2" s="1"/>
  <c r="N16" i="1"/>
  <c r="N13" i="1"/>
  <c r="N20" i="1"/>
  <c r="B24" i="2"/>
  <c r="R24" i="2" s="1"/>
  <c r="B23" i="2"/>
  <c r="H23" i="2" s="1"/>
  <c r="P23" i="2" s="1"/>
  <c r="F11" i="3"/>
  <c r="B11" i="3"/>
  <c r="I10" i="3"/>
  <c r="B10" i="3"/>
  <c r="E9" i="3"/>
  <c r="B9" i="3"/>
  <c r="D8" i="3"/>
  <c r="D9" i="3"/>
  <c r="AC11" i="2"/>
  <c r="AB11" i="2"/>
  <c r="S3" i="1" s="1"/>
  <c r="AB13" i="2"/>
  <c r="S5" i="1" s="1"/>
  <c r="AC13" i="2"/>
  <c r="AC12" i="2"/>
  <c r="AB12" i="2"/>
  <c r="S4" i="1" s="1"/>
  <c r="F502" i="6"/>
  <c r="T3" i="6" a="1"/>
  <c r="T3" i="6" s="1"/>
  <c r="L4" i="1"/>
  <c r="K4" i="1" s="1"/>
  <c r="G502" i="6"/>
  <c r="C9" i="3"/>
  <c r="J11" i="3" l="1"/>
  <c r="K49" i="3" a="1"/>
  <c r="K49" i="3" s="1"/>
  <c r="C10" i="3"/>
  <c r="J51" i="3" a="1"/>
  <c r="J51" i="3" s="1"/>
  <c r="H50" i="3" a="1"/>
  <c r="H50" i="3" s="1"/>
  <c r="G11" i="3"/>
  <c r="J56" i="3" a="1"/>
  <c r="J56" i="3" s="1"/>
  <c r="C55" i="3" a="1"/>
  <c r="C55" i="3" s="1"/>
  <c r="C56" i="3" a="1"/>
  <c r="C56" i="3" s="1"/>
  <c r="K54" i="3" a="1"/>
  <c r="K54" i="3" s="1"/>
  <c r="I56" i="3" a="1"/>
  <c r="I56" i="3" s="1"/>
  <c r="D54" i="3" a="1"/>
  <c r="D54" i="3" s="1"/>
  <c r="D53" i="3" a="1"/>
  <c r="D53" i="3" s="1"/>
  <c r="G56" i="3" a="1"/>
  <c r="G56" i="3" s="1"/>
  <c r="J52" i="3" a="1"/>
  <c r="J52" i="3" s="1"/>
  <c r="Z11" i="2"/>
  <c r="A26" i="2"/>
  <c r="C26" i="2"/>
  <c r="R26" i="2"/>
  <c r="AE26" i="2"/>
  <c r="H19" i="2"/>
  <c r="P19" i="2" s="1"/>
  <c r="H26" i="2"/>
  <c r="P26" i="2" s="1"/>
  <c r="M19" i="2"/>
  <c r="B59" i="3" a="1"/>
  <c r="B59" i="3" s="1"/>
  <c r="N47" i="3" a="1"/>
  <c r="N47" i="3" s="1"/>
  <c r="B49" i="3" a="1"/>
  <c r="B49" i="3" s="1"/>
  <c r="D47" i="3" a="1"/>
  <c r="D47" i="3" s="1"/>
  <c r="R48" i="3" a="1"/>
  <c r="R48" i="3" s="1"/>
  <c r="C63" i="3" a="1"/>
  <c r="C63" i="3" s="1"/>
  <c r="D60" i="3" a="1"/>
  <c r="D60" i="3" s="1"/>
  <c r="O49" i="3" a="1"/>
  <c r="O49" i="3" s="1"/>
  <c r="J50" i="3" a="1"/>
  <c r="J50" i="3" s="1"/>
  <c r="E55" i="3" a="1"/>
  <c r="E55" i="3" s="1"/>
  <c r="U52" i="3" a="1"/>
  <c r="U52" i="3" s="1"/>
  <c r="G66" i="3" a="1"/>
  <c r="G66" i="3" s="1"/>
  <c r="H61" i="3" a="1"/>
  <c r="H61" i="3" s="1"/>
  <c r="P53" i="3" a="1"/>
  <c r="P53" i="3" s="1"/>
  <c r="T55" i="3" a="1"/>
  <c r="T55" i="3" s="1"/>
  <c r="J65" i="3" a="1"/>
  <c r="J65" i="3" s="1"/>
  <c r="N56" i="3" a="1"/>
  <c r="N56" i="3" s="1"/>
  <c r="K59" i="3" a="1"/>
  <c r="K59" i="3" s="1"/>
  <c r="Q58" i="3" a="1"/>
  <c r="Q58" i="3" s="1"/>
  <c r="M62" i="3" a="1"/>
  <c r="M62" i="3" s="1"/>
  <c r="S61" i="3" a="1"/>
  <c r="S61" i="3" s="1"/>
  <c r="P64" i="3" a="1"/>
  <c r="P64" i="3" s="1"/>
  <c r="C60" i="3" a="1"/>
  <c r="C60" i="3" s="1"/>
  <c r="O48" i="3" a="1"/>
  <c r="O48" i="3" s="1"/>
  <c r="P49" i="3" a="1"/>
  <c r="P49" i="3" s="1"/>
  <c r="D61" i="3" a="1"/>
  <c r="D61" i="3" s="1"/>
  <c r="F65" i="3" a="1"/>
  <c r="F65" i="3" s="1"/>
  <c r="T51" i="3" a="1"/>
  <c r="T51" i="3" s="1"/>
  <c r="O52" i="3" a="1"/>
  <c r="O52" i="3" s="1"/>
  <c r="G60" i="3" a="1"/>
  <c r="G60" i="3" s="1"/>
  <c r="L53" i="3" a="1"/>
  <c r="L53" i="3" s="1"/>
  <c r="H57" i="3" a="1"/>
  <c r="H57" i="3" s="1"/>
  <c r="S55" i="3" a="1"/>
  <c r="S55" i="3" s="1"/>
  <c r="J64" i="3" a="1"/>
  <c r="J64" i="3" s="1"/>
  <c r="M57" i="3" a="1"/>
  <c r="M57" i="3" s="1"/>
  <c r="L58" i="3" a="1"/>
  <c r="L58" i="3" s="1"/>
  <c r="S58" i="3" a="1"/>
  <c r="S58" i="3" s="1"/>
  <c r="M64" i="3" a="1"/>
  <c r="M64" i="3" s="1"/>
  <c r="P66" i="3" a="1"/>
  <c r="P66" i="3" s="1"/>
  <c r="U61" i="3" a="1"/>
  <c r="U61" i="3" s="1"/>
  <c r="P65" i="3" a="1"/>
  <c r="P65" i="3" s="1"/>
  <c r="T61" i="3" a="1"/>
  <c r="T61" i="3" s="1"/>
  <c r="L48" i="3" a="1"/>
  <c r="L48" i="3" s="1"/>
  <c r="C57" i="3" a="1"/>
  <c r="C57" i="3" s="1"/>
  <c r="D52" i="3" a="1"/>
  <c r="D52" i="3" s="1"/>
  <c r="G49" i="3" a="1"/>
  <c r="G49" i="3" s="1"/>
  <c r="R51" i="3" a="1"/>
  <c r="R51" i="3" s="1"/>
  <c r="F63" i="3" a="1"/>
  <c r="F63" i="3" s="1"/>
  <c r="T52" i="3" a="1"/>
  <c r="T52" i="3" s="1"/>
  <c r="G65" i="3" a="1"/>
  <c r="G65" i="3" s="1"/>
  <c r="R53" i="3" a="1"/>
  <c r="R53" i="3" s="1"/>
  <c r="H63" i="3" a="1"/>
  <c r="H63" i="3" s="1"/>
  <c r="J63" i="3" a="1"/>
  <c r="J63" i="3" s="1"/>
  <c r="R55" i="3" a="1"/>
  <c r="R55" i="3" s="1"/>
  <c r="L64" i="3" a="1"/>
  <c r="L64" i="3" s="1"/>
  <c r="S57" i="3" a="1"/>
  <c r="S57" i="3" s="1"/>
  <c r="O59" i="3" a="1"/>
  <c r="O59" i="3" s="1"/>
  <c r="N60" i="3" a="1"/>
  <c r="N60" i="3" s="1"/>
  <c r="R61" i="3" a="1"/>
  <c r="R61" i="3" s="1"/>
  <c r="P63" i="3" a="1"/>
  <c r="P63" i="3" s="1"/>
  <c r="C50" i="3" a="1"/>
  <c r="C50" i="3" s="1"/>
  <c r="E48" i="3" a="1"/>
  <c r="E48" i="3" s="1"/>
  <c r="L52" i="3" a="1"/>
  <c r="L52" i="3" s="1"/>
  <c r="G57" i="3" a="1"/>
  <c r="G57" i="3" s="1"/>
  <c r="I61" i="3" a="1"/>
  <c r="I61" i="3" s="1"/>
  <c r="P54" i="3" a="1"/>
  <c r="P54" i="3" s="1"/>
  <c r="J62" i="3" a="1"/>
  <c r="J62" i="3" s="1"/>
  <c r="Q55" i="3" a="1"/>
  <c r="Q55" i="3" s="1"/>
  <c r="L62" i="3" a="1"/>
  <c r="L62" i="3" s="1"/>
  <c r="Q57" i="3" a="1"/>
  <c r="Q57" i="3" s="1"/>
  <c r="N65" i="3" a="1"/>
  <c r="N65" i="3" s="1"/>
  <c r="T59" i="3" a="1"/>
  <c r="T59" i="3" s="1"/>
  <c r="R62" i="3" a="1"/>
  <c r="R62" i="3" s="1"/>
  <c r="Q63" i="3" a="1"/>
  <c r="Q63" i="3" s="1"/>
  <c r="P56" i="3" a="1"/>
  <c r="P56" i="3" s="1"/>
  <c r="K61" i="3" a="1"/>
  <c r="K61" i="3" s="1"/>
  <c r="Q48" i="3" a="1"/>
  <c r="Q48" i="3" s="1"/>
  <c r="C62" i="3" a="1"/>
  <c r="C62" i="3" s="1"/>
  <c r="R50" i="3" a="1"/>
  <c r="R50" i="3" s="1"/>
  <c r="E63" i="3" a="1"/>
  <c r="E63" i="3" s="1"/>
  <c r="F57" i="3" a="1"/>
  <c r="F57" i="3" s="1"/>
  <c r="L51" i="3" a="1"/>
  <c r="L51" i="3" s="1"/>
  <c r="G62" i="3" a="1"/>
  <c r="G62" i="3" s="1"/>
  <c r="Q52" i="3" a="1"/>
  <c r="Q52" i="3" s="1"/>
  <c r="I63" i="3" a="1"/>
  <c r="I63" i="3" s="1"/>
  <c r="R54" i="3" a="1"/>
  <c r="R54" i="3" s="1"/>
  <c r="J66" i="3" a="1"/>
  <c r="J66" i="3" s="1"/>
  <c r="U55" i="3" a="1"/>
  <c r="U55" i="3" s="1"/>
  <c r="L65" i="3" a="1"/>
  <c r="L65" i="3" s="1"/>
  <c r="T57" i="3" a="1"/>
  <c r="T57" i="3" s="1"/>
  <c r="R59" i="3" a="1"/>
  <c r="R59" i="3" s="1"/>
  <c r="N63" i="3" a="1"/>
  <c r="N63" i="3" s="1"/>
  <c r="Q64" i="3" a="1"/>
  <c r="Q64" i="3" s="1"/>
  <c r="S62" i="3" a="1"/>
  <c r="S62" i="3" s="1"/>
  <c r="B66" i="3" a="1"/>
  <c r="B66" i="3" s="1"/>
  <c r="U47" i="3" a="1"/>
  <c r="U47" i="3" s="1"/>
  <c r="C58" i="3" a="1"/>
  <c r="C58" i="3" s="1"/>
  <c r="M48" i="3" a="1"/>
  <c r="M48" i="3" s="1"/>
  <c r="E61" i="3" a="1"/>
  <c r="E61" i="3" s="1"/>
  <c r="P50" i="3" a="1"/>
  <c r="P50" i="3" s="1"/>
  <c r="F58" i="3" a="1"/>
  <c r="F58" i="3" s="1"/>
  <c r="M51" i="3" a="1"/>
  <c r="M51" i="3" s="1"/>
  <c r="G64" i="3" a="1"/>
  <c r="G64" i="3" s="1"/>
  <c r="S52" i="3" a="1"/>
  <c r="S52" i="3" s="1"/>
  <c r="N54" i="3" a="1"/>
  <c r="N54" i="3" s="1"/>
  <c r="I59" i="3" a="1"/>
  <c r="I59" i="3" s="1"/>
  <c r="J58" i="3" a="1"/>
  <c r="J58" i="3" s="1"/>
  <c r="M55" i="3" a="1"/>
  <c r="M55" i="3" s="1"/>
  <c r="L61" i="3" a="1"/>
  <c r="L61" i="3" s="1"/>
  <c r="P57" i="3" a="1"/>
  <c r="P57" i="3" s="1"/>
  <c r="N64" i="3" a="1"/>
  <c r="N64" i="3" s="1"/>
  <c r="S59" i="3" a="1"/>
  <c r="S59" i="3" s="1"/>
  <c r="Q65" i="3" a="1"/>
  <c r="Q65" i="3" s="1"/>
  <c r="T62" i="3" a="1"/>
  <c r="T62" i="3" s="1"/>
  <c r="P52" i="3" a="1"/>
  <c r="P52" i="3" s="1"/>
  <c r="G61" i="3" a="1"/>
  <c r="G61" i="3" s="1"/>
  <c r="L55" i="3" a="1"/>
  <c r="L55" i="3" s="1"/>
  <c r="J57" i="3" a="1"/>
  <c r="J57" i="3" s="1"/>
  <c r="T48" i="3" a="1"/>
  <c r="T48" i="3" s="1"/>
  <c r="C65" i="3" a="1"/>
  <c r="C65" i="3" s="1"/>
  <c r="B62" i="3" a="1"/>
  <c r="B62" i="3" s="1"/>
  <c r="Q47" i="3" a="1"/>
  <c r="Q47" i="3" s="1"/>
  <c r="F50" i="3" a="1"/>
  <c r="F50" i="3" s="1"/>
  <c r="E51" i="3" a="1"/>
  <c r="E51" i="3" s="1"/>
  <c r="B58" i="3" a="1"/>
  <c r="B58" i="3" s="1"/>
  <c r="M47" i="3" a="1"/>
  <c r="M47" i="3" s="1"/>
  <c r="E49" i="3" a="1"/>
  <c r="E49" i="3" s="1"/>
  <c r="D50" i="3" a="1"/>
  <c r="D50" i="3" s="1"/>
  <c r="E60" i="3" a="1"/>
  <c r="E60" i="3" s="1"/>
  <c r="O50" i="3" a="1"/>
  <c r="O50" i="3" s="1"/>
  <c r="O51" i="3" a="1"/>
  <c r="O51" i="3" s="1"/>
  <c r="F60" i="3" a="1"/>
  <c r="F60" i="3" s="1"/>
  <c r="G63" i="3" a="1"/>
  <c r="G63" i="3" s="1"/>
  <c r="R52" i="3" a="1"/>
  <c r="R52" i="3" s="1"/>
  <c r="O54" i="3" a="1"/>
  <c r="O54" i="3" s="1"/>
  <c r="I60" i="3" a="1"/>
  <c r="I60" i="3" s="1"/>
  <c r="O55" i="3" a="1"/>
  <c r="O55" i="3" s="1"/>
  <c r="J60" i="3" a="1"/>
  <c r="J60" i="3" s="1"/>
  <c r="L60" i="3" a="1"/>
  <c r="L60" i="3" s="1"/>
  <c r="O57" i="3" a="1"/>
  <c r="O57" i="3" s="1"/>
  <c r="U59" i="3" a="1"/>
  <c r="U59" i="3" s="1"/>
  <c r="N66" i="3" a="1"/>
  <c r="N66" i="3" s="1"/>
  <c r="U62" i="3" a="1"/>
  <c r="U62" i="3" s="1"/>
  <c r="Q66" i="3" a="1"/>
  <c r="Q66" i="3" s="1"/>
  <c r="T53" i="3" a="1"/>
  <c r="T53" i="3" s="1"/>
  <c r="H65" i="3" a="1"/>
  <c r="H65" i="3" s="1"/>
  <c r="B52" i="3" a="1"/>
  <c r="B52" i="3" s="1"/>
  <c r="G47" i="3" a="1"/>
  <c r="G47" i="3" s="1"/>
  <c r="D57" i="3" a="1"/>
  <c r="D57" i="3" s="1"/>
  <c r="L49" i="3" a="1"/>
  <c r="L49" i="3" s="1"/>
  <c r="E62" i="3" a="1"/>
  <c r="E62" i="3" s="1"/>
  <c r="Q50" i="3" a="1"/>
  <c r="Q50" i="3" s="1"/>
  <c r="F64" i="3" a="1"/>
  <c r="F64" i="3" s="1"/>
  <c r="S51" i="3" a="1"/>
  <c r="S51" i="3" s="1"/>
  <c r="G59" i="3" a="1"/>
  <c r="G59" i="3" s="1"/>
  <c r="N52" i="3" a="1"/>
  <c r="N52" i="3" s="1"/>
  <c r="U54" i="3" a="1"/>
  <c r="U54" i="3" s="1"/>
  <c r="I66" i="3" a="1"/>
  <c r="I66" i="3" s="1"/>
  <c r="K57" i="3" a="1"/>
  <c r="K57" i="3" s="1"/>
  <c r="L56" i="3" a="1"/>
  <c r="L56" i="3" s="1"/>
  <c r="L63" i="3" a="1"/>
  <c r="L63" i="3" s="1"/>
  <c r="R57" i="3" a="1"/>
  <c r="R57" i="3" s="1"/>
  <c r="N62" i="3" a="1"/>
  <c r="N62" i="3" s="1"/>
  <c r="Q59" i="3" a="1"/>
  <c r="Q59" i="3" s="1"/>
  <c r="S63" i="3" a="1"/>
  <c r="S63" i="3" s="1"/>
  <c r="R64" i="3" a="1"/>
  <c r="R64" i="3" s="1"/>
  <c r="M61" i="3" a="1"/>
  <c r="M61" i="3" s="1"/>
  <c r="P58" i="3" a="1"/>
  <c r="P58" i="3" s="1"/>
  <c r="D48" i="3" a="1"/>
  <c r="D48" i="3" s="1"/>
  <c r="C49" i="3" a="1"/>
  <c r="C49" i="3" s="1"/>
  <c r="U49" i="3" a="1"/>
  <c r="U49" i="3" s="1"/>
  <c r="D66" i="3" a="1"/>
  <c r="D66" i="3" s="1"/>
  <c r="E65" i="3" a="1"/>
  <c r="E65" i="3" s="1"/>
  <c r="T50" i="3" a="1"/>
  <c r="T50" i="3" s="1"/>
  <c r="P51" i="3" a="1"/>
  <c r="P51" i="3" s="1"/>
  <c r="F61" i="3" a="1"/>
  <c r="F61" i="3" s="1"/>
  <c r="I53" i="3" a="1"/>
  <c r="I53" i="3" s="1"/>
  <c r="H54" i="3" a="1"/>
  <c r="H54" i="3" s="1"/>
  <c r="I58" i="3" a="1"/>
  <c r="I58" i="3" s="1"/>
  <c r="M54" i="3" a="1"/>
  <c r="M54" i="3" s="1"/>
  <c r="K63" i="3" a="1"/>
  <c r="K63" i="3" s="1"/>
  <c r="R56" i="3" a="1"/>
  <c r="R56" i="3" s="1"/>
  <c r="U57" i="3" a="1"/>
  <c r="U57" i="3" s="1"/>
  <c r="L66" i="3" a="1"/>
  <c r="L66" i="3" s="1"/>
  <c r="P59" i="3" a="1"/>
  <c r="P59" i="3" s="1"/>
  <c r="N61" i="3" a="1"/>
  <c r="N61" i="3" s="1"/>
  <c r="U63" i="3" a="1"/>
  <c r="U63" i="3" s="1"/>
  <c r="R66" i="3" a="1"/>
  <c r="R66" i="3" s="1"/>
  <c r="C59" i="3" a="1"/>
  <c r="C59" i="3" s="1"/>
  <c r="N48" i="3" a="1"/>
  <c r="N48" i="3" s="1"/>
  <c r="D63" i="3" a="1"/>
  <c r="D63" i="3" s="1"/>
  <c r="R49" i="3" a="1"/>
  <c r="R49" i="3" s="1"/>
  <c r="U50" i="3" a="1"/>
  <c r="U50" i="3" s="1"/>
  <c r="E66" i="3" a="1"/>
  <c r="E66" i="3" s="1"/>
  <c r="F66" i="3" a="1"/>
  <c r="F66" i="3" s="1"/>
  <c r="U51" i="3" a="1"/>
  <c r="U51" i="3" s="1"/>
  <c r="U53" i="3" a="1"/>
  <c r="U53" i="3" s="1"/>
  <c r="H66" i="3" a="1"/>
  <c r="H66" i="3" s="1"/>
  <c r="I64" i="3" a="1"/>
  <c r="I64" i="3" s="1"/>
  <c r="S54" i="3" a="1"/>
  <c r="S54" i="3" s="1"/>
  <c r="Q56" i="3" a="1"/>
  <c r="Q56" i="3" s="1"/>
  <c r="K62" i="3" a="1"/>
  <c r="K62" i="3" s="1"/>
  <c r="N57" i="3" a="1"/>
  <c r="N57" i="3" s="1"/>
  <c r="L59" i="3" a="1"/>
  <c r="L59" i="3" s="1"/>
  <c r="O16" i="3"/>
  <c r="P60" i="3" a="1"/>
  <c r="P60" i="3" s="1"/>
  <c r="O61" i="3" a="1"/>
  <c r="O61" i="3" s="1"/>
  <c r="T63" i="3" a="1"/>
  <c r="T63" i="3" s="1"/>
  <c r="R65" i="3" a="1"/>
  <c r="R65" i="3" s="1"/>
  <c r="B63" i="3" a="1"/>
  <c r="B63" i="3" s="1"/>
  <c r="R47" i="3" a="1"/>
  <c r="R47" i="3" s="1"/>
  <c r="C51" i="3" a="1"/>
  <c r="C51" i="3" s="1"/>
  <c r="F48" i="3" a="1"/>
  <c r="F48" i="3" s="1"/>
  <c r="D62" i="3" a="1"/>
  <c r="D62" i="3" s="1"/>
  <c r="Q49" i="3" a="1"/>
  <c r="Q49" i="3" s="1"/>
  <c r="E58" i="3" a="1"/>
  <c r="E58" i="3" s="1"/>
  <c r="M50" i="3" a="1"/>
  <c r="M50" i="3" s="1"/>
  <c r="N51" i="3" a="1"/>
  <c r="N51" i="3" s="1"/>
  <c r="F59" i="3" a="1"/>
  <c r="F59" i="3" s="1"/>
  <c r="Q53" i="3" a="1"/>
  <c r="Q53" i="3" s="1"/>
  <c r="H62" i="3" a="1"/>
  <c r="H62" i="3" s="1"/>
  <c r="I65" i="3" a="1"/>
  <c r="I65" i="3" s="1"/>
  <c r="T54" i="3" a="1"/>
  <c r="T54" i="3" s="1"/>
  <c r="O56" i="3" a="1"/>
  <c r="O56" i="3" s="1"/>
  <c r="K60" i="3" a="1"/>
  <c r="K60" i="3" s="1"/>
  <c r="N58" i="3" a="1"/>
  <c r="N58" i="3" s="1"/>
  <c r="M59" i="3" a="1"/>
  <c r="M59" i="3" s="1"/>
  <c r="O62" i="3" a="1"/>
  <c r="O62" i="3" s="1"/>
  <c r="Q60" i="3" a="1"/>
  <c r="Q60" i="3" s="1"/>
  <c r="T64" i="3" a="1"/>
  <c r="T64" i="3" s="1"/>
  <c r="S65" i="3" a="1"/>
  <c r="S65" i="3" s="1"/>
  <c r="B61" i="3" a="1"/>
  <c r="B61" i="3" s="1"/>
  <c r="P47" i="3" a="1"/>
  <c r="P47" i="3" s="1"/>
  <c r="C52" i="3" a="1"/>
  <c r="C52" i="3" s="1"/>
  <c r="G48" i="3" a="1"/>
  <c r="G48" i="3" s="1"/>
  <c r="M49" i="3" a="1"/>
  <c r="M49" i="3" s="1"/>
  <c r="D58" i="3" a="1"/>
  <c r="D58" i="3" s="1"/>
  <c r="E59" i="3" a="1"/>
  <c r="E59" i="3" s="1"/>
  <c r="N50" i="3" a="1"/>
  <c r="N50" i="3" s="1"/>
  <c r="F62" i="3" a="1"/>
  <c r="F62" i="3" s="1"/>
  <c r="Q51" i="3" a="1"/>
  <c r="Q51" i="3" s="1"/>
  <c r="H64" i="3" a="1"/>
  <c r="H64" i="3" s="1"/>
  <c r="S53" i="3" a="1"/>
  <c r="S53" i="3" s="1"/>
  <c r="I57" i="3" a="1"/>
  <c r="I57" i="3" s="1"/>
  <c r="L54" i="3" a="1"/>
  <c r="L54" i="3" s="1"/>
  <c r="K66" i="3" a="1"/>
  <c r="K66" i="3" s="1"/>
  <c r="U56" i="3" a="1"/>
  <c r="U56" i="3" s="1"/>
  <c r="U58" i="3" a="1"/>
  <c r="U58" i="3" s="1"/>
  <c r="M66" i="3" a="1"/>
  <c r="M66" i="3" s="1"/>
  <c r="S60" i="3" a="1"/>
  <c r="S60" i="3" s="1"/>
  <c r="O64" i="3" a="1"/>
  <c r="O64" i="3" s="1"/>
  <c r="S66" i="3" a="1"/>
  <c r="S66" i="3" s="1"/>
  <c r="U64" i="3" a="1"/>
  <c r="U64" i="3" s="1"/>
  <c r="H51" i="3" a="1"/>
  <c r="H51" i="3" s="1"/>
  <c r="F53" i="3" a="1"/>
  <c r="F53" i="3" s="1"/>
  <c r="C66" i="3" a="1"/>
  <c r="C66" i="3" s="1"/>
  <c r="U48" i="3" a="1"/>
  <c r="U48" i="3" s="1"/>
  <c r="D64" i="3" a="1"/>
  <c r="D64" i="3" s="1"/>
  <c r="S49" i="3" a="1"/>
  <c r="S49" i="3" s="1"/>
  <c r="E52" i="3" a="1"/>
  <c r="E52" i="3" s="1"/>
  <c r="G50" i="3" a="1"/>
  <c r="G50" i="3" s="1"/>
  <c r="F54" i="3" a="1"/>
  <c r="F54" i="3" s="1"/>
  <c r="I51" i="3" a="1"/>
  <c r="I51" i="3" s="1"/>
  <c r="M53" i="3" a="1"/>
  <c r="M53" i="3" s="1"/>
  <c r="H58" i="3" a="1"/>
  <c r="H58" i="3" s="1"/>
  <c r="Q54" i="3" a="1"/>
  <c r="Q54" i="3" s="1"/>
  <c r="I62" i="3" a="1"/>
  <c r="I62" i="3" s="1"/>
  <c r="S56" i="3" a="1"/>
  <c r="S56" i="3" s="1"/>
  <c r="K64" i="3" a="1"/>
  <c r="K64" i="3" s="1"/>
  <c r="M65" i="3" a="1"/>
  <c r="M65" i="3" s="1"/>
  <c r="T58" i="3" a="1"/>
  <c r="T58" i="3" s="1"/>
  <c r="R60" i="3" a="1"/>
  <c r="R60" i="3" s="1"/>
  <c r="O63" i="3" a="1"/>
  <c r="O63" i="3" s="1"/>
  <c r="T21" i="3"/>
  <c r="T66" i="3" a="1"/>
  <c r="T66" i="3" s="1"/>
  <c r="U65" i="3" a="1"/>
  <c r="U65" i="3" s="1"/>
  <c r="D65" i="3" a="1"/>
  <c r="D65" i="3" s="1"/>
  <c r="T49" i="3" a="1"/>
  <c r="T49" i="3" s="1"/>
  <c r="B65" i="3" a="1"/>
  <c r="B65" i="3" s="1"/>
  <c r="T47" i="3" a="1"/>
  <c r="T47" i="3" s="1"/>
  <c r="P48" i="3" a="1"/>
  <c r="P48" i="3" s="1"/>
  <c r="C61" i="3" a="1"/>
  <c r="C61" i="3" s="1"/>
  <c r="F49" i="3" a="1"/>
  <c r="F49" i="3" s="1"/>
  <c r="D51" i="3" a="1"/>
  <c r="D51" i="3" s="1"/>
  <c r="E57" i="3" a="1"/>
  <c r="E57" i="3" s="1"/>
  <c r="L50" i="3" a="1"/>
  <c r="L50" i="3" s="1"/>
  <c r="H52" i="3" a="1"/>
  <c r="H52" i="3" s="1"/>
  <c r="G53" i="3" a="1"/>
  <c r="G53" i="3" s="1"/>
  <c r="H59" i="3" a="1"/>
  <c r="H59" i="3" s="1"/>
  <c r="N53" i="3" a="1"/>
  <c r="N53" i="3" s="1"/>
  <c r="J61" i="3" a="1"/>
  <c r="J61" i="3" s="1"/>
  <c r="P55" i="3" a="1"/>
  <c r="P55" i="3" s="1"/>
  <c r="K65" i="3" a="1"/>
  <c r="K65" i="3" s="1"/>
  <c r="T56" i="3" a="1"/>
  <c r="T56" i="3" s="1"/>
  <c r="R58" i="3" a="1"/>
  <c r="R58" i="3" s="1"/>
  <c r="M63" i="3" a="1"/>
  <c r="M63" i="3" s="1"/>
  <c r="T60" i="3" a="1"/>
  <c r="T60" i="3" s="1"/>
  <c r="O65" i="3" a="1"/>
  <c r="O65" i="3" s="1"/>
  <c r="G51" i="3" a="1"/>
  <c r="G51" i="3" s="1"/>
  <c r="F52" i="3" a="1"/>
  <c r="F52" i="3" s="1"/>
  <c r="S48" i="3" a="1"/>
  <c r="S48" i="3" s="1"/>
  <c r="C64" i="3" a="1"/>
  <c r="C64" i="3" s="1"/>
  <c r="N49" i="3" a="1"/>
  <c r="N49" i="3" s="1"/>
  <c r="D59" i="3" a="1"/>
  <c r="D59" i="3" s="1"/>
  <c r="S50" i="3" a="1"/>
  <c r="S50" i="3" s="1"/>
  <c r="E64" i="3" a="1"/>
  <c r="E64" i="3" s="1"/>
  <c r="M52" i="3" a="1"/>
  <c r="M52" i="3" s="1"/>
  <c r="G58" i="3" a="1"/>
  <c r="G58" i="3" s="1"/>
  <c r="H60" i="3" a="1"/>
  <c r="H60" i="3" s="1"/>
  <c r="O53" i="3" a="1"/>
  <c r="O53" i="3" s="1"/>
  <c r="N55" i="3" a="1"/>
  <c r="N55" i="3" s="1"/>
  <c r="J59" i="3" a="1"/>
  <c r="J59" i="3" s="1"/>
  <c r="K58" i="3" a="1"/>
  <c r="K58" i="3" s="1"/>
  <c r="M56" i="3" a="1"/>
  <c r="M56" i="3" s="1"/>
  <c r="M60" i="3" a="1"/>
  <c r="M60" i="3" s="1"/>
  <c r="O58" i="3" a="1"/>
  <c r="O58" i="3" s="1"/>
  <c r="Q61" i="3" a="1"/>
  <c r="Q61" i="3" s="1"/>
  <c r="P62" i="3" a="1"/>
  <c r="P62" i="3" s="1"/>
  <c r="B57" i="3" a="1"/>
  <c r="B57" i="3" s="1"/>
  <c r="B64" i="3" a="1"/>
  <c r="B64" i="3" s="1"/>
  <c r="B50" i="3" a="1"/>
  <c r="B50" i="3" s="1"/>
  <c r="B60" i="3" a="1"/>
  <c r="B60" i="3" s="1"/>
  <c r="B51" i="3" a="1"/>
  <c r="B51" i="3" s="1"/>
  <c r="B48" i="3" a="1"/>
  <c r="B48" i="3" s="1"/>
  <c r="C20" i="3"/>
  <c r="F20" i="3"/>
  <c r="P21" i="3"/>
  <c r="C12" i="3"/>
  <c r="D7" i="3"/>
  <c r="G20" i="3"/>
  <c r="H18" i="3"/>
  <c r="P18" i="3"/>
  <c r="C5" i="3"/>
  <c r="E6" i="3"/>
  <c r="G12" i="3"/>
  <c r="J17" i="3"/>
  <c r="Q18" i="3"/>
  <c r="P19" i="3"/>
  <c r="J12" i="3"/>
  <c r="G17" i="3"/>
  <c r="N18" i="3"/>
  <c r="Q19" i="3"/>
  <c r="E16" i="3"/>
  <c r="F13" i="3"/>
  <c r="J13" i="3"/>
  <c r="N19" i="3"/>
  <c r="Q20" i="3"/>
  <c r="D5" i="3"/>
  <c r="D12" i="3"/>
  <c r="E17" i="3"/>
  <c r="G14" i="3"/>
  <c r="L18" i="3"/>
  <c r="N17" i="3"/>
  <c r="H20" i="3"/>
  <c r="E15" i="3"/>
  <c r="E20" i="3"/>
  <c r="F16" i="3"/>
  <c r="H9" i="3"/>
  <c r="I13" i="3"/>
  <c r="K18" i="3"/>
  <c r="L21" i="3"/>
  <c r="H16" i="3"/>
  <c r="C14" i="3"/>
  <c r="K17" i="3"/>
  <c r="L14" i="3"/>
  <c r="R20" i="3"/>
  <c r="K16" i="3"/>
  <c r="I12" i="3"/>
  <c r="K21" i="3"/>
  <c r="M21" i="3"/>
  <c r="S21" i="3"/>
  <c r="E7" i="3"/>
  <c r="F9" i="3"/>
  <c r="H13" i="3"/>
  <c r="O18" i="3"/>
  <c r="C15" i="3"/>
  <c r="C6" i="3"/>
  <c r="E14" i="3"/>
  <c r="C16" i="3"/>
  <c r="E12" i="3"/>
  <c r="H17" i="3"/>
  <c r="S20" i="3"/>
  <c r="D14" i="3"/>
  <c r="K13" i="3"/>
  <c r="M15" i="3"/>
  <c r="B12" i="3"/>
  <c r="B5" i="3"/>
  <c r="B15" i="3"/>
  <c r="B3" i="3"/>
  <c r="P17" i="3"/>
  <c r="M16" i="3"/>
  <c r="P20" i="3"/>
  <c r="K19" i="3"/>
  <c r="I17" i="3"/>
  <c r="K20" i="3"/>
  <c r="O20" i="3"/>
  <c r="J16" i="3"/>
  <c r="M20" i="3"/>
  <c r="I19" i="3"/>
  <c r="N21" i="3"/>
  <c r="L15" i="3"/>
  <c r="N16" i="3"/>
  <c r="L13" i="3"/>
  <c r="I15" i="3"/>
  <c r="J21" i="3"/>
  <c r="J15" i="3"/>
  <c r="M17" i="3"/>
  <c r="L20" i="3"/>
  <c r="N15" i="3"/>
  <c r="L17" i="3"/>
  <c r="M19" i="3"/>
  <c r="J19" i="3"/>
  <c r="J14" i="3"/>
  <c r="H15" i="3"/>
  <c r="K14" i="3"/>
  <c r="J20" i="3"/>
  <c r="L19" i="3"/>
  <c r="J18" i="3"/>
  <c r="K12" i="3"/>
  <c r="I21" i="3"/>
  <c r="F19" i="3"/>
  <c r="I20" i="3"/>
  <c r="F14" i="3"/>
  <c r="G19" i="3"/>
  <c r="F17" i="3"/>
  <c r="H19" i="3"/>
  <c r="G8" i="3"/>
  <c r="D19" i="3"/>
  <c r="H14" i="3"/>
  <c r="I16" i="3"/>
  <c r="I18" i="3"/>
  <c r="H12" i="3"/>
  <c r="F8" i="3"/>
  <c r="F7" i="3"/>
  <c r="F18" i="3"/>
  <c r="D20" i="3"/>
  <c r="G15" i="3"/>
  <c r="I14" i="3"/>
  <c r="E21" i="3"/>
  <c r="F21" i="3"/>
  <c r="H21" i="3"/>
  <c r="C4" i="3"/>
  <c r="G18" i="3"/>
  <c r="B13" i="3"/>
  <c r="G13" i="3"/>
  <c r="G21" i="3"/>
  <c r="G16" i="3"/>
  <c r="E19" i="3"/>
  <c r="D15" i="3"/>
  <c r="C13" i="3"/>
  <c r="B7" i="3"/>
  <c r="B19" i="3"/>
  <c r="F12" i="3"/>
  <c r="B17" i="3"/>
  <c r="E13" i="3"/>
  <c r="F15" i="3"/>
  <c r="B16" i="3"/>
  <c r="C7" i="3"/>
  <c r="B18" i="3"/>
  <c r="D17" i="3"/>
  <c r="C21" i="3"/>
  <c r="D16" i="3"/>
  <c r="E18" i="3"/>
  <c r="E10" i="3"/>
  <c r="C17" i="3"/>
  <c r="D21" i="3"/>
  <c r="D6" i="3"/>
  <c r="D18" i="3"/>
  <c r="D13" i="3"/>
  <c r="B14" i="3"/>
  <c r="B4" i="3"/>
  <c r="C19" i="3"/>
  <c r="C18" i="3"/>
  <c r="B6" i="3"/>
  <c r="B21" i="3"/>
  <c r="B20" i="3"/>
  <c r="K6" i="1"/>
  <c r="Z14" i="2" s="1"/>
  <c r="K5" i="1"/>
  <c r="N19" i="2"/>
  <c r="O19" i="2" s="1"/>
  <c r="R19" i="2"/>
  <c r="C19" i="2"/>
  <c r="AE19" i="2"/>
  <c r="AE30" i="2"/>
  <c r="C30" i="2"/>
  <c r="R30" i="2"/>
  <c r="A30" i="2"/>
  <c r="H18" i="2"/>
  <c r="P18" i="2" s="1"/>
  <c r="M18" i="2"/>
  <c r="N18" i="2"/>
  <c r="O18" i="2" s="1"/>
  <c r="A18" i="2"/>
  <c r="N30" i="2"/>
  <c r="O30" i="2" s="1"/>
  <c r="M30" i="2"/>
  <c r="H21" i="2"/>
  <c r="P21" i="2" s="1"/>
  <c r="AE18" i="2"/>
  <c r="R18" i="2"/>
  <c r="N26" i="2"/>
  <c r="O26" i="2" s="1"/>
  <c r="A25" i="2"/>
  <c r="M27" i="2"/>
  <c r="A27" i="2"/>
  <c r="R27" i="2"/>
  <c r="H27" i="2"/>
  <c r="P27" i="2" s="1"/>
  <c r="AE25" i="2"/>
  <c r="A17" i="2"/>
  <c r="C17" i="2"/>
  <c r="N27" i="2"/>
  <c r="O27" i="2" s="1"/>
  <c r="C27" i="2"/>
  <c r="R25" i="2"/>
  <c r="N25" i="2"/>
  <c r="O25" i="2" s="1"/>
  <c r="M25" i="2"/>
  <c r="H25" i="2"/>
  <c r="P25" i="2" s="1"/>
  <c r="R17" i="2"/>
  <c r="A29" i="2"/>
  <c r="Z15" i="2"/>
  <c r="R29" i="2"/>
  <c r="C29" i="2"/>
  <c r="C22" i="2"/>
  <c r="AE22" i="2"/>
  <c r="A22" i="2"/>
  <c r="R22" i="2"/>
  <c r="N29" i="2"/>
  <c r="O29" i="2" s="1"/>
  <c r="M29" i="2"/>
  <c r="H29" i="2"/>
  <c r="P29" i="2" s="1"/>
  <c r="A30" i="3"/>
  <c r="B16" i="2"/>
  <c r="M16" i="2" s="1"/>
  <c r="M21" i="2"/>
  <c r="N22" i="2"/>
  <c r="O22" i="2" s="1"/>
  <c r="M22" i="2"/>
  <c r="N28" i="2"/>
  <c r="O28" i="2" s="1"/>
  <c r="H28" i="2"/>
  <c r="P28" i="2" s="1"/>
  <c r="M28" i="2"/>
  <c r="A24" i="2"/>
  <c r="C28" i="2"/>
  <c r="R28" i="2"/>
  <c r="AE28" i="2"/>
  <c r="A21" i="2"/>
  <c r="AE21" i="2"/>
  <c r="C21" i="2"/>
  <c r="N21" i="2"/>
  <c r="O21" i="2" s="1"/>
  <c r="C20" i="2"/>
  <c r="N20" i="2"/>
  <c r="O20" i="2" s="1"/>
  <c r="H20" i="2"/>
  <c r="P20" i="2" s="1"/>
  <c r="R20" i="2"/>
  <c r="A20" i="2"/>
  <c r="AE20" i="2"/>
  <c r="AE23" i="2"/>
  <c r="R23" i="2"/>
  <c r="A23" i="2"/>
  <c r="N24" i="2"/>
  <c r="O24" i="2" s="1"/>
  <c r="M24" i="2"/>
  <c r="H24" i="2"/>
  <c r="P24" i="2" s="1"/>
  <c r="M23" i="2"/>
  <c r="C23" i="2"/>
  <c r="N23" i="2"/>
  <c r="O23" i="2" s="1"/>
  <c r="AE24" i="2"/>
  <c r="C24" i="2"/>
  <c r="B13" i="2"/>
  <c r="M13" i="2" s="1"/>
  <c r="A27" i="3"/>
  <c r="S13" i="2"/>
  <c r="A25" i="3"/>
  <c r="S11" i="2"/>
  <c r="B11" i="2"/>
  <c r="C11" i="2" s="1"/>
  <c r="C11" i="3"/>
  <c r="D11" i="3"/>
  <c r="E8" i="3"/>
  <c r="F10" i="3"/>
  <c r="D10" i="3"/>
  <c r="H11" i="3"/>
  <c r="H10" i="3"/>
  <c r="G10" i="3"/>
  <c r="E11" i="3"/>
  <c r="C8" i="3"/>
  <c r="B8" i="3"/>
  <c r="AC10" i="2"/>
  <c r="Z12" i="2"/>
  <c r="T4" i="6" a="1"/>
  <c r="T4" i="6" s="1"/>
  <c r="H495" i="6"/>
  <c r="H472" i="6"/>
  <c r="H457" i="6"/>
  <c r="H441" i="6"/>
  <c r="H425" i="6"/>
  <c r="H416" i="6"/>
  <c r="H398" i="6"/>
  <c r="H382" i="6"/>
  <c r="H371" i="6"/>
  <c r="H380" i="6"/>
  <c r="H359" i="6"/>
  <c r="H263" i="6"/>
  <c r="H250" i="6"/>
  <c r="H234" i="6"/>
  <c r="H218" i="6"/>
  <c r="H491" i="6"/>
  <c r="H487" i="6"/>
  <c r="H453" i="6"/>
  <c r="H437" i="6"/>
  <c r="H447" i="6"/>
  <c r="H412" i="6"/>
  <c r="H394" i="6"/>
  <c r="H415" i="6"/>
  <c r="H367" i="6"/>
  <c r="H361" i="6"/>
  <c r="H326" i="6"/>
  <c r="H349" i="6"/>
  <c r="H298" i="6"/>
  <c r="H259" i="6"/>
  <c r="H246" i="6"/>
  <c r="H230" i="6"/>
  <c r="H310" i="6"/>
  <c r="H262" i="6"/>
  <c r="H210" i="6"/>
  <c r="H184" i="6"/>
  <c r="H195" i="6"/>
  <c r="H179" i="6"/>
  <c r="H127" i="6"/>
  <c r="H136" i="6"/>
  <c r="H167" i="6"/>
  <c r="H164" i="6"/>
  <c r="H119" i="6"/>
  <c r="H143" i="6"/>
  <c r="H142" i="6"/>
  <c r="H90" i="6"/>
  <c r="H73" i="6"/>
  <c r="H76" i="6"/>
  <c r="H79" i="6"/>
  <c r="H82" i="6"/>
  <c r="H105" i="6"/>
  <c r="H207" i="6"/>
  <c r="H303" i="6"/>
  <c r="H331" i="6"/>
  <c r="H499" i="6"/>
  <c r="H483" i="6"/>
  <c r="H466" i="6"/>
  <c r="H429" i="6"/>
  <c r="H414" i="6"/>
  <c r="H390" i="6"/>
  <c r="H407" i="6"/>
  <c r="H376" i="6"/>
  <c r="H323" i="6"/>
  <c r="H261" i="6"/>
  <c r="H242" i="6"/>
  <c r="H222" i="6"/>
  <c r="H266" i="6"/>
  <c r="H255" i="6"/>
  <c r="H182" i="6"/>
  <c r="H191" i="6"/>
  <c r="H137" i="6"/>
  <c r="H172" i="6"/>
  <c r="H173" i="6"/>
  <c r="H145" i="6"/>
  <c r="H121" i="6"/>
  <c r="H139" i="6"/>
  <c r="H123" i="6"/>
  <c r="H57" i="6"/>
  <c r="H95" i="6"/>
  <c r="H99" i="6"/>
  <c r="H201" i="6"/>
  <c r="H290" i="6"/>
  <c r="H440" i="6"/>
  <c r="H11" i="6"/>
  <c r="H43" i="6"/>
  <c r="H321" i="6"/>
  <c r="H389" i="6"/>
  <c r="H492" i="6"/>
  <c r="H52" i="6"/>
  <c r="H126" i="6"/>
  <c r="H278" i="6"/>
  <c r="H343" i="6"/>
  <c r="H4" i="6"/>
  <c r="H243" i="6"/>
  <c r="H452" i="6"/>
  <c r="H375" i="6"/>
  <c r="H475" i="6"/>
  <c r="H223" i="6"/>
  <c r="H285" i="6"/>
  <c r="H477" i="6"/>
  <c r="H36" i="6"/>
  <c r="H50" i="6"/>
  <c r="H128" i="6"/>
  <c r="H366" i="6"/>
  <c r="H476" i="6"/>
  <c r="H451" i="6"/>
  <c r="H427" i="6"/>
  <c r="H408" i="6"/>
  <c r="H384" i="6"/>
  <c r="H363" i="6"/>
  <c r="H332" i="6"/>
  <c r="H327" i="6"/>
  <c r="H265" i="6"/>
  <c r="H240" i="6"/>
  <c r="H216" i="6"/>
  <c r="H258" i="6"/>
  <c r="H192" i="6"/>
  <c r="H198" i="6"/>
  <c r="H212" i="6"/>
  <c r="H174" i="6"/>
  <c r="H171" i="6"/>
  <c r="H160" i="6"/>
  <c r="H163" i="6"/>
  <c r="H154" i="6"/>
  <c r="H92" i="6"/>
  <c r="H65" i="6"/>
  <c r="H60" i="6"/>
  <c r="H87" i="6"/>
  <c r="H110" i="6"/>
  <c r="H225" i="6"/>
  <c r="H291" i="6"/>
  <c r="H424" i="6"/>
  <c r="H3" i="6"/>
  <c r="H39" i="6"/>
  <c r="H352" i="6"/>
  <c r="H405" i="6"/>
  <c r="H18" i="6"/>
  <c r="H104" i="6"/>
  <c r="H237" i="6"/>
  <c r="H287" i="6"/>
  <c r="H25" i="6"/>
  <c r="H103" i="6"/>
  <c r="H280" i="6"/>
  <c r="H2" i="6"/>
  <c r="H428" i="6"/>
  <c r="H178" i="6"/>
  <c r="H292" i="6"/>
  <c r="H430" i="6"/>
  <c r="H40" i="6"/>
  <c r="H356" i="6"/>
  <c r="H293" i="6"/>
  <c r="H448" i="6"/>
  <c r="H474" i="6"/>
  <c r="H464" i="6"/>
  <c r="H449" i="6"/>
  <c r="H404" i="6"/>
  <c r="H417" i="6"/>
  <c r="H406" i="6"/>
  <c r="H328" i="6"/>
  <c r="H325" i="6"/>
  <c r="H257" i="6"/>
  <c r="H238" i="6"/>
  <c r="H302" i="6"/>
  <c r="H256" i="6"/>
  <c r="H190" i="6"/>
  <c r="H197" i="6"/>
  <c r="H204" i="6"/>
  <c r="H170" i="6"/>
  <c r="H169" i="6"/>
  <c r="H156" i="6"/>
  <c r="H159" i="6"/>
  <c r="H150" i="6"/>
  <c r="H61" i="6"/>
  <c r="H89" i="6"/>
  <c r="H78" i="6"/>
  <c r="H114" i="6"/>
  <c r="H233" i="6"/>
  <c r="H340" i="6"/>
  <c r="H432" i="6"/>
  <c r="H7" i="6"/>
  <c r="H47" i="6"/>
  <c r="H345" i="6"/>
  <c r="H419" i="6"/>
  <c r="H26" i="6"/>
  <c r="H116" i="6"/>
  <c r="H245" i="6"/>
  <c r="H295" i="6"/>
  <c r="H33" i="6"/>
  <c r="H98" i="6"/>
  <c r="H296" i="6"/>
  <c r="H434" i="6"/>
  <c r="H205" i="6"/>
  <c r="H305" i="6"/>
  <c r="H8" i="6"/>
  <c r="H44" i="6"/>
  <c r="H333" i="6"/>
  <c r="H342" i="6"/>
  <c r="H450" i="6"/>
  <c r="H500" i="6"/>
  <c r="H481" i="6"/>
  <c r="H444" i="6"/>
  <c r="H445" i="6"/>
  <c r="H402" i="6"/>
  <c r="H413" i="6"/>
  <c r="H378" i="6"/>
  <c r="H324" i="6"/>
  <c r="H347" i="6"/>
  <c r="H312" i="6"/>
  <c r="H236" i="6"/>
  <c r="H274" i="6"/>
  <c r="H316" i="6"/>
  <c r="H188" i="6"/>
  <c r="H193" i="6"/>
  <c r="H135" i="6"/>
  <c r="H168" i="6"/>
  <c r="H165" i="6"/>
  <c r="H152" i="6"/>
  <c r="H155" i="6"/>
  <c r="H146" i="6"/>
  <c r="H113" i="6"/>
  <c r="H91" i="6"/>
  <c r="H83" i="6"/>
  <c r="H74" i="6"/>
  <c r="H118" i="6"/>
  <c r="H241" i="6"/>
  <c r="H335" i="6"/>
  <c r="H436" i="6"/>
  <c r="H51" i="6"/>
  <c r="H372" i="6"/>
  <c r="H467" i="6"/>
  <c r="H120" i="6"/>
  <c r="H253" i="6"/>
  <c r="H97" i="6"/>
  <c r="H37" i="6"/>
  <c r="H106" i="6"/>
  <c r="H307" i="6"/>
  <c r="H344" i="6"/>
  <c r="H438" i="6"/>
  <c r="H215" i="6"/>
  <c r="H301" i="6"/>
  <c r="H12" i="6"/>
  <c r="H10" i="6"/>
  <c r="H337" i="6"/>
  <c r="H350" i="6"/>
  <c r="H454" i="6"/>
  <c r="H493" i="6"/>
  <c r="H468" i="6"/>
  <c r="H439" i="6"/>
  <c r="H421" i="6"/>
  <c r="H396" i="6"/>
  <c r="H409" i="6"/>
  <c r="H357" i="6"/>
  <c r="H318" i="6"/>
  <c r="H273" i="6"/>
  <c r="H254" i="6"/>
  <c r="H228" i="6"/>
  <c r="H270" i="6"/>
  <c r="H300" i="6"/>
  <c r="H208" i="6"/>
  <c r="H187" i="6"/>
  <c r="H131" i="6"/>
  <c r="H134" i="6"/>
  <c r="H157" i="6"/>
  <c r="H144" i="6"/>
  <c r="H147" i="6"/>
  <c r="H109" i="6"/>
  <c r="H85" i="6"/>
  <c r="H71" i="6"/>
  <c r="H66" i="6"/>
  <c r="H180" i="6"/>
  <c r="H282" i="6"/>
  <c r="H368" i="6"/>
  <c r="H469" i="6"/>
  <c r="H23" i="6"/>
  <c r="H281" i="6"/>
  <c r="H370" i="6"/>
  <c r="H473" i="6"/>
  <c r="H211" i="6"/>
  <c r="H294" i="6"/>
  <c r="H9" i="6"/>
  <c r="H45" i="6"/>
  <c r="H219" i="6"/>
  <c r="H348" i="6"/>
  <c r="H496" i="6"/>
  <c r="H239" i="6"/>
  <c r="H341" i="6"/>
  <c r="H20" i="6"/>
  <c r="H30" i="6"/>
  <c r="H373" i="6"/>
  <c r="H379" i="6"/>
  <c r="H462" i="6"/>
  <c r="H497" i="6"/>
  <c r="H442" i="6"/>
  <c r="H400" i="6"/>
  <c r="H374" i="6"/>
  <c r="H306" i="6"/>
  <c r="H232" i="6"/>
  <c r="H308" i="6"/>
  <c r="H189" i="6"/>
  <c r="H166" i="6"/>
  <c r="H148" i="6"/>
  <c r="H138" i="6"/>
  <c r="H84" i="6"/>
  <c r="H70" i="6"/>
  <c r="H249" i="6"/>
  <c r="H463" i="6"/>
  <c r="H288" i="6"/>
  <c r="H484" i="6"/>
  <c r="H124" i="6"/>
  <c r="H5" i="6"/>
  <c r="H199" i="6"/>
  <c r="H358" i="6"/>
  <c r="H231" i="6"/>
  <c r="H16" i="6"/>
  <c r="H364" i="6"/>
  <c r="H458" i="6"/>
  <c r="H489" i="6"/>
  <c r="H435" i="6"/>
  <c r="H392" i="6"/>
  <c r="H353" i="6"/>
  <c r="H271" i="6"/>
  <c r="H226" i="6"/>
  <c r="H202" i="6"/>
  <c r="H185" i="6"/>
  <c r="H140" i="6"/>
  <c r="H86" i="6"/>
  <c r="H62" i="6"/>
  <c r="H315" i="6"/>
  <c r="H471" i="6"/>
  <c r="H297" i="6"/>
  <c r="H486" i="6"/>
  <c r="H213" i="6"/>
  <c r="H13" i="6"/>
  <c r="H227" i="6"/>
  <c r="H383" i="6"/>
  <c r="H247" i="6"/>
  <c r="H24" i="6"/>
  <c r="H102" i="6"/>
  <c r="H480" i="6"/>
  <c r="H485" i="6"/>
  <c r="H433" i="6"/>
  <c r="H388" i="6"/>
  <c r="H336" i="6"/>
  <c r="H269" i="6"/>
  <c r="H224" i="6"/>
  <c r="H196" i="6"/>
  <c r="H183" i="6"/>
  <c r="H130" i="6"/>
  <c r="H117" i="6"/>
  <c r="H107" i="6"/>
  <c r="H68" i="6"/>
  <c r="H58" i="6"/>
  <c r="H275" i="6"/>
  <c r="H488" i="6"/>
  <c r="H360" i="6"/>
  <c r="H6" i="6"/>
  <c r="H221" i="6"/>
  <c r="H17" i="6"/>
  <c r="H235" i="6"/>
  <c r="H391" i="6"/>
  <c r="H311" i="6"/>
  <c r="H28" i="6"/>
  <c r="H284" i="6"/>
  <c r="H478" i="6"/>
  <c r="H479" i="6"/>
  <c r="H431" i="6"/>
  <c r="H386" i="6"/>
  <c r="H334" i="6"/>
  <c r="H267" i="6"/>
  <c r="H220" i="6"/>
  <c r="H194" i="6"/>
  <c r="H181" i="6"/>
  <c r="H175" i="6"/>
  <c r="H115" i="6"/>
  <c r="H94" i="6"/>
  <c r="H100" i="6"/>
  <c r="H283" i="6"/>
  <c r="H498" i="6"/>
  <c r="H317" i="6"/>
  <c r="H14" i="6"/>
  <c r="H229" i="6"/>
  <c r="H21" i="6"/>
  <c r="H251" i="6"/>
  <c r="H399" i="6"/>
  <c r="H276" i="6"/>
  <c r="H32" i="6"/>
  <c r="H277" i="6"/>
  <c r="H494" i="6"/>
  <c r="H461" i="6"/>
  <c r="H420" i="6"/>
  <c r="H423" i="6"/>
  <c r="H351" i="6"/>
  <c r="H252" i="6"/>
  <c r="H268" i="6"/>
  <c r="H200" i="6"/>
  <c r="H129" i="6"/>
  <c r="H153" i="6"/>
  <c r="H125" i="6"/>
  <c r="H81" i="6"/>
  <c r="H67" i="6"/>
  <c r="H203" i="6"/>
  <c r="H387" i="6"/>
  <c r="H27" i="6"/>
  <c r="H377" i="6"/>
  <c r="H101" i="6"/>
  <c r="H313" i="6"/>
  <c r="H49" i="6"/>
  <c r="H426" i="6"/>
  <c r="H482" i="6"/>
  <c r="H38" i="6"/>
  <c r="H385" i="6"/>
  <c r="H459" i="6"/>
  <c r="H418" i="6"/>
  <c r="H369" i="6"/>
  <c r="H355" i="6"/>
  <c r="H248" i="6"/>
  <c r="H264" i="6"/>
  <c r="H214" i="6"/>
  <c r="H177" i="6"/>
  <c r="H149" i="6"/>
  <c r="H162" i="6"/>
  <c r="H77" i="6"/>
  <c r="H63" i="6"/>
  <c r="H209" i="6"/>
  <c r="H395" i="6"/>
  <c r="H31" i="6"/>
  <c r="H381" i="6"/>
  <c r="H108" i="6"/>
  <c r="H299" i="6"/>
  <c r="H53" i="6"/>
  <c r="H456" i="6"/>
  <c r="H490" i="6"/>
  <c r="H401" i="6"/>
  <c r="H46" i="6"/>
  <c r="H393" i="6"/>
  <c r="H470" i="6"/>
  <c r="H304" i="6"/>
  <c r="H161" i="6"/>
  <c r="H122" i="6"/>
  <c r="H42" i="6"/>
  <c r="H465" i="6"/>
  <c r="H455" i="6"/>
  <c r="H244" i="6"/>
  <c r="H141" i="6"/>
  <c r="H217" i="6"/>
  <c r="H112" i="6"/>
  <c r="H443" i="6"/>
  <c r="H272" i="6"/>
  <c r="H151" i="6"/>
  <c r="H339" i="6"/>
  <c r="H286" i="6"/>
  <c r="H309" i="6"/>
  <c r="H410" i="6"/>
  <c r="H260" i="6"/>
  <c r="H158" i="6"/>
  <c r="H403" i="6"/>
  <c r="H279" i="6"/>
  <c r="H422" i="6"/>
  <c r="H365" i="6"/>
  <c r="H206" i="6"/>
  <c r="H69" i="6"/>
  <c r="H35" i="6"/>
  <c r="H55" i="6"/>
  <c r="H54" i="6"/>
  <c r="H320" i="6"/>
  <c r="H133" i="6"/>
  <c r="H75" i="6"/>
  <c r="H289" i="6"/>
  <c r="H319" i="6"/>
  <c r="H93" i="6"/>
  <c r="H59" i="6"/>
  <c r="H19" i="6"/>
  <c r="H397" i="6"/>
  <c r="H411" i="6"/>
  <c r="H41" i="6"/>
  <c r="H329" i="6"/>
  <c r="H460" i="6"/>
  <c r="H446" i="6"/>
  <c r="H186" i="6"/>
  <c r="H22" i="6"/>
  <c r="H176" i="6"/>
  <c r="H314" i="6"/>
  <c r="H29" i="6"/>
  <c r="H56" i="6"/>
  <c r="H72" i="6"/>
  <c r="H88" i="6"/>
  <c r="H111" i="6"/>
  <c r="H346" i="6"/>
  <c r="H362" i="6"/>
  <c r="H48" i="6"/>
  <c r="H15" i="6"/>
  <c r="H322" i="6"/>
  <c r="H34" i="6"/>
  <c r="H64" i="6"/>
  <c r="H80" i="6"/>
  <c r="H96" i="6"/>
  <c r="H132" i="6"/>
  <c r="H338" i="6"/>
  <c r="H354" i="6"/>
  <c r="H501" i="6"/>
  <c r="H330" i="6"/>
  <c r="B14" i="2" l="1"/>
  <c r="M14" i="2" s="1"/>
  <c r="A28" i="3"/>
  <c r="S14" i="2"/>
  <c r="M11" i="1"/>
  <c r="M10" i="1"/>
  <c r="M22" i="1"/>
  <c r="M19" i="1"/>
  <c r="M18" i="1"/>
  <c r="M17" i="1"/>
  <c r="M21" i="1"/>
  <c r="A29" i="3"/>
  <c r="S15" i="2"/>
  <c r="B15" i="2"/>
  <c r="A15" i="2" s="1"/>
  <c r="A16" i="2"/>
  <c r="R16" i="2"/>
  <c r="C16" i="2"/>
  <c r="M20" i="1"/>
  <c r="M14" i="1"/>
  <c r="M13" i="1"/>
  <c r="M12" i="1"/>
  <c r="M16" i="1"/>
  <c r="M15" i="1"/>
  <c r="A13" i="2"/>
  <c r="C13" i="2"/>
  <c r="R13" i="2"/>
  <c r="R11" i="2"/>
  <c r="A11" i="2"/>
  <c r="M11" i="2"/>
  <c r="I325" i="6"/>
  <c r="I126" i="6"/>
  <c r="I127" i="6"/>
  <c r="I6" i="6"/>
  <c r="I464" i="6"/>
  <c r="I2" i="6"/>
  <c r="I304" i="6"/>
  <c r="I235" i="6"/>
  <c r="I367" i="6"/>
  <c r="I113" i="6"/>
  <c r="I214" i="6"/>
  <c r="I427" i="6"/>
  <c r="I308" i="6"/>
  <c r="I188" i="6"/>
  <c r="I441" i="6"/>
  <c r="I281" i="6"/>
  <c r="I93" i="6"/>
  <c r="I498" i="6"/>
  <c r="I311" i="6"/>
  <c r="I38" i="6"/>
  <c r="I354" i="6"/>
  <c r="I141" i="6"/>
  <c r="I345" i="6"/>
  <c r="I378" i="6"/>
  <c r="I213" i="6"/>
  <c r="I16" i="6"/>
  <c r="I179" i="6"/>
  <c r="I348" i="6"/>
  <c r="I396" i="6"/>
  <c r="I352" i="6"/>
  <c r="I372" i="6"/>
  <c r="I324" i="6"/>
  <c r="I305" i="6"/>
  <c r="I336" i="6"/>
  <c r="I302" i="6"/>
  <c r="S12" i="2"/>
  <c r="B12" i="2"/>
  <c r="A26" i="3"/>
  <c r="C29" i="1"/>
  <c r="I20" i="6"/>
  <c r="I482" i="6"/>
  <c r="I11" i="6"/>
  <c r="I236" i="6"/>
  <c r="I204" i="6"/>
  <c r="I292" i="6"/>
  <c r="I418" i="6"/>
  <c r="I349" i="6"/>
  <c r="I317" i="6"/>
  <c r="I476" i="6"/>
  <c r="I123" i="6"/>
  <c r="I243" i="6"/>
  <c r="I355" i="6"/>
  <c r="I420" i="6"/>
  <c r="I434" i="6"/>
  <c r="I431" i="6"/>
  <c r="I42" i="6"/>
  <c r="I343" i="6"/>
  <c r="I7" i="6"/>
  <c r="I239" i="6"/>
  <c r="I347" i="6"/>
  <c r="I478" i="6"/>
  <c r="I62" i="6"/>
  <c r="I169" i="6"/>
  <c r="I357" i="6"/>
  <c r="I29" i="6"/>
  <c r="I170" i="6"/>
  <c r="I254" i="6"/>
  <c r="I380" i="6"/>
  <c r="I12" i="6"/>
  <c r="I167" i="6"/>
  <c r="I390" i="6"/>
  <c r="I3" i="6"/>
  <c r="I118" i="6"/>
  <c r="I205" i="6"/>
  <c r="I422" i="6"/>
  <c r="I106" i="6"/>
  <c r="I231" i="6"/>
  <c r="I318" i="6"/>
  <c r="I377" i="6"/>
  <c r="I440" i="6"/>
  <c r="I65" i="6"/>
  <c r="I290" i="6"/>
  <c r="I436" i="6"/>
  <c r="I120" i="6"/>
  <c r="I228" i="6"/>
  <c r="I500" i="6"/>
  <c r="I222" i="6"/>
  <c r="I383" i="6"/>
  <c r="I166" i="6"/>
  <c r="I405" i="6"/>
  <c r="I172" i="6"/>
  <c r="I387" i="6"/>
  <c r="I138" i="6"/>
  <c r="I416" i="6"/>
  <c r="I115" i="6"/>
  <c r="I327" i="6"/>
  <c r="I108" i="6"/>
  <c r="I365" i="6"/>
  <c r="I122" i="6"/>
  <c r="I331" i="6"/>
  <c r="I136" i="6"/>
  <c r="I301" i="6"/>
  <c r="I70" i="6"/>
  <c r="T5" i="6" a="1"/>
  <c r="T5" i="6" s="1"/>
  <c r="T6" i="6" s="1" a="1"/>
  <c r="T6" i="6" s="1"/>
  <c r="I247" i="6"/>
  <c r="I91" i="6"/>
  <c r="I496" i="6"/>
  <c r="I215" i="6"/>
  <c r="I298" i="6"/>
  <c r="I283" i="6"/>
  <c r="I474" i="6"/>
  <c r="I320" i="6"/>
  <c r="I25" i="6"/>
  <c r="I210" i="6"/>
  <c r="I453" i="6"/>
  <c r="I195" i="6"/>
  <c r="I299" i="6"/>
  <c r="I196" i="6"/>
  <c r="I456" i="6"/>
  <c r="I145" i="6"/>
  <c r="I26" i="6"/>
  <c r="I259" i="6"/>
  <c r="I68" i="6"/>
  <c r="I410" i="6"/>
  <c r="I99" i="6"/>
  <c r="I105" i="6"/>
  <c r="I111" i="6"/>
  <c r="I77" i="6"/>
  <c r="I52" i="6"/>
  <c r="I74" i="6"/>
  <c r="I32" i="6"/>
  <c r="I140" i="6"/>
  <c r="I72" i="6"/>
  <c r="I360" i="6"/>
  <c r="I150" i="6"/>
  <c r="I76" i="6"/>
  <c r="I194" i="6"/>
  <c r="I79" i="6"/>
  <c r="I265" i="6"/>
  <c r="I371" i="6"/>
  <c r="I15" i="6"/>
  <c r="I85" i="6"/>
  <c r="I207" i="6"/>
  <c r="I33" i="6"/>
  <c r="I161" i="6"/>
  <c r="I295" i="6"/>
  <c r="I253" i="6"/>
  <c r="I437" i="6"/>
  <c r="I55" i="6"/>
  <c r="I240" i="6"/>
  <c r="I358" i="6"/>
  <c r="I471" i="6"/>
  <c r="I121" i="6"/>
  <c r="I266" i="6"/>
  <c r="I411" i="6"/>
  <c r="I80" i="6"/>
  <c r="I168" i="6"/>
  <c r="I284" i="6"/>
  <c r="I460" i="6"/>
  <c r="I95" i="6"/>
  <c r="I296" i="6"/>
  <c r="I401" i="6"/>
  <c r="I483" i="6"/>
  <c r="I174" i="6"/>
  <c r="I333" i="6"/>
  <c r="I495" i="6"/>
  <c r="I146" i="6"/>
  <c r="I147" i="6"/>
  <c r="I294" i="6"/>
  <c r="I359" i="6"/>
  <c r="I23" i="6"/>
  <c r="I143" i="6"/>
  <c r="I363" i="6"/>
  <c r="I485" i="6"/>
  <c r="I132" i="6"/>
  <c r="I426" i="6"/>
  <c r="I229" i="6"/>
  <c r="I335" i="6"/>
  <c r="I116" i="6"/>
  <c r="I375" i="6"/>
  <c r="I134" i="6"/>
  <c r="I339" i="6"/>
  <c r="I96" i="6"/>
  <c r="I309" i="6"/>
  <c r="I78" i="6"/>
  <c r="I260" i="6"/>
  <c r="I39" i="6"/>
  <c r="I306" i="6"/>
  <c r="I10" i="6"/>
  <c r="I272" i="6"/>
  <c r="I19" i="6"/>
  <c r="I238" i="6"/>
  <c r="I499" i="6"/>
  <c r="I63" i="6"/>
  <c r="I316" i="6"/>
  <c r="I277" i="6"/>
  <c r="I175" i="6"/>
  <c r="I469" i="6"/>
  <c r="I24" i="6"/>
  <c r="I404" i="6"/>
  <c r="I21" i="6"/>
  <c r="I192" i="6"/>
  <c r="I261" i="6"/>
  <c r="I389" i="6"/>
  <c r="I459" i="6"/>
  <c r="I66" i="6"/>
  <c r="I57" i="6"/>
  <c r="I157" i="6"/>
  <c r="I193" i="6"/>
  <c r="I412" i="6"/>
  <c r="I58" i="6"/>
  <c r="I189" i="6"/>
  <c r="I293" i="6"/>
  <c r="I415" i="6"/>
  <c r="I100" i="6"/>
  <c r="I183" i="6"/>
  <c r="I368" i="6"/>
  <c r="I35" i="6"/>
  <c r="I75" i="6"/>
  <c r="I218" i="6"/>
  <c r="I413" i="6"/>
  <c r="I114" i="6"/>
  <c r="I200" i="6"/>
  <c r="I361" i="6"/>
  <c r="I446" i="6"/>
  <c r="I81" i="6"/>
  <c r="I322" i="6"/>
  <c r="I442" i="6"/>
  <c r="I130" i="6"/>
  <c r="I144" i="6"/>
  <c r="I241" i="6"/>
  <c r="I275" i="6"/>
  <c r="I484" i="6"/>
  <c r="I148" i="6"/>
  <c r="I287" i="6"/>
  <c r="I443" i="6"/>
  <c r="I41" i="6"/>
  <c r="I385" i="6"/>
  <c r="I180" i="6"/>
  <c r="I332" i="6"/>
  <c r="I60" i="6"/>
  <c r="I313" i="6"/>
  <c r="I82" i="6"/>
  <c r="I279" i="6"/>
  <c r="I40" i="6"/>
  <c r="I310" i="6"/>
  <c r="I14" i="6"/>
  <c r="I234" i="6"/>
  <c r="I489" i="6"/>
  <c r="I242" i="6"/>
  <c r="I5" i="6"/>
  <c r="I226" i="6"/>
  <c r="I480" i="6"/>
  <c r="I227" i="6"/>
  <c r="I128" i="6"/>
  <c r="I232" i="6"/>
  <c r="I346" i="6"/>
  <c r="I248" i="6"/>
  <c r="I376" i="6"/>
  <c r="I382" i="6"/>
  <c r="I252" i="6"/>
  <c r="I394" i="6"/>
  <c r="I31" i="6"/>
  <c r="I109" i="6"/>
  <c r="I338" i="6"/>
  <c r="I255" i="6"/>
  <c r="I470" i="6"/>
  <c r="I445" i="6"/>
  <c r="I475" i="6"/>
  <c r="I104" i="6"/>
  <c r="I225" i="6"/>
  <c r="I392" i="6"/>
  <c r="I37" i="6"/>
  <c r="I178" i="6"/>
  <c r="I270" i="6"/>
  <c r="I364" i="6"/>
  <c r="I28" i="6"/>
  <c r="I221" i="6"/>
  <c r="I323" i="6"/>
  <c r="I479" i="6"/>
  <c r="I54" i="6"/>
  <c r="I153" i="6"/>
  <c r="I362" i="6"/>
  <c r="I34" i="6"/>
  <c r="I149" i="6"/>
  <c r="I334" i="6"/>
  <c r="I391" i="6"/>
  <c r="I84" i="6"/>
  <c r="I263" i="6"/>
  <c r="I395" i="6"/>
  <c r="I48" i="6"/>
  <c r="I110" i="6"/>
  <c r="I139" i="6"/>
  <c r="I244" i="6"/>
  <c r="I467" i="6"/>
  <c r="I71" i="6"/>
  <c r="I256" i="6"/>
  <c r="I386" i="6"/>
  <c r="I342" i="6"/>
  <c r="I67" i="6"/>
  <c r="I268" i="6"/>
  <c r="I47" i="6"/>
  <c r="I314" i="6"/>
  <c r="I18" i="6"/>
  <c r="I280" i="6"/>
  <c r="I27" i="6"/>
  <c r="I246" i="6"/>
  <c r="I493" i="6"/>
  <c r="I466" i="6"/>
  <c r="I177" i="6"/>
  <c r="I455" i="6"/>
  <c r="I191" i="6"/>
  <c r="I461" i="6"/>
  <c r="I173" i="6"/>
  <c r="I473" i="6"/>
  <c r="I155" i="6"/>
  <c r="I129" i="6"/>
  <c r="I356" i="6"/>
  <c r="I424" i="6"/>
  <c r="I245" i="6"/>
  <c r="I59" i="6"/>
  <c r="I230" i="6"/>
  <c r="I160" i="6"/>
  <c r="I199" i="6"/>
  <c r="I264" i="6"/>
  <c r="I421" i="6"/>
  <c r="I492" i="6"/>
  <c r="I209" i="6"/>
  <c r="I46" i="6"/>
  <c r="I307" i="6"/>
  <c r="I319" i="6"/>
  <c r="I373" i="6"/>
  <c r="I409" i="6"/>
  <c r="I468" i="6"/>
  <c r="I137" i="6"/>
  <c r="I289" i="6"/>
  <c r="I481" i="6"/>
  <c r="I101" i="6"/>
  <c r="I203" i="6"/>
  <c r="I315" i="6"/>
  <c r="I463" i="6"/>
  <c r="I133" i="6"/>
  <c r="I312" i="6"/>
  <c r="I417" i="6"/>
  <c r="I9" i="6"/>
  <c r="I491" i="6"/>
  <c r="I186" i="6"/>
  <c r="I341" i="6"/>
  <c r="I501" i="6"/>
  <c r="I154" i="6"/>
  <c r="I267" i="6"/>
  <c r="I400" i="6"/>
  <c r="I4" i="6"/>
  <c r="I159" i="6"/>
  <c r="I384" i="6"/>
  <c r="I449" i="6"/>
  <c r="I22" i="6"/>
  <c r="I124" i="6"/>
  <c r="I223" i="6"/>
  <c r="I381" i="6"/>
  <c r="I90" i="6"/>
  <c r="I206" i="6"/>
  <c r="I337" i="6"/>
  <c r="I112" i="6"/>
  <c r="I329" i="6"/>
  <c r="I94" i="6"/>
  <c r="I257" i="6"/>
  <c r="I497" i="6"/>
  <c r="I250" i="6"/>
  <c r="I13" i="6"/>
  <c r="I249" i="6"/>
  <c r="I490" i="6"/>
  <c r="I251" i="6"/>
  <c r="I439" i="6"/>
  <c r="I201" i="6"/>
  <c r="I438" i="6"/>
  <c r="I220" i="6"/>
  <c r="I435" i="6"/>
  <c r="I217" i="6"/>
  <c r="I425" i="6"/>
  <c r="I176" i="6"/>
  <c r="I477" i="6"/>
  <c r="I430" i="6"/>
  <c r="I366" i="6"/>
  <c r="I258" i="6"/>
  <c r="I119" i="6"/>
  <c r="I44" i="6"/>
  <c r="I162" i="6"/>
  <c r="I297" i="6"/>
  <c r="I278" i="6"/>
  <c r="I462" i="6"/>
  <c r="I98" i="6"/>
  <c r="I211" i="6"/>
  <c r="I197" i="6"/>
  <c r="I282" i="6"/>
  <c r="I187" i="6"/>
  <c r="I423" i="6"/>
  <c r="I125" i="6"/>
  <c r="I274" i="6"/>
  <c r="I419" i="6"/>
  <c r="I88" i="6"/>
  <c r="I202" i="6"/>
  <c r="I300" i="6"/>
  <c r="I429" i="6"/>
  <c r="I135" i="6"/>
  <c r="I269" i="6"/>
  <c r="I350" i="6"/>
  <c r="I454" i="6"/>
  <c r="I89" i="6"/>
  <c r="I330" i="6"/>
  <c r="I450" i="6"/>
  <c r="I61" i="6"/>
  <c r="I171" i="6"/>
  <c r="I291" i="6"/>
  <c r="I486" i="6"/>
  <c r="I182" i="6"/>
  <c r="I303" i="6"/>
  <c r="I393" i="6"/>
  <c r="I102" i="6"/>
  <c r="I224" i="6"/>
  <c r="I398" i="6"/>
  <c r="I53" i="6"/>
  <c r="I216" i="6"/>
  <c r="I286" i="6"/>
  <c r="I56" i="6"/>
  <c r="I326" i="6"/>
  <c r="I30" i="6"/>
  <c r="I457" i="6"/>
  <c r="I185" i="6"/>
  <c r="I465" i="6"/>
  <c r="I198" i="6"/>
  <c r="I472" i="6"/>
  <c r="I181" i="6"/>
  <c r="I448" i="6"/>
  <c r="I163" i="6"/>
  <c r="I414" i="6"/>
  <c r="I158" i="6"/>
  <c r="I397" i="6"/>
  <c r="I164" i="6"/>
  <c r="I379" i="6"/>
  <c r="I184" i="6"/>
  <c r="I408" i="6"/>
  <c r="I107" i="6"/>
  <c r="I407" i="6"/>
  <c r="I487" i="6"/>
  <c r="I328" i="6"/>
  <c r="I406" i="6"/>
  <c r="I45" i="6"/>
  <c r="I444" i="6"/>
  <c r="I8" i="6"/>
  <c r="I151" i="6"/>
  <c r="I86" i="6"/>
  <c r="I351" i="6"/>
  <c r="I458" i="6"/>
  <c r="I73" i="6"/>
  <c r="I131" i="6"/>
  <c r="I156" i="6"/>
  <c r="I374" i="6"/>
  <c r="I36" i="6"/>
  <c r="I219" i="6"/>
  <c r="I388" i="6"/>
  <c r="I51" i="6"/>
  <c r="I83" i="6"/>
  <c r="I273" i="6"/>
  <c r="I402" i="6"/>
  <c r="I50" i="6"/>
  <c r="I165" i="6"/>
  <c r="I285" i="6"/>
  <c r="I399" i="6"/>
  <c r="I92" i="6"/>
  <c r="I271" i="6"/>
  <c r="I403" i="6"/>
  <c r="I64" i="6"/>
  <c r="I152" i="6"/>
  <c r="I276" i="6"/>
  <c r="I452" i="6"/>
  <c r="I87" i="6"/>
  <c r="I288" i="6"/>
  <c r="I353" i="6"/>
  <c r="I451" i="6"/>
  <c r="I49" i="6"/>
  <c r="I488" i="6"/>
  <c r="I142" i="6"/>
  <c r="I321" i="6"/>
  <c r="I494" i="6"/>
  <c r="I117" i="6"/>
  <c r="I208" i="6"/>
  <c r="I43" i="6"/>
  <c r="I262" i="6"/>
  <c r="I17" i="6"/>
  <c r="I432" i="6"/>
  <c r="I212" i="6"/>
  <c r="I447" i="6"/>
  <c r="I237" i="6"/>
  <c r="I428" i="6"/>
  <c r="I233" i="6"/>
  <c r="I433" i="6"/>
  <c r="I190" i="6"/>
  <c r="I340" i="6"/>
  <c r="I97" i="6"/>
  <c r="I370" i="6"/>
  <c r="I103" i="6"/>
  <c r="I344" i="6"/>
  <c r="I69" i="6"/>
  <c r="I369" i="6"/>
  <c r="A14" i="2" l="1"/>
  <c r="R14" i="2"/>
  <c r="C14" i="2"/>
  <c r="B24" i="3" a="1"/>
  <c r="D24" i="3" s="1"/>
  <c r="R15" i="2"/>
  <c r="M15" i="2"/>
  <c r="C15" i="2"/>
  <c r="U4" i="6"/>
  <c r="U6" i="6"/>
  <c r="V6" i="6"/>
  <c r="J2" i="6"/>
  <c r="M2" i="6" s="1" a="1"/>
  <c r="M2" i="6" s="1"/>
  <c r="V2" i="6"/>
  <c r="U2" i="6"/>
  <c r="V3" i="6"/>
  <c r="U3" i="6"/>
  <c r="J11" i="6"/>
  <c r="J16" i="6"/>
  <c r="J17" i="6" s="1"/>
  <c r="J13" i="6"/>
  <c r="L13" i="6" s="1" a="1"/>
  <c r="L13" i="6" s="1"/>
  <c r="M12" i="2"/>
  <c r="C12" i="2"/>
  <c r="R12" i="2"/>
  <c r="AE17" i="2" s="1"/>
  <c r="A12" i="2"/>
  <c r="J5" i="6"/>
  <c r="J6" i="6" s="1"/>
  <c r="V5" i="6"/>
  <c r="U5" i="6"/>
  <c r="T7" i="6" a="1"/>
  <c r="T7" i="6" s="1"/>
  <c r="K11" i="6" a="1"/>
  <c r="K11" i="6" s="1"/>
  <c r="J12" i="6"/>
  <c r="L11" i="6" a="1"/>
  <c r="L11" i="6" s="1"/>
  <c r="K16" i="6" a="1"/>
  <c r="K16" i="6" s="1"/>
  <c r="B25" i="3" a="1"/>
  <c r="J32" i="6"/>
  <c r="J27" i="6"/>
  <c r="J28" i="6" s="1"/>
  <c r="J23" i="6"/>
  <c r="J25" i="6"/>
  <c r="J26" i="6" s="1"/>
  <c r="V4" i="6"/>
  <c r="J21" i="6"/>
  <c r="J7" i="6"/>
  <c r="J8" i="6" s="1"/>
  <c r="J18" i="6"/>
  <c r="J9" i="6"/>
  <c r="B6" i="2" l="1"/>
  <c r="J55" i="6"/>
  <c r="J56" i="6" s="1"/>
  <c r="J57" i="6" s="1"/>
  <c r="J58" i="6" s="1"/>
  <c r="T24" i="3"/>
  <c r="T32" i="3" s="1"/>
  <c r="K24" i="3"/>
  <c r="K33" i="3" s="1"/>
  <c r="P24" i="3"/>
  <c r="P25" i="3" s="1"/>
  <c r="M24" i="3"/>
  <c r="M40" i="3" s="1"/>
  <c r="N24" i="3"/>
  <c r="N38" i="3" s="1"/>
  <c r="L24" i="3"/>
  <c r="L43" i="3" s="1"/>
  <c r="F24" i="3"/>
  <c r="F38" i="3" s="1"/>
  <c r="E24" i="3"/>
  <c r="E28" i="3" s="1"/>
  <c r="O24" i="3"/>
  <c r="O42" i="3" s="1"/>
  <c r="C24" i="3"/>
  <c r="C30" i="3" s="1"/>
  <c r="I24" i="3"/>
  <c r="I43" i="3" s="1"/>
  <c r="H24" i="3"/>
  <c r="H39" i="3" s="1"/>
  <c r="B24" i="3"/>
  <c r="B29" i="3" s="1"/>
  <c r="J24" i="3"/>
  <c r="J39" i="3" s="1"/>
  <c r="R24" i="3"/>
  <c r="R38" i="3" s="1"/>
  <c r="Q24" i="3"/>
  <c r="Q42" i="3" s="1"/>
  <c r="G24" i="3"/>
  <c r="G41" i="3" s="1"/>
  <c r="S24" i="3"/>
  <c r="S31" i="3" s="1"/>
  <c r="U24" i="3"/>
  <c r="U32" i="3" s="1"/>
  <c r="L57" i="6" a="1"/>
  <c r="L57" i="6" s="1"/>
  <c r="L5" i="6" a="1"/>
  <c r="L5" i="6" s="1"/>
  <c r="K57" i="6" a="1"/>
  <c r="K57" i="6" s="1"/>
  <c r="L16" i="6" a="1"/>
  <c r="L16" i="6" s="1"/>
  <c r="N16" i="6" s="1"/>
  <c r="AE16" i="2"/>
  <c r="AE15" i="2"/>
  <c r="L17" i="6" a="1"/>
  <c r="L17" i="6" s="1"/>
  <c r="K17" i="6" a="1"/>
  <c r="K17" i="6" s="1"/>
  <c r="T8" i="6" a="1"/>
  <c r="T8" i="6" s="1"/>
  <c r="V8" i="6" s="1"/>
  <c r="K5" i="6" a="1"/>
  <c r="K5" i="6" s="1"/>
  <c r="T31" i="3"/>
  <c r="K26" i="6" a="1"/>
  <c r="K26" i="6" s="1"/>
  <c r="L26" i="6" a="1"/>
  <c r="L26" i="6" s="1"/>
  <c r="L8" i="6" a="1"/>
  <c r="L8" i="6" s="1"/>
  <c r="K8" i="6" a="1"/>
  <c r="K8" i="6" s="1"/>
  <c r="J29" i="6"/>
  <c r="L28" i="6" a="1"/>
  <c r="L28" i="6" s="1"/>
  <c r="K28" i="6" a="1"/>
  <c r="K28" i="6" s="1"/>
  <c r="J10" i="6"/>
  <c r="K9" i="6" a="1"/>
  <c r="K9" i="6" s="1"/>
  <c r="K7" i="6" a="1"/>
  <c r="K7" i="6" s="1"/>
  <c r="J24" i="6"/>
  <c r="L23" i="6" a="1"/>
  <c r="L23" i="6" s="1"/>
  <c r="K23" i="6" a="1"/>
  <c r="K23" i="6" s="1"/>
  <c r="L7" i="6" a="1"/>
  <c r="L7" i="6" s="1"/>
  <c r="L58" i="6" a="1"/>
  <c r="L58" i="6" s="1"/>
  <c r="J59" i="6"/>
  <c r="J60" i="6" s="1"/>
  <c r="L60" i="6" s="1" a="1"/>
  <c r="L60" i="6" s="1"/>
  <c r="K58" i="6" a="1"/>
  <c r="K58" i="6" s="1"/>
  <c r="L25" i="6" a="1"/>
  <c r="L25" i="6" s="1"/>
  <c r="J19" i="6"/>
  <c r="L18" i="6" a="1"/>
  <c r="L18" i="6" s="1"/>
  <c r="K18" i="6" a="1"/>
  <c r="K18" i="6" s="1"/>
  <c r="K25" i="6" a="1"/>
  <c r="K25" i="6" s="1"/>
  <c r="J22" i="6"/>
  <c r="L21" i="6" a="1"/>
  <c r="L21" i="6" s="1"/>
  <c r="K21" i="6" a="1"/>
  <c r="K21" i="6" s="1"/>
  <c r="L12" i="6" a="1"/>
  <c r="L12" i="6" s="1"/>
  <c r="K12" i="6" a="1"/>
  <c r="K12" i="6" s="1"/>
  <c r="J33" i="6"/>
  <c r="J34" i="6" s="1"/>
  <c r="K32" i="6" a="1"/>
  <c r="K32" i="6" s="1"/>
  <c r="L32" i="6" a="1"/>
  <c r="L32" i="6" s="1"/>
  <c r="D41" i="3"/>
  <c r="D26" i="3"/>
  <c r="D30" i="3"/>
  <c r="D37" i="3"/>
  <c r="D31" i="3"/>
  <c r="D29" i="3"/>
  <c r="D39" i="3"/>
  <c r="D43" i="3"/>
  <c r="D33" i="3"/>
  <c r="D38" i="3"/>
  <c r="D32" i="3"/>
  <c r="D28" i="3"/>
  <c r="D44" i="3"/>
  <c r="D25" i="3"/>
  <c r="D35" i="3"/>
  <c r="D42" i="3"/>
  <c r="D34" i="3"/>
  <c r="D27" i="3"/>
  <c r="D40" i="3"/>
  <c r="D36" i="3"/>
  <c r="L9" i="6" a="1"/>
  <c r="L9" i="6" s="1"/>
  <c r="L27" i="6" a="1"/>
  <c r="L27" i="6" s="1"/>
  <c r="K27" i="6" a="1"/>
  <c r="K27" i="6" s="1"/>
  <c r="K6" i="6" a="1"/>
  <c r="K6" i="6" s="1"/>
  <c r="L6" i="6" a="1"/>
  <c r="L6" i="6" s="1"/>
  <c r="K13" i="6" a="1"/>
  <c r="K13" i="6" s="1"/>
  <c r="N13" i="6" s="1"/>
  <c r="L2" i="6" a="1"/>
  <c r="L2" i="6" s="1"/>
  <c r="J14" i="6"/>
  <c r="J3" i="6"/>
  <c r="J36" i="6"/>
  <c r="L56" i="6" a="1"/>
  <c r="L56" i="6" s="1"/>
  <c r="K2" i="6" a="1"/>
  <c r="K2" i="6" s="1"/>
  <c r="K56" i="6" a="1"/>
  <c r="K56" i="6" s="1"/>
  <c r="N11" i="6"/>
  <c r="U7" i="6"/>
  <c r="V7" i="6"/>
  <c r="AE11" i="2"/>
  <c r="R31" i="2"/>
  <c r="AE12" i="2"/>
  <c r="AE13" i="2"/>
  <c r="AE14" i="2"/>
  <c r="K29" i="3" l="1"/>
  <c r="R25" i="3"/>
  <c r="R37" i="3"/>
  <c r="R40" i="3"/>
  <c r="R36" i="3"/>
  <c r="R44" i="3"/>
  <c r="R41" i="3"/>
  <c r="Q25" i="3"/>
  <c r="R34" i="3"/>
  <c r="R33" i="3"/>
  <c r="G28" i="3"/>
  <c r="R43" i="3"/>
  <c r="Q32" i="3"/>
  <c r="Q40" i="3"/>
  <c r="Q39" i="3"/>
  <c r="Q38" i="3"/>
  <c r="K25" i="3"/>
  <c r="T34" i="3"/>
  <c r="T27" i="3"/>
  <c r="M27" i="3"/>
  <c r="T25" i="3"/>
  <c r="K34" i="3"/>
  <c r="K27" i="3"/>
  <c r="T29" i="3"/>
  <c r="T43" i="3"/>
  <c r="T33" i="3"/>
  <c r="G43" i="3"/>
  <c r="N40" i="3"/>
  <c r="R31" i="3"/>
  <c r="K32" i="3"/>
  <c r="T41" i="3"/>
  <c r="L38" i="3"/>
  <c r="T30" i="3"/>
  <c r="P29" i="3"/>
  <c r="P40" i="3"/>
  <c r="T44" i="3"/>
  <c r="K42" i="3"/>
  <c r="K35" i="3"/>
  <c r="P31" i="3"/>
  <c r="P37" i="3"/>
  <c r="T40" i="3"/>
  <c r="P39" i="3"/>
  <c r="R29" i="3"/>
  <c r="J25" i="3"/>
  <c r="M36" i="3"/>
  <c r="G34" i="3"/>
  <c r="K44" i="3"/>
  <c r="T36" i="3"/>
  <c r="Q36" i="3"/>
  <c r="T35" i="3"/>
  <c r="R27" i="3"/>
  <c r="R32" i="3"/>
  <c r="R26" i="3"/>
  <c r="K38" i="3"/>
  <c r="M43" i="3"/>
  <c r="K37" i="3"/>
  <c r="M30" i="3"/>
  <c r="Q29" i="3"/>
  <c r="R28" i="3"/>
  <c r="R39" i="3"/>
  <c r="R30" i="3"/>
  <c r="S30" i="3"/>
  <c r="K41" i="3"/>
  <c r="Q26" i="3"/>
  <c r="B31" i="3"/>
  <c r="Q31" i="3"/>
  <c r="Q33" i="3"/>
  <c r="S38" i="3"/>
  <c r="Q43" i="3"/>
  <c r="H36" i="3"/>
  <c r="H35" i="3"/>
  <c r="S32" i="3"/>
  <c r="Q30" i="3"/>
  <c r="B32" i="3"/>
  <c r="P44" i="3"/>
  <c r="M31" i="3"/>
  <c r="T39" i="3"/>
  <c r="T38" i="3"/>
  <c r="T37" i="3"/>
  <c r="P35" i="3"/>
  <c r="T28" i="3"/>
  <c r="M37" i="3"/>
  <c r="T42" i="3"/>
  <c r="T26" i="3"/>
  <c r="R42" i="3"/>
  <c r="N25" i="3"/>
  <c r="U26" i="3"/>
  <c r="Q34" i="3"/>
  <c r="M44" i="3"/>
  <c r="E40" i="3"/>
  <c r="N39" i="3"/>
  <c r="E36" i="3"/>
  <c r="F42" i="3"/>
  <c r="P36" i="3"/>
  <c r="N27" i="3"/>
  <c r="P41" i="3"/>
  <c r="K43" i="3"/>
  <c r="J38" i="3"/>
  <c r="J43" i="3"/>
  <c r="J37" i="3"/>
  <c r="B28" i="3"/>
  <c r="G36" i="3"/>
  <c r="B26" i="3"/>
  <c r="B42" i="3"/>
  <c r="J36" i="3"/>
  <c r="N29" i="3"/>
  <c r="Q35" i="3"/>
  <c r="U30" i="3"/>
  <c r="J28" i="3"/>
  <c r="L34" i="6" a="1"/>
  <c r="L34" i="6" s="1"/>
  <c r="J35" i="6"/>
  <c r="J29" i="3"/>
  <c r="J41" i="3"/>
  <c r="J40" i="3"/>
  <c r="H40" i="3"/>
  <c r="N41" i="3"/>
  <c r="P28" i="3"/>
  <c r="J61" i="6"/>
  <c r="L61" i="6" s="1" a="1"/>
  <c r="L61" i="6" s="1"/>
  <c r="J44" i="3"/>
  <c r="K34" i="6" a="1"/>
  <c r="K34" i="6" s="1"/>
  <c r="B36" i="3"/>
  <c r="J26" i="3"/>
  <c r="S27" i="3"/>
  <c r="G44" i="3"/>
  <c r="H44" i="3"/>
  <c r="F43" i="3"/>
  <c r="F33" i="3"/>
  <c r="G39" i="3"/>
  <c r="N34" i="3"/>
  <c r="S26" i="3"/>
  <c r="H27" i="3"/>
  <c r="U25" i="3"/>
  <c r="B38" i="3"/>
  <c r="C31" i="3"/>
  <c r="B43" i="3"/>
  <c r="S29" i="3"/>
  <c r="B35" i="3"/>
  <c r="G29" i="3"/>
  <c r="O34" i="3"/>
  <c r="B44" i="3"/>
  <c r="M34" i="3"/>
  <c r="R35" i="3"/>
  <c r="U35" i="3"/>
  <c r="U31" i="3"/>
  <c r="U33" i="3"/>
  <c r="B37" i="3"/>
  <c r="F31" i="3"/>
  <c r="O38" i="3"/>
  <c r="B25" i="3"/>
  <c r="L28" i="3"/>
  <c r="C42" i="3"/>
  <c r="Q37" i="3"/>
  <c r="G30" i="3"/>
  <c r="G31" i="3"/>
  <c r="B27" i="3"/>
  <c r="M28" i="3"/>
  <c r="J32" i="3"/>
  <c r="Q27" i="3"/>
  <c r="K30" i="3"/>
  <c r="L44" i="3"/>
  <c r="H31" i="3"/>
  <c r="U41" i="3"/>
  <c r="S34" i="3"/>
  <c r="H43" i="3"/>
  <c r="B41" i="3"/>
  <c r="U28" i="3"/>
  <c r="B30" i="3"/>
  <c r="B33" i="3"/>
  <c r="F28" i="3"/>
  <c r="N33" i="3"/>
  <c r="C38" i="3"/>
  <c r="N31" i="3"/>
  <c r="P30" i="3"/>
  <c r="S44" i="3"/>
  <c r="E33" i="3"/>
  <c r="L39" i="3"/>
  <c r="L35" i="3"/>
  <c r="C37" i="3"/>
  <c r="I31" i="3"/>
  <c r="I26" i="3"/>
  <c r="N30" i="3"/>
  <c r="M32" i="3"/>
  <c r="F32" i="3"/>
  <c r="O27" i="3"/>
  <c r="E34" i="3"/>
  <c r="N35" i="3"/>
  <c r="N42" i="3"/>
  <c r="F37" i="3"/>
  <c r="E44" i="3"/>
  <c r="I37" i="3"/>
  <c r="B34" i="3"/>
  <c r="J30" i="3"/>
  <c r="S39" i="3"/>
  <c r="U29" i="3"/>
  <c r="J33" i="3"/>
  <c r="E39" i="3"/>
  <c r="C40" i="3"/>
  <c r="M39" i="3"/>
  <c r="I40" i="3"/>
  <c r="L41" i="3"/>
  <c r="N36" i="3"/>
  <c r="P26" i="3"/>
  <c r="S25" i="3"/>
  <c r="F25" i="3"/>
  <c r="M26" i="3"/>
  <c r="E26" i="3"/>
  <c r="P38" i="3"/>
  <c r="O43" i="3"/>
  <c r="F41" i="3"/>
  <c r="M25" i="3"/>
  <c r="C33" i="3"/>
  <c r="I28" i="3"/>
  <c r="O26" i="3"/>
  <c r="E25" i="3"/>
  <c r="U36" i="3"/>
  <c r="E32" i="3"/>
  <c r="P34" i="3"/>
  <c r="G26" i="3"/>
  <c r="S35" i="3"/>
  <c r="S28" i="3"/>
  <c r="B40" i="3"/>
  <c r="L27" i="3"/>
  <c r="M35" i="3"/>
  <c r="I32" i="3"/>
  <c r="K26" i="3"/>
  <c r="K31" i="3"/>
  <c r="I44" i="3"/>
  <c r="E37" i="3"/>
  <c r="C36" i="3"/>
  <c r="E38" i="3"/>
  <c r="L29" i="3"/>
  <c r="L40" i="3"/>
  <c r="I33" i="3"/>
  <c r="N28" i="3"/>
  <c r="J31" i="3"/>
  <c r="P33" i="3"/>
  <c r="B39" i="3"/>
  <c r="I29" i="3"/>
  <c r="F40" i="3"/>
  <c r="E43" i="3"/>
  <c r="O35" i="3"/>
  <c r="S40" i="3"/>
  <c r="P42" i="3"/>
  <c r="J34" i="3"/>
  <c r="M41" i="3"/>
  <c r="G32" i="3"/>
  <c r="S37" i="3"/>
  <c r="O31" i="3"/>
  <c r="O37" i="3"/>
  <c r="O25" i="3"/>
  <c r="S43" i="3"/>
  <c r="S36" i="3"/>
  <c r="U38" i="3"/>
  <c r="O41" i="3"/>
  <c r="P43" i="3"/>
  <c r="L55" i="6" a="1"/>
  <c r="L55" i="6" s="1"/>
  <c r="K55" i="6" a="1"/>
  <c r="K55" i="6" s="1"/>
  <c r="H28" i="3"/>
  <c r="H42" i="3"/>
  <c r="C26" i="3"/>
  <c r="C34" i="3"/>
  <c r="E29" i="3"/>
  <c r="H33" i="3"/>
  <c r="H41" i="3"/>
  <c r="F30" i="3"/>
  <c r="O32" i="3"/>
  <c r="O36" i="3"/>
  <c r="L34" i="3"/>
  <c r="F44" i="3"/>
  <c r="U37" i="3"/>
  <c r="U34" i="3"/>
  <c r="L32" i="3"/>
  <c r="H34" i="3"/>
  <c r="L31" i="3"/>
  <c r="I39" i="3"/>
  <c r="N32" i="3"/>
  <c r="H30" i="3"/>
  <c r="L37" i="3"/>
  <c r="I34" i="3"/>
  <c r="I42" i="3"/>
  <c r="M42" i="3"/>
  <c r="G40" i="3"/>
  <c r="P27" i="3"/>
  <c r="N37" i="3"/>
  <c r="L33" i="3"/>
  <c r="J27" i="3"/>
  <c r="J42" i="3"/>
  <c r="M38" i="3"/>
  <c r="F34" i="3"/>
  <c r="E27" i="3"/>
  <c r="J35" i="3"/>
  <c r="S33" i="3"/>
  <c r="K36" i="3"/>
  <c r="O39" i="3"/>
  <c r="H26" i="3"/>
  <c r="H25" i="3"/>
  <c r="C25" i="3"/>
  <c r="C39" i="3"/>
  <c r="F39" i="3"/>
  <c r="E41" i="3"/>
  <c r="O30" i="3"/>
  <c r="L42" i="3"/>
  <c r="C43" i="3"/>
  <c r="F27" i="3"/>
  <c r="O44" i="3"/>
  <c r="L36" i="3"/>
  <c r="U40" i="3"/>
  <c r="G33" i="3"/>
  <c r="U39" i="3"/>
  <c r="L26" i="3"/>
  <c r="S42" i="3"/>
  <c r="L30" i="3"/>
  <c r="F29" i="3"/>
  <c r="O29" i="3"/>
  <c r="I36" i="3"/>
  <c r="G25" i="3"/>
  <c r="G35" i="3"/>
  <c r="Q28" i="3"/>
  <c r="N26" i="3"/>
  <c r="C28" i="3"/>
  <c r="C35" i="3"/>
  <c r="C41" i="3"/>
  <c r="I25" i="3"/>
  <c r="M33" i="3"/>
  <c r="Q41" i="3"/>
  <c r="K40" i="3"/>
  <c r="I27" i="3"/>
  <c r="O33" i="3"/>
  <c r="G27" i="3"/>
  <c r="H29" i="3"/>
  <c r="I41" i="3"/>
  <c r="H32" i="3"/>
  <c r="C27" i="3"/>
  <c r="F36" i="3"/>
  <c r="O40" i="3"/>
  <c r="M29" i="3"/>
  <c r="H38" i="3"/>
  <c r="N44" i="3"/>
  <c r="I30" i="3"/>
  <c r="C44" i="3"/>
  <c r="P32" i="3"/>
  <c r="F35" i="3"/>
  <c r="I38" i="3"/>
  <c r="E42" i="3"/>
  <c r="O28" i="3"/>
  <c r="U42" i="3"/>
  <c r="Q44" i="3"/>
  <c r="H37" i="3"/>
  <c r="I35" i="3"/>
  <c r="C29" i="3"/>
  <c r="E35" i="3"/>
  <c r="C32" i="3"/>
  <c r="U43" i="3"/>
  <c r="L25" i="3"/>
  <c r="F26" i="3"/>
  <c r="U44" i="3"/>
  <c r="U27" i="3"/>
  <c r="E30" i="3"/>
  <c r="G37" i="3"/>
  <c r="G38" i="3"/>
  <c r="N43" i="3"/>
  <c r="S41" i="3"/>
  <c r="K39" i="3"/>
  <c r="K28" i="3"/>
  <c r="G42" i="3"/>
  <c r="E31" i="3"/>
  <c r="N17" i="6"/>
  <c r="N57" i="6"/>
  <c r="N32" i="6"/>
  <c r="N5" i="6"/>
  <c r="N8" i="6"/>
  <c r="N25" i="6"/>
  <c r="U8" i="6"/>
  <c r="N27" i="6"/>
  <c r="N18" i="6"/>
  <c r="N2" i="6"/>
  <c r="N58" i="6"/>
  <c r="K60" i="6" a="1"/>
  <c r="K60" i="6" s="1"/>
  <c r="N60" i="6" s="1"/>
  <c r="A69" i="3" a="1"/>
  <c r="N12" i="6"/>
  <c r="N21" i="6"/>
  <c r="N23" i="6"/>
  <c r="T9" i="6" a="1"/>
  <c r="T9" i="6" s="1"/>
  <c r="N56" i="6"/>
  <c r="N6" i="6"/>
  <c r="L22" i="6" a="1"/>
  <c r="L22" i="6" s="1"/>
  <c r="K22" i="6" a="1"/>
  <c r="K22" i="6" s="1"/>
  <c r="L19" i="6" a="1"/>
  <c r="L19" i="6" s="1"/>
  <c r="J20" i="6"/>
  <c r="K19" i="6" a="1"/>
  <c r="K19" i="6" s="1"/>
  <c r="N28" i="6"/>
  <c r="L59" i="6" a="1"/>
  <c r="L59" i="6" s="1"/>
  <c r="K59" i="6" a="1"/>
  <c r="K59" i="6" s="1"/>
  <c r="AF11" i="2"/>
  <c r="AF17" i="2"/>
  <c r="AF13" i="2"/>
  <c r="AF15" i="2"/>
  <c r="AF24" i="2"/>
  <c r="AF12" i="2"/>
  <c r="AF22" i="2"/>
  <c r="AF26" i="2"/>
  <c r="AF28" i="2"/>
  <c r="AF19" i="2"/>
  <c r="AF18" i="2"/>
  <c r="AF29" i="2"/>
  <c r="AF14" i="2"/>
  <c r="AF21" i="2"/>
  <c r="AF27" i="2"/>
  <c r="AF23" i="2"/>
  <c r="AF25" i="2"/>
  <c r="AF20" i="2"/>
  <c r="AF16" i="2"/>
  <c r="AF30" i="2"/>
  <c r="N9" i="6"/>
  <c r="L29" i="6" a="1"/>
  <c r="L29" i="6" s="1"/>
  <c r="K29" i="6" a="1"/>
  <c r="K29" i="6" s="1"/>
  <c r="J30" i="6"/>
  <c r="L24" i="6" a="1"/>
  <c r="L24" i="6" s="1"/>
  <c r="K24" i="6" a="1"/>
  <c r="K24" i="6" s="1"/>
  <c r="L10" i="6" a="1"/>
  <c r="L10" i="6" s="1"/>
  <c r="K10" i="6" a="1"/>
  <c r="K10" i="6" s="1"/>
  <c r="N7" i="6"/>
  <c r="L3" i="6" a="1"/>
  <c r="L3" i="6" s="1"/>
  <c r="K3" i="6" a="1"/>
  <c r="K3" i="6" s="1"/>
  <c r="J4" i="6"/>
  <c r="K33" i="6" a="1"/>
  <c r="K33" i="6" s="1"/>
  <c r="L33" i="6" a="1"/>
  <c r="L33" i="6" s="1"/>
  <c r="K36" i="6" a="1"/>
  <c r="K36" i="6" s="1"/>
  <c r="J37" i="6"/>
  <c r="L36" i="6" a="1"/>
  <c r="L36" i="6" s="1"/>
  <c r="L14" i="6" a="1"/>
  <c r="L14" i="6" s="1"/>
  <c r="J15" i="6"/>
  <c r="K14" i="6" a="1"/>
  <c r="K14" i="6" s="1"/>
  <c r="N26" i="6"/>
  <c r="N34" i="6" l="1"/>
  <c r="N55" i="6"/>
  <c r="J62" i="6"/>
  <c r="K61" i="6" a="1"/>
  <c r="K61" i="6" s="1"/>
  <c r="N61" i="6" s="1"/>
  <c r="L35" i="6" a="1"/>
  <c r="L35" i="6" s="1"/>
  <c r="K35" i="6" a="1"/>
  <c r="K35" i="6" s="1"/>
  <c r="N22" i="6"/>
  <c r="N33" i="6"/>
  <c r="N36" i="6"/>
  <c r="U9" i="6"/>
  <c r="V9" i="6"/>
  <c r="N10" i="6"/>
  <c r="N59" i="6"/>
  <c r="T10" i="6" a="1"/>
  <c r="T10" i="6" s="1"/>
  <c r="N14" i="6"/>
  <c r="K15" i="6" a="1"/>
  <c r="K15" i="6" s="1"/>
  <c r="L15" i="6" a="1"/>
  <c r="L15" i="6" s="1"/>
  <c r="J48" i="6"/>
  <c r="N29" i="6"/>
  <c r="AL25" i="2"/>
  <c r="AM25" i="2" s="1"/>
  <c r="AN25" i="2" s="1"/>
  <c r="AO25" i="2" s="1"/>
  <c r="AP25" i="2" s="1"/>
  <c r="AQ25" i="2" s="1"/>
  <c r="AR25" i="2" s="1"/>
  <c r="AS25" i="2" s="1"/>
  <c r="AT25" i="2" s="1"/>
  <c r="AU25" i="2" s="1"/>
  <c r="AH25" i="2"/>
  <c r="AG25" i="2"/>
  <c r="AJ25" i="2"/>
  <c r="AI25" i="2"/>
  <c r="AK25" i="2"/>
  <c r="AJ28" i="2"/>
  <c r="AH28" i="2"/>
  <c r="AL28" i="2"/>
  <c r="AM28" i="2" s="1"/>
  <c r="AN28" i="2" s="1"/>
  <c r="AO28" i="2" s="1"/>
  <c r="AP28" i="2" s="1"/>
  <c r="AQ28" i="2" s="1"/>
  <c r="AR28" i="2" s="1"/>
  <c r="AS28" i="2" s="1"/>
  <c r="AT28" i="2" s="1"/>
  <c r="AU28" i="2" s="1"/>
  <c r="AG28" i="2"/>
  <c r="AK28" i="2"/>
  <c r="AI28" i="2"/>
  <c r="AG11" i="2"/>
  <c r="AK11" i="2"/>
  <c r="K62" i="6" a="1"/>
  <c r="K62" i="6" s="1"/>
  <c r="J63" i="6"/>
  <c r="L62" i="6" a="1"/>
  <c r="L62" i="6" s="1"/>
  <c r="AJ23" i="2"/>
  <c r="AL23" i="2"/>
  <c r="AM23" i="2" s="1"/>
  <c r="AN23" i="2" s="1"/>
  <c r="AO23" i="2" s="1"/>
  <c r="AP23" i="2" s="1"/>
  <c r="AQ23" i="2" s="1"/>
  <c r="AR23" i="2" s="1"/>
  <c r="AS23" i="2" s="1"/>
  <c r="AT23" i="2" s="1"/>
  <c r="AU23" i="2" s="1"/>
  <c r="AG23" i="2"/>
  <c r="AH23" i="2"/>
  <c r="AK23" i="2"/>
  <c r="AI23" i="2"/>
  <c r="AL26" i="2"/>
  <c r="AM26" i="2" s="1"/>
  <c r="AN26" i="2" s="1"/>
  <c r="AO26" i="2" s="1"/>
  <c r="AP26" i="2" s="1"/>
  <c r="AQ26" i="2" s="1"/>
  <c r="AR26" i="2" s="1"/>
  <c r="AS26" i="2" s="1"/>
  <c r="AT26" i="2" s="1"/>
  <c r="AU26" i="2" s="1"/>
  <c r="AG26" i="2"/>
  <c r="AH26" i="2"/>
  <c r="AK26" i="2"/>
  <c r="AJ26" i="2"/>
  <c r="AI26" i="2"/>
  <c r="L4" i="6" a="1"/>
  <c r="L4" i="6" s="1"/>
  <c r="K4" i="6" a="1"/>
  <c r="K4" i="6" s="1"/>
  <c r="AG27" i="2"/>
  <c r="AI27" i="2"/>
  <c r="AJ27" i="2"/>
  <c r="AH27" i="2"/>
  <c r="AK27" i="2"/>
  <c r="AL27" i="2"/>
  <c r="AM27" i="2" s="1"/>
  <c r="AN27" i="2" s="1"/>
  <c r="AO27" i="2" s="1"/>
  <c r="AP27" i="2" s="1"/>
  <c r="AQ27" i="2" s="1"/>
  <c r="AR27" i="2" s="1"/>
  <c r="AS27" i="2" s="1"/>
  <c r="AT27" i="2" s="1"/>
  <c r="AU27" i="2" s="1"/>
  <c r="AH22" i="2"/>
  <c r="AI22" i="2"/>
  <c r="AK22" i="2"/>
  <c r="AG22" i="2"/>
  <c r="AJ22" i="2"/>
  <c r="AL22" i="2"/>
  <c r="AM22" i="2" s="1"/>
  <c r="AN22" i="2" s="1"/>
  <c r="AO22" i="2" s="1"/>
  <c r="AP22" i="2" s="1"/>
  <c r="AQ22" i="2" s="1"/>
  <c r="AR22" i="2" s="1"/>
  <c r="AS22" i="2" s="1"/>
  <c r="AT22" i="2" s="1"/>
  <c r="AU22" i="2" s="1"/>
  <c r="N19" i="6"/>
  <c r="K37" i="6" a="1"/>
  <c r="K37" i="6" s="1"/>
  <c r="L37" i="6" a="1"/>
  <c r="L37" i="6" s="1"/>
  <c r="J38" i="6"/>
  <c r="J39" i="6" s="1"/>
  <c r="N3" i="6"/>
  <c r="AJ21" i="2"/>
  <c r="AI21" i="2"/>
  <c r="AG21" i="2"/>
  <c r="AH21" i="2"/>
  <c r="AL21" i="2"/>
  <c r="AM21" i="2" s="1"/>
  <c r="AN21" i="2" s="1"/>
  <c r="AO21" i="2" s="1"/>
  <c r="AP21" i="2" s="1"/>
  <c r="AQ21" i="2" s="1"/>
  <c r="AR21" i="2" s="1"/>
  <c r="AS21" i="2" s="1"/>
  <c r="AT21" i="2" s="1"/>
  <c r="AU21" i="2" s="1"/>
  <c r="AK21" i="2"/>
  <c r="AG12" i="2"/>
  <c r="AK12" i="2"/>
  <c r="L20" i="6" a="1"/>
  <c r="L20" i="6" s="1"/>
  <c r="K20" i="6" a="1"/>
  <c r="K20" i="6" s="1"/>
  <c r="N24" i="6"/>
  <c r="AG14" i="2"/>
  <c r="AK14" i="2"/>
  <c r="AI24" i="2"/>
  <c r="AJ24" i="2"/>
  <c r="AL24" i="2"/>
  <c r="AM24" i="2" s="1"/>
  <c r="AN24" i="2" s="1"/>
  <c r="AO24" i="2" s="1"/>
  <c r="AP24" i="2" s="1"/>
  <c r="AQ24" i="2" s="1"/>
  <c r="AR24" i="2" s="1"/>
  <c r="AS24" i="2" s="1"/>
  <c r="AT24" i="2" s="1"/>
  <c r="AU24" i="2" s="1"/>
  <c r="AH24" i="2"/>
  <c r="AK24" i="2"/>
  <c r="AG24" i="2"/>
  <c r="AJ30" i="2"/>
  <c r="AK30" i="2"/>
  <c r="AG30" i="2"/>
  <c r="AI30" i="2"/>
  <c r="AL30" i="2"/>
  <c r="AM30" i="2" s="1"/>
  <c r="AN30" i="2" s="1"/>
  <c r="AO30" i="2" s="1"/>
  <c r="AP30" i="2" s="1"/>
  <c r="AQ30" i="2" s="1"/>
  <c r="AR30" i="2" s="1"/>
  <c r="AS30" i="2" s="1"/>
  <c r="AT30" i="2" s="1"/>
  <c r="AU30" i="2" s="1"/>
  <c r="AH30" i="2"/>
  <c r="AG29" i="2"/>
  <c r="AL29" i="2"/>
  <c r="AM29" i="2" s="1"/>
  <c r="AN29" i="2" s="1"/>
  <c r="AO29" i="2" s="1"/>
  <c r="AP29" i="2" s="1"/>
  <c r="AQ29" i="2" s="1"/>
  <c r="AR29" i="2" s="1"/>
  <c r="AS29" i="2" s="1"/>
  <c r="AT29" i="2" s="1"/>
  <c r="AU29" i="2" s="1"/>
  <c r="AK29" i="2"/>
  <c r="AH29" i="2"/>
  <c r="AI29" i="2"/>
  <c r="AJ29" i="2"/>
  <c r="AG15" i="2"/>
  <c r="AK15" i="2"/>
  <c r="AK16" i="2"/>
  <c r="AG16" i="2"/>
  <c r="AK18" i="2"/>
  <c r="AJ18" i="2"/>
  <c r="AI18" i="2"/>
  <c r="AG18" i="2"/>
  <c r="AL18" i="2"/>
  <c r="AM18" i="2" s="1"/>
  <c r="AN18" i="2" s="1"/>
  <c r="AO18" i="2" s="1"/>
  <c r="AP18" i="2" s="1"/>
  <c r="AQ18" i="2" s="1"/>
  <c r="AR18" i="2" s="1"/>
  <c r="AS18" i="2" s="1"/>
  <c r="AT18" i="2" s="1"/>
  <c r="AU18" i="2" s="1"/>
  <c r="AH18" i="2"/>
  <c r="AK13" i="2"/>
  <c r="AG13" i="2"/>
  <c r="K30" i="6" a="1"/>
  <c r="K30" i="6" s="1"/>
  <c r="L30" i="6" a="1"/>
  <c r="L30" i="6" s="1"/>
  <c r="J31" i="6"/>
  <c r="AL20" i="2"/>
  <c r="AM20" i="2" s="1"/>
  <c r="AN20" i="2" s="1"/>
  <c r="AO20" i="2" s="1"/>
  <c r="AP20" i="2" s="1"/>
  <c r="AQ20" i="2" s="1"/>
  <c r="AR20" i="2" s="1"/>
  <c r="AS20" i="2" s="1"/>
  <c r="AT20" i="2" s="1"/>
  <c r="AU20" i="2" s="1"/>
  <c r="AG20" i="2"/>
  <c r="AH20" i="2"/>
  <c r="AJ20" i="2"/>
  <c r="AI20" i="2"/>
  <c r="AK20" i="2"/>
  <c r="AH19" i="2"/>
  <c r="AJ19" i="2"/>
  <c r="AK19" i="2"/>
  <c r="AL19" i="2"/>
  <c r="AM19" i="2" s="1"/>
  <c r="AN19" i="2" s="1"/>
  <c r="AO19" i="2" s="1"/>
  <c r="AP19" i="2" s="1"/>
  <c r="AQ19" i="2" s="1"/>
  <c r="AR19" i="2" s="1"/>
  <c r="AS19" i="2" s="1"/>
  <c r="AT19" i="2" s="1"/>
  <c r="AU19" i="2" s="1"/>
  <c r="AG19" i="2"/>
  <c r="AI19" i="2"/>
  <c r="AK17" i="2"/>
  <c r="AG17" i="2"/>
  <c r="N35" i="6" l="1"/>
  <c r="J40" i="6"/>
  <c r="K39" i="6" a="1"/>
  <c r="K39" i="6" s="1"/>
  <c r="L39" i="6" a="1"/>
  <c r="L39" i="6" s="1"/>
  <c r="N62" i="6"/>
  <c r="N4" i="6"/>
  <c r="U10" i="6"/>
  <c r="V10" i="6"/>
  <c r="T11" i="6" a="1"/>
  <c r="T11" i="6" s="1"/>
  <c r="L48" i="6" a="1"/>
  <c r="L48" i="6" s="1"/>
  <c r="K48" i="6" a="1"/>
  <c r="K48" i="6" s="1"/>
  <c r="J49" i="6"/>
  <c r="N15" i="6"/>
  <c r="N37" i="6"/>
  <c r="N20" i="6"/>
  <c r="L63" i="6" a="1"/>
  <c r="L63" i="6" s="1"/>
  <c r="J64" i="6"/>
  <c r="K63" i="6" a="1"/>
  <c r="K63" i="6" s="1"/>
  <c r="N30" i="6"/>
  <c r="U11" i="2" a="1"/>
  <c r="K38" i="6" a="1"/>
  <c r="K38" i="6" s="1"/>
  <c r="L38" i="6" a="1"/>
  <c r="L38" i="6" s="1"/>
  <c r="K31" i="6" a="1"/>
  <c r="K31" i="6" s="1"/>
  <c r="L31" i="6" a="1"/>
  <c r="L31" i="6" s="1"/>
  <c r="N63" i="6" l="1"/>
  <c r="N39" i="6"/>
  <c r="J41" i="6"/>
  <c r="K40" i="6" a="1"/>
  <c r="K40" i="6" s="1"/>
  <c r="L40" i="6" a="1"/>
  <c r="L40" i="6" s="1"/>
  <c r="N38" i="6"/>
  <c r="N48" i="6"/>
  <c r="T12" i="6" a="1"/>
  <c r="T12" i="6" s="1"/>
  <c r="V11" i="6"/>
  <c r="U11" i="6"/>
  <c r="J65" i="6"/>
  <c r="K64" i="6" a="1"/>
  <c r="K64" i="6" s="1"/>
  <c r="L64" i="6" a="1"/>
  <c r="L64" i="6" s="1"/>
  <c r="L49" i="6" a="1"/>
  <c r="L49" i="6" s="1"/>
  <c r="J50" i="6"/>
  <c r="J51" i="6" s="1"/>
  <c r="J52" i="6" s="1"/>
  <c r="J53" i="6" s="1"/>
  <c r="K49" i="6" a="1"/>
  <c r="K49" i="6" s="1"/>
  <c r="E11" i="2" a="1"/>
  <c r="N31" i="6"/>
  <c r="N64" i="6" l="1"/>
  <c r="J54" i="6"/>
  <c r="L53" i="6" a="1"/>
  <c r="L53" i="6" s="1"/>
  <c r="K53" i="6" a="1"/>
  <c r="K53" i="6" s="1"/>
  <c r="N40" i="6"/>
  <c r="J42" i="6"/>
  <c r="L41" i="6" a="1"/>
  <c r="L41" i="6" s="1"/>
  <c r="K41" i="6" a="1"/>
  <c r="K41" i="6" s="1"/>
  <c r="K52" i="6" a="1"/>
  <c r="K52" i="6" s="1"/>
  <c r="L52" i="6" a="1"/>
  <c r="L52" i="6" s="1"/>
  <c r="K51" i="6" a="1"/>
  <c r="K51" i="6" s="1"/>
  <c r="L51" i="6" a="1"/>
  <c r="L51" i="6" s="1"/>
  <c r="N49" i="6"/>
  <c r="U12" i="6"/>
  <c r="V12" i="6"/>
  <c r="T13" i="6" a="1"/>
  <c r="T13" i="6" s="1"/>
  <c r="J66" i="6"/>
  <c r="L65" i="6" a="1"/>
  <c r="L65" i="6" s="1"/>
  <c r="K65" i="6" a="1"/>
  <c r="K65" i="6" s="1"/>
  <c r="N65" i="6" s="1"/>
  <c r="K50" i="6" a="1"/>
  <c r="K50" i="6" s="1"/>
  <c r="L50" i="6" a="1"/>
  <c r="L50" i="6" s="1"/>
  <c r="N53" i="6" l="1"/>
  <c r="K54" i="6" a="1"/>
  <c r="K54" i="6" s="1"/>
  <c r="L54" i="6" a="1"/>
  <c r="L54" i="6" s="1"/>
  <c r="N52" i="6"/>
  <c r="N41" i="6"/>
  <c r="J43" i="6"/>
  <c r="L42" i="6" a="1"/>
  <c r="L42" i="6" s="1"/>
  <c r="K42" i="6" a="1"/>
  <c r="K42" i="6" s="1"/>
  <c r="N51" i="6"/>
  <c r="V13" i="6"/>
  <c r="U13" i="6"/>
  <c r="N50" i="6"/>
  <c r="T14" i="6" a="1"/>
  <c r="T14" i="6" s="1"/>
  <c r="K66" i="6" a="1"/>
  <c r="K66" i="6" s="1"/>
  <c r="N66" i="6" s="1"/>
  <c r="J67" i="6"/>
  <c r="L66" i="6" a="1"/>
  <c r="L66" i="6" s="1"/>
  <c r="N42" i="6" l="1"/>
  <c r="N54" i="6"/>
  <c r="J44" i="6"/>
  <c r="L43" i="6" a="1"/>
  <c r="L43" i="6" s="1"/>
  <c r="K43" i="6" a="1"/>
  <c r="K43" i="6" s="1"/>
  <c r="U14" i="6"/>
  <c r="V14" i="6"/>
  <c r="T15" i="6" a="1"/>
  <c r="T15" i="6" s="1"/>
  <c r="L67" i="6" a="1"/>
  <c r="L67" i="6" s="1"/>
  <c r="J68" i="6"/>
  <c r="K67" i="6" a="1"/>
  <c r="K67" i="6" s="1"/>
  <c r="N67" i="6" s="1"/>
  <c r="N43" i="6" l="1"/>
  <c r="J45" i="6"/>
  <c r="L44" i="6" a="1"/>
  <c r="L44" i="6" s="1"/>
  <c r="K44" i="6" a="1"/>
  <c r="K44" i="6" s="1"/>
  <c r="U15" i="6"/>
  <c r="V15" i="6"/>
  <c r="T16" i="6" a="1"/>
  <c r="T16" i="6" s="1"/>
  <c r="K68" i="6" a="1"/>
  <c r="K68" i="6" s="1"/>
  <c r="N68" i="6" s="1"/>
  <c r="J69" i="6"/>
  <c r="L68" i="6" a="1"/>
  <c r="L68" i="6" s="1"/>
  <c r="N44" i="6" l="1"/>
  <c r="L45" i="6" a="1"/>
  <c r="L45" i="6" s="1"/>
  <c r="J46" i="6"/>
  <c r="J47" i="6" s="1"/>
  <c r="K45" i="6" a="1"/>
  <c r="K45" i="6" s="1"/>
  <c r="V16" i="6"/>
  <c r="U16" i="6"/>
  <c r="T17" i="6" a="1"/>
  <c r="T17" i="6" s="1"/>
  <c r="J70" i="6"/>
  <c r="K69" i="6" a="1"/>
  <c r="K69" i="6" s="1"/>
  <c r="N69" i="6" s="1"/>
  <c r="L69" i="6" a="1"/>
  <c r="L69" i="6" s="1"/>
  <c r="N45" i="6" l="1"/>
  <c r="K47" i="6" a="1"/>
  <c r="K47" i="6" s="1"/>
  <c r="L47" i="6" a="1"/>
  <c r="L47" i="6" s="1"/>
  <c r="L46" i="6" a="1"/>
  <c r="L46" i="6" s="1"/>
  <c r="K46" i="6" a="1"/>
  <c r="K46" i="6" s="1"/>
  <c r="U17" i="6"/>
  <c r="V17" i="6"/>
  <c r="T18" i="6" a="1"/>
  <c r="T18" i="6" s="1"/>
  <c r="T19" i="6" s="1" a="1"/>
  <c r="T19" i="6" s="1"/>
  <c r="K70" i="6" a="1"/>
  <c r="K70" i="6" s="1"/>
  <c r="N70" i="6" s="1"/>
  <c r="L70" i="6" a="1"/>
  <c r="L70" i="6" s="1"/>
  <c r="J71" i="6"/>
  <c r="N46" i="6" l="1"/>
  <c r="N47" i="6"/>
  <c r="V19" i="6"/>
  <c r="U19" i="6"/>
  <c r="T20" i="6" a="1"/>
  <c r="T20" i="6" s="1"/>
  <c r="V18" i="6"/>
  <c r="U18" i="6"/>
  <c r="L71" i="6" a="1"/>
  <c r="L71" i="6" s="1"/>
  <c r="J72" i="6"/>
  <c r="K71" i="6" a="1"/>
  <c r="K71" i="6" s="1"/>
  <c r="N71" i="6" s="1"/>
  <c r="T21" i="6" l="1" a="1"/>
  <c r="T21" i="6" s="1"/>
  <c r="V20" i="6"/>
  <c r="U20" i="6"/>
  <c r="K72" i="6" a="1"/>
  <c r="K72" i="6" s="1"/>
  <c r="N72" i="6" s="1"/>
  <c r="J73" i="6"/>
  <c r="L72" i="6" a="1"/>
  <c r="L72" i="6" s="1"/>
  <c r="V21" i="6" l="1"/>
  <c r="U21" i="6"/>
  <c r="T22" i="6" a="1"/>
  <c r="T22" i="6" s="1"/>
  <c r="T23" i="6" s="1" a="1"/>
  <c r="T23" i="6" s="1"/>
  <c r="J74" i="6"/>
  <c r="K73" i="6" a="1"/>
  <c r="K73" i="6" s="1"/>
  <c r="N73" i="6" s="1"/>
  <c r="L73" i="6" a="1"/>
  <c r="L73" i="6" s="1"/>
  <c r="V23" i="6" l="1"/>
  <c r="U23" i="6"/>
  <c r="V22" i="6"/>
  <c r="U22" i="6"/>
  <c r="T24" i="6" a="1"/>
  <c r="T24" i="6" s="1"/>
  <c r="L74" i="6" a="1"/>
  <c r="L74" i="6" s="1"/>
  <c r="K74" i="6" a="1"/>
  <c r="K74" i="6" s="1"/>
  <c r="N74" i="6" s="1"/>
  <c r="J75" i="6"/>
  <c r="U24" i="6" l="1"/>
  <c r="V24" i="6"/>
  <c r="T25" i="6" a="1"/>
  <c r="T25" i="6" s="1"/>
  <c r="T26" i="6" s="1" a="1"/>
  <c r="T26" i="6" s="1"/>
  <c r="K75" i="6" a="1"/>
  <c r="K75" i="6" s="1"/>
  <c r="N75" i="6" s="1"/>
  <c r="L75" i="6" a="1"/>
  <c r="L75" i="6" s="1"/>
  <c r="J76" i="6"/>
  <c r="V26" i="6" l="1"/>
  <c r="U26" i="6"/>
  <c r="V25" i="6"/>
  <c r="U25" i="6"/>
  <c r="T27" i="6" a="1"/>
  <c r="T27" i="6" s="1"/>
  <c r="L76" i="6" a="1"/>
  <c r="L76" i="6" s="1"/>
  <c r="K76" i="6" a="1"/>
  <c r="K76" i="6" s="1"/>
  <c r="N76" i="6" s="1"/>
  <c r="J77" i="6"/>
  <c r="T28" i="6" l="1" a="1"/>
  <c r="T28" i="6" s="1"/>
  <c r="V27" i="6"/>
  <c r="U27" i="6"/>
  <c r="L77" i="6" a="1"/>
  <c r="L77" i="6" s="1"/>
  <c r="J78" i="6"/>
  <c r="K77" i="6" a="1"/>
  <c r="K77" i="6" s="1"/>
  <c r="N77" i="6" s="1"/>
  <c r="U28" i="6" l="1"/>
  <c r="V28" i="6"/>
  <c r="T29" i="6" a="1"/>
  <c r="T29" i="6" s="1"/>
  <c r="T30" i="6" s="1" a="1"/>
  <c r="T30" i="6" s="1"/>
  <c r="L78" i="6" a="1"/>
  <c r="L78" i="6" s="1"/>
  <c r="K78" i="6" a="1"/>
  <c r="K78" i="6" s="1"/>
  <c r="N78" i="6" s="1"/>
  <c r="J79" i="6"/>
  <c r="V30" i="6" l="1"/>
  <c r="U30" i="6"/>
  <c r="U29" i="6"/>
  <c r="V29" i="6"/>
  <c r="T31" i="6" a="1"/>
  <c r="T31" i="6" s="1"/>
  <c r="J80" i="6"/>
  <c r="K79" i="6" a="1"/>
  <c r="K79" i="6" s="1"/>
  <c r="N79" i="6" s="1"/>
  <c r="L79" i="6" a="1"/>
  <c r="L79" i="6" s="1"/>
  <c r="V31" i="6" l="1"/>
  <c r="U31" i="6"/>
  <c r="T32" i="6" a="1"/>
  <c r="T32" i="6" s="1"/>
  <c r="K80" i="6" a="1"/>
  <c r="K80" i="6" s="1"/>
  <c r="N80" i="6" s="1"/>
  <c r="J81" i="6"/>
  <c r="L80" i="6" a="1"/>
  <c r="L80" i="6" s="1"/>
  <c r="V32" i="6" l="1"/>
  <c r="U32" i="6"/>
  <c r="T33" i="6" a="1"/>
  <c r="T33" i="6" s="1"/>
  <c r="L81" i="6" a="1"/>
  <c r="L81" i="6" s="1"/>
  <c r="J82" i="6"/>
  <c r="K81" i="6" a="1"/>
  <c r="K81" i="6" s="1"/>
  <c r="N81" i="6" s="1"/>
  <c r="U33" i="6" l="1"/>
  <c r="V33" i="6"/>
  <c r="T34" i="6" a="1"/>
  <c r="T34" i="6" s="1"/>
  <c r="T35" i="6" s="1" a="1"/>
  <c r="T35" i="6" s="1"/>
  <c r="J83" i="6"/>
  <c r="L82" i="6" a="1"/>
  <c r="L82" i="6" s="1"/>
  <c r="K82" i="6" a="1"/>
  <c r="K82" i="6" s="1"/>
  <c r="N82" i="6" s="1"/>
  <c r="V35" i="6" l="1"/>
  <c r="U35" i="6"/>
  <c r="T36" i="6" a="1"/>
  <c r="T36" i="6" s="1"/>
  <c r="V36" i="6" s="1"/>
  <c r="U34" i="6"/>
  <c r="V34" i="6"/>
  <c r="J84" i="6"/>
  <c r="K83" i="6" a="1"/>
  <c r="K83" i="6" s="1"/>
  <c r="N83" i="6" s="1"/>
  <c r="L83" i="6" a="1"/>
  <c r="L83" i="6" s="1"/>
  <c r="T37" i="6" l="1" a="1"/>
  <c r="T37" i="6" s="1"/>
  <c r="V37" i="6" s="1"/>
  <c r="U36" i="6"/>
  <c r="K84" i="6" a="1"/>
  <c r="K84" i="6" s="1"/>
  <c r="N84" i="6" s="1"/>
  <c r="J85" i="6"/>
  <c r="L84" i="6" a="1"/>
  <c r="L84" i="6" s="1"/>
  <c r="U37" i="6" l="1"/>
  <c r="T38" i="6" a="1"/>
  <c r="T38" i="6" s="1"/>
  <c r="U38" i="6" s="1"/>
  <c r="L85" i="6" a="1"/>
  <c r="L85" i="6" s="1"/>
  <c r="K85" i="6" a="1"/>
  <c r="K85" i="6" s="1"/>
  <c r="N85" i="6" s="1"/>
  <c r="J86" i="6"/>
  <c r="V38" i="6" l="1"/>
  <c r="T39" i="6" a="1"/>
  <c r="T39" i="6" s="1"/>
  <c r="U39" i="6" s="1"/>
  <c r="L86" i="6" a="1"/>
  <c r="L86" i="6" s="1"/>
  <c r="K86" i="6" a="1"/>
  <c r="K86" i="6" s="1"/>
  <c r="N86" i="6" s="1"/>
  <c r="J87" i="6"/>
  <c r="T40" i="6" l="1" a="1"/>
  <c r="T40" i="6" s="1"/>
  <c r="V40" i="6" s="1"/>
  <c r="V39" i="6"/>
  <c r="J88" i="6"/>
  <c r="L87" i="6" a="1"/>
  <c r="L87" i="6" s="1"/>
  <c r="K87" i="6" a="1"/>
  <c r="K87" i="6" s="1"/>
  <c r="N87" i="6" s="1"/>
  <c r="T41" i="6" l="1" a="1"/>
  <c r="T41" i="6" s="1"/>
  <c r="V41" i="6" s="1"/>
  <c r="U40" i="6"/>
  <c r="J89" i="6"/>
  <c r="K88" i="6" a="1"/>
  <c r="K88" i="6" s="1"/>
  <c r="N88" i="6" s="1"/>
  <c r="L88" i="6" a="1"/>
  <c r="L88" i="6" s="1"/>
  <c r="T42" i="6" l="1" a="1"/>
  <c r="T42" i="6" s="1"/>
  <c r="V42" i="6" s="1"/>
  <c r="U41" i="6"/>
  <c r="K89" i="6" a="1"/>
  <c r="K89" i="6" s="1"/>
  <c r="N89" i="6" s="1"/>
  <c r="J90" i="6"/>
  <c r="L89" i="6" a="1"/>
  <c r="L89" i="6" s="1"/>
  <c r="T43" i="6" l="1" a="1"/>
  <c r="T43" i="6" s="1"/>
  <c r="V43" i="6" s="1"/>
  <c r="U42" i="6"/>
  <c r="J91" i="6"/>
  <c r="K90" i="6" a="1"/>
  <c r="K90" i="6" s="1"/>
  <c r="N90" i="6" s="1"/>
  <c r="L90" i="6" a="1"/>
  <c r="L90" i="6" s="1"/>
  <c r="T44" i="6" l="1" a="1"/>
  <c r="T44" i="6" s="1"/>
  <c r="U44" i="6" s="1"/>
  <c r="U43" i="6"/>
  <c r="J92" i="6"/>
  <c r="L91" i="6" a="1"/>
  <c r="L91" i="6" s="1"/>
  <c r="K91" i="6" a="1"/>
  <c r="K91" i="6" s="1"/>
  <c r="N91" i="6" s="1"/>
  <c r="T45" i="6" l="1" a="1"/>
  <c r="T45" i="6" s="1"/>
  <c r="V45" i="6" s="1"/>
  <c r="V44" i="6"/>
  <c r="K92" i="6" a="1"/>
  <c r="K92" i="6" s="1"/>
  <c r="N92" i="6" s="1"/>
  <c r="L92" i="6" a="1"/>
  <c r="L92" i="6" s="1"/>
  <c r="J93" i="6"/>
  <c r="T46" i="6" l="1" a="1"/>
  <c r="T46" i="6" s="1"/>
  <c r="V46" i="6" s="1"/>
  <c r="U45" i="6"/>
  <c r="J94" i="6"/>
  <c r="K93" i="6" a="1"/>
  <c r="K93" i="6" s="1"/>
  <c r="N93" i="6" s="1"/>
  <c r="L93" i="6" a="1"/>
  <c r="L93" i="6" s="1"/>
  <c r="T47" i="6" l="1" a="1"/>
  <c r="T47" i="6" s="1"/>
  <c r="V47" i="6" s="1"/>
  <c r="U46" i="6"/>
  <c r="K94" i="6" a="1"/>
  <c r="K94" i="6" s="1"/>
  <c r="N94" i="6" s="1"/>
  <c r="L94" i="6" a="1"/>
  <c r="L94" i="6" s="1"/>
  <c r="J95" i="6"/>
  <c r="T48" i="6" l="1" a="1"/>
  <c r="T48" i="6" s="1"/>
  <c r="U48" i="6" s="1"/>
  <c r="U47" i="6"/>
  <c r="J96" i="6"/>
  <c r="L95" i="6" a="1"/>
  <c r="L95" i="6" s="1"/>
  <c r="K95" i="6" a="1"/>
  <c r="K95" i="6" s="1"/>
  <c r="N95" i="6" s="1"/>
  <c r="T49" i="6" l="1" a="1"/>
  <c r="T49" i="6" s="1"/>
  <c r="V49" i="6" s="1"/>
  <c r="V48" i="6"/>
  <c r="K96" i="6" a="1"/>
  <c r="K96" i="6" s="1"/>
  <c r="N96" i="6" s="1"/>
  <c r="L96" i="6" a="1"/>
  <c r="L96" i="6" s="1"/>
  <c r="J97" i="6"/>
  <c r="U49" i="6" l="1"/>
  <c r="T50" i="6" a="1"/>
  <c r="T50" i="6" s="1"/>
  <c r="U50" i="6" s="1"/>
  <c r="J98" i="6"/>
  <c r="L97" i="6" a="1"/>
  <c r="L97" i="6" s="1"/>
  <c r="K97" i="6" a="1"/>
  <c r="K97" i="6" s="1"/>
  <c r="N97" i="6" s="1"/>
  <c r="V50" i="6" l="1"/>
  <c r="T51" i="6" a="1"/>
  <c r="T51" i="6" s="1"/>
  <c r="V51" i="6" s="1"/>
  <c r="L98" i="6" a="1"/>
  <c r="L98" i="6" s="1"/>
  <c r="J99" i="6"/>
  <c r="K98" i="6" a="1"/>
  <c r="K98" i="6" s="1"/>
  <c r="N98" i="6" s="1"/>
  <c r="T52" i="6" l="1" a="1"/>
  <c r="T52" i="6" s="1"/>
  <c r="U52" i="6" s="1"/>
  <c r="U51" i="6"/>
  <c r="L99" i="6" a="1"/>
  <c r="L99" i="6" s="1"/>
  <c r="K99" i="6" a="1"/>
  <c r="K99" i="6" s="1"/>
  <c r="N99" i="6" s="1"/>
  <c r="J100" i="6"/>
  <c r="T53" i="6" l="1" a="1"/>
  <c r="T53" i="6" s="1"/>
  <c r="V53" i="6" s="1"/>
  <c r="V52" i="6"/>
  <c r="J101" i="6"/>
  <c r="K100" i="6" a="1"/>
  <c r="K100" i="6" s="1"/>
  <c r="N100" i="6" s="1"/>
  <c r="L100" i="6" a="1"/>
  <c r="L100" i="6" s="1"/>
  <c r="T54" i="6" l="1" a="1"/>
  <c r="T54" i="6" s="1"/>
  <c r="V54" i="6" s="1"/>
  <c r="U53" i="6"/>
  <c r="L101" i="6" a="1"/>
  <c r="L101" i="6" s="1"/>
  <c r="K101" i="6" a="1"/>
  <c r="K101" i="6" s="1"/>
  <c r="N101" i="6" s="1"/>
  <c r="J102" i="6"/>
  <c r="U54" i="6" l="1"/>
  <c r="T55" i="6" a="1"/>
  <c r="T55" i="6" s="1"/>
  <c r="U55" i="6" s="1"/>
  <c r="L102" i="6" a="1"/>
  <c r="L102" i="6" s="1"/>
  <c r="J103" i="6"/>
  <c r="K102" i="6" a="1"/>
  <c r="K102" i="6" s="1"/>
  <c r="N102" i="6" s="1"/>
  <c r="T56" i="6" l="1" a="1"/>
  <c r="T56" i="6" s="1"/>
  <c r="U56" i="6" s="1"/>
  <c r="V55" i="6"/>
  <c r="J104" i="6"/>
  <c r="L103" i="6" a="1"/>
  <c r="L103" i="6" s="1"/>
  <c r="K103" i="6" a="1"/>
  <c r="K103" i="6" s="1"/>
  <c r="N103" i="6" s="1"/>
  <c r="T57" i="6" l="1" a="1"/>
  <c r="T57" i="6" s="1"/>
  <c r="V57" i="6" s="1"/>
  <c r="V56" i="6"/>
  <c r="L104" i="6" a="1"/>
  <c r="L104" i="6" s="1"/>
  <c r="K104" i="6" a="1"/>
  <c r="K104" i="6" s="1"/>
  <c r="N104" i="6" s="1"/>
  <c r="J105" i="6"/>
  <c r="T58" i="6" l="1" a="1"/>
  <c r="T58" i="6" s="1"/>
  <c r="V58" i="6" s="1"/>
  <c r="U57" i="6"/>
  <c r="J106" i="6"/>
  <c r="L105" i="6" a="1"/>
  <c r="L105" i="6" s="1"/>
  <c r="K105" i="6" a="1"/>
  <c r="K105" i="6" s="1"/>
  <c r="N105" i="6" s="1"/>
  <c r="T59" i="6" l="1" a="1"/>
  <c r="T59" i="6" s="1"/>
  <c r="V59" i="6" s="1"/>
  <c r="U58" i="6"/>
  <c r="J107" i="6"/>
  <c r="K106" i="6" a="1"/>
  <c r="K106" i="6" s="1"/>
  <c r="N106" i="6" s="1"/>
  <c r="L106" i="6" a="1"/>
  <c r="L106" i="6" s="1"/>
  <c r="U59" i="6" l="1"/>
  <c r="T60" i="6" a="1"/>
  <c r="T60" i="6" s="1"/>
  <c r="U60" i="6" s="1"/>
  <c r="L107" i="6" a="1"/>
  <c r="L107" i="6" s="1"/>
  <c r="J108" i="6"/>
  <c r="K107" i="6" a="1"/>
  <c r="K107" i="6" s="1"/>
  <c r="N107" i="6" s="1"/>
  <c r="V60" i="6" l="1"/>
  <c r="T61" i="6" a="1"/>
  <c r="T61" i="6" s="1"/>
  <c r="V61" i="6" s="1"/>
  <c r="K108" i="6" a="1"/>
  <c r="K108" i="6" s="1"/>
  <c r="N108" i="6" s="1"/>
  <c r="L108" i="6" a="1"/>
  <c r="L108" i="6" s="1"/>
  <c r="J109" i="6"/>
  <c r="T62" i="6" l="1" a="1"/>
  <c r="T62" i="6" s="1"/>
  <c r="U62" i="6" s="1"/>
  <c r="U61" i="6"/>
  <c r="K109" i="6" a="1"/>
  <c r="K109" i="6" s="1"/>
  <c r="N109" i="6" s="1"/>
  <c r="L109" i="6" a="1"/>
  <c r="L109" i="6" s="1"/>
  <c r="J110" i="6"/>
  <c r="T63" i="6" l="1" a="1"/>
  <c r="T63" i="6" s="1"/>
  <c r="U63" i="6" s="1"/>
  <c r="V62" i="6"/>
  <c r="L110" i="6" a="1"/>
  <c r="L110" i="6" s="1"/>
  <c r="J111" i="6"/>
  <c r="K110" i="6" a="1"/>
  <c r="K110" i="6" s="1"/>
  <c r="N110" i="6" s="1"/>
  <c r="T64" i="6" l="1" a="1"/>
  <c r="T64" i="6" s="1"/>
  <c r="U64" i="6" s="1"/>
  <c r="V63" i="6"/>
  <c r="K111" i="6" a="1"/>
  <c r="K111" i="6" s="1"/>
  <c r="N111" i="6" s="1"/>
  <c r="J112" i="6"/>
  <c r="L111" i="6" a="1"/>
  <c r="L111" i="6" s="1"/>
  <c r="T65" i="6" l="1" a="1"/>
  <c r="T65" i="6" s="1"/>
  <c r="V65" i="6" s="1"/>
  <c r="V64" i="6"/>
  <c r="L112" i="6" a="1"/>
  <c r="L112" i="6" s="1"/>
  <c r="K112" i="6" a="1"/>
  <c r="K112" i="6" s="1"/>
  <c r="N112" i="6" s="1"/>
  <c r="J113" i="6"/>
  <c r="U65" i="6" l="1"/>
  <c r="T66" i="6" a="1"/>
  <c r="T66" i="6" s="1"/>
  <c r="V66" i="6" s="1"/>
  <c r="K113" i="6" a="1"/>
  <c r="K113" i="6" s="1"/>
  <c r="N113" i="6" s="1"/>
  <c r="L113" i="6" a="1"/>
  <c r="L113" i="6" s="1"/>
  <c r="J114" i="6"/>
  <c r="T67" i="6" l="1" a="1"/>
  <c r="T67" i="6" s="1"/>
  <c r="U67" i="6" s="1"/>
  <c r="U66" i="6"/>
  <c r="K114" i="6" a="1"/>
  <c r="K114" i="6" s="1"/>
  <c r="N114" i="6" s="1"/>
  <c r="J115" i="6"/>
  <c r="L114" i="6" a="1"/>
  <c r="L114" i="6" s="1"/>
  <c r="V67" i="6" l="1"/>
  <c r="T68" i="6" a="1"/>
  <c r="T68" i="6" s="1"/>
  <c r="U68" i="6" s="1"/>
  <c r="L115" i="6" a="1"/>
  <c r="L115" i="6" s="1"/>
  <c r="K115" i="6" a="1"/>
  <c r="K115" i="6" s="1"/>
  <c r="N115" i="6" s="1"/>
  <c r="J116" i="6"/>
  <c r="V68" i="6" l="1"/>
  <c r="T69" i="6" a="1"/>
  <c r="T69" i="6" s="1"/>
  <c r="V69" i="6" s="1"/>
  <c r="L116" i="6" a="1"/>
  <c r="L116" i="6" s="1"/>
  <c r="J117" i="6"/>
  <c r="K116" i="6" a="1"/>
  <c r="K116" i="6" s="1"/>
  <c r="N116" i="6" s="1"/>
  <c r="T70" i="6" l="1" a="1"/>
  <c r="T70" i="6" s="1"/>
  <c r="U70" i="6" s="1"/>
  <c r="U69" i="6"/>
  <c r="J118" i="6"/>
  <c r="K117" i="6" a="1"/>
  <c r="K117" i="6" s="1"/>
  <c r="N117" i="6" s="1"/>
  <c r="L117" i="6" a="1"/>
  <c r="L117" i="6" s="1"/>
  <c r="T71" i="6" l="1" a="1"/>
  <c r="T71" i="6" s="1"/>
  <c r="V71" i="6" s="1"/>
  <c r="V70" i="6"/>
  <c r="J119" i="6"/>
  <c r="K118" i="6" a="1"/>
  <c r="K118" i="6" s="1"/>
  <c r="N118" i="6" s="1"/>
  <c r="L118" i="6" a="1"/>
  <c r="L118" i="6" s="1"/>
  <c r="T72" i="6" l="1" a="1"/>
  <c r="T72" i="6" s="1"/>
  <c r="U72" i="6" s="1"/>
  <c r="U71" i="6"/>
  <c r="K119" i="6" a="1"/>
  <c r="K119" i="6" s="1"/>
  <c r="N119" i="6" s="1"/>
  <c r="L119" i="6" a="1"/>
  <c r="L119" i="6" s="1"/>
  <c r="J120" i="6"/>
  <c r="T73" i="6" l="1" a="1"/>
  <c r="T73" i="6" s="1"/>
  <c r="V73" i="6" s="1"/>
  <c r="V72" i="6"/>
  <c r="K120" i="6" a="1"/>
  <c r="K120" i="6" s="1"/>
  <c r="N120" i="6" s="1"/>
  <c r="L120" i="6" a="1"/>
  <c r="L120" i="6" s="1"/>
  <c r="J121" i="6"/>
  <c r="U73" i="6" l="1"/>
  <c r="T74" i="6" a="1"/>
  <c r="T74" i="6" s="1"/>
  <c r="U74" i="6" s="1"/>
  <c r="J122" i="6"/>
  <c r="L121" i="6" a="1"/>
  <c r="L121" i="6" s="1"/>
  <c r="K121" i="6" a="1"/>
  <c r="K121" i="6" s="1"/>
  <c r="N121" i="6" s="1"/>
  <c r="T75" i="6" l="1" a="1"/>
  <c r="T75" i="6" s="1"/>
  <c r="U75" i="6" s="1"/>
  <c r="V74" i="6"/>
  <c r="K122" i="6" a="1"/>
  <c r="K122" i="6" s="1"/>
  <c r="N122" i="6" s="1"/>
  <c r="L122" i="6" a="1"/>
  <c r="L122" i="6" s="1"/>
  <c r="J123" i="6"/>
  <c r="T76" i="6" l="1" a="1"/>
  <c r="T76" i="6" s="1"/>
  <c r="U76" i="6" s="1"/>
  <c r="V75" i="6"/>
  <c r="J124" i="6"/>
  <c r="L123" i="6" a="1"/>
  <c r="L123" i="6" s="1"/>
  <c r="K123" i="6" a="1"/>
  <c r="K123" i="6" s="1"/>
  <c r="N123" i="6" s="1"/>
  <c r="T77" i="6" l="1" a="1"/>
  <c r="T77" i="6" s="1"/>
  <c r="U77" i="6" s="1"/>
  <c r="V76" i="6"/>
  <c r="L124" i="6" a="1"/>
  <c r="L124" i="6" s="1"/>
  <c r="K124" i="6" a="1"/>
  <c r="K124" i="6" s="1"/>
  <c r="N124" i="6" s="1"/>
  <c r="J125" i="6"/>
  <c r="V77" i="6" l="1"/>
  <c r="T78" i="6" a="1"/>
  <c r="T78" i="6" s="1"/>
  <c r="U78" i="6" s="1"/>
  <c r="K125" i="6" a="1"/>
  <c r="K125" i="6" s="1"/>
  <c r="N125" i="6" s="1"/>
  <c r="J126" i="6"/>
  <c r="L125" i="6" a="1"/>
  <c r="L125" i="6" s="1"/>
  <c r="T79" i="6" l="1" a="1"/>
  <c r="T79" i="6" s="1"/>
  <c r="U79" i="6" s="1"/>
  <c r="V78" i="6"/>
  <c r="K126" i="6" a="1"/>
  <c r="K126" i="6" s="1"/>
  <c r="N126" i="6" s="1"/>
  <c r="L126" i="6" a="1"/>
  <c r="L126" i="6" s="1"/>
  <c r="J127" i="6"/>
  <c r="V79" i="6" l="1"/>
  <c r="T80" i="6" a="1"/>
  <c r="T80" i="6" s="1"/>
  <c r="V80" i="6" s="1"/>
  <c r="K127" i="6" a="1"/>
  <c r="K127" i="6" s="1"/>
  <c r="N127" i="6" s="1"/>
  <c r="L127" i="6" a="1"/>
  <c r="L127" i="6" s="1"/>
  <c r="J128" i="6"/>
  <c r="T81" i="6" l="1" a="1"/>
  <c r="T81" i="6" s="1"/>
  <c r="U81" i="6" s="1"/>
  <c r="U80" i="6"/>
  <c r="K128" i="6" a="1"/>
  <c r="K128" i="6" s="1"/>
  <c r="N128" i="6" s="1"/>
  <c r="L128" i="6" a="1"/>
  <c r="L128" i="6" s="1"/>
  <c r="J129" i="6"/>
  <c r="T82" i="6" l="1" a="1"/>
  <c r="T82" i="6" s="1"/>
  <c r="U82" i="6" s="1"/>
  <c r="V81" i="6"/>
  <c r="K129" i="6" a="1"/>
  <c r="K129" i="6" s="1"/>
  <c r="N129" i="6" s="1"/>
  <c r="L129" i="6" a="1"/>
  <c r="L129" i="6" s="1"/>
  <c r="J130" i="6"/>
  <c r="T83" i="6" l="1" a="1"/>
  <c r="T83" i="6" s="1"/>
  <c r="V83" i="6" s="1"/>
  <c r="V82" i="6"/>
  <c r="L130" i="6" a="1"/>
  <c r="L130" i="6" s="1"/>
  <c r="J131" i="6"/>
  <c r="K130" i="6" a="1"/>
  <c r="K130" i="6" s="1"/>
  <c r="N130" i="6" s="1"/>
  <c r="T84" i="6" l="1" a="1"/>
  <c r="T84" i="6" s="1"/>
  <c r="U84" i="6" s="1"/>
  <c r="U83" i="6"/>
  <c r="K131" i="6" a="1"/>
  <c r="K131" i="6" s="1"/>
  <c r="N131" i="6" s="1"/>
  <c r="J132" i="6"/>
  <c r="L131" i="6" a="1"/>
  <c r="L131" i="6" s="1"/>
  <c r="V84" i="6" l="1"/>
  <c r="T85" i="6" a="1"/>
  <c r="T85" i="6" s="1"/>
  <c r="U85" i="6" s="1"/>
  <c r="K132" i="6" a="1"/>
  <c r="K132" i="6" s="1"/>
  <c r="N132" i="6" s="1"/>
  <c r="J133" i="6"/>
  <c r="L132" i="6" a="1"/>
  <c r="L132" i="6" s="1"/>
  <c r="T86" i="6" l="1" a="1"/>
  <c r="T86" i="6" s="1"/>
  <c r="V86" i="6" s="1"/>
  <c r="V85" i="6"/>
  <c r="J134" i="6"/>
  <c r="K133" i="6" a="1"/>
  <c r="K133" i="6" s="1"/>
  <c r="N133" i="6" s="1"/>
  <c r="L133" i="6" a="1"/>
  <c r="L133" i="6" s="1"/>
  <c r="T87" i="6" l="1" a="1"/>
  <c r="T87" i="6" s="1"/>
  <c r="U87" i="6" s="1"/>
  <c r="U86" i="6"/>
  <c r="L134" i="6" a="1"/>
  <c r="L134" i="6" s="1"/>
  <c r="J135" i="6"/>
  <c r="K134" i="6" a="1"/>
  <c r="K134" i="6" s="1"/>
  <c r="N134" i="6" s="1"/>
  <c r="T88" i="6" l="1" a="1"/>
  <c r="T88" i="6" s="1"/>
  <c r="V88" i="6" s="1"/>
  <c r="V87" i="6"/>
  <c r="J136" i="6"/>
  <c r="K135" i="6" a="1"/>
  <c r="K135" i="6" s="1"/>
  <c r="N135" i="6" s="1"/>
  <c r="L135" i="6" a="1"/>
  <c r="L135" i="6" s="1"/>
  <c r="T89" i="6" l="1" a="1"/>
  <c r="T89" i="6" s="1"/>
  <c r="V89" i="6" s="1"/>
  <c r="U88" i="6"/>
  <c r="J137" i="6"/>
  <c r="L136" i="6" a="1"/>
  <c r="L136" i="6" s="1"/>
  <c r="K136" i="6" a="1"/>
  <c r="K136" i="6" s="1"/>
  <c r="N136" i="6" s="1"/>
  <c r="T90" i="6" l="1" a="1"/>
  <c r="T90" i="6" s="1"/>
  <c r="U90" i="6" s="1"/>
  <c r="U89" i="6"/>
  <c r="K137" i="6" a="1"/>
  <c r="K137" i="6" s="1"/>
  <c r="N137" i="6" s="1"/>
  <c r="L137" i="6" a="1"/>
  <c r="L137" i="6" s="1"/>
  <c r="J138" i="6"/>
  <c r="T91" i="6" l="1" a="1"/>
  <c r="T91" i="6" s="1"/>
  <c r="U91" i="6" s="1"/>
  <c r="V90" i="6"/>
  <c r="K138" i="6" a="1"/>
  <c r="K138" i="6" s="1"/>
  <c r="N138" i="6" s="1"/>
  <c r="L138" i="6" a="1"/>
  <c r="L138" i="6" s="1"/>
  <c r="J139" i="6"/>
  <c r="T92" i="6" l="1" a="1"/>
  <c r="T92" i="6" s="1"/>
  <c r="U92" i="6" s="1"/>
  <c r="V91" i="6"/>
  <c r="L139" i="6" a="1"/>
  <c r="L139" i="6" s="1"/>
  <c r="J140" i="6"/>
  <c r="K139" i="6" a="1"/>
  <c r="K139" i="6" s="1"/>
  <c r="N139" i="6" s="1"/>
  <c r="T93" i="6" l="1" a="1"/>
  <c r="T93" i="6" s="1"/>
  <c r="V93" i="6" s="1"/>
  <c r="V92" i="6"/>
  <c r="K140" i="6" a="1"/>
  <c r="K140" i="6" s="1"/>
  <c r="N140" i="6" s="1"/>
  <c r="J141" i="6"/>
  <c r="L140" i="6" a="1"/>
  <c r="L140" i="6" s="1"/>
  <c r="U93" i="6" l="1"/>
  <c r="T94" i="6" a="1"/>
  <c r="T94" i="6" s="1"/>
  <c r="V94" i="6" s="1"/>
  <c r="K141" i="6" a="1"/>
  <c r="K141" i="6" s="1"/>
  <c r="N141" i="6" s="1"/>
  <c r="L141" i="6" a="1"/>
  <c r="L141" i="6" s="1"/>
  <c r="J142" i="6"/>
  <c r="T95" i="6" l="1" a="1"/>
  <c r="T95" i="6" s="1"/>
  <c r="V95" i="6" s="1"/>
  <c r="U94" i="6"/>
  <c r="L142" i="6" a="1"/>
  <c r="L142" i="6" s="1"/>
  <c r="K142" i="6" a="1"/>
  <c r="K142" i="6" s="1"/>
  <c r="N142" i="6" s="1"/>
  <c r="J143" i="6"/>
  <c r="U95" i="6" l="1"/>
  <c r="T96" i="6" a="1"/>
  <c r="T96" i="6" s="1"/>
  <c r="V96" i="6" s="1"/>
  <c r="K143" i="6" a="1"/>
  <c r="K143" i="6" s="1"/>
  <c r="N143" i="6" s="1"/>
  <c r="L143" i="6" a="1"/>
  <c r="L143" i="6" s="1"/>
  <c r="J144" i="6"/>
  <c r="T97" i="6" l="1" a="1"/>
  <c r="T97" i="6" s="1"/>
  <c r="U97" i="6" s="1"/>
  <c r="U96" i="6"/>
  <c r="J145" i="6"/>
  <c r="L144" i="6" a="1"/>
  <c r="L144" i="6" s="1"/>
  <c r="K144" i="6" a="1"/>
  <c r="K144" i="6" s="1"/>
  <c r="N144" i="6" s="1"/>
  <c r="T98" i="6" l="1" a="1"/>
  <c r="T98" i="6" s="1"/>
  <c r="V98" i="6" s="1"/>
  <c r="V97" i="6"/>
  <c r="J146" i="6"/>
  <c r="L145" i="6" a="1"/>
  <c r="L145" i="6" s="1"/>
  <c r="K145" i="6" a="1"/>
  <c r="K145" i="6" s="1"/>
  <c r="N145" i="6" s="1"/>
  <c r="T99" i="6" l="1" a="1"/>
  <c r="T99" i="6" s="1"/>
  <c r="U99" i="6" s="1"/>
  <c r="U98" i="6"/>
  <c r="K146" i="6" a="1"/>
  <c r="K146" i="6" s="1"/>
  <c r="N146" i="6" s="1"/>
  <c r="J147" i="6"/>
  <c r="L146" i="6" a="1"/>
  <c r="L146" i="6" s="1"/>
  <c r="V99" i="6" l="1"/>
  <c r="T100" i="6" a="1"/>
  <c r="T100" i="6" s="1"/>
  <c r="U100" i="6" s="1"/>
  <c r="K147" i="6" a="1"/>
  <c r="K147" i="6" s="1"/>
  <c r="N147" i="6" s="1"/>
  <c r="L147" i="6" a="1"/>
  <c r="L147" i="6" s="1"/>
  <c r="J148" i="6"/>
  <c r="V100" i="6" l="1"/>
  <c r="T101" i="6" a="1"/>
  <c r="T101" i="6" s="1"/>
  <c r="V101" i="6" s="1"/>
  <c r="K148" i="6" a="1"/>
  <c r="K148" i="6" s="1"/>
  <c r="N148" i="6" s="1"/>
  <c r="J149" i="6"/>
  <c r="L148" i="6" a="1"/>
  <c r="L148" i="6" s="1"/>
  <c r="T102" i="6" l="1" a="1"/>
  <c r="T102" i="6" s="1"/>
  <c r="V102" i="6" s="1"/>
  <c r="U101" i="6"/>
  <c r="L149" i="6" a="1"/>
  <c r="L149" i="6" s="1"/>
  <c r="J150" i="6"/>
  <c r="K149" i="6" a="1"/>
  <c r="K149" i="6" s="1"/>
  <c r="N149" i="6" s="1"/>
  <c r="U102" i="6" l="1"/>
  <c r="T103" i="6" a="1"/>
  <c r="T103" i="6" s="1"/>
  <c r="U103" i="6" s="1"/>
  <c r="L150" i="6" a="1"/>
  <c r="L150" i="6" s="1"/>
  <c r="K150" i="6" a="1"/>
  <c r="K150" i="6" s="1"/>
  <c r="N150" i="6" s="1"/>
  <c r="J151" i="6"/>
  <c r="T104" i="6" l="1" a="1"/>
  <c r="T104" i="6" s="1"/>
  <c r="U104" i="6" s="1"/>
  <c r="V103" i="6"/>
  <c r="K151" i="6" a="1"/>
  <c r="K151" i="6" s="1"/>
  <c r="N151" i="6" s="1"/>
  <c r="L151" i="6" a="1"/>
  <c r="L151" i="6" s="1"/>
  <c r="J152" i="6"/>
  <c r="V104" i="6" l="1"/>
  <c r="T105" i="6" a="1"/>
  <c r="T105" i="6" s="1"/>
  <c r="V105" i="6" s="1"/>
  <c r="J153" i="6"/>
  <c r="L152" i="6" a="1"/>
  <c r="L152" i="6" s="1"/>
  <c r="K152" i="6" a="1"/>
  <c r="K152" i="6" s="1"/>
  <c r="N152" i="6" s="1"/>
  <c r="U105" i="6" l="1"/>
  <c r="T106" i="6" a="1"/>
  <c r="T106" i="6" s="1"/>
  <c r="U106" i="6" s="1"/>
  <c r="L153" i="6" a="1"/>
  <c r="L153" i="6" s="1"/>
  <c r="J154" i="6"/>
  <c r="K153" i="6" a="1"/>
  <c r="K153" i="6" s="1"/>
  <c r="N153" i="6" s="1"/>
  <c r="V106" i="6" l="1"/>
  <c r="T107" i="6" a="1"/>
  <c r="T107" i="6" s="1"/>
  <c r="U107" i="6" s="1"/>
  <c r="L154" i="6" a="1"/>
  <c r="L154" i="6" s="1"/>
  <c r="J155" i="6"/>
  <c r="K154" i="6" a="1"/>
  <c r="K154" i="6" s="1"/>
  <c r="N154" i="6" s="1"/>
  <c r="T108" i="6" l="1" a="1"/>
  <c r="T108" i="6" s="1"/>
  <c r="U108" i="6" s="1"/>
  <c r="V107" i="6"/>
  <c r="K155" i="6" a="1"/>
  <c r="K155" i="6" s="1"/>
  <c r="N155" i="6" s="1"/>
  <c r="L155" i="6" a="1"/>
  <c r="L155" i="6" s="1"/>
  <c r="J156" i="6"/>
  <c r="V108" i="6" l="1"/>
  <c r="T109" i="6" a="1"/>
  <c r="T109" i="6" s="1"/>
  <c r="U109" i="6" s="1"/>
  <c r="L156" i="6" a="1"/>
  <c r="L156" i="6" s="1"/>
  <c r="K156" i="6" a="1"/>
  <c r="K156" i="6" s="1"/>
  <c r="N156" i="6" s="1"/>
  <c r="J157" i="6"/>
  <c r="V109" i="6" l="1"/>
  <c r="T110" i="6" a="1"/>
  <c r="T110" i="6" s="1"/>
  <c r="V110" i="6" s="1"/>
  <c r="J158" i="6"/>
  <c r="K157" i="6" a="1"/>
  <c r="K157" i="6" s="1"/>
  <c r="N157" i="6" s="1"/>
  <c r="L157" i="6" a="1"/>
  <c r="L157" i="6" s="1"/>
  <c r="T111" i="6" l="1" a="1"/>
  <c r="T111" i="6" s="1"/>
  <c r="V111" i="6" s="1"/>
  <c r="U110" i="6"/>
  <c r="K158" i="6" a="1"/>
  <c r="K158" i="6" s="1"/>
  <c r="N158" i="6" s="1"/>
  <c r="J159" i="6"/>
  <c r="L158" i="6" a="1"/>
  <c r="L158" i="6" s="1"/>
  <c r="T112" i="6" l="1" a="1"/>
  <c r="T112" i="6" s="1"/>
  <c r="V112" i="6" s="1"/>
  <c r="U111" i="6"/>
  <c r="J160" i="6"/>
  <c r="K159" i="6" a="1"/>
  <c r="K159" i="6" s="1"/>
  <c r="N159" i="6" s="1"/>
  <c r="L159" i="6" a="1"/>
  <c r="L159" i="6" s="1"/>
  <c r="T113" i="6" l="1" a="1"/>
  <c r="T113" i="6" s="1"/>
  <c r="V113" i="6" s="1"/>
  <c r="U112" i="6"/>
  <c r="L160" i="6" a="1"/>
  <c r="L160" i="6" s="1"/>
  <c r="K160" i="6" a="1"/>
  <c r="K160" i="6" s="1"/>
  <c r="N160" i="6" s="1"/>
  <c r="J161" i="6"/>
  <c r="U113" i="6" l="1"/>
  <c r="T114" i="6" a="1"/>
  <c r="T114" i="6" s="1"/>
  <c r="U114" i="6" s="1"/>
  <c r="L161" i="6" a="1"/>
  <c r="L161" i="6" s="1"/>
  <c r="J162" i="6"/>
  <c r="K161" i="6" a="1"/>
  <c r="K161" i="6" s="1"/>
  <c r="N161" i="6" s="1"/>
  <c r="V114" i="6" l="1"/>
  <c r="T115" i="6" a="1"/>
  <c r="T115" i="6" s="1"/>
  <c r="V115" i="6" s="1"/>
  <c r="L162" i="6" a="1"/>
  <c r="L162" i="6" s="1"/>
  <c r="K162" i="6" a="1"/>
  <c r="K162" i="6" s="1"/>
  <c r="N162" i="6" s="1"/>
  <c r="J163" i="6"/>
  <c r="U115" i="6" l="1"/>
  <c r="T116" i="6" a="1"/>
  <c r="T116" i="6" s="1"/>
  <c r="U116" i="6" s="1"/>
  <c r="L163" i="6" a="1"/>
  <c r="L163" i="6" s="1"/>
  <c r="J164" i="6"/>
  <c r="K163" i="6" a="1"/>
  <c r="K163" i="6" s="1"/>
  <c r="N163" i="6" s="1"/>
  <c r="V116" i="6" l="1"/>
  <c r="T117" i="6" a="1"/>
  <c r="T117" i="6" s="1"/>
  <c r="V117" i="6" s="1"/>
  <c r="J165" i="6"/>
  <c r="L164" i="6" a="1"/>
  <c r="L164" i="6" s="1"/>
  <c r="K164" i="6" a="1"/>
  <c r="K164" i="6" s="1"/>
  <c r="N164" i="6" s="1"/>
  <c r="T118" i="6" l="1" a="1"/>
  <c r="T118" i="6" s="1"/>
  <c r="V118" i="6" s="1"/>
  <c r="U117" i="6"/>
  <c r="L165" i="6" a="1"/>
  <c r="L165" i="6" s="1"/>
  <c r="K165" i="6" a="1"/>
  <c r="K165" i="6" s="1"/>
  <c r="N165" i="6" s="1"/>
  <c r="J166" i="6"/>
  <c r="T119" i="6" l="1" a="1"/>
  <c r="T119" i="6" s="1"/>
  <c r="U119" i="6" s="1"/>
  <c r="U118" i="6"/>
  <c r="K166" i="6" a="1"/>
  <c r="K166" i="6" s="1"/>
  <c r="N166" i="6" s="1"/>
  <c r="L166" i="6" a="1"/>
  <c r="L166" i="6" s="1"/>
  <c r="J167" i="6"/>
  <c r="T120" i="6" l="1" a="1"/>
  <c r="T120" i="6" s="1"/>
  <c r="V120" i="6" s="1"/>
  <c r="V119" i="6"/>
  <c r="L167" i="6" a="1"/>
  <c r="L167" i="6" s="1"/>
  <c r="K167" i="6" a="1"/>
  <c r="K167" i="6" s="1"/>
  <c r="N167" i="6" s="1"/>
  <c r="J168" i="6"/>
  <c r="U120" i="6" l="1"/>
  <c r="T121" i="6" a="1"/>
  <c r="T121" i="6" s="1"/>
  <c r="U121" i="6" s="1"/>
  <c r="J169" i="6"/>
  <c r="K168" i="6" a="1"/>
  <c r="K168" i="6" s="1"/>
  <c r="N168" i="6" s="1"/>
  <c r="L168" i="6" a="1"/>
  <c r="L168" i="6" s="1"/>
  <c r="V121" i="6" l="1"/>
  <c r="T122" i="6" a="1"/>
  <c r="T122" i="6" s="1"/>
  <c r="V122" i="6" s="1"/>
  <c r="J170" i="6"/>
  <c r="L169" i="6" a="1"/>
  <c r="L169" i="6" s="1"/>
  <c r="K169" i="6" a="1"/>
  <c r="K169" i="6" s="1"/>
  <c r="N169" i="6" s="1"/>
  <c r="T123" i="6" l="1" a="1"/>
  <c r="T123" i="6" s="1"/>
  <c r="V123" i="6" s="1"/>
  <c r="U122" i="6"/>
  <c r="K170" i="6" a="1"/>
  <c r="K170" i="6" s="1"/>
  <c r="N170" i="6" s="1"/>
  <c r="J171" i="6"/>
  <c r="L170" i="6" a="1"/>
  <c r="L170" i="6" s="1"/>
  <c r="U123" i="6" l="1"/>
  <c r="T124" i="6" a="1"/>
  <c r="T124" i="6" s="1"/>
  <c r="V124" i="6" s="1"/>
  <c r="L171" i="6" a="1"/>
  <c r="L171" i="6" s="1"/>
  <c r="K171" i="6" a="1"/>
  <c r="K171" i="6" s="1"/>
  <c r="N171" i="6" s="1"/>
  <c r="J172" i="6"/>
  <c r="T125" i="6" l="1" a="1"/>
  <c r="T125" i="6" s="1"/>
  <c r="U125" i="6" s="1"/>
  <c r="U124" i="6"/>
  <c r="K172" i="6" a="1"/>
  <c r="K172" i="6" s="1"/>
  <c r="N172" i="6" s="1"/>
  <c r="J173" i="6"/>
  <c r="L172" i="6" a="1"/>
  <c r="L172" i="6" s="1"/>
  <c r="T126" i="6" l="1" a="1"/>
  <c r="T126" i="6" s="1"/>
  <c r="U126" i="6" s="1"/>
  <c r="V125" i="6"/>
  <c r="K173" i="6" a="1"/>
  <c r="K173" i="6" s="1"/>
  <c r="N173" i="6" s="1"/>
  <c r="J174" i="6"/>
  <c r="L173" i="6" a="1"/>
  <c r="L173" i="6" s="1"/>
  <c r="T127" i="6" l="1" a="1"/>
  <c r="T127" i="6" s="1"/>
  <c r="U127" i="6" s="1"/>
  <c r="V126" i="6"/>
  <c r="K174" i="6" a="1"/>
  <c r="K174" i="6" s="1"/>
  <c r="N174" i="6" s="1"/>
  <c r="L174" i="6" a="1"/>
  <c r="L174" i="6" s="1"/>
  <c r="J175" i="6"/>
  <c r="V127" i="6" l="1"/>
  <c r="T128" i="6" a="1"/>
  <c r="T128" i="6" s="1"/>
  <c r="U128" i="6" s="1"/>
  <c r="J176" i="6"/>
  <c r="K175" i="6" a="1"/>
  <c r="K175" i="6" s="1"/>
  <c r="N175" i="6" s="1"/>
  <c r="L175" i="6" a="1"/>
  <c r="L175" i="6" s="1"/>
  <c r="V128" i="6" l="1"/>
  <c r="T129" i="6" a="1"/>
  <c r="T129" i="6" s="1"/>
  <c r="U129" i="6" s="1"/>
  <c r="J177" i="6"/>
  <c r="K176" i="6" a="1"/>
  <c r="K176" i="6" s="1"/>
  <c r="N176" i="6" s="1"/>
  <c r="L176" i="6" a="1"/>
  <c r="L176" i="6" s="1"/>
  <c r="T130" i="6" l="1" a="1"/>
  <c r="T130" i="6" s="1"/>
  <c r="U130" i="6" s="1"/>
  <c r="V129" i="6"/>
  <c r="L177" i="6" a="1"/>
  <c r="L177" i="6" s="1"/>
  <c r="J178" i="6"/>
  <c r="K177" i="6" a="1"/>
  <c r="K177" i="6" s="1"/>
  <c r="N177" i="6" s="1"/>
  <c r="T131" i="6" l="1" a="1"/>
  <c r="T131" i="6" s="1"/>
  <c r="U131" i="6" s="1"/>
  <c r="V130" i="6"/>
  <c r="K178" i="6" a="1"/>
  <c r="K178" i="6" s="1"/>
  <c r="N178" i="6" s="1"/>
  <c r="J179" i="6"/>
  <c r="L178" i="6" a="1"/>
  <c r="L178" i="6" s="1"/>
  <c r="T132" i="6" l="1" a="1"/>
  <c r="T132" i="6" s="1"/>
  <c r="V132" i="6" s="1"/>
  <c r="V131" i="6"/>
  <c r="K179" i="6" a="1"/>
  <c r="K179" i="6" s="1"/>
  <c r="N179" i="6" s="1"/>
  <c r="L179" i="6" a="1"/>
  <c r="L179" i="6" s="1"/>
  <c r="J180" i="6"/>
  <c r="U132" i="6" l="1"/>
  <c r="T133" i="6" a="1"/>
  <c r="T133" i="6" s="1"/>
  <c r="V133" i="6" s="1"/>
  <c r="J181" i="6"/>
  <c r="K180" i="6" a="1"/>
  <c r="K180" i="6" s="1"/>
  <c r="N180" i="6" s="1"/>
  <c r="L180" i="6" a="1"/>
  <c r="L180" i="6" s="1"/>
  <c r="T134" i="6" l="1" a="1"/>
  <c r="T134" i="6" s="1"/>
  <c r="V134" i="6" s="1"/>
  <c r="U133" i="6"/>
  <c r="J182" i="6"/>
  <c r="K181" i="6" a="1"/>
  <c r="K181" i="6" s="1"/>
  <c r="N181" i="6" s="1"/>
  <c r="L181" i="6" a="1"/>
  <c r="L181" i="6" s="1"/>
  <c r="U134" i="6" l="1"/>
  <c r="T135" i="6" a="1"/>
  <c r="T135" i="6" s="1"/>
  <c r="U135" i="6" s="1"/>
  <c r="J183" i="6"/>
  <c r="K182" i="6" a="1"/>
  <c r="K182" i="6" s="1"/>
  <c r="N182" i="6" s="1"/>
  <c r="L182" i="6" a="1"/>
  <c r="L182" i="6" s="1"/>
  <c r="T136" i="6" l="1" a="1"/>
  <c r="T136" i="6" s="1"/>
  <c r="V136" i="6" s="1"/>
  <c r="V135" i="6"/>
  <c r="J184" i="6"/>
  <c r="K183" i="6" a="1"/>
  <c r="K183" i="6" s="1"/>
  <c r="N183" i="6" s="1"/>
  <c r="L183" i="6" a="1"/>
  <c r="L183" i="6" s="1"/>
  <c r="T137" i="6" l="1" a="1"/>
  <c r="T137" i="6" s="1"/>
  <c r="U137" i="6" s="1"/>
  <c r="U136" i="6"/>
  <c r="K184" i="6" a="1"/>
  <c r="K184" i="6" s="1"/>
  <c r="N184" i="6" s="1"/>
  <c r="J185" i="6"/>
  <c r="L184" i="6" a="1"/>
  <c r="L184" i="6" s="1"/>
  <c r="T138" i="6" l="1" a="1"/>
  <c r="T138" i="6" s="1"/>
  <c r="V138" i="6" s="1"/>
  <c r="V137" i="6"/>
  <c r="J186" i="6"/>
  <c r="L185" i="6" a="1"/>
  <c r="L185" i="6" s="1"/>
  <c r="K185" i="6" a="1"/>
  <c r="K185" i="6" s="1"/>
  <c r="N185" i="6" s="1"/>
  <c r="T139" i="6" l="1" a="1"/>
  <c r="T139" i="6" s="1"/>
  <c r="V139" i="6" s="1"/>
  <c r="U138" i="6"/>
  <c r="L186" i="6" a="1"/>
  <c r="L186" i="6" s="1"/>
  <c r="J187" i="6"/>
  <c r="K186" i="6" a="1"/>
  <c r="K186" i="6" s="1"/>
  <c r="N186" i="6" s="1"/>
  <c r="U139" i="6" l="1"/>
  <c r="T140" i="6" a="1"/>
  <c r="T140" i="6" s="1"/>
  <c r="V140" i="6" s="1"/>
  <c r="K187" i="6" a="1"/>
  <c r="K187" i="6" s="1"/>
  <c r="N187" i="6" s="1"/>
  <c r="L187" i="6" a="1"/>
  <c r="L187" i="6" s="1"/>
  <c r="J188" i="6"/>
  <c r="U140" i="6" l="1"/>
  <c r="T141" i="6" a="1"/>
  <c r="T141" i="6" s="1"/>
  <c r="U141" i="6" s="1"/>
  <c r="J189" i="6"/>
  <c r="K188" i="6" a="1"/>
  <c r="K188" i="6" s="1"/>
  <c r="N188" i="6" s="1"/>
  <c r="L188" i="6" a="1"/>
  <c r="L188" i="6" s="1"/>
  <c r="T142" i="6" l="1" a="1"/>
  <c r="T142" i="6" s="1"/>
  <c r="V142" i="6" s="1"/>
  <c r="V141" i="6"/>
  <c r="J190" i="6"/>
  <c r="K189" i="6" a="1"/>
  <c r="K189" i="6" s="1"/>
  <c r="N189" i="6" s="1"/>
  <c r="L189" i="6" a="1"/>
  <c r="L189" i="6" s="1"/>
  <c r="T143" i="6" l="1" a="1"/>
  <c r="T143" i="6" s="1"/>
  <c r="V143" i="6" s="1"/>
  <c r="U142" i="6"/>
  <c r="K190" i="6" a="1"/>
  <c r="K190" i="6" s="1"/>
  <c r="N190" i="6" s="1"/>
  <c r="L190" i="6" a="1"/>
  <c r="L190" i="6" s="1"/>
  <c r="J191" i="6"/>
  <c r="T144" i="6" l="1" a="1"/>
  <c r="T144" i="6" s="1"/>
  <c r="V144" i="6" s="1"/>
  <c r="U143" i="6"/>
  <c r="J192" i="6"/>
  <c r="K191" i="6" a="1"/>
  <c r="K191" i="6" s="1"/>
  <c r="N191" i="6" s="1"/>
  <c r="L191" i="6" a="1"/>
  <c r="L191" i="6" s="1"/>
  <c r="T145" i="6" l="1" a="1"/>
  <c r="T145" i="6" s="1"/>
  <c r="U145" i="6" s="1"/>
  <c r="U144" i="6"/>
  <c r="J193" i="6"/>
  <c r="K192" i="6" a="1"/>
  <c r="K192" i="6" s="1"/>
  <c r="N192" i="6" s="1"/>
  <c r="L192" i="6" a="1"/>
  <c r="L192" i="6" s="1"/>
  <c r="T146" i="6" l="1" a="1"/>
  <c r="T146" i="6" s="1"/>
  <c r="V146" i="6" s="1"/>
  <c r="V145" i="6"/>
  <c r="L193" i="6" a="1"/>
  <c r="L193" i="6" s="1"/>
  <c r="J194" i="6"/>
  <c r="K193" i="6" a="1"/>
  <c r="K193" i="6" s="1"/>
  <c r="N193" i="6" s="1"/>
  <c r="T147" i="6" l="1" a="1"/>
  <c r="T147" i="6" s="1"/>
  <c r="V147" i="6" s="1"/>
  <c r="U146" i="6"/>
  <c r="K194" i="6" a="1"/>
  <c r="K194" i="6" s="1"/>
  <c r="N194" i="6" s="1"/>
  <c r="L194" i="6" a="1"/>
  <c r="L194" i="6" s="1"/>
  <c r="J195" i="6"/>
  <c r="U147" i="6" l="1"/>
  <c r="T148" i="6" a="1"/>
  <c r="T148" i="6" s="1"/>
  <c r="U148" i="6" s="1"/>
  <c r="J196" i="6"/>
  <c r="K195" i="6" a="1"/>
  <c r="K195" i="6" s="1"/>
  <c r="N195" i="6" s="1"/>
  <c r="L195" i="6" a="1"/>
  <c r="L195" i="6" s="1"/>
  <c r="V148" i="6" l="1"/>
  <c r="T149" i="6" a="1"/>
  <c r="T149" i="6" s="1"/>
  <c r="V149" i="6" s="1"/>
  <c r="K196" i="6" a="1"/>
  <c r="K196" i="6" s="1"/>
  <c r="N196" i="6" s="1"/>
  <c r="L196" i="6" a="1"/>
  <c r="L196" i="6" s="1"/>
  <c r="J197" i="6"/>
  <c r="U149" i="6" l="1"/>
  <c r="T150" i="6" a="1"/>
  <c r="T150" i="6" s="1"/>
  <c r="V150" i="6" s="1"/>
  <c r="J198" i="6"/>
  <c r="L197" i="6" a="1"/>
  <c r="L197" i="6" s="1"/>
  <c r="K197" i="6" a="1"/>
  <c r="K197" i="6" s="1"/>
  <c r="N197" i="6" s="1"/>
  <c r="U150" i="6" l="1"/>
  <c r="T151" i="6" a="1"/>
  <c r="T151" i="6" s="1"/>
  <c r="U151" i="6" s="1"/>
  <c r="K198" i="6" a="1"/>
  <c r="K198" i="6" s="1"/>
  <c r="N198" i="6" s="1"/>
  <c r="J199" i="6"/>
  <c r="L198" i="6" a="1"/>
  <c r="L198" i="6" s="1"/>
  <c r="V151" i="6" l="1"/>
  <c r="T152" i="6" a="1"/>
  <c r="T152" i="6" s="1"/>
  <c r="U152" i="6" s="1"/>
  <c r="J200" i="6"/>
  <c r="L199" i="6" a="1"/>
  <c r="L199" i="6" s="1"/>
  <c r="K199" i="6" a="1"/>
  <c r="K199" i="6" s="1"/>
  <c r="N199" i="6" s="1"/>
  <c r="T153" i="6" l="1" a="1"/>
  <c r="T153" i="6" s="1"/>
  <c r="U153" i="6" s="1"/>
  <c r="V152" i="6"/>
  <c r="L200" i="6" a="1"/>
  <c r="L200" i="6" s="1"/>
  <c r="K200" i="6" a="1"/>
  <c r="K200" i="6" s="1"/>
  <c r="N200" i="6" s="1"/>
  <c r="J201" i="6"/>
  <c r="T154" i="6" l="1" a="1"/>
  <c r="T154" i="6" s="1"/>
  <c r="V154" i="6" s="1"/>
  <c r="V153" i="6"/>
  <c r="L201" i="6" a="1"/>
  <c r="L201" i="6" s="1"/>
  <c r="J202" i="6"/>
  <c r="K201" i="6" a="1"/>
  <c r="K201" i="6" s="1"/>
  <c r="N201" i="6" s="1"/>
  <c r="T155" i="6" l="1" a="1"/>
  <c r="T155" i="6" s="1"/>
  <c r="U155" i="6" s="1"/>
  <c r="U154" i="6"/>
  <c r="J203" i="6"/>
  <c r="L202" i="6" a="1"/>
  <c r="L202" i="6" s="1"/>
  <c r="K202" i="6" a="1"/>
  <c r="K202" i="6" s="1"/>
  <c r="N202" i="6" s="1"/>
  <c r="V155" i="6" l="1"/>
  <c r="T156" i="6" a="1"/>
  <c r="T156" i="6" s="1"/>
  <c r="V156" i="6" s="1"/>
  <c r="L203" i="6" a="1"/>
  <c r="L203" i="6" s="1"/>
  <c r="K203" i="6" a="1"/>
  <c r="K203" i="6" s="1"/>
  <c r="N203" i="6" s="1"/>
  <c r="J204" i="6"/>
  <c r="U156" i="6" l="1"/>
  <c r="T157" i="6" a="1"/>
  <c r="T157" i="6" s="1"/>
  <c r="U157" i="6" s="1"/>
  <c r="J205" i="6"/>
  <c r="L204" i="6" a="1"/>
  <c r="L204" i="6" s="1"/>
  <c r="K204" i="6" a="1"/>
  <c r="K204" i="6" s="1"/>
  <c r="N204" i="6" s="1"/>
  <c r="V157" i="6" l="1"/>
  <c r="T158" i="6" a="1"/>
  <c r="T158" i="6" s="1"/>
  <c r="V158" i="6" s="1"/>
  <c r="J206" i="6"/>
  <c r="K205" i="6" a="1"/>
  <c r="K205" i="6" s="1"/>
  <c r="N205" i="6" s="1"/>
  <c r="L205" i="6" a="1"/>
  <c r="L205" i="6" s="1"/>
  <c r="T159" i="6" l="1" a="1"/>
  <c r="T159" i="6" s="1"/>
  <c r="V159" i="6" s="1"/>
  <c r="U158" i="6"/>
  <c r="J207" i="6"/>
  <c r="K206" i="6" a="1"/>
  <c r="K206" i="6" s="1"/>
  <c r="N206" i="6" s="1"/>
  <c r="L206" i="6" a="1"/>
  <c r="L206" i="6" s="1"/>
  <c r="T160" i="6" l="1" a="1"/>
  <c r="T160" i="6" s="1"/>
  <c r="V160" i="6" s="1"/>
  <c r="U159" i="6"/>
  <c r="L207" i="6" a="1"/>
  <c r="L207" i="6" s="1"/>
  <c r="J208" i="6"/>
  <c r="K207" i="6" a="1"/>
  <c r="K207" i="6" s="1"/>
  <c r="N207" i="6" s="1"/>
  <c r="U160" i="6" l="1"/>
  <c r="T161" i="6" a="1"/>
  <c r="T161" i="6" s="1"/>
  <c r="V161" i="6" s="1"/>
  <c r="J209" i="6"/>
  <c r="L208" i="6" a="1"/>
  <c r="L208" i="6" s="1"/>
  <c r="K208" i="6" a="1"/>
  <c r="K208" i="6" s="1"/>
  <c r="N208" i="6" s="1"/>
  <c r="T162" i="6" l="1" a="1"/>
  <c r="T162" i="6" s="1"/>
  <c r="U162" i="6" s="1"/>
  <c r="U161" i="6"/>
  <c r="J210" i="6"/>
  <c r="L209" i="6" a="1"/>
  <c r="L209" i="6" s="1"/>
  <c r="K209" i="6" a="1"/>
  <c r="K209" i="6" s="1"/>
  <c r="N209" i="6" s="1"/>
  <c r="T163" i="6" l="1" a="1"/>
  <c r="T163" i="6" s="1"/>
  <c r="V163" i="6" s="1"/>
  <c r="V162" i="6"/>
  <c r="L210" i="6" a="1"/>
  <c r="L210" i="6" s="1"/>
  <c r="K210" i="6" a="1"/>
  <c r="K210" i="6" s="1"/>
  <c r="N210" i="6" s="1"/>
  <c r="J211" i="6"/>
  <c r="T164" i="6" l="1" a="1"/>
  <c r="T164" i="6" s="1"/>
  <c r="V164" i="6" s="1"/>
  <c r="U163" i="6"/>
  <c r="L211" i="6" a="1"/>
  <c r="L211" i="6" s="1"/>
  <c r="K211" i="6" a="1"/>
  <c r="K211" i="6" s="1"/>
  <c r="N211" i="6" s="1"/>
  <c r="J212" i="6"/>
  <c r="T165" i="6" l="1" a="1"/>
  <c r="T165" i="6" s="1"/>
  <c r="V165" i="6" s="1"/>
  <c r="U164" i="6"/>
  <c r="J213" i="6"/>
  <c r="L212" i="6" a="1"/>
  <c r="L212" i="6" s="1"/>
  <c r="K212" i="6" a="1"/>
  <c r="K212" i="6" s="1"/>
  <c r="N212" i="6" s="1"/>
  <c r="T166" i="6" l="1" a="1"/>
  <c r="T166" i="6" s="1"/>
  <c r="U166" i="6" s="1"/>
  <c r="U165" i="6"/>
  <c r="K213" i="6" a="1"/>
  <c r="K213" i="6" s="1"/>
  <c r="N213" i="6" s="1"/>
  <c r="J214" i="6"/>
  <c r="L213" i="6" a="1"/>
  <c r="L213" i="6" s="1"/>
  <c r="V166" i="6" l="1"/>
  <c r="T167" i="6" a="1"/>
  <c r="T167" i="6" s="1"/>
  <c r="V167" i="6" s="1"/>
  <c r="J215" i="6"/>
  <c r="K214" i="6" a="1"/>
  <c r="K214" i="6" s="1"/>
  <c r="N214" i="6" s="1"/>
  <c r="L214" i="6" a="1"/>
  <c r="L214" i="6" s="1"/>
  <c r="T168" i="6" l="1" a="1"/>
  <c r="T168" i="6" s="1"/>
  <c r="U168" i="6" s="1"/>
  <c r="U167" i="6"/>
  <c r="K215" i="6" a="1"/>
  <c r="K215" i="6" s="1"/>
  <c r="N215" i="6" s="1"/>
  <c r="L215" i="6" a="1"/>
  <c r="L215" i="6" s="1"/>
  <c r="J216" i="6"/>
  <c r="V168" i="6" l="1"/>
  <c r="T169" i="6" a="1"/>
  <c r="T169" i="6" s="1"/>
  <c r="U169" i="6" s="1"/>
  <c r="K216" i="6" a="1"/>
  <c r="K216" i="6" s="1"/>
  <c r="N216" i="6" s="1"/>
  <c r="J217" i="6"/>
  <c r="L216" i="6" a="1"/>
  <c r="L216" i="6" s="1"/>
  <c r="T170" i="6" l="1" a="1"/>
  <c r="T170" i="6" s="1"/>
  <c r="V170" i="6" s="1"/>
  <c r="V169" i="6"/>
  <c r="K217" i="6" a="1"/>
  <c r="K217" i="6" s="1"/>
  <c r="N217" i="6" s="1"/>
  <c r="J218" i="6"/>
  <c r="L217" i="6" a="1"/>
  <c r="L217" i="6" s="1"/>
  <c r="T171" i="6" l="1" a="1"/>
  <c r="T171" i="6" s="1"/>
  <c r="U171" i="6" s="1"/>
  <c r="U170" i="6"/>
  <c r="K218" i="6" a="1"/>
  <c r="K218" i="6" s="1"/>
  <c r="N218" i="6" s="1"/>
  <c r="J219" i="6"/>
  <c r="L218" i="6" a="1"/>
  <c r="L218" i="6" s="1"/>
  <c r="T172" i="6" l="1" a="1"/>
  <c r="T172" i="6" s="1"/>
  <c r="V172" i="6" s="1"/>
  <c r="V171" i="6"/>
  <c r="K219" i="6" a="1"/>
  <c r="K219" i="6" s="1"/>
  <c r="N219" i="6" s="1"/>
  <c r="L219" i="6" a="1"/>
  <c r="L219" i="6" s="1"/>
  <c r="J220" i="6"/>
  <c r="U172" i="6" l="1"/>
  <c r="T173" i="6" a="1"/>
  <c r="T173" i="6" s="1"/>
  <c r="V173" i="6" s="1"/>
  <c r="J221" i="6"/>
  <c r="L220" i="6" a="1"/>
  <c r="L220" i="6" s="1"/>
  <c r="K220" i="6" a="1"/>
  <c r="K220" i="6" s="1"/>
  <c r="N220" i="6" s="1"/>
  <c r="U173" i="6" l="1"/>
  <c r="T174" i="6" a="1"/>
  <c r="T174" i="6" s="1"/>
  <c r="V174" i="6" s="1"/>
  <c r="J222" i="6"/>
  <c r="L221" i="6" a="1"/>
  <c r="L221" i="6" s="1"/>
  <c r="K221" i="6" a="1"/>
  <c r="K221" i="6" s="1"/>
  <c r="N221" i="6" s="1"/>
  <c r="U174" i="6" l="1"/>
  <c r="T175" i="6" a="1"/>
  <c r="T175" i="6" s="1"/>
  <c r="V175" i="6" s="1"/>
  <c r="L222" i="6" a="1"/>
  <c r="L222" i="6" s="1"/>
  <c r="J223" i="6"/>
  <c r="K222" i="6" a="1"/>
  <c r="K222" i="6" s="1"/>
  <c r="N222" i="6" s="1"/>
  <c r="T176" i="6" l="1" a="1"/>
  <c r="T176" i="6" s="1"/>
  <c r="U176" i="6" s="1"/>
  <c r="U175" i="6"/>
  <c r="J224" i="6"/>
  <c r="K223" i="6" a="1"/>
  <c r="K223" i="6" s="1"/>
  <c r="N223" i="6" s="1"/>
  <c r="L223" i="6" a="1"/>
  <c r="L223" i="6" s="1"/>
  <c r="T177" i="6" l="1" a="1"/>
  <c r="T177" i="6" s="1"/>
  <c r="V177" i="6" s="1"/>
  <c r="V176" i="6"/>
  <c r="J225" i="6"/>
  <c r="L224" i="6" a="1"/>
  <c r="L224" i="6" s="1"/>
  <c r="K224" i="6" a="1"/>
  <c r="K224" i="6" s="1"/>
  <c r="N224" i="6" s="1"/>
  <c r="U177" i="6" l="1"/>
  <c r="T178" i="6" a="1"/>
  <c r="T178" i="6" s="1"/>
  <c r="V178" i="6" s="1"/>
  <c r="K225" i="6" a="1"/>
  <c r="K225" i="6" s="1"/>
  <c r="N225" i="6" s="1"/>
  <c r="J226" i="6"/>
  <c r="L225" i="6" a="1"/>
  <c r="L225" i="6" s="1"/>
  <c r="T179" i="6" l="1" a="1"/>
  <c r="T179" i="6" s="1"/>
  <c r="V179" i="6" s="1"/>
  <c r="U178" i="6"/>
  <c r="L226" i="6" a="1"/>
  <c r="L226" i="6" s="1"/>
  <c r="K226" i="6" a="1"/>
  <c r="K226" i="6" s="1"/>
  <c r="N226" i="6" s="1"/>
  <c r="J227" i="6"/>
  <c r="U179" i="6" l="1"/>
  <c r="T180" i="6" a="1"/>
  <c r="T180" i="6" s="1"/>
  <c r="U180" i="6" s="1"/>
  <c r="L227" i="6" a="1"/>
  <c r="L227" i="6" s="1"/>
  <c r="J228" i="6"/>
  <c r="K227" i="6" a="1"/>
  <c r="K227" i="6" s="1"/>
  <c r="N227" i="6" s="1"/>
  <c r="V180" i="6" l="1"/>
  <c r="T181" i="6" a="1"/>
  <c r="T181" i="6" s="1"/>
  <c r="U181" i="6" s="1"/>
  <c r="L228" i="6" a="1"/>
  <c r="L228" i="6" s="1"/>
  <c r="K228" i="6" a="1"/>
  <c r="K228" i="6" s="1"/>
  <c r="N228" i="6" s="1"/>
  <c r="J229" i="6"/>
  <c r="V181" i="6" l="1"/>
  <c r="T182" i="6" a="1"/>
  <c r="T182" i="6" s="1"/>
  <c r="V182" i="6" s="1"/>
  <c r="J230" i="6"/>
  <c r="L229" i="6" a="1"/>
  <c r="L229" i="6" s="1"/>
  <c r="K229" i="6" a="1"/>
  <c r="K229" i="6" s="1"/>
  <c r="N229" i="6" s="1"/>
  <c r="T183" i="6" l="1" a="1"/>
  <c r="T183" i="6" s="1"/>
  <c r="U183" i="6" s="1"/>
  <c r="U182" i="6"/>
  <c r="L230" i="6" a="1"/>
  <c r="L230" i="6" s="1"/>
  <c r="J231" i="6"/>
  <c r="K230" i="6" a="1"/>
  <c r="K230" i="6" s="1"/>
  <c r="N230" i="6" s="1"/>
  <c r="T184" i="6" l="1" a="1"/>
  <c r="T184" i="6" s="1"/>
  <c r="V184" i="6" s="1"/>
  <c r="V183" i="6"/>
  <c r="J232" i="6"/>
  <c r="L231" i="6" a="1"/>
  <c r="L231" i="6" s="1"/>
  <c r="K231" i="6" a="1"/>
  <c r="K231" i="6" s="1"/>
  <c r="N231" i="6" s="1"/>
  <c r="T185" i="6" l="1" a="1"/>
  <c r="T185" i="6" s="1"/>
  <c r="U185" i="6" s="1"/>
  <c r="U184" i="6"/>
  <c r="L232" i="6" a="1"/>
  <c r="L232" i="6" s="1"/>
  <c r="K232" i="6" a="1"/>
  <c r="K232" i="6" s="1"/>
  <c r="N232" i="6" s="1"/>
  <c r="J233" i="6"/>
  <c r="T186" i="6" l="1" a="1"/>
  <c r="T186" i="6" s="1"/>
  <c r="V186" i="6" s="1"/>
  <c r="V185" i="6"/>
  <c r="L233" i="6" a="1"/>
  <c r="L233" i="6" s="1"/>
  <c r="K233" i="6" a="1"/>
  <c r="K233" i="6" s="1"/>
  <c r="N233" i="6" s="1"/>
  <c r="J234" i="6"/>
  <c r="U186" i="6" l="1"/>
  <c r="T187" i="6" a="1"/>
  <c r="T187" i="6" s="1"/>
  <c r="U187" i="6" s="1"/>
  <c r="J235" i="6"/>
  <c r="K234" i="6" a="1"/>
  <c r="K234" i="6" s="1"/>
  <c r="N234" i="6" s="1"/>
  <c r="L234" i="6" a="1"/>
  <c r="L234" i="6" s="1"/>
  <c r="T188" i="6" l="1" a="1"/>
  <c r="T188" i="6" s="1"/>
  <c r="U188" i="6" s="1"/>
  <c r="V187" i="6"/>
  <c r="K235" i="6" a="1"/>
  <c r="K235" i="6" s="1"/>
  <c r="N235" i="6" s="1"/>
  <c r="L235" i="6" a="1"/>
  <c r="L235" i="6" s="1"/>
  <c r="J236" i="6"/>
  <c r="V188" i="6" l="1"/>
  <c r="T189" i="6" a="1"/>
  <c r="T189" i="6" s="1"/>
  <c r="U189" i="6" s="1"/>
  <c r="K236" i="6" a="1"/>
  <c r="K236" i="6" s="1"/>
  <c r="N236" i="6" s="1"/>
  <c r="J237" i="6"/>
  <c r="L236" i="6" a="1"/>
  <c r="L236" i="6" s="1"/>
  <c r="V189" i="6" l="1"/>
  <c r="T190" i="6" a="1"/>
  <c r="T190" i="6" s="1"/>
  <c r="V190" i="6" s="1"/>
  <c r="J238" i="6"/>
  <c r="L237" i="6" a="1"/>
  <c r="L237" i="6" s="1"/>
  <c r="K237" i="6" a="1"/>
  <c r="K237" i="6" s="1"/>
  <c r="N237" i="6" s="1"/>
  <c r="T191" i="6" l="1" a="1"/>
  <c r="T191" i="6" s="1"/>
  <c r="V191" i="6" s="1"/>
  <c r="U190" i="6"/>
  <c r="K238" i="6" a="1"/>
  <c r="K238" i="6" s="1"/>
  <c r="N238" i="6" s="1"/>
  <c r="J239" i="6"/>
  <c r="L238" i="6" a="1"/>
  <c r="L238" i="6" s="1"/>
  <c r="T192" i="6" l="1" a="1"/>
  <c r="T192" i="6" s="1"/>
  <c r="U192" i="6" s="1"/>
  <c r="U191" i="6"/>
  <c r="J240" i="6"/>
  <c r="L239" i="6" a="1"/>
  <c r="L239" i="6" s="1"/>
  <c r="K239" i="6" a="1"/>
  <c r="K239" i="6" s="1"/>
  <c r="N239" i="6" s="1"/>
  <c r="T193" i="6" l="1" a="1"/>
  <c r="T193" i="6" s="1"/>
  <c r="U193" i="6" s="1"/>
  <c r="V192" i="6"/>
  <c r="J241" i="6"/>
  <c r="K240" i="6" a="1"/>
  <c r="K240" i="6" s="1"/>
  <c r="N240" i="6" s="1"/>
  <c r="L240" i="6" a="1"/>
  <c r="L240" i="6" s="1"/>
  <c r="V193" i="6" l="1"/>
  <c r="T194" i="6" a="1"/>
  <c r="T194" i="6" s="1"/>
  <c r="V194" i="6" s="1"/>
  <c r="J242" i="6"/>
  <c r="L241" i="6" a="1"/>
  <c r="L241" i="6" s="1"/>
  <c r="K241" i="6" a="1"/>
  <c r="K241" i="6" s="1"/>
  <c r="N241" i="6" s="1"/>
  <c r="T195" i="6" l="1" a="1"/>
  <c r="T195" i="6" s="1"/>
  <c r="V195" i="6" s="1"/>
  <c r="U194" i="6"/>
  <c r="L242" i="6" a="1"/>
  <c r="L242" i="6" s="1"/>
  <c r="J243" i="6"/>
  <c r="K242" i="6" a="1"/>
  <c r="K242" i="6" s="1"/>
  <c r="N242" i="6" s="1"/>
  <c r="U195" i="6" l="1"/>
  <c r="T196" i="6" a="1"/>
  <c r="T196" i="6" s="1"/>
  <c r="V196" i="6" s="1"/>
  <c r="J244" i="6"/>
  <c r="L243" i="6" a="1"/>
  <c r="L243" i="6" s="1"/>
  <c r="K243" i="6" a="1"/>
  <c r="K243" i="6" s="1"/>
  <c r="N243" i="6" s="1"/>
  <c r="U196" i="6" l="1"/>
  <c r="T197" i="6" a="1"/>
  <c r="T197" i="6" s="1"/>
  <c r="V197" i="6" s="1"/>
  <c r="L244" i="6" a="1"/>
  <c r="L244" i="6" s="1"/>
  <c r="J245" i="6"/>
  <c r="K244" i="6" a="1"/>
  <c r="K244" i="6" s="1"/>
  <c r="N244" i="6" s="1"/>
  <c r="T198" i="6" l="1" a="1"/>
  <c r="T198" i="6" s="1"/>
  <c r="V198" i="6" s="1"/>
  <c r="U197" i="6"/>
  <c r="K245" i="6" a="1"/>
  <c r="K245" i="6" s="1"/>
  <c r="N245" i="6" s="1"/>
  <c r="J246" i="6"/>
  <c r="L245" i="6" a="1"/>
  <c r="L245" i="6" s="1"/>
  <c r="T199" i="6" l="1" a="1"/>
  <c r="T199" i="6" s="1"/>
  <c r="V199" i="6" s="1"/>
  <c r="U198" i="6"/>
  <c r="K246" i="6" a="1"/>
  <c r="K246" i="6" s="1"/>
  <c r="N246" i="6" s="1"/>
  <c r="L246" i="6" a="1"/>
  <c r="L246" i="6" s="1"/>
  <c r="J247" i="6"/>
  <c r="T200" i="6" l="1" a="1"/>
  <c r="T200" i="6" s="1"/>
  <c r="T201" i="6" s="1" a="1"/>
  <c r="T201" i="6" s="1"/>
  <c r="U199" i="6"/>
  <c r="J248" i="6"/>
  <c r="L247" i="6" a="1"/>
  <c r="L247" i="6" s="1"/>
  <c r="K247" i="6" a="1"/>
  <c r="K247" i="6" s="1"/>
  <c r="N247" i="6" s="1"/>
  <c r="U200" i="6" l="1"/>
  <c r="V200" i="6"/>
  <c r="J249" i="6"/>
  <c r="K248" i="6" a="1"/>
  <c r="K248" i="6" s="1"/>
  <c r="N248" i="6" s="1"/>
  <c r="L248" i="6" a="1"/>
  <c r="L248" i="6" s="1"/>
  <c r="V201" i="6"/>
  <c r="U201" i="6"/>
  <c r="T202" i="6" a="1"/>
  <c r="T202" i="6" s="1"/>
  <c r="J250" i="6" l="1"/>
  <c r="L249" i="6" a="1"/>
  <c r="L249" i="6" s="1"/>
  <c r="K249" i="6" a="1"/>
  <c r="K249" i="6" s="1"/>
  <c r="N249" i="6" s="1"/>
  <c r="U202" i="6"/>
  <c r="V202" i="6"/>
  <c r="T203" i="6" a="1"/>
  <c r="T203" i="6" s="1"/>
  <c r="L250" i="6" l="1" a="1"/>
  <c r="L250" i="6" s="1"/>
  <c r="K250" i="6" a="1"/>
  <c r="K250" i="6" s="1"/>
  <c r="N250" i="6" s="1"/>
  <c r="J251" i="6"/>
  <c r="U203" i="6"/>
  <c r="V203" i="6"/>
  <c r="T204" i="6" a="1"/>
  <c r="T204" i="6" s="1"/>
  <c r="V204" i="6" l="1"/>
  <c r="U204" i="6"/>
  <c r="T205" i="6" a="1"/>
  <c r="T205" i="6" s="1"/>
  <c r="J252" i="6"/>
  <c r="L251" i="6" a="1"/>
  <c r="L251" i="6" s="1"/>
  <c r="K251" i="6" a="1"/>
  <c r="K251" i="6" s="1"/>
  <c r="N251" i="6" s="1"/>
  <c r="U205" i="6" l="1"/>
  <c r="V205" i="6"/>
  <c r="T206" i="6" a="1"/>
  <c r="T206" i="6" s="1"/>
  <c r="L252" i="6" a="1"/>
  <c r="L252" i="6" s="1"/>
  <c r="K252" i="6" a="1"/>
  <c r="K252" i="6" s="1"/>
  <c r="N252" i="6" s="1"/>
  <c r="J253" i="6"/>
  <c r="K253" i="6" l="1" a="1"/>
  <c r="K253" i="6" s="1"/>
  <c r="N253" i="6" s="1"/>
  <c r="L253" i="6" a="1"/>
  <c r="L253" i="6" s="1"/>
  <c r="J254" i="6"/>
  <c r="V206" i="6"/>
  <c r="U206" i="6"/>
  <c r="T207" i="6" a="1"/>
  <c r="T207" i="6" s="1"/>
  <c r="V207" i="6" l="1"/>
  <c r="U207" i="6"/>
  <c r="T208" i="6" a="1"/>
  <c r="T208" i="6" s="1"/>
  <c r="L254" i="6" a="1"/>
  <c r="L254" i="6" s="1"/>
  <c r="J255" i="6"/>
  <c r="K254" i="6" a="1"/>
  <c r="K254" i="6" s="1"/>
  <c r="N254" i="6" s="1"/>
  <c r="J256" i="6" l="1"/>
  <c r="K255" i="6" a="1"/>
  <c r="K255" i="6" s="1"/>
  <c r="N255" i="6" s="1"/>
  <c r="L255" i="6" a="1"/>
  <c r="L255" i="6" s="1"/>
  <c r="V208" i="6"/>
  <c r="U208" i="6"/>
  <c r="T209" i="6" a="1"/>
  <c r="T209" i="6" s="1"/>
  <c r="L256" i="6" l="1" a="1"/>
  <c r="L256" i="6" s="1"/>
  <c r="K256" i="6" a="1"/>
  <c r="K256" i="6" s="1"/>
  <c r="N256" i="6" s="1"/>
  <c r="J257" i="6"/>
  <c r="U209" i="6"/>
  <c r="V209" i="6"/>
  <c r="T210" i="6" a="1"/>
  <c r="T210" i="6" s="1"/>
  <c r="V210" i="6" l="1"/>
  <c r="U210" i="6"/>
  <c r="T211" i="6" a="1"/>
  <c r="T211" i="6" s="1"/>
  <c r="K257" i="6" a="1"/>
  <c r="K257" i="6" s="1"/>
  <c r="N257" i="6" s="1"/>
  <c r="J258" i="6"/>
  <c r="L257" i="6" a="1"/>
  <c r="L257" i="6" s="1"/>
  <c r="K258" i="6" l="1" a="1"/>
  <c r="K258" i="6" s="1"/>
  <c r="N258" i="6" s="1"/>
  <c r="L258" i="6" a="1"/>
  <c r="L258" i="6" s="1"/>
  <c r="J259" i="6"/>
  <c r="U211" i="6"/>
  <c r="V211" i="6"/>
  <c r="T212" i="6" a="1"/>
  <c r="T212" i="6" s="1"/>
  <c r="V212" i="6" l="1"/>
  <c r="U212" i="6"/>
  <c r="T213" i="6" a="1"/>
  <c r="T213" i="6" s="1"/>
  <c r="J260" i="6"/>
  <c r="L259" i="6" a="1"/>
  <c r="L259" i="6" s="1"/>
  <c r="K259" i="6" a="1"/>
  <c r="K259" i="6" s="1"/>
  <c r="N259" i="6" s="1"/>
  <c r="J261" i="6" l="1"/>
  <c r="L260" i="6" a="1"/>
  <c r="L260" i="6" s="1"/>
  <c r="K260" i="6" a="1"/>
  <c r="K260" i="6" s="1"/>
  <c r="N260" i="6" s="1"/>
  <c r="U213" i="6"/>
  <c r="V213" i="6"/>
  <c r="T214" i="6" a="1"/>
  <c r="T214" i="6" s="1"/>
  <c r="J262" i="6" l="1"/>
  <c r="L261" i="6" a="1"/>
  <c r="L261" i="6" s="1"/>
  <c r="K261" i="6" a="1"/>
  <c r="K261" i="6" s="1"/>
  <c r="N261" i="6" s="1"/>
  <c r="V214" i="6"/>
  <c r="U214" i="6"/>
  <c r="T215" i="6" a="1"/>
  <c r="T215" i="6" s="1"/>
  <c r="K262" i="6" l="1" a="1"/>
  <c r="K262" i="6" s="1"/>
  <c r="N262" i="6" s="1"/>
  <c r="L262" i="6" a="1"/>
  <c r="L262" i="6" s="1"/>
  <c r="J263" i="6"/>
  <c r="V215" i="6"/>
  <c r="U215" i="6"/>
  <c r="T216" i="6" a="1"/>
  <c r="T216" i="6" s="1"/>
  <c r="V216" i="6" l="1"/>
  <c r="U216" i="6"/>
  <c r="T217" i="6" a="1"/>
  <c r="T217" i="6" s="1"/>
  <c r="J264" i="6"/>
  <c r="L263" i="6" a="1"/>
  <c r="L263" i="6" s="1"/>
  <c r="K263" i="6" a="1"/>
  <c r="K263" i="6" s="1"/>
  <c r="N263" i="6" s="1"/>
  <c r="L264" i="6" l="1" a="1"/>
  <c r="L264" i="6" s="1"/>
  <c r="K264" i="6" a="1"/>
  <c r="K264" i="6" s="1"/>
  <c r="N264" i="6" s="1"/>
  <c r="J265" i="6"/>
  <c r="V217" i="6"/>
  <c r="U217" i="6"/>
  <c r="T218" i="6" a="1"/>
  <c r="T218" i="6" s="1"/>
  <c r="V218" i="6" l="1"/>
  <c r="U218" i="6"/>
  <c r="T219" i="6" a="1"/>
  <c r="T219" i="6" s="1"/>
  <c r="J266" i="6"/>
  <c r="K265" i="6" a="1"/>
  <c r="K265" i="6" s="1"/>
  <c r="N265" i="6" s="1"/>
  <c r="L265" i="6" a="1"/>
  <c r="L265" i="6" s="1"/>
  <c r="V219" i="6" l="1"/>
  <c r="U219" i="6"/>
  <c r="T220" i="6" a="1"/>
  <c r="T220" i="6" s="1"/>
  <c r="L266" i="6" a="1"/>
  <c r="L266" i="6" s="1"/>
  <c r="J267" i="6"/>
  <c r="K266" i="6" a="1"/>
  <c r="K266" i="6" s="1"/>
  <c r="N266" i="6" s="1"/>
  <c r="L267" i="6" l="1" a="1"/>
  <c r="L267" i="6" s="1"/>
  <c r="K267" i="6" a="1"/>
  <c r="K267" i="6" s="1"/>
  <c r="N267" i="6" s="1"/>
  <c r="J268" i="6"/>
  <c r="V220" i="6"/>
  <c r="U220" i="6"/>
  <c r="T221" i="6" a="1"/>
  <c r="T221" i="6" s="1"/>
  <c r="V221" i="6" l="1"/>
  <c r="U221" i="6"/>
  <c r="T222" i="6" a="1"/>
  <c r="T222" i="6" s="1"/>
  <c r="J269" i="6"/>
  <c r="K268" i="6" a="1"/>
  <c r="K268" i="6" s="1"/>
  <c r="N268" i="6" s="1"/>
  <c r="L268" i="6" a="1"/>
  <c r="L268" i="6" s="1"/>
  <c r="J270" i="6" l="1"/>
  <c r="K269" i="6" a="1"/>
  <c r="K269" i="6" s="1"/>
  <c r="N269" i="6" s="1"/>
  <c r="L269" i="6" a="1"/>
  <c r="L269" i="6" s="1"/>
  <c r="V222" i="6"/>
  <c r="U222" i="6"/>
  <c r="T223" i="6" a="1"/>
  <c r="T223" i="6" s="1"/>
  <c r="L270" i="6" l="1" a="1"/>
  <c r="L270" i="6" s="1"/>
  <c r="K270" i="6" a="1"/>
  <c r="K270" i="6" s="1"/>
  <c r="N270" i="6" s="1"/>
  <c r="J271" i="6"/>
  <c r="V223" i="6"/>
  <c r="U223" i="6"/>
  <c r="T224" i="6" a="1"/>
  <c r="T224" i="6" s="1"/>
  <c r="V224" i="6" l="1"/>
  <c r="U224" i="6"/>
  <c r="T225" i="6" a="1"/>
  <c r="T225" i="6" s="1"/>
  <c r="K271" i="6" a="1"/>
  <c r="K271" i="6" s="1"/>
  <c r="N271" i="6" s="1"/>
  <c r="J272" i="6"/>
  <c r="L271" i="6" a="1"/>
  <c r="L271" i="6" s="1"/>
  <c r="J273" i="6" l="1"/>
  <c r="L272" i="6" a="1"/>
  <c r="L272" i="6" s="1"/>
  <c r="K272" i="6" a="1"/>
  <c r="K272" i="6" s="1"/>
  <c r="N272" i="6" s="1"/>
  <c r="V225" i="6"/>
  <c r="U225" i="6"/>
  <c r="T226" i="6" a="1"/>
  <c r="T226" i="6" s="1"/>
  <c r="J274" i="6" l="1"/>
  <c r="L273" i="6" a="1"/>
  <c r="L273" i="6" s="1"/>
  <c r="K273" i="6" a="1"/>
  <c r="K273" i="6" s="1"/>
  <c r="N273" i="6" s="1"/>
  <c r="V226" i="6"/>
  <c r="U226" i="6"/>
  <c r="T227" i="6" a="1"/>
  <c r="T227" i="6" s="1"/>
  <c r="K274" i="6" l="1" a="1"/>
  <c r="K274" i="6" s="1"/>
  <c r="N274" i="6" s="1"/>
  <c r="J275" i="6"/>
  <c r="L274" i="6" a="1"/>
  <c r="L274" i="6" s="1"/>
  <c r="V227" i="6"/>
  <c r="U227" i="6"/>
  <c r="T228" i="6" a="1"/>
  <c r="T228" i="6" s="1"/>
  <c r="K275" i="6" l="1" a="1"/>
  <c r="K275" i="6" s="1"/>
  <c r="N275" i="6" s="1"/>
  <c r="J276" i="6"/>
  <c r="L275" i="6" a="1"/>
  <c r="L275" i="6" s="1"/>
  <c r="V228" i="6"/>
  <c r="U228" i="6"/>
  <c r="T229" i="6" a="1"/>
  <c r="T229" i="6" s="1"/>
  <c r="V229" i="6" l="1"/>
  <c r="U229" i="6"/>
  <c r="T230" i="6" a="1"/>
  <c r="T230" i="6" s="1"/>
  <c r="K276" i="6" a="1"/>
  <c r="K276" i="6" s="1"/>
  <c r="N276" i="6" s="1"/>
  <c r="J277" i="6"/>
  <c r="L276" i="6" a="1"/>
  <c r="L276" i="6" s="1"/>
  <c r="J278" i="6" l="1"/>
  <c r="L277" i="6" a="1"/>
  <c r="L277" i="6" s="1"/>
  <c r="K277" i="6" a="1"/>
  <c r="K277" i="6" s="1"/>
  <c r="N277" i="6" s="1"/>
  <c r="V230" i="6"/>
  <c r="U230" i="6"/>
  <c r="T231" i="6" a="1"/>
  <c r="T231" i="6" s="1"/>
  <c r="K278" i="6" l="1" a="1"/>
  <c r="K278" i="6" s="1"/>
  <c r="N278" i="6" s="1"/>
  <c r="L278" i="6" a="1"/>
  <c r="L278" i="6" s="1"/>
  <c r="J279" i="6"/>
  <c r="V231" i="6"/>
  <c r="U231" i="6"/>
  <c r="T232" i="6" a="1"/>
  <c r="T232" i="6" s="1"/>
  <c r="V232" i="6" l="1"/>
  <c r="U232" i="6"/>
  <c r="T233" i="6" a="1"/>
  <c r="T233" i="6" s="1"/>
  <c r="K279" i="6" a="1"/>
  <c r="K279" i="6" s="1"/>
  <c r="N279" i="6" s="1"/>
  <c r="J280" i="6"/>
  <c r="L279" i="6" a="1"/>
  <c r="L279" i="6" s="1"/>
  <c r="K280" i="6" l="1" a="1"/>
  <c r="K280" i="6" s="1"/>
  <c r="N280" i="6" s="1"/>
  <c r="L280" i="6" a="1"/>
  <c r="L280" i="6" s="1"/>
  <c r="J281" i="6"/>
  <c r="V233" i="6"/>
  <c r="U233" i="6"/>
  <c r="T234" i="6" a="1"/>
  <c r="T234" i="6" s="1"/>
  <c r="V234" i="6" l="1"/>
  <c r="U234" i="6"/>
  <c r="T235" i="6" a="1"/>
  <c r="T235" i="6" s="1"/>
  <c r="L281" i="6" a="1"/>
  <c r="L281" i="6" s="1"/>
  <c r="K281" i="6" a="1"/>
  <c r="K281" i="6" s="1"/>
  <c r="N281" i="6" s="1"/>
  <c r="J282" i="6"/>
  <c r="J283" i="6" l="1"/>
  <c r="K282" i="6" a="1"/>
  <c r="K282" i="6" s="1"/>
  <c r="N282" i="6" s="1"/>
  <c r="L282" i="6" a="1"/>
  <c r="L282" i="6" s="1"/>
  <c r="V235" i="6"/>
  <c r="U235" i="6"/>
  <c r="T236" i="6" a="1"/>
  <c r="T236" i="6" s="1"/>
  <c r="V236" i="6" l="1"/>
  <c r="U236" i="6"/>
  <c r="T237" i="6" a="1"/>
  <c r="T237" i="6" s="1"/>
  <c r="J284" i="6"/>
  <c r="L283" i="6" a="1"/>
  <c r="L283" i="6" s="1"/>
  <c r="K283" i="6" a="1"/>
  <c r="K283" i="6" s="1"/>
  <c r="N283" i="6" s="1"/>
  <c r="K284" i="6" l="1" a="1"/>
  <c r="K284" i="6" s="1"/>
  <c r="N284" i="6" s="1"/>
  <c r="J285" i="6"/>
  <c r="L284" i="6" a="1"/>
  <c r="L284" i="6" s="1"/>
  <c r="U237" i="6"/>
  <c r="V237" i="6"/>
  <c r="T238" i="6" a="1"/>
  <c r="T238" i="6" s="1"/>
  <c r="V238" i="6" l="1"/>
  <c r="U238" i="6"/>
  <c r="T239" i="6" a="1"/>
  <c r="T239" i="6" s="1"/>
  <c r="K285" i="6" a="1"/>
  <c r="K285" i="6" s="1"/>
  <c r="N285" i="6" s="1"/>
  <c r="J286" i="6"/>
  <c r="L285" i="6" a="1"/>
  <c r="L285" i="6" s="1"/>
  <c r="K286" i="6" l="1" a="1"/>
  <c r="K286" i="6" s="1"/>
  <c r="N286" i="6" s="1"/>
  <c r="J287" i="6"/>
  <c r="L286" i="6" a="1"/>
  <c r="L286" i="6" s="1"/>
  <c r="U239" i="6"/>
  <c r="V239" i="6"/>
  <c r="T240" i="6" a="1"/>
  <c r="T240" i="6" s="1"/>
  <c r="J288" i="6" l="1"/>
  <c r="L287" i="6" a="1"/>
  <c r="L287" i="6" s="1"/>
  <c r="K287" i="6" a="1"/>
  <c r="K287" i="6" s="1"/>
  <c r="N287" i="6" s="1"/>
  <c r="V240" i="6"/>
  <c r="U240" i="6"/>
  <c r="T241" i="6" a="1"/>
  <c r="T241" i="6" s="1"/>
  <c r="U241" i="6" l="1"/>
  <c r="V241" i="6"/>
  <c r="T242" i="6" a="1"/>
  <c r="T242" i="6" s="1"/>
  <c r="K288" i="6" a="1"/>
  <c r="K288" i="6" s="1"/>
  <c r="N288" i="6" s="1"/>
  <c r="L288" i="6" a="1"/>
  <c r="L288" i="6" s="1"/>
  <c r="J289" i="6"/>
  <c r="J290" i="6" l="1"/>
  <c r="L289" i="6" a="1"/>
  <c r="L289" i="6" s="1"/>
  <c r="K289" i="6" a="1"/>
  <c r="K289" i="6" s="1"/>
  <c r="N289" i="6" s="1"/>
  <c r="V242" i="6"/>
  <c r="U242" i="6"/>
  <c r="T243" i="6" a="1"/>
  <c r="T243" i="6" s="1"/>
  <c r="U243" i="6" l="1"/>
  <c r="V243" i="6"/>
  <c r="T244" i="6" a="1"/>
  <c r="T244" i="6" s="1"/>
  <c r="L290" i="6" a="1"/>
  <c r="L290" i="6" s="1"/>
  <c r="K290" i="6" a="1"/>
  <c r="K290" i="6" s="1"/>
  <c r="N290" i="6" s="1"/>
  <c r="J291" i="6"/>
  <c r="J292" i="6" l="1"/>
  <c r="K291" i="6" a="1"/>
  <c r="K291" i="6" s="1"/>
  <c r="N291" i="6" s="1"/>
  <c r="L291" i="6" a="1"/>
  <c r="L291" i="6" s="1"/>
  <c r="V244" i="6"/>
  <c r="U244" i="6"/>
  <c r="T245" i="6" a="1"/>
  <c r="T245" i="6" s="1"/>
  <c r="U245" i="6" l="1"/>
  <c r="V245" i="6"/>
  <c r="T246" i="6" a="1"/>
  <c r="T246" i="6" s="1"/>
  <c r="L292" i="6" a="1"/>
  <c r="L292" i="6" s="1"/>
  <c r="J293" i="6"/>
  <c r="K292" i="6" a="1"/>
  <c r="K292" i="6" s="1"/>
  <c r="N292" i="6" s="1"/>
  <c r="J294" i="6" l="1"/>
  <c r="K293" i="6" a="1"/>
  <c r="K293" i="6" s="1"/>
  <c r="N293" i="6" s="1"/>
  <c r="L293" i="6" a="1"/>
  <c r="L293" i="6" s="1"/>
  <c r="V246" i="6"/>
  <c r="U246" i="6"/>
  <c r="T247" i="6" a="1"/>
  <c r="T247" i="6" s="1"/>
  <c r="J295" i="6" l="1"/>
  <c r="K294" i="6" a="1"/>
  <c r="K294" i="6" s="1"/>
  <c r="N294" i="6" s="1"/>
  <c r="L294" i="6" a="1"/>
  <c r="L294" i="6" s="1"/>
  <c r="U247" i="6"/>
  <c r="V247" i="6"/>
  <c r="T248" i="6" a="1"/>
  <c r="T248" i="6" s="1"/>
  <c r="J296" i="6" l="1"/>
  <c r="L295" i="6" a="1"/>
  <c r="L295" i="6" s="1"/>
  <c r="K295" i="6" a="1"/>
  <c r="K295" i="6" s="1"/>
  <c r="N295" i="6" s="1"/>
  <c r="V248" i="6"/>
  <c r="U248" i="6"/>
  <c r="T249" i="6" a="1"/>
  <c r="T249" i="6" s="1"/>
  <c r="K296" i="6" l="1" a="1"/>
  <c r="K296" i="6" s="1"/>
  <c r="N296" i="6" s="1"/>
  <c r="L296" i="6" a="1"/>
  <c r="L296" i="6" s="1"/>
  <c r="J297" i="6"/>
  <c r="U249" i="6"/>
  <c r="V249" i="6"/>
  <c r="T250" i="6" a="1"/>
  <c r="T250" i="6" s="1"/>
  <c r="V250" i="6" l="1"/>
  <c r="U250" i="6"/>
  <c r="T251" i="6" a="1"/>
  <c r="T251" i="6" s="1"/>
  <c r="J298" i="6"/>
  <c r="K297" i="6" a="1"/>
  <c r="K297" i="6" s="1"/>
  <c r="N297" i="6" s="1"/>
  <c r="L297" i="6" a="1"/>
  <c r="L297" i="6" s="1"/>
  <c r="K298" i="6" l="1" a="1"/>
  <c r="K298" i="6" s="1"/>
  <c r="N298" i="6" s="1"/>
  <c r="J299" i="6"/>
  <c r="L298" i="6" a="1"/>
  <c r="L298" i="6" s="1"/>
  <c r="U251" i="6"/>
  <c r="V251" i="6"/>
  <c r="T252" i="6" a="1"/>
  <c r="T252" i="6" s="1"/>
  <c r="L299" i="6" l="1" a="1"/>
  <c r="L299" i="6" s="1"/>
  <c r="K299" i="6" a="1"/>
  <c r="K299" i="6" s="1"/>
  <c r="N299" i="6" s="1"/>
  <c r="J300" i="6"/>
  <c r="U252" i="6"/>
  <c r="V252" i="6"/>
  <c r="T253" i="6" a="1"/>
  <c r="T253" i="6" s="1"/>
  <c r="U253" i="6" l="1"/>
  <c r="V253" i="6"/>
  <c r="T254" i="6" a="1"/>
  <c r="T254" i="6" s="1"/>
  <c r="L300" i="6" a="1"/>
  <c r="L300" i="6" s="1"/>
  <c r="J301" i="6"/>
  <c r="K300" i="6" a="1"/>
  <c r="K300" i="6" s="1"/>
  <c r="N300" i="6" s="1"/>
  <c r="K301" i="6" l="1" a="1"/>
  <c r="K301" i="6" s="1"/>
  <c r="N301" i="6" s="1"/>
  <c r="J302" i="6"/>
  <c r="L301" i="6" a="1"/>
  <c r="L301" i="6" s="1"/>
  <c r="U254" i="6"/>
  <c r="V254" i="6"/>
  <c r="T255" i="6" a="1"/>
  <c r="T255" i="6" s="1"/>
  <c r="U255" i="6" l="1"/>
  <c r="V255" i="6"/>
  <c r="T256" i="6" a="1"/>
  <c r="T256" i="6" s="1"/>
  <c r="K302" i="6" a="1"/>
  <c r="K302" i="6" s="1"/>
  <c r="N302" i="6" s="1"/>
  <c r="L302" i="6" a="1"/>
  <c r="L302" i="6" s="1"/>
  <c r="J303" i="6"/>
  <c r="L303" i="6" l="1" a="1"/>
  <c r="L303" i="6" s="1"/>
  <c r="K303" i="6" a="1"/>
  <c r="K303" i="6" s="1"/>
  <c r="N303" i="6" s="1"/>
  <c r="J304" i="6"/>
  <c r="U256" i="6"/>
  <c r="V256" i="6"/>
  <c r="T257" i="6" a="1"/>
  <c r="T257" i="6" s="1"/>
  <c r="U257" i="6" l="1"/>
  <c r="V257" i="6"/>
  <c r="T258" i="6" a="1"/>
  <c r="T258" i="6" s="1"/>
  <c r="K304" i="6" a="1"/>
  <c r="K304" i="6" s="1"/>
  <c r="N304" i="6" s="1"/>
  <c r="J305" i="6"/>
  <c r="L304" i="6" a="1"/>
  <c r="L304" i="6" s="1"/>
  <c r="U258" i="6" l="1"/>
  <c r="V258" i="6"/>
  <c r="T259" i="6" a="1"/>
  <c r="T259" i="6" s="1"/>
  <c r="L305" i="6" a="1"/>
  <c r="L305" i="6" s="1"/>
  <c r="J306" i="6"/>
  <c r="K305" i="6" a="1"/>
  <c r="K305" i="6" s="1"/>
  <c r="N305" i="6" s="1"/>
  <c r="L306" i="6" l="1" a="1"/>
  <c r="L306" i="6" s="1"/>
  <c r="J307" i="6"/>
  <c r="K306" i="6" a="1"/>
  <c r="K306" i="6" s="1"/>
  <c r="N306" i="6" s="1"/>
  <c r="U259" i="6"/>
  <c r="V259" i="6"/>
  <c r="T260" i="6" a="1"/>
  <c r="T260" i="6" s="1"/>
  <c r="U260" i="6" l="1"/>
  <c r="V260" i="6"/>
  <c r="T261" i="6" a="1"/>
  <c r="T261" i="6" s="1"/>
  <c r="K307" i="6" a="1"/>
  <c r="K307" i="6" s="1"/>
  <c r="N307" i="6" s="1"/>
  <c r="L307" i="6" a="1"/>
  <c r="L307" i="6" s="1"/>
  <c r="J308" i="6"/>
  <c r="K308" i="6" l="1" a="1"/>
  <c r="K308" i="6" s="1"/>
  <c r="N308" i="6" s="1"/>
  <c r="L308" i="6" a="1"/>
  <c r="L308" i="6" s="1"/>
  <c r="J309" i="6"/>
  <c r="U261" i="6"/>
  <c r="V261" i="6"/>
  <c r="T262" i="6" a="1"/>
  <c r="T262" i="6" s="1"/>
  <c r="U262" i="6" l="1"/>
  <c r="V262" i="6"/>
  <c r="T263" i="6" a="1"/>
  <c r="T263" i="6" s="1"/>
  <c r="J310" i="6"/>
  <c r="L309" i="6" a="1"/>
  <c r="L309" i="6" s="1"/>
  <c r="K309" i="6" a="1"/>
  <c r="K309" i="6" s="1"/>
  <c r="N309" i="6" s="1"/>
  <c r="U263" i="6" l="1"/>
  <c r="V263" i="6"/>
  <c r="T264" i="6" a="1"/>
  <c r="T264" i="6" s="1"/>
  <c r="K310" i="6" a="1"/>
  <c r="K310" i="6" s="1"/>
  <c r="N310" i="6" s="1"/>
  <c r="L310" i="6" a="1"/>
  <c r="L310" i="6" s="1"/>
  <c r="J311" i="6"/>
  <c r="L311" i="6" l="1" a="1"/>
  <c r="L311" i="6" s="1"/>
  <c r="J312" i="6"/>
  <c r="K311" i="6" a="1"/>
  <c r="K311" i="6" s="1"/>
  <c r="N311" i="6" s="1"/>
  <c r="U264" i="6"/>
  <c r="V264" i="6"/>
  <c r="T265" i="6" a="1"/>
  <c r="T265" i="6" s="1"/>
  <c r="U265" i="6" l="1"/>
  <c r="V265" i="6"/>
  <c r="T266" i="6" a="1"/>
  <c r="T266" i="6" s="1"/>
  <c r="L312" i="6" a="1"/>
  <c r="L312" i="6" s="1"/>
  <c r="J313" i="6"/>
  <c r="K312" i="6" a="1"/>
  <c r="K312" i="6" s="1"/>
  <c r="N312" i="6" s="1"/>
  <c r="K313" i="6" l="1" a="1"/>
  <c r="K313" i="6" s="1"/>
  <c r="N313" i="6" s="1"/>
  <c r="J314" i="6"/>
  <c r="L313" i="6" a="1"/>
  <c r="L313" i="6" s="1"/>
  <c r="U266" i="6"/>
  <c r="V266" i="6"/>
  <c r="T267" i="6" a="1"/>
  <c r="T267" i="6" s="1"/>
  <c r="L314" i="6" l="1" a="1"/>
  <c r="L314" i="6" s="1"/>
  <c r="J315" i="6"/>
  <c r="K314" i="6" a="1"/>
  <c r="K314" i="6" s="1"/>
  <c r="N314" i="6" s="1"/>
  <c r="U267" i="6"/>
  <c r="V267" i="6"/>
  <c r="T268" i="6" a="1"/>
  <c r="T268" i="6" s="1"/>
  <c r="U268" i="6" l="1"/>
  <c r="V268" i="6"/>
  <c r="T269" i="6" a="1"/>
  <c r="T269" i="6" s="1"/>
  <c r="K315" i="6" a="1"/>
  <c r="K315" i="6" s="1"/>
  <c r="N315" i="6" s="1"/>
  <c r="L315" i="6" a="1"/>
  <c r="L315" i="6" s="1"/>
  <c r="J316" i="6"/>
  <c r="J317" i="6" l="1"/>
  <c r="K316" i="6" a="1"/>
  <c r="K316" i="6" s="1"/>
  <c r="N316" i="6" s="1"/>
  <c r="L316" i="6" a="1"/>
  <c r="L316" i="6" s="1"/>
  <c r="U269" i="6"/>
  <c r="V269" i="6"/>
  <c r="T270" i="6" a="1"/>
  <c r="T270" i="6" s="1"/>
  <c r="K317" i="6" l="1" a="1"/>
  <c r="K317" i="6" s="1"/>
  <c r="N317" i="6" s="1"/>
  <c r="J318" i="6"/>
  <c r="L317" i="6" a="1"/>
  <c r="L317" i="6" s="1"/>
  <c r="U270" i="6"/>
  <c r="V270" i="6"/>
  <c r="T271" i="6" a="1"/>
  <c r="T271" i="6" s="1"/>
  <c r="U271" i="6" l="1"/>
  <c r="V271" i="6"/>
  <c r="T272" i="6" a="1"/>
  <c r="T272" i="6" s="1"/>
  <c r="L318" i="6" a="1"/>
  <c r="L318" i="6" s="1"/>
  <c r="J319" i="6"/>
  <c r="K318" i="6" a="1"/>
  <c r="K318" i="6" s="1"/>
  <c r="N318" i="6" s="1"/>
  <c r="J320" i="6" l="1"/>
  <c r="K319" i="6" a="1"/>
  <c r="K319" i="6" s="1"/>
  <c r="N319" i="6" s="1"/>
  <c r="L319" i="6" a="1"/>
  <c r="L319" i="6" s="1"/>
  <c r="U272" i="6"/>
  <c r="V272" i="6"/>
  <c r="T273" i="6" a="1"/>
  <c r="T273" i="6" s="1"/>
  <c r="J321" i="6" l="1"/>
  <c r="L320" i="6" a="1"/>
  <c r="L320" i="6" s="1"/>
  <c r="K320" i="6" a="1"/>
  <c r="K320" i="6" s="1"/>
  <c r="N320" i="6" s="1"/>
  <c r="U273" i="6"/>
  <c r="V273" i="6"/>
  <c r="T274" i="6" a="1"/>
  <c r="T274" i="6" s="1"/>
  <c r="L321" i="6" l="1" a="1"/>
  <c r="L321" i="6" s="1"/>
  <c r="J322" i="6"/>
  <c r="K321" i="6" a="1"/>
  <c r="K321" i="6" s="1"/>
  <c r="N321" i="6" s="1"/>
  <c r="U274" i="6"/>
  <c r="V274" i="6"/>
  <c r="T275" i="6" a="1"/>
  <c r="T275" i="6" s="1"/>
  <c r="L322" i="6" l="1" a="1"/>
  <c r="L322" i="6" s="1"/>
  <c r="J323" i="6"/>
  <c r="K322" i="6" a="1"/>
  <c r="K322" i="6" s="1"/>
  <c r="N322" i="6" s="1"/>
  <c r="U275" i="6"/>
  <c r="V275" i="6"/>
  <c r="T276" i="6" a="1"/>
  <c r="T276" i="6" s="1"/>
  <c r="U276" i="6" l="1"/>
  <c r="V276" i="6"/>
  <c r="T277" i="6" a="1"/>
  <c r="T277" i="6" s="1"/>
  <c r="L323" i="6" a="1"/>
  <c r="L323" i="6" s="1"/>
  <c r="K323" i="6" a="1"/>
  <c r="K323" i="6" s="1"/>
  <c r="N323" i="6" s="1"/>
  <c r="J324" i="6"/>
  <c r="J325" i="6" l="1"/>
  <c r="K324" i="6" a="1"/>
  <c r="K324" i="6" s="1"/>
  <c r="N324" i="6" s="1"/>
  <c r="L324" i="6" a="1"/>
  <c r="L324" i="6" s="1"/>
  <c r="U277" i="6"/>
  <c r="V277" i="6"/>
  <c r="T278" i="6" a="1"/>
  <c r="T278" i="6" s="1"/>
  <c r="L325" i="6" l="1" a="1"/>
  <c r="L325" i="6" s="1"/>
  <c r="K325" i="6" a="1"/>
  <c r="K325" i="6" s="1"/>
  <c r="N325" i="6" s="1"/>
  <c r="J326" i="6"/>
  <c r="U278" i="6"/>
  <c r="V278" i="6"/>
  <c r="T279" i="6" a="1"/>
  <c r="T279" i="6" s="1"/>
  <c r="U279" i="6" l="1"/>
  <c r="V279" i="6"/>
  <c r="T280" i="6" a="1"/>
  <c r="T280" i="6" s="1"/>
  <c r="L326" i="6" a="1"/>
  <c r="L326" i="6" s="1"/>
  <c r="J327" i="6"/>
  <c r="K326" i="6" a="1"/>
  <c r="K326" i="6" s="1"/>
  <c r="N326" i="6" s="1"/>
  <c r="K327" i="6" l="1" a="1"/>
  <c r="K327" i="6" s="1"/>
  <c r="N327" i="6" s="1"/>
  <c r="J328" i="6"/>
  <c r="L327" i="6" a="1"/>
  <c r="L327" i="6" s="1"/>
  <c r="U280" i="6"/>
  <c r="V280" i="6"/>
  <c r="T281" i="6" a="1"/>
  <c r="T281" i="6" s="1"/>
  <c r="U281" i="6" l="1"/>
  <c r="V281" i="6"/>
  <c r="T282" i="6" a="1"/>
  <c r="T282" i="6" s="1"/>
  <c r="J329" i="6"/>
  <c r="K328" i="6" a="1"/>
  <c r="K328" i="6" s="1"/>
  <c r="N328" i="6" s="1"/>
  <c r="L328" i="6" a="1"/>
  <c r="L328" i="6" s="1"/>
  <c r="U282" i="6" l="1"/>
  <c r="V282" i="6"/>
  <c r="T283" i="6" a="1"/>
  <c r="T283" i="6" s="1"/>
  <c r="L329" i="6" a="1"/>
  <c r="L329" i="6" s="1"/>
  <c r="K329" i="6" a="1"/>
  <c r="K329" i="6" s="1"/>
  <c r="N329" i="6" s="1"/>
  <c r="J330" i="6"/>
  <c r="L330" i="6" l="1" a="1"/>
  <c r="L330" i="6" s="1"/>
  <c r="J331" i="6"/>
  <c r="K330" i="6" a="1"/>
  <c r="K330" i="6" s="1"/>
  <c r="N330" i="6" s="1"/>
  <c r="U283" i="6"/>
  <c r="V283" i="6"/>
  <c r="T284" i="6" a="1"/>
  <c r="T284" i="6" s="1"/>
  <c r="U284" i="6" l="1"/>
  <c r="V284" i="6"/>
  <c r="T285" i="6" a="1"/>
  <c r="T285" i="6" s="1"/>
  <c r="K331" i="6" a="1"/>
  <c r="K331" i="6" s="1"/>
  <c r="N331" i="6" s="1"/>
  <c r="L331" i="6" a="1"/>
  <c r="L331" i="6" s="1"/>
  <c r="J332" i="6"/>
  <c r="U285" i="6" l="1"/>
  <c r="V285" i="6"/>
  <c r="T286" i="6" a="1"/>
  <c r="T286" i="6" s="1"/>
  <c r="K332" i="6" a="1"/>
  <c r="K332" i="6" s="1"/>
  <c r="N332" i="6" s="1"/>
  <c r="J333" i="6"/>
  <c r="L332" i="6" a="1"/>
  <c r="L332" i="6" s="1"/>
  <c r="J334" i="6" l="1"/>
  <c r="K333" i="6" a="1"/>
  <c r="K333" i="6" s="1"/>
  <c r="N333" i="6" s="1"/>
  <c r="L333" i="6" a="1"/>
  <c r="L333" i="6" s="1"/>
  <c r="U286" i="6"/>
  <c r="V286" i="6"/>
  <c r="T287" i="6" a="1"/>
  <c r="T287" i="6" s="1"/>
  <c r="L334" i="6" l="1" a="1"/>
  <c r="L334" i="6" s="1"/>
  <c r="J335" i="6"/>
  <c r="K334" i="6" a="1"/>
  <c r="K334" i="6" s="1"/>
  <c r="N334" i="6" s="1"/>
  <c r="U287" i="6"/>
  <c r="V287" i="6"/>
  <c r="T288" i="6" a="1"/>
  <c r="T288" i="6" s="1"/>
  <c r="U288" i="6" l="1"/>
  <c r="V288" i="6"/>
  <c r="T289" i="6" a="1"/>
  <c r="T289" i="6" s="1"/>
  <c r="K335" i="6" a="1"/>
  <c r="K335" i="6" s="1"/>
  <c r="N335" i="6" s="1"/>
  <c r="J336" i="6"/>
  <c r="L335" i="6" a="1"/>
  <c r="L335" i="6" s="1"/>
  <c r="K336" i="6" l="1" a="1"/>
  <c r="K336" i="6" s="1"/>
  <c r="N336" i="6" s="1"/>
  <c r="J337" i="6"/>
  <c r="L336" i="6" a="1"/>
  <c r="L336" i="6" s="1"/>
  <c r="U289" i="6"/>
  <c r="V289" i="6"/>
  <c r="T290" i="6" a="1"/>
  <c r="T290" i="6" s="1"/>
  <c r="U290" i="6" l="1"/>
  <c r="V290" i="6"/>
  <c r="T291" i="6" a="1"/>
  <c r="T291" i="6" s="1"/>
  <c r="L337" i="6" a="1"/>
  <c r="L337" i="6" s="1"/>
  <c r="K337" i="6" a="1"/>
  <c r="K337" i="6" s="1"/>
  <c r="N337" i="6" s="1"/>
  <c r="J338" i="6"/>
  <c r="J339" i="6" l="1"/>
  <c r="K338" i="6" a="1"/>
  <c r="K338" i="6" s="1"/>
  <c r="N338" i="6" s="1"/>
  <c r="L338" i="6" a="1"/>
  <c r="L338" i="6" s="1"/>
  <c r="U291" i="6"/>
  <c r="V291" i="6"/>
  <c r="T292" i="6" a="1"/>
  <c r="T292" i="6" s="1"/>
  <c r="K339" i="6" l="1" a="1"/>
  <c r="K339" i="6" s="1"/>
  <c r="N339" i="6" s="1"/>
  <c r="J340" i="6"/>
  <c r="L339" i="6" a="1"/>
  <c r="L339" i="6" s="1"/>
  <c r="U292" i="6"/>
  <c r="V292" i="6"/>
  <c r="T293" i="6" a="1"/>
  <c r="T293" i="6" s="1"/>
  <c r="L340" i="6" l="1" a="1"/>
  <c r="L340" i="6" s="1"/>
  <c r="K340" i="6" a="1"/>
  <c r="K340" i="6" s="1"/>
  <c r="N340" i="6" s="1"/>
  <c r="J341" i="6"/>
  <c r="U293" i="6"/>
  <c r="V293" i="6"/>
  <c r="T294" i="6" a="1"/>
  <c r="T294" i="6" s="1"/>
  <c r="U294" i="6" l="1"/>
  <c r="V294" i="6"/>
  <c r="T295" i="6" a="1"/>
  <c r="T295" i="6" s="1"/>
  <c r="L341" i="6" a="1"/>
  <c r="L341" i="6" s="1"/>
  <c r="J342" i="6"/>
  <c r="K341" i="6" a="1"/>
  <c r="K341" i="6" s="1"/>
  <c r="N341" i="6" s="1"/>
  <c r="J343" i="6" l="1"/>
  <c r="L342" i="6" a="1"/>
  <c r="L342" i="6" s="1"/>
  <c r="K342" i="6" a="1"/>
  <c r="K342" i="6" s="1"/>
  <c r="N342" i="6" s="1"/>
  <c r="U295" i="6"/>
  <c r="V295" i="6"/>
  <c r="T296" i="6" a="1"/>
  <c r="T296" i="6" s="1"/>
  <c r="K343" i="6" l="1" a="1"/>
  <c r="K343" i="6" s="1"/>
  <c r="N343" i="6" s="1"/>
  <c r="J344" i="6"/>
  <c r="L343" i="6" a="1"/>
  <c r="L343" i="6" s="1"/>
  <c r="U296" i="6"/>
  <c r="V296" i="6"/>
  <c r="T297" i="6" a="1"/>
  <c r="T297" i="6" s="1"/>
  <c r="K344" i="6" l="1" a="1"/>
  <c r="K344" i="6" s="1"/>
  <c r="N344" i="6" s="1"/>
  <c r="L344" i="6" a="1"/>
  <c r="L344" i="6" s="1"/>
  <c r="J345" i="6"/>
  <c r="U297" i="6"/>
  <c r="V297" i="6"/>
  <c r="T298" i="6" a="1"/>
  <c r="T298" i="6" s="1"/>
  <c r="U298" i="6" l="1"/>
  <c r="V298" i="6"/>
  <c r="T299" i="6" a="1"/>
  <c r="T299" i="6" s="1"/>
  <c r="K345" i="6" a="1"/>
  <c r="K345" i="6" s="1"/>
  <c r="N345" i="6" s="1"/>
  <c r="J346" i="6"/>
  <c r="L345" i="6" a="1"/>
  <c r="L345" i="6" s="1"/>
  <c r="V299" i="6" l="1"/>
  <c r="U299" i="6"/>
  <c r="T300" i="6" a="1"/>
  <c r="T300" i="6" s="1"/>
  <c r="J347" i="6"/>
  <c r="K346" i="6" a="1"/>
  <c r="K346" i="6" s="1"/>
  <c r="N346" i="6" s="1"/>
  <c r="L346" i="6" a="1"/>
  <c r="L346" i="6" s="1"/>
  <c r="K347" i="6" l="1" a="1"/>
  <c r="K347" i="6" s="1"/>
  <c r="N347" i="6" s="1"/>
  <c r="J348" i="6"/>
  <c r="L347" i="6" a="1"/>
  <c r="L347" i="6" s="1"/>
  <c r="U300" i="6"/>
  <c r="V300" i="6"/>
  <c r="T301" i="6" a="1"/>
  <c r="T301" i="6" s="1"/>
  <c r="U301" i="6" l="1"/>
  <c r="V301" i="6"/>
  <c r="T302" i="6" a="1"/>
  <c r="T302" i="6" s="1"/>
  <c r="K348" i="6" a="1"/>
  <c r="K348" i="6" s="1"/>
  <c r="N348" i="6" s="1"/>
  <c r="L348" i="6" a="1"/>
  <c r="L348" i="6" s="1"/>
  <c r="J349" i="6"/>
  <c r="L349" i="6" l="1" a="1"/>
  <c r="L349" i="6" s="1"/>
  <c r="K349" i="6" a="1"/>
  <c r="K349" i="6" s="1"/>
  <c r="N349" i="6" s="1"/>
  <c r="J350" i="6"/>
  <c r="U302" i="6"/>
  <c r="V302" i="6"/>
  <c r="T303" i="6" a="1"/>
  <c r="T303" i="6" s="1"/>
  <c r="V303" i="6" l="1"/>
  <c r="U303" i="6"/>
  <c r="T304" i="6" a="1"/>
  <c r="T304" i="6" s="1"/>
  <c r="J351" i="6"/>
  <c r="K350" i="6" a="1"/>
  <c r="K350" i="6" s="1"/>
  <c r="N350" i="6" s="1"/>
  <c r="L350" i="6" a="1"/>
  <c r="L350" i="6" s="1"/>
  <c r="K351" i="6" l="1" a="1"/>
  <c r="K351" i="6" s="1"/>
  <c r="N351" i="6" s="1"/>
  <c r="J352" i="6"/>
  <c r="L351" i="6" a="1"/>
  <c r="L351" i="6" s="1"/>
  <c r="U304" i="6"/>
  <c r="V304" i="6"/>
  <c r="T305" i="6" a="1"/>
  <c r="T305" i="6" s="1"/>
  <c r="K352" i="6" l="1" a="1"/>
  <c r="K352" i="6" s="1"/>
  <c r="N352" i="6" s="1"/>
  <c r="J353" i="6"/>
  <c r="L352" i="6" a="1"/>
  <c r="L352" i="6" s="1"/>
  <c r="U305" i="6"/>
  <c r="V305" i="6"/>
  <c r="T306" i="6" a="1"/>
  <c r="T306" i="6" s="1"/>
  <c r="U306" i="6" l="1"/>
  <c r="V306" i="6"/>
  <c r="T307" i="6" a="1"/>
  <c r="T307" i="6" s="1"/>
  <c r="J354" i="6"/>
  <c r="K353" i="6" a="1"/>
  <c r="K353" i="6" s="1"/>
  <c r="N353" i="6" s="1"/>
  <c r="L353" i="6" a="1"/>
  <c r="L353" i="6" s="1"/>
  <c r="U307" i="6" l="1"/>
  <c r="V307" i="6"/>
  <c r="T308" i="6" a="1"/>
  <c r="T308" i="6" s="1"/>
  <c r="L354" i="6" a="1"/>
  <c r="L354" i="6" s="1"/>
  <c r="K354" i="6" a="1"/>
  <c r="K354" i="6" s="1"/>
  <c r="N354" i="6" s="1"/>
  <c r="J355" i="6"/>
  <c r="U308" i="6" l="1"/>
  <c r="V308" i="6"/>
  <c r="T309" i="6" a="1"/>
  <c r="T309" i="6" s="1"/>
  <c r="K355" i="6" a="1"/>
  <c r="K355" i="6" s="1"/>
  <c r="N355" i="6" s="1"/>
  <c r="L355" i="6" a="1"/>
  <c r="L355" i="6" s="1"/>
  <c r="J356" i="6"/>
  <c r="U309" i="6" l="1"/>
  <c r="V309" i="6"/>
  <c r="T310" i="6" a="1"/>
  <c r="T310" i="6" s="1"/>
  <c r="J357" i="6"/>
  <c r="K356" i="6" a="1"/>
  <c r="K356" i="6" s="1"/>
  <c r="N356" i="6" s="1"/>
  <c r="L356" i="6" a="1"/>
  <c r="L356" i="6" s="1"/>
  <c r="J358" i="6" l="1"/>
  <c r="K357" i="6" a="1"/>
  <c r="K357" i="6" s="1"/>
  <c r="N357" i="6" s="1"/>
  <c r="L357" i="6" a="1"/>
  <c r="L357" i="6" s="1"/>
  <c r="V310" i="6"/>
  <c r="U310" i="6"/>
  <c r="T311" i="6" a="1"/>
  <c r="T311" i="6" s="1"/>
  <c r="K358" i="6" l="1" a="1"/>
  <c r="K358" i="6" s="1"/>
  <c r="N358" i="6" s="1"/>
  <c r="J359" i="6"/>
  <c r="L358" i="6" a="1"/>
  <c r="L358" i="6" s="1"/>
  <c r="V311" i="6"/>
  <c r="U311" i="6"/>
  <c r="T312" i="6" a="1"/>
  <c r="T312" i="6" s="1"/>
  <c r="U312" i="6" l="1"/>
  <c r="V312" i="6"/>
  <c r="T313" i="6" a="1"/>
  <c r="T313" i="6" s="1"/>
  <c r="L359" i="6" a="1"/>
  <c r="L359" i="6" s="1"/>
  <c r="J360" i="6"/>
  <c r="K359" i="6" a="1"/>
  <c r="K359" i="6" s="1"/>
  <c r="N359" i="6" s="1"/>
  <c r="L360" i="6" l="1" a="1"/>
  <c r="L360" i="6" s="1"/>
  <c r="K360" i="6" a="1"/>
  <c r="K360" i="6" s="1"/>
  <c r="N360" i="6" s="1"/>
  <c r="J361" i="6"/>
  <c r="U313" i="6"/>
  <c r="V313" i="6"/>
  <c r="T314" i="6" a="1"/>
  <c r="T314" i="6" s="1"/>
  <c r="V314" i="6" l="1"/>
  <c r="U314" i="6"/>
  <c r="T315" i="6" a="1"/>
  <c r="T315" i="6" s="1"/>
  <c r="J362" i="6"/>
  <c r="L361" i="6" a="1"/>
  <c r="L361" i="6" s="1"/>
  <c r="K361" i="6" a="1"/>
  <c r="K361" i="6" s="1"/>
  <c r="N361" i="6" s="1"/>
  <c r="L362" i="6" l="1" a="1"/>
  <c r="L362" i="6" s="1"/>
  <c r="J363" i="6"/>
  <c r="K362" i="6" a="1"/>
  <c r="K362" i="6" s="1"/>
  <c r="N362" i="6" s="1"/>
  <c r="V315" i="6"/>
  <c r="U315" i="6"/>
  <c r="T316" i="6" a="1"/>
  <c r="T316" i="6" s="1"/>
  <c r="U316" i="6" l="1"/>
  <c r="V316" i="6"/>
  <c r="T317" i="6" a="1"/>
  <c r="T317" i="6" s="1"/>
  <c r="L363" i="6" a="1"/>
  <c r="L363" i="6" s="1"/>
  <c r="K363" i="6" a="1"/>
  <c r="K363" i="6" s="1"/>
  <c r="N363" i="6" s="1"/>
  <c r="J364" i="6"/>
  <c r="U317" i="6" l="1"/>
  <c r="V317" i="6"/>
  <c r="T318" i="6" a="1"/>
  <c r="T318" i="6" s="1"/>
  <c r="L364" i="6" a="1"/>
  <c r="L364" i="6" s="1"/>
  <c r="J365" i="6"/>
  <c r="K364" i="6" a="1"/>
  <c r="K364" i="6" s="1"/>
  <c r="N364" i="6" s="1"/>
  <c r="V318" i="6" l="1"/>
  <c r="U318" i="6"/>
  <c r="T319" i="6" a="1"/>
  <c r="T319" i="6" s="1"/>
  <c r="K365" i="6" a="1"/>
  <c r="K365" i="6" s="1"/>
  <c r="N365" i="6" s="1"/>
  <c r="L365" i="6" a="1"/>
  <c r="L365" i="6" s="1"/>
  <c r="J366" i="6"/>
  <c r="L366" i="6" l="1" a="1"/>
  <c r="L366" i="6" s="1"/>
  <c r="K366" i="6" a="1"/>
  <c r="K366" i="6" s="1"/>
  <c r="N366" i="6" s="1"/>
  <c r="J367" i="6"/>
  <c r="U319" i="6"/>
  <c r="V319" i="6"/>
  <c r="T320" i="6" a="1"/>
  <c r="T320" i="6" s="1"/>
  <c r="U320" i="6" l="1"/>
  <c r="V320" i="6"/>
  <c r="T321" i="6" a="1"/>
  <c r="T321" i="6" s="1"/>
  <c r="L367" i="6" a="1"/>
  <c r="L367" i="6" s="1"/>
  <c r="J368" i="6"/>
  <c r="K367" i="6" a="1"/>
  <c r="K367" i="6" s="1"/>
  <c r="N367" i="6" s="1"/>
  <c r="J369" i="6" l="1"/>
  <c r="K368" i="6" a="1"/>
  <c r="K368" i="6" s="1"/>
  <c r="N368" i="6" s="1"/>
  <c r="L368" i="6" a="1"/>
  <c r="L368" i="6" s="1"/>
  <c r="V321" i="6"/>
  <c r="U321" i="6"/>
  <c r="T322" i="6" a="1"/>
  <c r="T322" i="6" s="1"/>
  <c r="K369" i="6" l="1" a="1"/>
  <c r="K369" i="6" s="1"/>
  <c r="N369" i="6" s="1"/>
  <c r="L369" i="6" a="1"/>
  <c r="L369" i="6" s="1"/>
  <c r="J370" i="6"/>
  <c r="V322" i="6"/>
  <c r="U322" i="6"/>
  <c r="T323" i="6" a="1"/>
  <c r="T323" i="6" s="1"/>
  <c r="U323" i="6" l="1"/>
  <c r="V323" i="6"/>
  <c r="T324" i="6" a="1"/>
  <c r="T324" i="6" s="1"/>
  <c r="K370" i="6" a="1"/>
  <c r="K370" i="6" s="1"/>
  <c r="N370" i="6" s="1"/>
  <c r="L370" i="6" a="1"/>
  <c r="L370" i="6" s="1"/>
  <c r="J371" i="6"/>
  <c r="K371" i="6" l="1" a="1"/>
  <c r="K371" i="6" s="1"/>
  <c r="N371" i="6" s="1"/>
  <c r="L371" i="6" a="1"/>
  <c r="L371" i="6" s="1"/>
  <c r="J372" i="6"/>
  <c r="V324" i="6"/>
  <c r="U324" i="6"/>
  <c r="T325" i="6" a="1"/>
  <c r="T325" i="6" s="1"/>
  <c r="U325" i="6" l="1"/>
  <c r="V325" i="6"/>
  <c r="T326" i="6" a="1"/>
  <c r="T326" i="6" s="1"/>
  <c r="L372" i="6" a="1"/>
  <c r="L372" i="6" s="1"/>
  <c r="J373" i="6"/>
  <c r="K372" i="6" a="1"/>
  <c r="K372" i="6" s="1"/>
  <c r="N372" i="6" s="1"/>
  <c r="L373" i="6" l="1" a="1"/>
  <c r="L373" i="6" s="1"/>
  <c r="K373" i="6" a="1"/>
  <c r="K373" i="6" s="1"/>
  <c r="N373" i="6" s="1"/>
  <c r="J374" i="6"/>
  <c r="U326" i="6"/>
  <c r="V326" i="6"/>
  <c r="T327" i="6" a="1"/>
  <c r="T327" i="6" s="1"/>
  <c r="U327" i="6" l="1"/>
  <c r="V327" i="6"/>
  <c r="T328" i="6" a="1"/>
  <c r="T328" i="6" s="1"/>
  <c r="K374" i="6" a="1"/>
  <c r="K374" i="6" s="1"/>
  <c r="N374" i="6" s="1"/>
  <c r="L374" i="6" a="1"/>
  <c r="L374" i="6" s="1"/>
  <c r="J375" i="6"/>
  <c r="L375" i="6" l="1" a="1"/>
  <c r="L375" i="6" s="1"/>
  <c r="J376" i="6"/>
  <c r="K375" i="6" a="1"/>
  <c r="K375" i="6" s="1"/>
  <c r="N375" i="6" s="1"/>
  <c r="V328" i="6"/>
  <c r="U328" i="6"/>
  <c r="T329" i="6" a="1"/>
  <c r="T329" i="6" s="1"/>
  <c r="U329" i="6" l="1"/>
  <c r="V329" i="6"/>
  <c r="T330" i="6" a="1"/>
  <c r="T330" i="6" s="1"/>
  <c r="J377" i="6"/>
  <c r="L376" i="6" a="1"/>
  <c r="L376" i="6" s="1"/>
  <c r="K376" i="6" a="1"/>
  <c r="K376" i="6" s="1"/>
  <c r="N376" i="6" s="1"/>
  <c r="L377" i="6" l="1" a="1"/>
  <c r="L377" i="6" s="1"/>
  <c r="J378" i="6"/>
  <c r="K377" i="6" a="1"/>
  <c r="K377" i="6" s="1"/>
  <c r="N377" i="6" s="1"/>
  <c r="U330" i="6"/>
  <c r="V330" i="6"/>
  <c r="T331" i="6" a="1"/>
  <c r="T331" i="6" s="1"/>
  <c r="V331" i="6" l="1"/>
  <c r="U331" i="6"/>
  <c r="T332" i="6" a="1"/>
  <c r="T332" i="6" s="1"/>
  <c r="K378" i="6" a="1"/>
  <c r="K378" i="6" s="1"/>
  <c r="N378" i="6" s="1"/>
  <c r="L378" i="6" a="1"/>
  <c r="L378" i="6" s="1"/>
  <c r="J379" i="6"/>
  <c r="K379" i="6" l="1" a="1"/>
  <c r="K379" i="6" s="1"/>
  <c r="N379" i="6" s="1"/>
  <c r="L379" i="6" a="1"/>
  <c r="L379" i="6" s="1"/>
  <c r="J380" i="6"/>
  <c r="V332" i="6"/>
  <c r="U332" i="6"/>
  <c r="T333" i="6" a="1"/>
  <c r="T333" i="6" s="1"/>
  <c r="U333" i="6" l="1"/>
  <c r="V333" i="6"/>
  <c r="T334" i="6" a="1"/>
  <c r="T334" i="6" s="1"/>
  <c r="K380" i="6" a="1"/>
  <c r="K380" i="6" s="1"/>
  <c r="N380" i="6" s="1"/>
  <c r="L380" i="6" a="1"/>
  <c r="L380" i="6" s="1"/>
  <c r="J381" i="6"/>
  <c r="L381" i="6" l="1" a="1"/>
  <c r="L381" i="6" s="1"/>
  <c r="J382" i="6"/>
  <c r="K381" i="6" a="1"/>
  <c r="K381" i="6" s="1"/>
  <c r="N381" i="6" s="1"/>
  <c r="U334" i="6"/>
  <c r="V334" i="6"/>
  <c r="T335" i="6" a="1"/>
  <c r="T335" i="6" s="1"/>
  <c r="V335" i="6" l="1"/>
  <c r="U335" i="6"/>
  <c r="T336" i="6" a="1"/>
  <c r="T336" i="6" s="1"/>
  <c r="J383" i="6"/>
  <c r="K382" i="6" a="1"/>
  <c r="K382" i="6" s="1"/>
  <c r="N382" i="6" s="1"/>
  <c r="L382" i="6" a="1"/>
  <c r="L382" i="6" s="1"/>
  <c r="J384" i="6" l="1"/>
  <c r="L383" i="6" a="1"/>
  <c r="L383" i="6" s="1"/>
  <c r="K383" i="6" a="1"/>
  <c r="K383" i="6" s="1"/>
  <c r="N383" i="6" s="1"/>
  <c r="V336" i="6"/>
  <c r="U336" i="6"/>
  <c r="T337" i="6" a="1"/>
  <c r="T337" i="6" s="1"/>
  <c r="J385" i="6" l="1"/>
  <c r="K384" i="6" a="1"/>
  <c r="K384" i="6" s="1"/>
  <c r="N384" i="6" s="1"/>
  <c r="L384" i="6" a="1"/>
  <c r="L384" i="6" s="1"/>
  <c r="U337" i="6"/>
  <c r="V337" i="6"/>
  <c r="T338" i="6" a="1"/>
  <c r="T338" i="6" s="1"/>
  <c r="L385" i="6" l="1" a="1"/>
  <c r="L385" i="6" s="1"/>
  <c r="K385" i="6" a="1"/>
  <c r="K385" i="6" s="1"/>
  <c r="N385" i="6" s="1"/>
  <c r="J386" i="6"/>
  <c r="U338" i="6"/>
  <c r="V338" i="6"/>
  <c r="T339" i="6" a="1"/>
  <c r="T339" i="6" s="1"/>
  <c r="V339" i="6" l="1"/>
  <c r="U339" i="6"/>
  <c r="T340" i="6" a="1"/>
  <c r="T340" i="6" s="1"/>
  <c r="J387" i="6"/>
  <c r="K386" i="6" a="1"/>
  <c r="K386" i="6" s="1"/>
  <c r="N386" i="6" s="1"/>
  <c r="L386" i="6" a="1"/>
  <c r="L386" i="6" s="1"/>
  <c r="K387" i="6" l="1" a="1"/>
  <c r="K387" i="6" s="1"/>
  <c r="N387" i="6" s="1"/>
  <c r="L387" i="6" a="1"/>
  <c r="L387" i="6" s="1"/>
  <c r="J388" i="6"/>
  <c r="V340" i="6"/>
  <c r="U340" i="6"/>
  <c r="T341" i="6" a="1"/>
  <c r="T341" i="6" s="1"/>
  <c r="U341" i="6" l="1"/>
  <c r="V341" i="6"/>
  <c r="T342" i="6" a="1"/>
  <c r="T342" i="6" s="1"/>
  <c r="K388" i="6" a="1"/>
  <c r="K388" i="6" s="1"/>
  <c r="N388" i="6" s="1"/>
  <c r="J389" i="6"/>
  <c r="L388" i="6" a="1"/>
  <c r="L388" i="6" s="1"/>
  <c r="J390" i="6" l="1"/>
  <c r="K389" i="6" a="1"/>
  <c r="K389" i="6" s="1"/>
  <c r="N389" i="6" s="1"/>
  <c r="L389" i="6" a="1"/>
  <c r="L389" i="6" s="1"/>
  <c r="U342" i="6"/>
  <c r="V342" i="6"/>
  <c r="T343" i="6" a="1"/>
  <c r="T343" i="6" s="1"/>
  <c r="J391" i="6" l="1"/>
  <c r="L390" i="6" a="1"/>
  <c r="L390" i="6" s="1"/>
  <c r="K390" i="6" a="1"/>
  <c r="K390" i="6" s="1"/>
  <c r="N390" i="6" s="1"/>
  <c r="V343" i="6"/>
  <c r="U343" i="6"/>
  <c r="T344" i="6" a="1"/>
  <c r="T344" i="6" s="1"/>
  <c r="V344" i="6" l="1"/>
  <c r="U344" i="6"/>
  <c r="T345" i="6" a="1"/>
  <c r="T345" i="6" s="1"/>
  <c r="L391" i="6" a="1"/>
  <c r="L391" i="6" s="1"/>
  <c r="K391" i="6" a="1"/>
  <c r="K391" i="6" s="1"/>
  <c r="N391" i="6" s="1"/>
  <c r="J392" i="6"/>
  <c r="K392" i="6" l="1" a="1"/>
  <c r="K392" i="6" s="1"/>
  <c r="N392" i="6" s="1"/>
  <c r="L392" i="6" a="1"/>
  <c r="L392" i="6" s="1"/>
  <c r="J393" i="6"/>
  <c r="U345" i="6"/>
  <c r="V345" i="6"/>
  <c r="T346" i="6" a="1"/>
  <c r="T346" i="6" s="1"/>
  <c r="U346" i="6" l="1"/>
  <c r="V346" i="6"/>
  <c r="T347" i="6" a="1"/>
  <c r="T347" i="6" s="1"/>
  <c r="L393" i="6" a="1"/>
  <c r="L393" i="6" s="1"/>
  <c r="K393" i="6" a="1"/>
  <c r="K393" i="6" s="1"/>
  <c r="N393" i="6" s="1"/>
  <c r="J394" i="6"/>
  <c r="L394" i="6" l="1" a="1"/>
  <c r="L394" i="6" s="1"/>
  <c r="J395" i="6"/>
  <c r="K394" i="6" a="1"/>
  <c r="K394" i="6" s="1"/>
  <c r="N394" i="6" s="1"/>
  <c r="V347" i="6"/>
  <c r="U347" i="6"/>
  <c r="T348" i="6" a="1"/>
  <c r="T348" i="6" s="1"/>
  <c r="J396" i="6" l="1"/>
  <c r="K395" i="6" a="1"/>
  <c r="K395" i="6" s="1"/>
  <c r="N395" i="6" s="1"/>
  <c r="L395" i="6" a="1"/>
  <c r="L395" i="6" s="1"/>
  <c r="U348" i="6"/>
  <c r="V348" i="6"/>
  <c r="T349" i="6" a="1"/>
  <c r="T349" i="6" s="1"/>
  <c r="K396" i="6" l="1" a="1"/>
  <c r="K396" i="6" s="1"/>
  <c r="N396" i="6" s="1"/>
  <c r="L396" i="6" a="1"/>
  <c r="L396" i="6" s="1"/>
  <c r="J397" i="6"/>
  <c r="V349" i="6"/>
  <c r="U349" i="6"/>
  <c r="T350" i="6" a="1"/>
  <c r="T350" i="6" s="1"/>
  <c r="V350" i="6" l="1"/>
  <c r="U350" i="6"/>
  <c r="T351" i="6" a="1"/>
  <c r="T351" i="6" s="1"/>
  <c r="K397" i="6" a="1"/>
  <c r="K397" i="6" s="1"/>
  <c r="N397" i="6" s="1"/>
  <c r="L397" i="6" a="1"/>
  <c r="L397" i="6" s="1"/>
  <c r="J398" i="6"/>
  <c r="K398" i="6" l="1" a="1"/>
  <c r="K398" i="6" s="1"/>
  <c r="N398" i="6" s="1"/>
  <c r="J399" i="6"/>
  <c r="L398" i="6" a="1"/>
  <c r="L398" i="6" s="1"/>
  <c r="U351" i="6"/>
  <c r="V351" i="6"/>
  <c r="T352" i="6" a="1"/>
  <c r="T352" i="6" s="1"/>
  <c r="L399" i="6" l="1" a="1"/>
  <c r="L399" i="6" s="1"/>
  <c r="K399" i="6" a="1"/>
  <c r="K399" i="6" s="1"/>
  <c r="N399" i="6" s="1"/>
  <c r="J400" i="6"/>
  <c r="U352" i="6"/>
  <c r="V352" i="6"/>
  <c r="T353" i="6" a="1"/>
  <c r="T353" i="6" s="1"/>
  <c r="V353" i="6" l="1"/>
  <c r="U353" i="6"/>
  <c r="T354" i="6" a="1"/>
  <c r="T354" i="6" s="1"/>
  <c r="J401" i="6"/>
  <c r="L400" i="6" a="1"/>
  <c r="L400" i="6" s="1"/>
  <c r="K400" i="6" a="1"/>
  <c r="K400" i="6" s="1"/>
  <c r="N400" i="6" s="1"/>
  <c r="J402" i="6" l="1"/>
  <c r="K401" i="6" a="1"/>
  <c r="K401" i="6" s="1"/>
  <c r="N401" i="6" s="1"/>
  <c r="L401" i="6" a="1"/>
  <c r="L401" i="6" s="1"/>
  <c r="V354" i="6"/>
  <c r="U354" i="6"/>
  <c r="T355" i="6" a="1"/>
  <c r="T355" i="6" s="1"/>
  <c r="J403" i="6" l="1"/>
  <c r="K402" i="6" a="1"/>
  <c r="K402" i="6" s="1"/>
  <c r="N402" i="6" s="1"/>
  <c r="L402" i="6" a="1"/>
  <c r="L402" i="6" s="1"/>
  <c r="U355" i="6"/>
  <c r="V355" i="6"/>
  <c r="T356" i="6" a="1"/>
  <c r="T356" i="6" s="1"/>
  <c r="K403" i="6" l="1" a="1"/>
  <c r="K403" i="6" s="1"/>
  <c r="N403" i="6" s="1"/>
  <c r="L403" i="6" a="1"/>
  <c r="L403" i="6" s="1"/>
  <c r="J404" i="6"/>
  <c r="U356" i="6"/>
  <c r="V356" i="6"/>
  <c r="T357" i="6" a="1"/>
  <c r="T357" i="6" s="1"/>
  <c r="V357" i="6" l="1"/>
  <c r="U357" i="6"/>
  <c r="T358" i="6" a="1"/>
  <c r="T358" i="6" s="1"/>
  <c r="J405" i="6"/>
  <c r="K404" i="6" a="1"/>
  <c r="K404" i="6" s="1"/>
  <c r="N404" i="6" s="1"/>
  <c r="L404" i="6" a="1"/>
  <c r="L404" i="6" s="1"/>
  <c r="V358" i="6" l="1"/>
  <c r="U358" i="6"/>
  <c r="T359" i="6" a="1"/>
  <c r="T359" i="6" s="1"/>
  <c r="K405" i="6" a="1"/>
  <c r="K405" i="6" s="1"/>
  <c r="N405" i="6" s="1"/>
  <c r="J406" i="6"/>
  <c r="L405" i="6" a="1"/>
  <c r="L405" i="6" s="1"/>
  <c r="U359" i="6" l="1"/>
  <c r="V359" i="6"/>
  <c r="T360" i="6" a="1"/>
  <c r="T360" i="6" s="1"/>
  <c r="J407" i="6"/>
  <c r="L406" i="6" a="1"/>
  <c r="L406" i="6" s="1"/>
  <c r="K406" i="6" a="1"/>
  <c r="K406" i="6" s="1"/>
  <c r="N406" i="6" s="1"/>
  <c r="J408" i="6" l="1"/>
  <c r="K407" i="6" a="1"/>
  <c r="K407" i="6" s="1"/>
  <c r="N407" i="6" s="1"/>
  <c r="L407" i="6" a="1"/>
  <c r="L407" i="6" s="1"/>
  <c r="U360" i="6"/>
  <c r="V360" i="6"/>
  <c r="T361" i="6" a="1"/>
  <c r="T361" i="6" s="1"/>
  <c r="J409" i="6" l="1"/>
  <c r="K408" i="6" a="1"/>
  <c r="K408" i="6" s="1"/>
  <c r="N408" i="6" s="1"/>
  <c r="L408" i="6" a="1"/>
  <c r="L408" i="6" s="1"/>
  <c r="V361" i="6"/>
  <c r="U361" i="6"/>
  <c r="T362" i="6" a="1"/>
  <c r="T362" i="6" s="1"/>
  <c r="V362" i="6" l="1"/>
  <c r="U362" i="6"/>
  <c r="T363" i="6" a="1"/>
  <c r="T363" i="6" s="1"/>
  <c r="K409" i="6" a="1"/>
  <c r="K409" i="6" s="1"/>
  <c r="N409" i="6" s="1"/>
  <c r="J410" i="6"/>
  <c r="L409" i="6" a="1"/>
  <c r="L409" i="6" s="1"/>
  <c r="K410" i="6" l="1" a="1"/>
  <c r="K410" i="6" s="1"/>
  <c r="N410" i="6" s="1"/>
  <c r="L410" i="6" a="1"/>
  <c r="L410" i="6" s="1"/>
  <c r="J411" i="6"/>
  <c r="U363" i="6"/>
  <c r="V363" i="6"/>
  <c r="T364" i="6" a="1"/>
  <c r="T364" i="6" s="1"/>
  <c r="V364" i="6" l="1"/>
  <c r="U364" i="6"/>
  <c r="T365" i="6" a="1"/>
  <c r="T365" i="6" s="1"/>
  <c r="L411" i="6" a="1"/>
  <c r="L411" i="6" s="1"/>
  <c r="K411" i="6" a="1"/>
  <c r="K411" i="6" s="1"/>
  <c r="N411" i="6" s="1"/>
  <c r="J412" i="6"/>
  <c r="K412" i="6" l="1" a="1"/>
  <c r="K412" i="6" s="1"/>
  <c r="N412" i="6" s="1"/>
  <c r="L412" i="6" a="1"/>
  <c r="L412" i="6" s="1"/>
  <c r="J413" i="6"/>
  <c r="V365" i="6"/>
  <c r="U365" i="6"/>
  <c r="T366" i="6" a="1"/>
  <c r="T366" i="6" s="1"/>
  <c r="U366" i="6" l="1"/>
  <c r="V366" i="6"/>
  <c r="T367" i="6" a="1"/>
  <c r="T367" i="6" s="1"/>
  <c r="J414" i="6"/>
  <c r="L413" i="6" a="1"/>
  <c r="L413" i="6" s="1"/>
  <c r="K413" i="6" a="1"/>
  <c r="K413" i="6" s="1"/>
  <c r="N413" i="6" s="1"/>
  <c r="L414" i="6" l="1" a="1"/>
  <c r="L414" i="6" s="1"/>
  <c r="J415" i="6"/>
  <c r="K414" i="6" a="1"/>
  <c r="K414" i="6" s="1"/>
  <c r="N414" i="6" s="1"/>
  <c r="U367" i="6"/>
  <c r="V367" i="6"/>
  <c r="T368" i="6" a="1"/>
  <c r="T368" i="6" s="1"/>
  <c r="V368" i="6" l="1"/>
  <c r="U368" i="6"/>
  <c r="T369" i="6" a="1"/>
  <c r="T369" i="6" s="1"/>
  <c r="J416" i="6"/>
  <c r="L415" i="6" a="1"/>
  <c r="L415" i="6" s="1"/>
  <c r="K415" i="6" a="1"/>
  <c r="K415" i="6" s="1"/>
  <c r="N415" i="6" s="1"/>
  <c r="J417" i="6" l="1"/>
  <c r="K416" i="6" a="1"/>
  <c r="K416" i="6" s="1"/>
  <c r="N416" i="6" s="1"/>
  <c r="L416" i="6" a="1"/>
  <c r="L416" i="6" s="1"/>
  <c r="U369" i="6"/>
  <c r="V369" i="6"/>
  <c r="T370" i="6" a="1"/>
  <c r="T370" i="6" s="1"/>
  <c r="U370" i="6" l="1"/>
  <c r="V370" i="6"/>
  <c r="T371" i="6" a="1"/>
  <c r="T371" i="6" s="1"/>
  <c r="J418" i="6"/>
  <c r="L417" i="6" a="1"/>
  <c r="L417" i="6" s="1"/>
  <c r="K417" i="6" a="1"/>
  <c r="K417" i="6" s="1"/>
  <c r="N417" i="6" s="1"/>
  <c r="L418" i="6" l="1" a="1"/>
  <c r="L418" i="6" s="1"/>
  <c r="K418" i="6" a="1"/>
  <c r="K418" i="6" s="1"/>
  <c r="N418" i="6" s="1"/>
  <c r="J419" i="6"/>
  <c r="U371" i="6"/>
  <c r="V371" i="6"/>
  <c r="T372" i="6" a="1"/>
  <c r="T372" i="6" s="1"/>
  <c r="V372" i="6" l="1"/>
  <c r="U372" i="6"/>
  <c r="T373" i="6" a="1"/>
  <c r="T373" i="6" s="1"/>
  <c r="L419" i="6" a="1"/>
  <c r="L419" i="6" s="1"/>
  <c r="K419" i="6" a="1"/>
  <c r="K419" i="6" s="1"/>
  <c r="N419" i="6" s="1"/>
  <c r="J420" i="6"/>
  <c r="V373" i="6" l="1"/>
  <c r="U373" i="6"/>
  <c r="T374" i="6" a="1"/>
  <c r="T374" i="6" s="1"/>
  <c r="J421" i="6"/>
  <c r="K420" i="6" a="1"/>
  <c r="K420" i="6" s="1"/>
  <c r="N420" i="6" s="1"/>
  <c r="L420" i="6" a="1"/>
  <c r="L420" i="6" s="1"/>
  <c r="L421" i="6" l="1" a="1"/>
  <c r="L421" i="6" s="1"/>
  <c r="J422" i="6"/>
  <c r="K421" i="6" a="1"/>
  <c r="K421" i="6" s="1"/>
  <c r="N421" i="6" s="1"/>
  <c r="V374" i="6"/>
  <c r="U374" i="6"/>
  <c r="T375" i="6" a="1"/>
  <c r="T375" i="6" s="1"/>
  <c r="U375" i="6" l="1"/>
  <c r="V375" i="6"/>
  <c r="T376" i="6" a="1"/>
  <c r="T376" i="6" s="1"/>
  <c r="K422" i="6" a="1"/>
  <c r="K422" i="6" s="1"/>
  <c r="N422" i="6" s="1"/>
  <c r="L422" i="6" a="1"/>
  <c r="L422" i="6" s="1"/>
  <c r="J423" i="6"/>
  <c r="L423" i="6" l="1" a="1"/>
  <c r="L423" i="6" s="1"/>
  <c r="K423" i="6" a="1"/>
  <c r="K423" i="6" s="1"/>
  <c r="N423" i="6" s="1"/>
  <c r="J424" i="6"/>
  <c r="U376" i="6"/>
  <c r="V376" i="6"/>
  <c r="T377" i="6" a="1"/>
  <c r="T377" i="6" s="1"/>
  <c r="U377" i="6" l="1"/>
  <c r="V377" i="6"/>
  <c r="T378" i="6" a="1"/>
  <c r="T378" i="6" s="1"/>
  <c r="L424" i="6" a="1"/>
  <c r="L424" i="6" s="1"/>
  <c r="J425" i="6"/>
  <c r="K424" i="6" a="1"/>
  <c r="K424" i="6" s="1"/>
  <c r="N424" i="6" s="1"/>
  <c r="L425" i="6" l="1" a="1"/>
  <c r="L425" i="6" s="1"/>
  <c r="J426" i="6"/>
  <c r="K425" i="6" a="1"/>
  <c r="K425" i="6" s="1"/>
  <c r="N425" i="6" s="1"/>
  <c r="V378" i="6"/>
  <c r="U378" i="6"/>
  <c r="T379" i="6" a="1"/>
  <c r="T379" i="6" s="1"/>
  <c r="U379" i="6" l="1"/>
  <c r="V379" i="6"/>
  <c r="T380" i="6" a="1"/>
  <c r="T380" i="6" s="1"/>
  <c r="J427" i="6"/>
  <c r="K426" i="6" a="1"/>
  <c r="K426" i="6" s="1"/>
  <c r="N426" i="6" s="1"/>
  <c r="L426" i="6" a="1"/>
  <c r="L426" i="6" s="1"/>
  <c r="L427" i="6" l="1" a="1"/>
  <c r="L427" i="6" s="1"/>
  <c r="J428" i="6"/>
  <c r="K427" i="6" a="1"/>
  <c r="K427" i="6" s="1"/>
  <c r="N427" i="6" s="1"/>
  <c r="U380" i="6"/>
  <c r="V380" i="6"/>
  <c r="T381" i="6" a="1"/>
  <c r="T381" i="6" s="1"/>
  <c r="V381" i="6" l="1"/>
  <c r="U381" i="6"/>
  <c r="T382" i="6" a="1"/>
  <c r="T382" i="6" s="1"/>
  <c r="L428" i="6" a="1"/>
  <c r="L428" i="6" s="1"/>
  <c r="J429" i="6"/>
  <c r="K428" i="6" a="1"/>
  <c r="K428" i="6" s="1"/>
  <c r="N428" i="6" s="1"/>
  <c r="V382" i="6" l="1"/>
  <c r="U382" i="6"/>
  <c r="T383" i="6" a="1"/>
  <c r="T383" i="6" s="1"/>
  <c r="L429" i="6" a="1"/>
  <c r="L429" i="6" s="1"/>
  <c r="J430" i="6"/>
  <c r="K429" i="6" a="1"/>
  <c r="K429" i="6" s="1"/>
  <c r="N429" i="6" s="1"/>
  <c r="J431" i="6" l="1"/>
  <c r="K430" i="6" a="1"/>
  <c r="K430" i="6" s="1"/>
  <c r="N430" i="6" s="1"/>
  <c r="L430" i="6" a="1"/>
  <c r="L430" i="6" s="1"/>
  <c r="V383" i="6"/>
  <c r="U383" i="6"/>
  <c r="T384" i="6" a="1"/>
  <c r="T384" i="6" s="1"/>
  <c r="L431" i="6" l="1" a="1"/>
  <c r="L431" i="6" s="1"/>
  <c r="K431" i="6" a="1"/>
  <c r="K431" i="6" s="1"/>
  <c r="N431" i="6" s="1"/>
  <c r="J432" i="6"/>
  <c r="U384" i="6"/>
  <c r="V384" i="6"/>
  <c r="T385" i="6" a="1"/>
  <c r="T385" i="6" s="1"/>
  <c r="U385" i="6" l="1"/>
  <c r="V385" i="6"/>
  <c r="T386" i="6" a="1"/>
  <c r="T386" i="6" s="1"/>
  <c r="J433" i="6"/>
  <c r="K432" i="6" a="1"/>
  <c r="K432" i="6" s="1"/>
  <c r="N432" i="6" s="1"/>
  <c r="L432" i="6" a="1"/>
  <c r="L432" i="6" s="1"/>
  <c r="L433" i="6" l="1" a="1"/>
  <c r="L433" i="6" s="1"/>
  <c r="J434" i="6"/>
  <c r="K433" i="6" a="1"/>
  <c r="K433" i="6" s="1"/>
  <c r="N433" i="6" s="1"/>
  <c r="V386" i="6"/>
  <c r="U386" i="6"/>
  <c r="T387" i="6" a="1"/>
  <c r="T387" i="6" s="1"/>
  <c r="V387" i="6" l="1"/>
  <c r="U387" i="6"/>
  <c r="T388" i="6" a="1"/>
  <c r="T388" i="6" s="1"/>
  <c r="K434" i="6" a="1"/>
  <c r="K434" i="6" s="1"/>
  <c r="N434" i="6" s="1"/>
  <c r="L434" i="6" a="1"/>
  <c r="L434" i="6" s="1"/>
  <c r="J435" i="6"/>
  <c r="K435" i="6" l="1" a="1"/>
  <c r="K435" i="6" s="1"/>
  <c r="N435" i="6" s="1"/>
  <c r="L435" i="6" a="1"/>
  <c r="L435" i="6" s="1"/>
  <c r="J436" i="6"/>
  <c r="U388" i="6"/>
  <c r="V388" i="6"/>
  <c r="T389" i="6" a="1"/>
  <c r="T389" i="6" s="1"/>
  <c r="U389" i="6" l="1"/>
  <c r="V389" i="6"/>
  <c r="T390" i="6" a="1"/>
  <c r="T390" i="6" s="1"/>
  <c r="J437" i="6"/>
  <c r="K436" i="6" a="1"/>
  <c r="K436" i="6" s="1"/>
  <c r="N436" i="6" s="1"/>
  <c r="L436" i="6" a="1"/>
  <c r="L436" i="6" s="1"/>
  <c r="L437" i="6" l="1" a="1"/>
  <c r="L437" i="6" s="1"/>
  <c r="J438" i="6"/>
  <c r="K437" i="6" a="1"/>
  <c r="K437" i="6" s="1"/>
  <c r="N437" i="6" s="1"/>
  <c r="U390" i="6"/>
  <c r="V390" i="6"/>
  <c r="T391" i="6" a="1"/>
  <c r="T391" i="6" s="1"/>
  <c r="V391" i="6" l="1"/>
  <c r="U391" i="6"/>
  <c r="T392" i="6" a="1"/>
  <c r="T392" i="6" s="1"/>
  <c r="K438" i="6" a="1"/>
  <c r="K438" i="6" s="1"/>
  <c r="N438" i="6" s="1"/>
  <c r="J439" i="6"/>
  <c r="L438" i="6" a="1"/>
  <c r="L438" i="6" s="1"/>
  <c r="U392" i="6" l="1"/>
  <c r="V392" i="6"/>
  <c r="T393" i="6" a="1"/>
  <c r="T393" i="6" s="1"/>
  <c r="J440" i="6"/>
  <c r="K439" i="6" a="1"/>
  <c r="K439" i="6" s="1"/>
  <c r="N439" i="6" s="1"/>
  <c r="L439" i="6" a="1"/>
  <c r="L439" i="6" s="1"/>
  <c r="J441" i="6" l="1"/>
  <c r="K440" i="6" a="1"/>
  <c r="K440" i="6" s="1"/>
  <c r="N440" i="6" s="1"/>
  <c r="L440" i="6" a="1"/>
  <c r="L440" i="6" s="1"/>
  <c r="V393" i="6"/>
  <c r="U393" i="6"/>
  <c r="T394" i="6" a="1"/>
  <c r="T394" i="6" s="1"/>
  <c r="J442" i="6" l="1"/>
  <c r="L441" i="6" a="1"/>
  <c r="L441" i="6" s="1"/>
  <c r="K441" i="6" a="1"/>
  <c r="K441" i="6" s="1"/>
  <c r="N441" i="6" s="1"/>
  <c r="U394" i="6"/>
  <c r="V394" i="6"/>
  <c r="T395" i="6" a="1"/>
  <c r="T395" i="6" s="1"/>
  <c r="K442" i="6" l="1" a="1"/>
  <c r="K442" i="6" s="1"/>
  <c r="N442" i="6" s="1"/>
  <c r="J443" i="6"/>
  <c r="L442" i="6" a="1"/>
  <c r="L442" i="6" s="1"/>
  <c r="V395" i="6"/>
  <c r="U395" i="6"/>
  <c r="T396" i="6" a="1"/>
  <c r="T396" i="6" s="1"/>
  <c r="L443" i="6" l="1" a="1"/>
  <c r="L443" i="6" s="1"/>
  <c r="J444" i="6"/>
  <c r="K443" i="6" a="1"/>
  <c r="K443" i="6" s="1"/>
  <c r="N443" i="6" s="1"/>
  <c r="U396" i="6"/>
  <c r="V396" i="6"/>
  <c r="T397" i="6" a="1"/>
  <c r="T397" i="6" s="1"/>
  <c r="V397" i="6" l="1"/>
  <c r="U397" i="6"/>
  <c r="T398" i="6" a="1"/>
  <c r="T398" i="6" s="1"/>
  <c r="J445" i="6"/>
  <c r="L444" i="6" a="1"/>
  <c r="L444" i="6" s="1"/>
  <c r="K444" i="6" a="1"/>
  <c r="K444" i="6" s="1"/>
  <c r="N444" i="6" s="1"/>
  <c r="J446" i="6" l="1"/>
  <c r="L445" i="6" a="1"/>
  <c r="L445" i="6" s="1"/>
  <c r="K445" i="6" a="1"/>
  <c r="K445" i="6" s="1"/>
  <c r="N445" i="6" s="1"/>
  <c r="U398" i="6"/>
  <c r="V398" i="6"/>
  <c r="T399" i="6" a="1"/>
  <c r="T399" i="6" s="1"/>
  <c r="J447" i="6" l="1"/>
  <c r="L446" i="6" a="1"/>
  <c r="L446" i="6" s="1"/>
  <c r="K446" i="6" a="1"/>
  <c r="K446" i="6" s="1"/>
  <c r="N446" i="6" s="1"/>
  <c r="V399" i="6"/>
  <c r="U399" i="6"/>
  <c r="T400" i="6" a="1"/>
  <c r="T400" i="6" s="1"/>
  <c r="K447" i="6" l="1" a="1"/>
  <c r="K447" i="6" s="1"/>
  <c r="N447" i="6" s="1"/>
  <c r="J448" i="6"/>
  <c r="L447" i="6" a="1"/>
  <c r="L447" i="6" s="1"/>
  <c r="U400" i="6"/>
  <c r="V400" i="6"/>
  <c r="T401" i="6" a="1"/>
  <c r="T401" i="6" s="1"/>
  <c r="J449" i="6" l="1"/>
  <c r="L448" i="6" a="1"/>
  <c r="L448" i="6" s="1"/>
  <c r="K448" i="6" a="1"/>
  <c r="K448" i="6" s="1"/>
  <c r="N448" i="6" s="1"/>
  <c r="V401" i="6"/>
  <c r="U401" i="6"/>
  <c r="T402" i="6" a="1"/>
  <c r="T402" i="6" s="1"/>
  <c r="K449" i="6" l="1" a="1"/>
  <c r="K449" i="6" s="1"/>
  <c r="N449" i="6" s="1"/>
  <c r="L449" i="6" a="1"/>
  <c r="L449" i="6" s="1"/>
  <c r="J450" i="6"/>
  <c r="U402" i="6"/>
  <c r="V402" i="6"/>
  <c r="T403" i="6" a="1"/>
  <c r="T403" i="6" s="1"/>
  <c r="V403" i="6" l="1"/>
  <c r="U403" i="6"/>
  <c r="T404" i="6" a="1"/>
  <c r="T404" i="6" s="1"/>
  <c r="L450" i="6" a="1"/>
  <c r="L450" i="6" s="1"/>
  <c r="J451" i="6"/>
  <c r="K450" i="6" a="1"/>
  <c r="K450" i="6" s="1"/>
  <c r="N450" i="6" s="1"/>
  <c r="J452" i="6" l="1"/>
  <c r="K451" i="6" a="1"/>
  <c r="K451" i="6" s="1"/>
  <c r="N451" i="6" s="1"/>
  <c r="L451" i="6" a="1"/>
  <c r="L451" i="6" s="1"/>
  <c r="U404" i="6"/>
  <c r="V404" i="6"/>
  <c r="T405" i="6" a="1"/>
  <c r="T405" i="6" s="1"/>
  <c r="J453" i="6" l="1"/>
  <c r="K452" i="6" a="1"/>
  <c r="K452" i="6" s="1"/>
  <c r="N452" i="6" s="1"/>
  <c r="L452" i="6" a="1"/>
  <c r="L452" i="6" s="1"/>
  <c r="U405" i="6"/>
  <c r="V405" i="6"/>
  <c r="T406" i="6" a="1"/>
  <c r="T406" i="6" s="1"/>
  <c r="L453" i="6" l="1" a="1"/>
  <c r="L453" i="6" s="1"/>
  <c r="J454" i="6"/>
  <c r="K453" i="6" a="1"/>
  <c r="K453" i="6" s="1"/>
  <c r="N453" i="6" s="1"/>
  <c r="U406" i="6"/>
  <c r="V406" i="6"/>
  <c r="T407" i="6" a="1"/>
  <c r="T407" i="6" s="1"/>
  <c r="U407" i="6" l="1"/>
  <c r="V407" i="6"/>
  <c r="T408" i="6" a="1"/>
  <c r="T408" i="6" s="1"/>
  <c r="L454" i="6" a="1"/>
  <c r="L454" i="6" s="1"/>
  <c r="J455" i="6"/>
  <c r="K454" i="6" a="1"/>
  <c r="K454" i="6" s="1"/>
  <c r="N454" i="6" s="1"/>
  <c r="U408" i="6" l="1"/>
  <c r="V408" i="6"/>
  <c r="T409" i="6" a="1"/>
  <c r="T409" i="6" s="1"/>
  <c r="K455" i="6" a="1"/>
  <c r="K455" i="6" s="1"/>
  <c r="N455" i="6" s="1"/>
  <c r="L455" i="6" a="1"/>
  <c r="L455" i="6" s="1"/>
  <c r="J456" i="6"/>
  <c r="U409" i="6" l="1"/>
  <c r="V409" i="6"/>
  <c r="T410" i="6" a="1"/>
  <c r="T410" i="6" s="1"/>
  <c r="K456" i="6" a="1"/>
  <c r="K456" i="6" s="1"/>
  <c r="N456" i="6" s="1"/>
  <c r="J457" i="6"/>
  <c r="L456" i="6" a="1"/>
  <c r="L456" i="6" s="1"/>
  <c r="K457" i="6" l="1" a="1"/>
  <c r="K457" i="6" s="1"/>
  <c r="N457" i="6" s="1"/>
  <c r="L457" i="6" a="1"/>
  <c r="L457" i="6" s="1"/>
  <c r="J458" i="6"/>
  <c r="U410" i="6"/>
  <c r="V410" i="6"/>
  <c r="T411" i="6" a="1"/>
  <c r="T411" i="6" s="1"/>
  <c r="U411" i="6" l="1"/>
  <c r="V411" i="6"/>
  <c r="T412" i="6" a="1"/>
  <c r="T412" i="6" s="1"/>
  <c r="J459" i="6"/>
  <c r="K458" i="6" a="1"/>
  <c r="K458" i="6" s="1"/>
  <c r="N458" i="6" s="1"/>
  <c r="L458" i="6" a="1"/>
  <c r="L458" i="6" s="1"/>
  <c r="J460" i="6" l="1"/>
  <c r="K459" i="6" a="1"/>
  <c r="K459" i="6" s="1"/>
  <c r="N459" i="6" s="1"/>
  <c r="L459" i="6" a="1"/>
  <c r="L459" i="6" s="1"/>
  <c r="U412" i="6"/>
  <c r="V412" i="6"/>
  <c r="T413" i="6" a="1"/>
  <c r="T413" i="6" s="1"/>
  <c r="L460" i="6" l="1" a="1"/>
  <c r="L460" i="6" s="1"/>
  <c r="K460" i="6" a="1"/>
  <c r="K460" i="6" s="1"/>
  <c r="N460" i="6" s="1"/>
  <c r="J461" i="6"/>
  <c r="U413" i="6"/>
  <c r="V413" i="6"/>
  <c r="T414" i="6" a="1"/>
  <c r="T414" i="6" s="1"/>
  <c r="U414" i="6" l="1"/>
  <c r="V414" i="6"/>
  <c r="T415" i="6" a="1"/>
  <c r="T415" i="6" s="1"/>
  <c r="K461" i="6" a="1"/>
  <c r="K461" i="6" s="1"/>
  <c r="N461" i="6" s="1"/>
  <c r="L461" i="6" a="1"/>
  <c r="L461" i="6" s="1"/>
  <c r="J462" i="6"/>
  <c r="K462" i="6" l="1" a="1"/>
  <c r="K462" i="6" s="1"/>
  <c r="N462" i="6" s="1"/>
  <c r="J463" i="6"/>
  <c r="L462" i="6" a="1"/>
  <c r="L462" i="6" s="1"/>
  <c r="U415" i="6"/>
  <c r="V415" i="6"/>
  <c r="T416" i="6" a="1"/>
  <c r="T416" i="6" s="1"/>
  <c r="U416" i="6" l="1"/>
  <c r="V416" i="6"/>
  <c r="T417" i="6" a="1"/>
  <c r="T417" i="6" s="1"/>
  <c r="J464" i="6"/>
  <c r="L463" i="6" a="1"/>
  <c r="L463" i="6" s="1"/>
  <c r="K463" i="6" a="1"/>
  <c r="K463" i="6" s="1"/>
  <c r="N463" i="6" s="1"/>
  <c r="L464" i="6" l="1" a="1"/>
  <c r="L464" i="6" s="1"/>
  <c r="K464" i="6" a="1"/>
  <c r="K464" i="6" s="1"/>
  <c r="N464" i="6" s="1"/>
  <c r="J465" i="6"/>
  <c r="U417" i="6"/>
  <c r="V417" i="6"/>
  <c r="T418" i="6" a="1"/>
  <c r="T418" i="6" s="1"/>
  <c r="U418" i="6" l="1"/>
  <c r="V418" i="6"/>
  <c r="T419" i="6" a="1"/>
  <c r="T419" i="6" s="1"/>
  <c r="L465" i="6" a="1"/>
  <c r="L465" i="6" s="1"/>
  <c r="K465" i="6" a="1"/>
  <c r="K465" i="6" s="1"/>
  <c r="N465" i="6" s="1"/>
  <c r="J466" i="6"/>
  <c r="K466" i="6" l="1" a="1"/>
  <c r="K466" i="6" s="1"/>
  <c r="N466" i="6" s="1"/>
  <c r="J467" i="6"/>
  <c r="L466" i="6" a="1"/>
  <c r="L466" i="6" s="1"/>
  <c r="U419" i="6"/>
  <c r="V419" i="6"/>
  <c r="T420" i="6" a="1"/>
  <c r="T420" i="6" s="1"/>
  <c r="U420" i="6" l="1"/>
  <c r="V420" i="6"/>
  <c r="T421" i="6" a="1"/>
  <c r="T421" i="6" s="1"/>
  <c r="L467" i="6" a="1"/>
  <c r="L467" i="6" s="1"/>
  <c r="J468" i="6"/>
  <c r="K467" i="6" a="1"/>
  <c r="K467" i="6" s="1"/>
  <c r="N467" i="6" s="1"/>
  <c r="K468" i="6" l="1" a="1"/>
  <c r="K468" i="6" s="1"/>
  <c r="N468" i="6" s="1"/>
  <c r="L468" i="6" a="1"/>
  <c r="L468" i="6" s="1"/>
  <c r="J469" i="6"/>
  <c r="V421" i="6"/>
  <c r="U421" i="6"/>
  <c r="T422" i="6" a="1"/>
  <c r="T422" i="6" s="1"/>
  <c r="U422" i="6" l="1"/>
  <c r="V422" i="6"/>
  <c r="T423" i="6" a="1"/>
  <c r="T423" i="6" s="1"/>
  <c r="L469" i="6" a="1"/>
  <c r="L469" i="6" s="1"/>
  <c r="J470" i="6"/>
  <c r="K469" i="6" a="1"/>
  <c r="K469" i="6" s="1"/>
  <c r="N469" i="6" s="1"/>
  <c r="L470" i="6" l="1" a="1"/>
  <c r="L470" i="6" s="1"/>
  <c r="K470" i="6" a="1"/>
  <c r="K470" i="6" s="1"/>
  <c r="N470" i="6" s="1"/>
  <c r="J471" i="6"/>
  <c r="V423" i="6"/>
  <c r="U423" i="6"/>
  <c r="T424" i="6" a="1"/>
  <c r="T424" i="6" s="1"/>
  <c r="V424" i="6" l="1"/>
  <c r="U424" i="6"/>
  <c r="T425" i="6" a="1"/>
  <c r="T425" i="6" s="1"/>
  <c r="K471" i="6" a="1"/>
  <c r="K471" i="6" s="1"/>
  <c r="N471" i="6" s="1"/>
  <c r="J472" i="6"/>
  <c r="L471" i="6" a="1"/>
  <c r="L471" i="6" s="1"/>
  <c r="U425" i="6" l="1"/>
  <c r="V425" i="6"/>
  <c r="T426" i="6" a="1"/>
  <c r="T426" i="6" s="1"/>
  <c r="K472" i="6" a="1"/>
  <c r="K472" i="6" s="1"/>
  <c r="N472" i="6" s="1"/>
  <c r="J473" i="6"/>
  <c r="L472" i="6" a="1"/>
  <c r="L472" i="6" s="1"/>
  <c r="K473" i="6" l="1" a="1"/>
  <c r="K473" i="6" s="1"/>
  <c r="N473" i="6" s="1"/>
  <c r="L473" i="6" a="1"/>
  <c r="L473" i="6" s="1"/>
  <c r="J474" i="6"/>
  <c r="V426" i="6"/>
  <c r="U426" i="6"/>
  <c r="T427" i="6" a="1"/>
  <c r="T427" i="6" s="1"/>
  <c r="U427" i="6" l="1"/>
  <c r="V427" i="6"/>
  <c r="T428" i="6" a="1"/>
  <c r="T428" i="6" s="1"/>
  <c r="K474" i="6" a="1"/>
  <c r="K474" i="6" s="1"/>
  <c r="N474" i="6" s="1"/>
  <c r="L474" i="6" a="1"/>
  <c r="L474" i="6" s="1"/>
  <c r="J475" i="6"/>
  <c r="L475" i="6" l="1" a="1"/>
  <c r="L475" i="6" s="1"/>
  <c r="J476" i="6"/>
  <c r="K475" i="6" a="1"/>
  <c r="K475" i="6" s="1"/>
  <c r="N475" i="6" s="1"/>
  <c r="V428" i="6"/>
  <c r="U428" i="6"/>
  <c r="T429" i="6" a="1"/>
  <c r="T429" i="6" s="1"/>
  <c r="U429" i="6" l="1"/>
  <c r="V429" i="6"/>
  <c r="T430" i="6" a="1"/>
  <c r="T430" i="6" s="1"/>
  <c r="L476" i="6" a="1"/>
  <c r="L476" i="6" s="1"/>
  <c r="J477" i="6"/>
  <c r="K476" i="6" a="1"/>
  <c r="K476" i="6" s="1"/>
  <c r="N476" i="6" s="1"/>
  <c r="V430" i="6" l="1"/>
  <c r="U430" i="6"/>
  <c r="T431" i="6" a="1"/>
  <c r="T431" i="6" s="1"/>
  <c r="L477" i="6" a="1"/>
  <c r="L477" i="6" s="1"/>
  <c r="K477" i="6" a="1"/>
  <c r="K477" i="6" s="1"/>
  <c r="N477" i="6" s="1"/>
  <c r="J478" i="6"/>
  <c r="L478" i="6" l="1" a="1"/>
  <c r="L478" i="6" s="1"/>
  <c r="J479" i="6"/>
  <c r="K478" i="6" a="1"/>
  <c r="K478" i="6" s="1"/>
  <c r="N478" i="6" s="1"/>
  <c r="U431" i="6"/>
  <c r="V431" i="6"/>
  <c r="T432" i="6" a="1"/>
  <c r="T432" i="6" s="1"/>
  <c r="V432" i="6" l="1"/>
  <c r="U432" i="6"/>
  <c r="T433" i="6" a="1"/>
  <c r="T433" i="6" s="1"/>
  <c r="J480" i="6"/>
  <c r="L479" i="6" a="1"/>
  <c r="L479" i="6" s="1"/>
  <c r="K479" i="6" a="1"/>
  <c r="K479" i="6" s="1"/>
  <c r="N479" i="6" s="1"/>
  <c r="J481" i="6" l="1"/>
  <c r="L480" i="6" a="1"/>
  <c r="L480" i="6" s="1"/>
  <c r="K480" i="6" a="1"/>
  <c r="K480" i="6" s="1"/>
  <c r="N480" i="6" s="1"/>
  <c r="U433" i="6"/>
  <c r="V433" i="6"/>
  <c r="T434" i="6" a="1"/>
  <c r="T434" i="6" s="1"/>
  <c r="J482" i="6" l="1"/>
  <c r="L481" i="6" a="1"/>
  <c r="L481" i="6" s="1"/>
  <c r="K481" i="6" a="1"/>
  <c r="K481" i="6" s="1"/>
  <c r="N481" i="6" s="1"/>
  <c r="V434" i="6"/>
  <c r="U434" i="6"/>
  <c r="T435" i="6" a="1"/>
  <c r="T435" i="6" s="1"/>
  <c r="K482" i="6" l="1" a="1"/>
  <c r="K482" i="6" s="1"/>
  <c r="N482" i="6" s="1"/>
  <c r="L482" i="6" a="1"/>
  <c r="L482" i="6" s="1"/>
  <c r="J483" i="6"/>
  <c r="U435" i="6"/>
  <c r="V435" i="6"/>
  <c r="T436" i="6" a="1"/>
  <c r="T436" i="6" s="1"/>
  <c r="V436" i="6" l="1"/>
  <c r="U436" i="6"/>
  <c r="T437" i="6" a="1"/>
  <c r="T437" i="6" s="1"/>
  <c r="L483" i="6" a="1"/>
  <c r="L483" i="6" s="1"/>
  <c r="J484" i="6"/>
  <c r="K483" i="6" a="1"/>
  <c r="K483" i="6" s="1"/>
  <c r="N483" i="6" s="1"/>
  <c r="K484" i="6" l="1" a="1"/>
  <c r="K484" i="6" s="1"/>
  <c r="N484" i="6" s="1"/>
  <c r="J485" i="6"/>
  <c r="L484" i="6" a="1"/>
  <c r="L484" i="6" s="1"/>
  <c r="U437" i="6"/>
  <c r="V437" i="6"/>
  <c r="T438" i="6" a="1"/>
  <c r="T438" i="6" s="1"/>
  <c r="V438" i="6" l="1"/>
  <c r="U438" i="6"/>
  <c r="T439" i="6" a="1"/>
  <c r="T439" i="6" s="1"/>
  <c r="K485" i="6" a="1"/>
  <c r="K485" i="6" s="1"/>
  <c r="N485" i="6" s="1"/>
  <c r="J486" i="6"/>
  <c r="L485" i="6" a="1"/>
  <c r="L485" i="6" s="1"/>
  <c r="K486" i="6" l="1" a="1"/>
  <c r="K486" i="6" s="1"/>
  <c r="N486" i="6" s="1"/>
  <c r="J487" i="6"/>
  <c r="L486" i="6" a="1"/>
  <c r="L486" i="6" s="1"/>
  <c r="U439" i="6"/>
  <c r="V439" i="6"/>
  <c r="T440" i="6" a="1"/>
  <c r="T440" i="6" s="1"/>
  <c r="K487" i="6" l="1" a="1"/>
  <c r="K487" i="6" s="1"/>
  <c r="N487" i="6" s="1"/>
  <c r="L487" i="6" a="1"/>
  <c r="L487" i="6" s="1"/>
  <c r="J488" i="6"/>
  <c r="V440" i="6"/>
  <c r="U440" i="6"/>
  <c r="T441" i="6" a="1"/>
  <c r="T441" i="6" s="1"/>
  <c r="K488" i="6" l="1" a="1"/>
  <c r="K488" i="6" s="1"/>
  <c r="N488" i="6" s="1"/>
  <c r="J489" i="6"/>
  <c r="L488" i="6" a="1"/>
  <c r="L488" i="6" s="1"/>
  <c r="U441" i="6"/>
  <c r="V441" i="6"/>
  <c r="T442" i="6" a="1"/>
  <c r="T442" i="6" s="1"/>
  <c r="K489" i="6" l="1" a="1"/>
  <c r="K489" i="6" s="1"/>
  <c r="N489" i="6" s="1"/>
  <c r="L489" i="6" a="1"/>
  <c r="L489" i="6" s="1"/>
  <c r="J490" i="6"/>
  <c r="U442" i="6"/>
  <c r="V442" i="6"/>
  <c r="T443" i="6" a="1"/>
  <c r="T443" i="6" s="1"/>
  <c r="U443" i="6" l="1"/>
  <c r="V443" i="6"/>
  <c r="T444" i="6" a="1"/>
  <c r="T444" i="6" s="1"/>
  <c r="K490" i="6" a="1"/>
  <c r="K490" i="6" s="1"/>
  <c r="N490" i="6" s="1"/>
  <c r="L490" i="6" a="1"/>
  <c r="L490" i="6" s="1"/>
  <c r="J491" i="6"/>
  <c r="J492" i="6" l="1"/>
  <c r="L491" i="6" a="1"/>
  <c r="L491" i="6" s="1"/>
  <c r="K491" i="6" a="1"/>
  <c r="K491" i="6" s="1"/>
  <c r="N491" i="6" s="1"/>
  <c r="U444" i="6"/>
  <c r="V444" i="6"/>
  <c r="T445" i="6" a="1"/>
  <c r="T445" i="6" s="1"/>
  <c r="J493" i="6" l="1"/>
  <c r="L492" i="6" a="1"/>
  <c r="L492" i="6" s="1"/>
  <c r="K492" i="6" a="1"/>
  <c r="K492" i="6" s="1"/>
  <c r="N492" i="6" s="1"/>
  <c r="U445" i="6"/>
  <c r="V445" i="6"/>
  <c r="T446" i="6" a="1"/>
  <c r="T446" i="6" s="1"/>
  <c r="J494" i="6" l="1"/>
  <c r="L493" i="6" a="1"/>
  <c r="L493" i="6" s="1"/>
  <c r="K493" i="6" a="1"/>
  <c r="K493" i="6" s="1"/>
  <c r="N493" i="6" s="1"/>
  <c r="V446" i="6"/>
  <c r="U446" i="6"/>
  <c r="T447" i="6" a="1"/>
  <c r="T447" i="6" s="1"/>
  <c r="U447" i="6" l="1"/>
  <c r="V447" i="6"/>
  <c r="T448" i="6" a="1"/>
  <c r="T448" i="6" s="1"/>
  <c r="K494" i="6" a="1"/>
  <c r="K494" i="6" s="1"/>
  <c r="N494" i="6" s="1"/>
  <c r="J495" i="6"/>
  <c r="L494" i="6" a="1"/>
  <c r="L494" i="6" s="1"/>
  <c r="U448" i="6" l="1"/>
  <c r="V448" i="6"/>
  <c r="T449" i="6" a="1"/>
  <c r="T449" i="6" s="1"/>
  <c r="J496" i="6"/>
  <c r="K495" i="6" a="1"/>
  <c r="K495" i="6" s="1"/>
  <c r="N495" i="6" s="1"/>
  <c r="L495" i="6" a="1"/>
  <c r="L495" i="6" s="1"/>
  <c r="J497" i="6" l="1"/>
  <c r="L496" i="6" a="1"/>
  <c r="L496" i="6" s="1"/>
  <c r="K496" i="6" a="1"/>
  <c r="K496" i="6" s="1"/>
  <c r="N496" i="6" s="1"/>
  <c r="U449" i="6"/>
  <c r="V449" i="6"/>
  <c r="T450" i="6" a="1"/>
  <c r="T450" i="6" s="1"/>
  <c r="J498" i="6" l="1"/>
  <c r="K497" i="6" a="1"/>
  <c r="K497" i="6" s="1"/>
  <c r="N497" i="6" s="1"/>
  <c r="L497" i="6" a="1"/>
  <c r="L497" i="6" s="1"/>
  <c r="V450" i="6"/>
  <c r="U450" i="6"/>
  <c r="T451" i="6" a="1"/>
  <c r="T451" i="6" s="1"/>
  <c r="U451" i="6" l="1"/>
  <c r="V451" i="6"/>
  <c r="T452" i="6" a="1"/>
  <c r="T452" i="6" s="1"/>
  <c r="K498" i="6" a="1"/>
  <c r="K498" i="6" s="1"/>
  <c r="N498" i="6" s="1"/>
  <c r="L498" i="6" a="1"/>
  <c r="L498" i="6" s="1"/>
  <c r="J499" i="6"/>
  <c r="J500" i="6" l="1"/>
  <c r="L499" i="6" a="1"/>
  <c r="L499" i="6" s="1"/>
  <c r="K499" i="6" a="1"/>
  <c r="K499" i="6" s="1"/>
  <c r="N499" i="6" s="1"/>
  <c r="V452" i="6"/>
  <c r="U452" i="6"/>
  <c r="T453" i="6" a="1"/>
  <c r="T453" i="6" s="1"/>
  <c r="K500" i="6" l="1" a="1"/>
  <c r="K500" i="6" s="1"/>
  <c r="N500" i="6" s="1"/>
  <c r="J501" i="6"/>
  <c r="L500" i="6" a="1"/>
  <c r="L500" i="6" s="1"/>
  <c r="V453" i="6"/>
  <c r="U453" i="6"/>
  <c r="T454" i="6" a="1"/>
  <c r="T454" i="6" s="1"/>
  <c r="V454" i="6" l="1"/>
  <c r="U454" i="6"/>
  <c r="T455" i="6" a="1"/>
  <c r="T455" i="6" s="1"/>
  <c r="L501" i="6" a="1"/>
  <c r="L501" i="6" s="1"/>
  <c r="K501" i="6" a="1"/>
  <c r="K501" i="6" s="1"/>
  <c r="N501" i="6" s="1"/>
  <c r="V455" i="6" l="1"/>
  <c r="U455" i="6"/>
  <c r="T456" i="6" a="1"/>
  <c r="T456" i="6" s="1"/>
  <c r="V456" i="6" l="1"/>
  <c r="U456" i="6"/>
  <c r="T457" i="6" a="1"/>
  <c r="T457" i="6" s="1"/>
  <c r="V457" i="6" l="1"/>
  <c r="U457" i="6"/>
  <c r="T458" i="6" a="1"/>
  <c r="T458" i="6" s="1"/>
  <c r="V458" i="6" l="1"/>
  <c r="U458" i="6"/>
  <c r="T459" i="6" a="1"/>
  <c r="T459" i="6" s="1"/>
  <c r="V459" i="6" l="1"/>
  <c r="U459" i="6"/>
  <c r="T460" i="6" a="1"/>
  <c r="T460" i="6" s="1"/>
  <c r="V460" i="6" l="1"/>
  <c r="U460" i="6"/>
  <c r="T461" i="6" a="1"/>
  <c r="T461" i="6" s="1"/>
  <c r="V461" i="6" l="1"/>
  <c r="U461" i="6"/>
  <c r="T462" i="6" a="1"/>
  <c r="T462" i="6" s="1"/>
  <c r="V462" i="6" l="1"/>
  <c r="U462" i="6"/>
  <c r="T463" i="6" a="1"/>
  <c r="T463" i="6" s="1"/>
  <c r="V463" i="6" l="1"/>
  <c r="U463" i="6"/>
  <c r="T464" i="6" a="1"/>
  <c r="T464" i="6" s="1"/>
  <c r="U464" i="6" l="1"/>
  <c r="V464" i="6"/>
  <c r="T465" i="6" a="1"/>
  <c r="T465" i="6" s="1"/>
  <c r="V465" i="6" l="1"/>
  <c r="U465" i="6"/>
  <c r="T466" i="6" a="1"/>
  <c r="T466" i="6" s="1"/>
  <c r="U466" i="6" l="1"/>
  <c r="V466" i="6"/>
  <c r="T467" i="6" a="1"/>
  <c r="T467" i="6" s="1"/>
  <c r="U467" i="6" l="1"/>
  <c r="V467" i="6"/>
  <c r="T468" i="6" a="1"/>
  <c r="T468" i="6" s="1"/>
  <c r="U468" i="6" l="1"/>
  <c r="V468" i="6"/>
  <c r="T469" i="6" a="1"/>
  <c r="T469" i="6" s="1"/>
  <c r="V469" i="6" l="1"/>
  <c r="U469" i="6"/>
  <c r="T470" i="6" a="1"/>
  <c r="T470" i="6" s="1"/>
  <c r="U470" i="6" l="1"/>
  <c r="V470" i="6"/>
  <c r="T471" i="6" a="1"/>
  <c r="T471" i="6" s="1"/>
  <c r="U471" i="6" l="1"/>
  <c r="V471" i="6"/>
  <c r="T472" i="6" a="1"/>
  <c r="T472" i="6" s="1"/>
  <c r="U472" i="6" l="1"/>
  <c r="V472" i="6"/>
  <c r="T473" i="6" a="1"/>
  <c r="T473" i="6" s="1"/>
  <c r="U473" i="6" l="1"/>
  <c r="V473" i="6"/>
  <c r="T474" i="6" a="1"/>
  <c r="T474" i="6" s="1"/>
  <c r="V474" i="6" l="1"/>
  <c r="U474" i="6"/>
  <c r="T475" i="6" a="1"/>
  <c r="T475" i="6" s="1"/>
  <c r="U475" i="6" l="1"/>
  <c r="V475" i="6"/>
  <c r="T476" i="6" a="1"/>
  <c r="T476" i="6" s="1"/>
  <c r="V476" i="6" l="1"/>
  <c r="U476" i="6"/>
  <c r="T477" i="6" a="1"/>
  <c r="T477" i="6" s="1"/>
  <c r="U477" i="6" l="1"/>
  <c r="V477" i="6"/>
  <c r="T478" i="6" a="1"/>
  <c r="T478" i="6" s="1"/>
  <c r="V478" i="6" l="1"/>
  <c r="U478" i="6"/>
  <c r="T479" i="6" a="1"/>
  <c r="T479" i="6" s="1"/>
  <c r="U479" i="6" l="1"/>
  <c r="V479" i="6"/>
  <c r="T480" i="6" a="1"/>
  <c r="T480" i="6" s="1"/>
  <c r="V480" i="6" l="1"/>
  <c r="U480" i="6"/>
  <c r="T481" i="6" a="1"/>
  <c r="T481" i="6" s="1"/>
  <c r="U481" i="6" l="1"/>
  <c r="V481" i="6"/>
  <c r="T482" i="6" a="1"/>
  <c r="T482" i="6" s="1"/>
  <c r="V482" i="6" l="1"/>
  <c r="U482" i="6"/>
  <c r="T483" i="6" a="1"/>
  <c r="T483" i="6" s="1"/>
  <c r="U483" i="6" l="1"/>
  <c r="V483" i="6"/>
  <c r="T484" i="6" a="1"/>
  <c r="T484" i="6" s="1"/>
  <c r="V484" i="6" l="1"/>
  <c r="U484" i="6"/>
  <c r="T485" i="6" a="1"/>
  <c r="T485" i="6" s="1"/>
  <c r="U485" i="6" l="1"/>
  <c r="V485" i="6"/>
  <c r="T486" i="6" a="1"/>
  <c r="T486" i="6" s="1"/>
  <c r="V486" i="6" l="1"/>
  <c r="U486" i="6"/>
  <c r="T487" i="6" a="1"/>
  <c r="T487" i="6" s="1"/>
  <c r="U487" i="6" l="1"/>
  <c r="V487" i="6"/>
  <c r="T488" i="6" a="1"/>
  <c r="T488" i="6" s="1"/>
  <c r="U488" i="6" l="1"/>
  <c r="V488" i="6"/>
  <c r="T489" i="6" a="1"/>
  <c r="T489" i="6" s="1"/>
  <c r="U489" i="6" l="1"/>
  <c r="V489" i="6"/>
  <c r="T490" i="6" a="1"/>
  <c r="T490" i="6" s="1"/>
  <c r="V490" i="6" l="1"/>
  <c r="U490" i="6"/>
  <c r="T491" i="6" a="1"/>
  <c r="T491" i="6" s="1"/>
  <c r="U491" i="6" l="1"/>
  <c r="V491" i="6"/>
  <c r="T492" i="6" a="1"/>
  <c r="T492" i="6" s="1"/>
  <c r="U492" i="6" l="1"/>
  <c r="V492" i="6"/>
  <c r="T493" i="6" a="1"/>
  <c r="T493" i="6" s="1"/>
  <c r="U493" i="6" l="1"/>
  <c r="V493" i="6"/>
  <c r="T494" i="6" a="1"/>
  <c r="T494" i="6" s="1"/>
  <c r="V494" i="6" l="1"/>
  <c r="U494" i="6"/>
  <c r="T495" i="6" a="1"/>
  <c r="T495" i="6" s="1"/>
  <c r="U495" i="6" l="1"/>
  <c r="V495" i="6"/>
  <c r="T496" i="6" a="1"/>
  <c r="T496" i="6" s="1"/>
  <c r="V496" i="6" l="1"/>
  <c r="U496" i="6"/>
  <c r="T497" i="6" a="1"/>
  <c r="T497" i="6" s="1"/>
  <c r="U497" i="6" l="1"/>
  <c r="V497" i="6"/>
  <c r="T498" i="6" a="1"/>
  <c r="T498" i="6" s="1"/>
  <c r="U498" i="6" l="1"/>
  <c r="V498" i="6"/>
  <c r="T499" i="6" a="1"/>
  <c r="T499" i="6" s="1"/>
  <c r="T500" i="6" s="1" a="1"/>
  <c r="T500" i="6" s="1"/>
  <c r="T501" i="6" s="1" a="1"/>
  <c r="T501" i="6" s="1"/>
  <c r="S1" i="6" s="1"/>
  <c r="A44" i="2" l="1" a="1"/>
  <c r="H51" i="2" s="1"/>
  <c r="I9" i="3"/>
  <c r="A69" i="3" s="1"/>
  <c r="C24" i="1" s="1"/>
  <c r="O44" i="2" l="1"/>
  <c r="O65" i="2" s="1"/>
  <c r="K45" i="2"/>
  <c r="K66" i="2" s="1"/>
  <c r="G46" i="2"/>
  <c r="G67" i="2" s="1"/>
  <c r="C47" i="2"/>
  <c r="C68" i="2" s="1"/>
  <c r="S47" i="2"/>
  <c r="S68" i="2" s="1"/>
  <c r="O48" i="2"/>
  <c r="O69" i="2" s="1"/>
  <c r="K49" i="2"/>
  <c r="K70" i="2" s="1"/>
  <c r="G50" i="2"/>
  <c r="C51" i="2"/>
  <c r="C72" i="2" s="1"/>
  <c r="T51" i="2"/>
  <c r="T72" i="2" s="1"/>
  <c r="P52" i="2"/>
  <c r="P73" i="2" s="1"/>
  <c r="L53" i="2"/>
  <c r="L74" i="2" s="1"/>
  <c r="H54" i="2"/>
  <c r="H75" i="2" s="1"/>
  <c r="D55" i="2"/>
  <c r="D76" i="2" s="1"/>
  <c r="T55" i="2"/>
  <c r="T76" i="2" s="1"/>
  <c r="P56" i="2"/>
  <c r="P77" i="2" s="1"/>
  <c r="L57" i="2"/>
  <c r="L78" i="2" s="1"/>
  <c r="H58" i="2"/>
  <c r="H79" i="2" s="1"/>
  <c r="D59" i="2"/>
  <c r="D80" i="2" s="1"/>
  <c r="T59" i="2"/>
  <c r="T80" i="2" s="1"/>
  <c r="P60" i="2"/>
  <c r="P81" i="2" s="1"/>
  <c r="L61" i="2"/>
  <c r="L82" i="2" s="1"/>
  <c r="H62" i="2"/>
  <c r="H83" i="2" s="1"/>
  <c r="D63" i="2"/>
  <c r="D84" i="2" s="1"/>
  <c r="T63" i="2"/>
  <c r="P44" i="2"/>
  <c r="P65" i="2" s="1"/>
  <c r="L45" i="2"/>
  <c r="L66" i="2" s="1"/>
  <c r="H46" i="2"/>
  <c r="H67" i="2" s="1"/>
  <c r="D47" i="2"/>
  <c r="T47" i="2"/>
  <c r="T68" i="2" s="1"/>
  <c r="P48" i="2"/>
  <c r="P69" i="2" s="1"/>
  <c r="L49" i="2"/>
  <c r="L70" i="2" s="1"/>
  <c r="H50" i="2"/>
  <c r="H71" i="2" s="1"/>
  <c r="D51" i="2"/>
  <c r="D72" i="2" s="1"/>
  <c r="A52" i="2"/>
  <c r="A73" i="2" s="1"/>
  <c r="Q52" i="2"/>
  <c r="Q73" i="2" s="1"/>
  <c r="M53" i="2"/>
  <c r="M74" i="2" s="1"/>
  <c r="I54" i="2"/>
  <c r="I75" i="2" s="1"/>
  <c r="E55" i="2"/>
  <c r="E76" i="2" s="1"/>
  <c r="A56" i="2"/>
  <c r="A77" i="2" s="1"/>
  <c r="Q56" i="2"/>
  <c r="Q77" i="2" s="1"/>
  <c r="M57" i="2"/>
  <c r="M78" i="2" s="1"/>
  <c r="I58" i="2"/>
  <c r="I79" i="2" s="1"/>
  <c r="E59" i="2"/>
  <c r="E80" i="2" s="1"/>
  <c r="A60" i="2"/>
  <c r="A81" i="2" s="1"/>
  <c r="Q60" i="2"/>
  <c r="M61" i="2"/>
  <c r="M82" i="2" s="1"/>
  <c r="I62" i="2"/>
  <c r="I83" i="2" s="1"/>
  <c r="E63" i="2"/>
  <c r="E84" i="2" s="1"/>
  <c r="A44" i="2"/>
  <c r="Q44" i="2"/>
  <c r="Q65" i="2" s="1"/>
  <c r="M45" i="2"/>
  <c r="M66" i="2" s="1"/>
  <c r="I46" i="2"/>
  <c r="I67" i="2" s="1"/>
  <c r="E47" i="2"/>
  <c r="E68" i="2" s="1"/>
  <c r="A48" i="2"/>
  <c r="A69" i="2" s="1"/>
  <c r="Q48" i="2"/>
  <c r="Q69" i="2" s="1"/>
  <c r="M49" i="2"/>
  <c r="M70" i="2" s="1"/>
  <c r="I50" i="2"/>
  <c r="I71" i="2" s="1"/>
  <c r="E51" i="2"/>
  <c r="E72" i="2" s="1"/>
  <c r="B52" i="2"/>
  <c r="B73" i="2" s="1"/>
  <c r="R52" i="2"/>
  <c r="R73" i="2" s="1"/>
  <c r="N53" i="2"/>
  <c r="N74" i="2" s="1"/>
  <c r="J54" i="2"/>
  <c r="J75" i="2" s="1"/>
  <c r="F55" i="2"/>
  <c r="F76" i="2" s="1"/>
  <c r="B56" i="2"/>
  <c r="B77" i="2" s="1"/>
  <c r="R56" i="2"/>
  <c r="R77" i="2" s="1"/>
  <c r="N57" i="2"/>
  <c r="J58" i="2"/>
  <c r="J79" i="2" s="1"/>
  <c r="F59" i="2"/>
  <c r="F80" i="2" s="1"/>
  <c r="B60" i="2"/>
  <c r="B81" i="2" s="1"/>
  <c r="R60" i="2"/>
  <c r="R81" i="2" s="1"/>
  <c r="N61" i="2"/>
  <c r="N82" i="2" s="1"/>
  <c r="J62" i="2"/>
  <c r="J83" i="2" s="1"/>
  <c r="F63" i="2"/>
  <c r="F84" i="2" s="1"/>
  <c r="B44" i="2"/>
  <c r="B65" i="2" s="1"/>
  <c r="R44" i="2"/>
  <c r="R65" i="2" s="1"/>
  <c r="N45" i="2"/>
  <c r="N66" i="2" s="1"/>
  <c r="J46" i="2"/>
  <c r="J67" i="2" s="1"/>
  <c r="F47" i="2"/>
  <c r="F68" i="2" s="1"/>
  <c r="B48" i="2"/>
  <c r="B69" i="2" s="1"/>
  <c r="R48" i="2"/>
  <c r="R69" i="2" s="1"/>
  <c r="N49" i="2"/>
  <c r="N70" i="2" s="1"/>
  <c r="J50" i="2"/>
  <c r="J71" i="2" s="1"/>
  <c r="F51" i="2"/>
  <c r="F72" i="2" s="1"/>
  <c r="C52" i="2"/>
  <c r="C73" i="2" s="1"/>
  <c r="S52" i="2"/>
  <c r="S73" i="2" s="1"/>
  <c r="O53" i="2"/>
  <c r="O74" i="2" s="1"/>
  <c r="K54" i="2"/>
  <c r="G55" i="2"/>
  <c r="G76" i="2" s="1"/>
  <c r="C56" i="2"/>
  <c r="C77" i="2" s="1"/>
  <c r="S56" i="2"/>
  <c r="S77" i="2" s="1"/>
  <c r="O57" i="2"/>
  <c r="O78" i="2" s="1"/>
  <c r="K58" i="2"/>
  <c r="K79" i="2" s="1"/>
  <c r="G59" i="2"/>
  <c r="G80" i="2" s="1"/>
  <c r="C60" i="2"/>
  <c r="C81" i="2" s="1"/>
  <c r="S60" i="2"/>
  <c r="S81" i="2" s="1"/>
  <c r="O61" i="2"/>
  <c r="O82" i="2" s="1"/>
  <c r="K62" i="2"/>
  <c r="K83" i="2" s="1"/>
  <c r="G63" i="2"/>
  <c r="G84" i="2" s="1"/>
  <c r="C44" i="2"/>
  <c r="C65" i="2" s="1"/>
  <c r="S44" i="2"/>
  <c r="S65" i="2" s="1"/>
  <c r="O45" i="2"/>
  <c r="O66" i="2" s="1"/>
  <c r="K46" i="2"/>
  <c r="K67" i="2" s="1"/>
  <c r="G47" i="2"/>
  <c r="G68" i="2" s="1"/>
  <c r="C48" i="2"/>
  <c r="C69" i="2" s="1"/>
  <c r="S48" i="2"/>
  <c r="S69" i="2" s="1"/>
  <c r="O49" i="2"/>
  <c r="O70" i="2" s="1"/>
  <c r="K50" i="2"/>
  <c r="K71" i="2" s="1"/>
  <c r="G51" i="2"/>
  <c r="G72" i="2" s="1"/>
  <c r="D52" i="2"/>
  <c r="D73" i="2" s="1"/>
  <c r="T52" i="2"/>
  <c r="T73" i="2" s="1"/>
  <c r="P53" i="2"/>
  <c r="P74" i="2" s="1"/>
  <c r="L54" i="2"/>
  <c r="L75" i="2" s="1"/>
  <c r="H55" i="2"/>
  <c r="H76" i="2" s="1"/>
  <c r="D56" i="2"/>
  <c r="D77" i="2" s="1"/>
  <c r="T56" i="2"/>
  <c r="T77" i="2" s="1"/>
  <c r="P57" i="2"/>
  <c r="P78" i="2" s="1"/>
  <c r="L58" i="2"/>
  <c r="L79" i="2" s="1"/>
  <c r="H59" i="2"/>
  <c r="H80" i="2" s="1"/>
  <c r="D60" i="2"/>
  <c r="D81" i="2" s="1"/>
  <c r="T60" i="2"/>
  <c r="T81" i="2" s="1"/>
  <c r="P61" i="2"/>
  <c r="P82" i="2" s="1"/>
  <c r="L62" i="2"/>
  <c r="L83" i="2" s="1"/>
  <c r="H63" i="2"/>
  <c r="H84" i="2" s="1"/>
  <c r="D44" i="2"/>
  <c r="D65" i="2" s="1"/>
  <c r="T44" i="2"/>
  <c r="T65" i="2" s="1"/>
  <c r="P45" i="2"/>
  <c r="P66" i="2" s="1"/>
  <c r="L46" i="2"/>
  <c r="L67" i="2" s="1"/>
  <c r="H47" i="2"/>
  <c r="H68" i="2" s="1"/>
  <c r="D48" i="2"/>
  <c r="D69" i="2" s="1"/>
  <c r="T48" i="2"/>
  <c r="T69" i="2" s="1"/>
  <c r="P49" i="2"/>
  <c r="P70" i="2" s="1"/>
  <c r="L50" i="2"/>
  <c r="L71" i="2" s="1"/>
  <c r="I51" i="2"/>
  <c r="I72" i="2" s="1"/>
  <c r="E52" i="2"/>
  <c r="E73" i="2" s="1"/>
  <c r="A53" i="2"/>
  <c r="A74" i="2" s="1"/>
  <c r="Q53" i="2"/>
  <c r="Q74" i="2" s="1"/>
  <c r="M54" i="2"/>
  <c r="M75" i="2" s="1"/>
  <c r="I55" i="2"/>
  <c r="I76" i="2" s="1"/>
  <c r="E56" i="2"/>
  <c r="E77" i="2" s="1"/>
  <c r="A57" i="2"/>
  <c r="A78" i="2" s="1"/>
  <c r="Q57" i="2"/>
  <c r="Q78" i="2" s="1"/>
  <c r="M58" i="2"/>
  <c r="M79" i="2" s="1"/>
  <c r="I59" i="2"/>
  <c r="I80" i="2" s="1"/>
  <c r="E60" i="2"/>
  <c r="E81" i="2" s="1"/>
  <c r="A61" i="2"/>
  <c r="A82" i="2" s="1"/>
  <c r="Q61" i="2"/>
  <c r="Q82" i="2" s="1"/>
  <c r="M62" i="2"/>
  <c r="M83" i="2" s="1"/>
  <c r="I63" i="2"/>
  <c r="I84" i="2" s="1"/>
  <c r="E44" i="2"/>
  <c r="E65" i="2" s="1"/>
  <c r="A45" i="2"/>
  <c r="A66" i="2" s="1"/>
  <c r="Q45" i="2"/>
  <c r="Q66" i="2" s="1"/>
  <c r="M46" i="2"/>
  <c r="M67" i="2" s="1"/>
  <c r="I47" i="2"/>
  <c r="I68" i="2" s="1"/>
  <c r="E48" i="2"/>
  <c r="A49" i="2"/>
  <c r="A70" i="2" s="1"/>
  <c r="Q49" i="2"/>
  <c r="Q70" i="2" s="1"/>
  <c r="M50" i="2"/>
  <c r="M71" i="2" s="1"/>
  <c r="J51" i="2"/>
  <c r="J72" i="2" s="1"/>
  <c r="F52" i="2"/>
  <c r="F73" i="2" s="1"/>
  <c r="B53" i="2"/>
  <c r="B74" i="2" s="1"/>
  <c r="R53" i="2"/>
  <c r="R74" i="2" s="1"/>
  <c r="N54" i="2"/>
  <c r="N75" i="2" s="1"/>
  <c r="J55" i="2"/>
  <c r="J76" i="2" s="1"/>
  <c r="F56" i="2"/>
  <c r="F77" i="2" s="1"/>
  <c r="B57" i="2"/>
  <c r="B78" i="2" s="1"/>
  <c r="R57" i="2"/>
  <c r="R78" i="2" s="1"/>
  <c r="N58" i="2"/>
  <c r="N79" i="2" s="1"/>
  <c r="J59" i="2"/>
  <c r="J80" i="2" s="1"/>
  <c r="F60" i="2"/>
  <c r="F81" i="2" s="1"/>
  <c r="B61" i="2"/>
  <c r="B82" i="2" s="1"/>
  <c r="R61" i="2"/>
  <c r="N62" i="2"/>
  <c r="N83" i="2" s="1"/>
  <c r="J63" i="2"/>
  <c r="J84" i="2" s="1"/>
  <c r="F44" i="2"/>
  <c r="F65" i="2" s="1"/>
  <c r="B45" i="2"/>
  <c r="R45" i="2"/>
  <c r="R66" i="2" s="1"/>
  <c r="N46" i="2"/>
  <c r="N67" i="2" s="1"/>
  <c r="J47" i="2"/>
  <c r="J68" i="2" s="1"/>
  <c r="F48" i="2"/>
  <c r="F69" i="2" s="1"/>
  <c r="B49" i="2"/>
  <c r="B70" i="2" s="1"/>
  <c r="R49" i="2"/>
  <c r="R70" i="2" s="1"/>
  <c r="N50" i="2"/>
  <c r="N71" i="2" s="1"/>
  <c r="K51" i="2"/>
  <c r="K72" i="2" s="1"/>
  <c r="G52" i="2"/>
  <c r="G73" i="2" s="1"/>
  <c r="C53" i="2"/>
  <c r="C74" i="2" s="1"/>
  <c r="S53" i="2"/>
  <c r="S74" i="2" s="1"/>
  <c r="O54" i="2"/>
  <c r="O75" i="2" s="1"/>
  <c r="K55" i="2"/>
  <c r="K76" i="2" s="1"/>
  <c r="G56" i="2"/>
  <c r="G77" i="2" s="1"/>
  <c r="C57" i="2"/>
  <c r="C78" i="2" s="1"/>
  <c r="S57" i="2"/>
  <c r="S78" i="2" s="1"/>
  <c r="O58" i="2"/>
  <c r="K59" i="2"/>
  <c r="K80" i="2" s="1"/>
  <c r="G60" i="2"/>
  <c r="G81" i="2" s="1"/>
  <c r="C61" i="2"/>
  <c r="C82" i="2" s="1"/>
  <c r="S61" i="2"/>
  <c r="S82" i="2" s="1"/>
  <c r="O62" i="2"/>
  <c r="O83" i="2" s="1"/>
  <c r="K63" i="2"/>
  <c r="K84" i="2" s="1"/>
  <c r="G44" i="2"/>
  <c r="G65" i="2" s="1"/>
  <c r="C45" i="2"/>
  <c r="C66" i="2" s="1"/>
  <c r="S45" i="2"/>
  <c r="S66" i="2" s="1"/>
  <c r="O46" i="2"/>
  <c r="O67" i="2" s="1"/>
  <c r="K47" i="2"/>
  <c r="K68" i="2" s="1"/>
  <c r="G48" i="2"/>
  <c r="G69" i="2" s="1"/>
  <c r="C49" i="2"/>
  <c r="C70" i="2" s="1"/>
  <c r="S49" i="2"/>
  <c r="S70" i="2" s="1"/>
  <c r="O50" i="2"/>
  <c r="O71" i="2" s="1"/>
  <c r="L51" i="2"/>
  <c r="L72" i="2" s="1"/>
  <c r="H52" i="2"/>
  <c r="H73" i="2" s="1"/>
  <c r="D53" i="2"/>
  <c r="D74" i="2" s="1"/>
  <c r="T53" i="2"/>
  <c r="T74" i="2" s="1"/>
  <c r="P54" i="2"/>
  <c r="P75" i="2" s="1"/>
  <c r="L55" i="2"/>
  <c r="H56" i="2"/>
  <c r="H77" i="2" s="1"/>
  <c r="D57" i="2"/>
  <c r="D78" i="2" s="1"/>
  <c r="T57" i="2"/>
  <c r="T78" i="2" s="1"/>
  <c r="P58" i="2"/>
  <c r="P79" i="2" s="1"/>
  <c r="L59" i="2"/>
  <c r="L80" i="2" s="1"/>
  <c r="H60" i="2"/>
  <c r="H81" i="2" s="1"/>
  <c r="D61" i="2"/>
  <c r="D82" i="2" s="1"/>
  <c r="T61" i="2"/>
  <c r="T82" i="2" s="1"/>
  <c r="P62" i="2"/>
  <c r="P83" i="2" s="1"/>
  <c r="L63" i="2"/>
  <c r="L84" i="2" s="1"/>
  <c r="H44" i="2"/>
  <c r="H65" i="2" s="1"/>
  <c r="D45" i="2"/>
  <c r="D66" i="2" s="1"/>
  <c r="T45" i="2"/>
  <c r="T66" i="2" s="1"/>
  <c r="P46" i="2"/>
  <c r="P67" i="2" s="1"/>
  <c r="L47" i="2"/>
  <c r="L68" i="2" s="1"/>
  <c r="H48" i="2"/>
  <c r="H69" i="2" s="1"/>
  <c r="D49" i="2"/>
  <c r="D70" i="2" s="1"/>
  <c r="T49" i="2"/>
  <c r="T70" i="2" s="1"/>
  <c r="P50" i="2"/>
  <c r="P71" i="2" s="1"/>
  <c r="M51" i="2"/>
  <c r="M72" i="2" s="1"/>
  <c r="I52" i="2"/>
  <c r="E53" i="2"/>
  <c r="E74" i="2" s="1"/>
  <c r="A54" i="2"/>
  <c r="A75" i="2" s="1"/>
  <c r="Q54" i="2"/>
  <c r="Q75" i="2" s="1"/>
  <c r="M55" i="2"/>
  <c r="M76" i="2" s="1"/>
  <c r="I56" i="2"/>
  <c r="I77" i="2" s="1"/>
  <c r="E57" i="2"/>
  <c r="E78" i="2" s="1"/>
  <c r="A58" i="2"/>
  <c r="A79" i="2" s="1"/>
  <c r="Q58" i="2"/>
  <c r="Q79" i="2" s="1"/>
  <c r="M59" i="2"/>
  <c r="M80" i="2" s="1"/>
  <c r="I60" i="2"/>
  <c r="I81" i="2" s="1"/>
  <c r="E61" i="2"/>
  <c r="E82" i="2" s="1"/>
  <c r="A62" i="2"/>
  <c r="A83" i="2" s="1"/>
  <c r="Q62" i="2"/>
  <c r="Q83" i="2" s="1"/>
  <c r="M63" i="2"/>
  <c r="M84" i="2" s="1"/>
  <c r="I44" i="2"/>
  <c r="I65" i="2" s="1"/>
  <c r="E45" i="2"/>
  <c r="E66" i="2" s="1"/>
  <c r="A46" i="2"/>
  <c r="A67" i="2" s="1"/>
  <c r="Q46" i="2"/>
  <c r="Q67" i="2" s="1"/>
  <c r="M47" i="2"/>
  <c r="M68" i="2" s="1"/>
  <c r="I48" i="2"/>
  <c r="I69" i="2" s="1"/>
  <c r="E49" i="2"/>
  <c r="E70" i="2" s="1"/>
  <c r="A50" i="2"/>
  <c r="A71" i="2" s="1"/>
  <c r="Q50" i="2"/>
  <c r="Q71" i="2" s="1"/>
  <c r="N51" i="2"/>
  <c r="N72" i="2" s="1"/>
  <c r="J52" i="2"/>
  <c r="J73" i="2" s="1"/>
  <c r="F53" i="2"/>
  <c r="F74" i="2" s="1"/>
  <c r="B54" i="2"/>
  <c r="B75" i="2" s="1"/>
  <c r="R54" i="2"/>
  <c r="R75" i="2" s="1"/>
  <c r="N55" i="2"/>
  <c r="N76" i="2" s="1"/>
  <c r="J56" i="2"/>
  <c r="J77" i="2" s="1"/>
  <c r="F57" i="2"/>
  <c r="F78" i="2" s="1"/>
  <c r="B58" i="2"/>
  <c r="B79" i="2" s="1"/>
  <c r="R58" i="2"/>
  <c r="R79" i="2" s="1"/>
  <c r="N59" i="2"/>
  <c r="N80" i="2" s="1"/>
  <c r="J60" i="2"/>
  <c r="J81" i="2" s="1"/>
  <c r="F61" i="2"/>
  <c r="F82" i="2" s="1"/>
  <c r="B62" i="2"/>
  <c r="B83" i="2" s="1"/>
  <c r="R62" i="2"/>
  <c r="R83" i="2" s="1"/>
  <c r="N63" i="2"/>
  <c r="N84" i="2" s="1"/>
  <c r="J44" i="2"/>
  <c r="J65" i="2" s="1"/>
  <c r="F45" i="2"/>
  <c r="F66" i="2" s="1"/>
  <c r="B46" i="2"/>
  <c r="B67" i="2" s="1"/>
  <c r="R46" i="2"/>
  <c r="R67" i="2" s="1"/>
  <c r="N47" i="2"/>
  <c r="N68" i="2" s="1"/>
  <c r="J48" i="2"/>
  <c r="J69" i="2" s="1"/>
  <c r="F49" i="2"/>
  <c r="B50" i="2"/>
  <c r="B71" i="2" s="1"/>
  <c r="R50" i="2"/>
  <c r="R71" i="2" s="1"/>
  <c r="O51" i="2"/>
  <c r="O72" i="2" s="1"/>
  <c r="K52" i="2"/>
  <c r="K73" i="2" s="1"/>
  <c r="G53" i="2"/>
  <c r="G74" i="2" s="1"/>
  <c r="C54" i="2"/>
  <c r="C75" i="2" s="1"/>
  <c r="S54" i="2"/>
  <c r="S75" i="2" s="1"/>
  <c r="O55" i="2"/>
  <c r="O76" i="2" s="1"/>
  <c r="K56" i="2"/>
  <c r="K77" i="2" s="1"/>
  <c r="G57" i="2"/>
  <c r="G78" i="2" s="1"/>
  <c r="C58" i="2"/>
  <c r="C79" i="2" s="1"/>
  <c r="S58" i="2"/>
  <c r="S79" i="2" s="1"/>
  <c r="O59" i="2"/>
  <c r="O80" i="2" s="1"/>
  <c r="K60" i="2"/>
  <c r="K81" i="2" s="1"/>
  <c r="G61" i="2"/>
  <c r="G82" i="2" s="1"/>
  <c r="C62" i="2"/>
  <c r="C83" i="2" s="1"/>
  <c r="S62" i="2"/>
  <c r="O63" i="2"/>
  <c r="O84" i="2" s="1"/>
  <c r="K44" i="2"/>
  <c r="K65" i="2" s="1"/>
  <c r="G45" i="2"/>
  <c r="G66" i="2" s="1"/>
  <c r="C46" i="2"/>
  <c r="S46" i="2"/>
  <c r="S67" i="2" s="1"/>
  <c r="O47" i="2"/>
  <c r="O68" i="2" s="1"/>
  <c r="K48" i="2"/>
  <c r="K69" i="2" s="1"/>
  <c r="G49" i="2"/>
  <c r="G70" i="2" s="1"/>
  <c r="C50" i="2"/>
  <c r="C71" i="2" s="1"/>
  <c r="S50" i="2"/>
  <c r="S71" i="2" s="1"/>
  <c r="P51" i="2"/>
  <c r="P72" i="2" s="1"/>
  <c r="L52" i="2"/>
  <c r="L73" i="2" s="1"/>
  <c r="H53" i="2"/>
  <c r="H74" i="2" s="1"/>
  <c r="D54" i="2"/>
  <c r="D75" i="2" s="1"/>
  <c r="T54" i="2"/>
  <c r="T75" i="2" s="1"/>
  <c r="P55" i="2"/>
  <c r="P76" i="2" s="1"/>
  <c r="L56" i="2"/>
  <c r="L77" i="2" s="1"/>
  <c r="H57" i="2"/>
  <c r="H78" i="2" s="1"/>
  <c r="D58" i="2"/>
  <c r="D79" i="2" s="1"/>
  <c r="T58" i="2"/>
  <c r="T79" i="2" s="1"/>
  <c r="P59" i="2"/>
  <c r="L60" i="2"/>
  <c r="L81" i="2" s="1"/>
  <c r="H61" i="2"/>
  <c r="H82" i="2" s="1"/>
  <c r="D62" i="2"/>
  <c r="D83" i="2" s="1"/>
  <c r="T62" i="2"/>
  <c r="T83" i="2" s="1"/>
  <c r="P63" i="2"/>
  <c r="P84" i="2" s="1"/>
  <c r="L44" i="2"/>
  <c r="L65" i="2" s="1"/>
  <c r="H45" i="2"/>
  <c r="H66" i="2" s="1"/>
  <c r="D46" i="2"/>
  <c r="D67" i="2" s="1"/>
  <c r="T46" i="2"/>
  <c r="T67" i="2" s="1"/>
  <c r="P47" i="2"/>
  <c r="P68" i="2" s="1"/>
  <c r="L48" i="2"/>
  <c r="L69" i="2" s="1"/>
  <c r="H49" i="2"/>
  <c r="H70" i="2" s="1"/>
  <c r="D50" i="2"/>
  <c r="D71" i="2" s="1"/>
  <c r="T50" i="2"/>
  <c r="T71" i="2" s="1"/>
  <c r="Q51" i="2"/>
  <c r="Q72" i="2" s="1"/>
  <c r="M52" i="2"/>
  <c r="M73" i="2" s="1"/>
  <c r="I53" i="2"/>
  <c r="I74" i="2" s="1"/>
  <c r="E54" i="2"/>
  <c r="E75" i="2" s="1"/>
  <c r="A55" i="2"/>
  <c r="A76" i="2" s="1"/>
  <c r="Q55" i="2"/>
  <c r="Q76" i="2" s="1"/>
  <c r="M56" i="2"/>
  <c r="I57" i="2"/>
  <c r="I78" i="2" s="1"/>
  <c r="E58" i="2"/>
  <c r="E79" i="2" s="1"/>
  <c r="A59" i="2"/>
  <c r="A80" i="2" s="1"/>
  <c r="Q59" i="2"/>
  <c r="Q80" i="2" s="1"/>
  <c r="M60" i="2"/>
  <c r="M81" i="2" s="1"/>
  <c r="I61" i="2"/>
  <c r="I82" i="2" s="1"/>
  <c r="E62" i="2"/>
  <c r="E83" i="2" s="1"/>
  <c r="A63" i="2"/>
  <c r="A84" i="2" s="1"/>
  <c r="Q63" i="2"/>
  <c r="Q84" i="2" s="1"/>
  <c r="M44" i="2"/>
  <c r="M65" i="2" s="1"/>
  <c r="I45" i="2"/>
  <c r="I66" i="2" s="1"/>
  <c r="E46" i="2"/>
  <c r="E67" i="2" s="1"/>
  <c r="A47" i="2"/>
  <c r="A68" i="2" s="1"/>
  <c r="Q47" i="2"/>
  <c r="Q68" i="2" s="1"/>
  <c r="M48" i="2"/>
  <c r="M69" i="2" s="1"/>
  <c r="I49" i="2"/>
  <c r="I70" i="2" s="1"/>
  <c r="E50" i="2"/>
  <c r="E71" i="2" s="1"/>
  <c r="A51" i="2"/>
  <c r="A72" i="2" s="1"/>
  <c r="R51" i="2"/>
  <c r="R72" i="2" s="1"/>
  <c r="N52" i="2"/>
  <c r="N73" i="2" s="1"/>
  <c r="J53" i="2"/>
  <c r="F54" i="2"/>
  <c r="F75" i="2" s="1"/>
  <c r="B55" i="2"/>
  <c r="R55" i="2"/>
  <c r="R76" i="2" s="1"/>
  <c r="N56" i="2"/>
  <c r="N77" i="2" s="1"/>
  <c r="J57" i="2"/>
  <c r="J78" i="2" s="1"/>
  <c r="F58" i="2"/>
  <c r="F79" i="2" s="1"/>
  <c r="B59" i="2"/>
  <c r="B80" i="2" s="1"/>
  <c r="R59" i="2"/>
  <c r="R80" i="2" s="1"/>
  <c r="N60" i="2"/>
  <c r="N81" i="2" s="1"/>
  <c r="J61" i="2"/>
  <c r="J82" i="2" s="1"/>
  <c r="F62" i="2"/>
  <c r="F83" i="2" s="1"/>
  <c r="B63" i="2"/>
  <c r="B84" i="2" s="1"/>
  <c r="R63" i="2"/>
  <c r="R84" i="2" s="1"/>
  <c r="O56" i="2"/>
  <c r="O77" i="2" s="1"/>
  <c r="N44" i="2"/>
  <c r="N65" i="2" s="1"/>
  <c r="K57" i="2"/>
  <c r="K78" i="2" s="1"/>
  <c r="J45" i="2"/>
  <c r="J66" i="2" s="1"/>
  <c r="G58" i="2"/>
  <c r="G79" i="2" s="1"/>
  <c r="F46" i="2"/>
  <c r="F67" i="2" s="1"/>
  <c r="C59" i="2"/>
  <c r="C80" i="2" s="1"/>
  <c r="B47" i="2"/>
  <c r="B68" i="2" s="1"/>
  <c r="S59" i="2"/>
  <c r="S80" i="2" s="1"/>
  <c r="R47" i="2"/>
  <c r="R68" i="2" s="1"/>
  <c r="O60" i="2"/>
  <c r="O81" i="2" s="1"/>
  <c r="N48" i="2"/>
  <c r="N69" i="2" s="1"/>
  <c r="K61" i="2"/>
  <c r="K82" i="2" s="1"/>
  <c r="J49" i="2"/>
  <c r="J70" i="2" s="1"/>
  <c r="G62" i="2"/>
  <c r="G83" i="2" s="1"/>
  <c r="F50" i="2"/>
  <c r="F71" i="2" s="1"/>
  <c r="C63" i="2"/>
  <c r="C84" i="2" s="1"/>
  <c r="B51" i="2"/>
  <c r="B72" i="2" s="1"/>
  <c r="S63" i="2"/>
  <c r="S84" i="2" s="1"/>
  <c r="S51" i="2"/>
  <c r="S72" i="2" s="1"/>
  <c r="O52" i="2"/>
  <c r="O73" i="2" s="1"/>
  <c r="K53" i="2"/>
  <c r="K74" i="2" s="1"/>
  <c r="G54" i="2"/>
  <c r="G75" i="2" s="1"/>
  <c r="C55" i="2"/>
  <c r="C76" i="2" s="1"/>
  <c r="S55" i="2"/>
  <c r="S76" i="2" s="1"/>
  <c r="B76" i="2" l="1"/>
  <c r="C28" i="1" a="1"/>
  <c r="C28" i="1" s="1"/>
  <c r="B4" i="2" s="1"/>
  <c r="T11" i="2" a="1"/>
  <c r="G11" i="2" a="1"/>
  <c r="B5" i="2"/>
  <c r="B7" i="2" s="1"/>
  <c r="C26" i="1" a="1"/>
  <c r="C26" i="1" s="1"/>
  <c r="B2" i="2" l="1"/>
  <c r="N10" i="2"/>
  <c r="AH10" i="2" s="1"/>
  <c r="F2" i="2"/>
  <c r="A1205" i="7" s="1"/>
  <c r="C7" i="2"/>
  <c r="C30" i="1" s="1"/>
  <c r="F4" i="2"/>
  <c r="G30" i="2"/>
  <c r="W30" i="2" s="1"/>
  <c r="G22" i="2"/>
  <c r="W22" i="2" s="1"/>
  <c r="G11" i="2"/>
  <c r="W11" i="2" s="1"/>
  <c r="G12" i="2"/>
  <c r="W12" i="2" s="1"/>
  <c r="G18" i="2"/>
  <c r="W18" i="2" s="1"/>
  <c r="G24" i="2"/>
  <c r="W24" i="2" s="1"/>
  <c r="G14" i="2"/>
  <c r="W14" i="2" s="1"/>
  <c r="G21" i="2"/>
  <c r="W21" i="2" s="1"/>
  <c r="G27" i="2"/>
  <c r="W27" i="2" s="1"/>
  <c r="G25" i="2"/>
  <c r="W25" i="2" s="1"/>
  <c r="G17" i="2"/>
  <c r="W17" i="2" s="1"/>
  <c r="G26" i="2"/>
  <c r="W26" i="2" s="1"/>
  <c r="G15" i="2"/>
  <c r="W15" i="2" s="1"/>
  <c r="G13" i="2"/>
  <c r="W13" i="2" s="1"/>
  <c r="G20" i="2"/>
  <c r="W20" i="2" s="1"/>
  <c r="G29" i="2"/>
  <c r="W29" i="2" s="1"/>
  <c r="G19" i="2"/>
  <c r="W19" i="2" s="1"/>
  <c r="G16" i="2"/>
  <c r="W16" i="2" s="1"/>
  <c r="G28" i="2"/>
  <c r="W28" i="2" s="1"/>
  <c r="G23" i="2"/>
  <c r="W23" i="2" s="1"/>
  <c r="T15" i="2"/>
  <c r="T23" i="2"/>
  <c r="T16" i="2"/>
  <c r="T12" i="2"/>
  <c r="T21" i="2"/>
  <c r="T30" i="2"/>
  <c r="T29" i="2"/>
  <c r="T27" i="2"/>
  <c r="T11" i="2"/>
  <c r="T18" i="2"/>
  <c r="T26" i="2"/>
  <c r="T14" i="2"/>
  <c r="T22" i="2"/>
  <c r="T28" i="2"/>
  <c r="T17" i="2"/>
  <c r="T25" i="2"/>
  <c r="T19" i="2"/>
  <c r="T24" i="2"/>
  <c r="T13" i="2"/>
  <c r="T20" i="2"/>
  <c r="C4" i="2"/>
  <c r="D28" i="1" s="1"/>
  <c r="F28" i="1" a="1"/>
  <c r="F28" i="1" s="1"/>
  <c r="I21" i="2" l="1"/>
  <c r="F3" i="2"/>
  <c r="F7" i="2" s="1"/>
  <c r="I27" i="2"/>
  <c r="I25" i="2"/>
  <c r="I29" i="2"/>
  <c r="I26" i="2"/>
  <c r="I17" i="2"/>
  <c r="I14" i="2"/>
  <c r="V19" i="2"/>
  <c r="U19" i="2"/>
  <c r="X19" i="2" s="1"/>
  <c r="J22" i="2"/>
  <c r="K22" i="2"/>
  <c r="Y22" i="2" s="1"/>
  <c r="O14" i="1" s="1"/>
  <c r="P14" i="1" s="1" a="1"/>
  <c r="P14" i="1" s="1"/>
  <c r="H12" i="2"/>
  <c r="I22" i="2"/>
  <c r="U24" i="2"/>
  <c r="X24" i="2" s="1"/>
  <c r="V24" i="2"/>
  <c r="J24" i="2"/>
  <c r="K24" i="2"/>
  <c r="Y24" i="2" s="1"/>
  <c r="O16" i="1" s="1"/>
  <c r="P16" i="1" s="1" a="1"/>
  <c r="P16" i="1" s="1"/>
  <c r="V15" i="2"/>
  <c r="U15" i="2"/>
  <c r="X15" i="2" s="1"/>
  <c r="U25" i="2"/>
  <c r="X25" i="2" s="1"/>
  <c r="V25" i="2"/>
  <c r="V17" i="2"/>
  <c r="U17" i="2"/>
  <c r="X17" i="2" s="1"/>
  <c r="J28" i="2"/>
  <c r="K28" i="2"/>
  <c r="Y28" i="2" s="1"/>
  <c r="O20" i="1" s="1"/>
  <c r="P20" i="1" s="1" a="1"/>
  <c r="P20" i="1" s="1"/>
  <c r="H11" i="2"/>
  <c r="H16" i="2"/>
  <c r="V22" i="2"/>
  <c r="U22" i="2"/>
  <c r="X22" i="2" s="1"/>
  <c r="J30" i="2"/>
  <c r="K30" i="2"/>
  <c r="Y30" i="2" s="1"/>
  <c r="O22" i="1" s="1"/>
  <c r="P22" i="1" s="1" a="1"/>
  <c r="P22" i="1" s="1"/>
  <c r="J29" i="2"/>
  <c r="K29" i="2"/>
  <c r="Y29" i="2" s="1"/>
  <c r="O21" i="1" s="1"/>
  <c r="P21" i="1" s="1" a="1"/>
  <c r="P21" i="1" s="1"/>
  <c r="J20" i="2"/>
  <c r="K20" i="2"/>
  <c r="Y20" i="2" s="1"/>
  <c r="O12" i="1" s="1"/>
  <c r="P12" i="1" s="1" a="1"/>
  <c r="P12" i="1" s="1"/>
  <c r="I28" i="2"/>
  <c r="U18" i="2"/>
  <c r="X18" i="2" s="1"/>
  <c r="V18" i="2"/>
  <c r="H13" i="2"/>
  <c r="I19" i="2"/>
  <c r="V11" i="2"/>
  <c r="U11" i="2"/>
  <c r="X11" i="2" s="1"/>
  <c r="H15" i="2"/>
  <c r="J26" i="2"/>
  <c r="K26" i="2"/>
  <c r="Y26" i="2" s="1"/>
  <c r="O18" i="1" s="1"/>
  <c r="P18" i="1" s="1" a="1"/>
  <c r="P18" i="1" s="1"/>
  <c r="H17" i="2"/>
  <c r="J17" i="2"/>
  <c r="K17" i="2" s="1"/>
  <c r="Y17" i="2" s="1"/>
  <c r="O9" i="1" s="1"/>
  <c r="P9" i="1" s="1" a="1"/>
  <c r="P9" i="1" s="1"/>
  <c r="I12" i="2"/>
  <c r="C2" i="2"/>
  <c r="D26" i="1" s="1"/>
  <c r="F26" i="1" a="1"/>
  <c r="F26" i="1" s="1"/>
  <c r="U27" i="2"/>
  <c r="X27" i="2" s="1"/>
  <c r="V27" i="2"/>
  <c r="I18" i="2"/>
  <c r="I15" i="2"/>
  <c r="V29" i="2"/>
  <c r="U29" i="2"/>
  <c r="X29" i="2" s="1"/>
  <c r="I11" i="2"/>
  <c r="K25" i="2"/>
  <c r="Y25" i="2" s="1"/>
  <c r="O17" i="1" s="1"/>
  <c r="P17" i="1" s="1" a="1"/>
  <c r="P17" i="1" s="1"/>
  <c r="J25" i="2"/>
  <c r="U21" i="2"/>
  <c r="X21" i="2" s="1"/>
  <c r="V21" i="2"/>
  <c r="I13" i="2"/>
  <c r="V23" i="2"/>
  <c r="U23" i="2"/>
  <c r="X23" i="2" s="1"/>
  <c r="V30" i="2"/>
  <c r="U30" i="2"/>
  <c r="X30" i="2" s="1"/>
  <c r="I24" i="2"/>
  <c r="J21" i="2"/>
  <c r="K21" i="2"/>
  <c r="Y21" i="2" s="1"/>
  <c r="O13" i="1" s="1"/>
  <c r="P13" i="1" s="1" a="1"/>
  <c r="P13" i="1" s="1"/>
  <c r="I16" i="2"/>
  <c r="I20" i="2"/>
  <c r="K18" i="2"/>
  <c r="Y18" i="2" s="1"/>
  <c r="O10" i="1" s="1"/>
  <c r="P10" i="1" s="1" a="1"/>
  <c r="P10" i="1" s="1"/>
  <c r="J18" i="2"/>
  <c r="J23" i="2"/>
  <c r="K23" i="2"/>
  <c r="Y23" i="2" s="1"/>
  <c r="O15" i="1" s="1"/>
  <c r="P15" i="1" s="1" a="1"/>
  <c r="P15" i="1" s="1"/>
  <c r="V28" i="2"/>
  <c r="U28" i="2"/>
  <c r="X28" i="2" s="1"/>
  <c r="K19" i="2"/>
  <c r="Y19" i="2" s="1"/>
  <c r="O11" i="1" s="1"/>
  <c r="P11" i="1" s="1" a="1"/>
  <c r="P11" i="1" s="1"/>
  <c r="J19" i="2"/>
  <c r="V14" i="2"/>
  <c r="U14" i="2"/>
  <c r="X14" i="2" s="1"/>
  <c r="U26" i="2"/>
  <c r="X26" i="2" s="1"/>
  <c r="V26" i="2"/>
  <c r="K27" i="2"/>
  <c r="Y27" i="2" s="1"/>
  <c r="O19" i="1" s="1"/>
  <c r="P19" i="1" s="1" a="1"/>
  <c r="P19" i="1" s="1"/>
  <c r="J27" i="2"/>
  <c r="I30" i="2"/>
  <c r="U20" i="2"/>
  <c r="X20" i="2" s="1"/>
  <c r="V20" i="2"/>
  <c r="U12" i="2"/>
  <c r="X12" i="2" s="1"/>
  <c r="V12" i="2"/>
  <c r="U13" i="2"/>
  <c r="X13" i="2" s="1"/>
  <c r="V13" i="2"/>
  <c r="U16" i="2"/>
  <c r="X16" i="2" s="1"/>
  <c r="V16" i="2"/>
  <c r="H14" i="2"/>
  <c r="I23" i="2"/>
  <c r="F8" i="2" l="1"/>
  <c r="A1204" i="7" s="1"/>
  <c r="J14" i="2"/>
  <c r="K14" i="2" s="1"/>
  <c r="Y14" i="2" s="1"/>
  <c r="O6" i="1" s="1"/>
  <c r="P6" i="1" s="1" a="1"/>
  <c r="P6" i="1" s="1"/>
  <c r="J15" i="2"/>
  <c r="K15" i="2" s="1"/>
  <c r="Y15" i="2" s="1"/>
  <c r="O7" i="1" s="1"/>
  <c r="P7" i="1" s="1" a="1"/>
  <c r="P7" i="1" s="1"/>
  <c r="E15" i="2"/>
  <c r="F15" i="2"/>
  <c r="N15" i="2" s="1"/>
  <c r="E28" i="2"/>
  <c r="F28" i="2"/>
  <c r="AL15" i="2"/>
  <c r="AM15" i="2" s="1"/>
  <c r="AN15" i="2" s="1"/>
  <c r="AO15" i="2" s="1"/>
  <c r="AP15" i="2" s="1"/>
  <c r="AQ15" i="2" s="1"/>
  <c r="AR15" i="2" s="1"/>
  <c r="AS15" i="2" s="1"/>
  <c r="AT15" i="2" s="1"/>
  <c r="AU15" i="2" s="1"/>
  <c r="P15" i="2"/>
  <c r="AJ15" i="2" s="1"/>
  <c r="E29" i="2"/>
  <c r="F29" i="2"/>
  <c r="C27" i="1" a="1"/>
  <c r="C27" i="1" s="1"/>
  <c r="B3" i="2" s="1"/>
  <c r="C3" i="2" s="1"/>
  <c r="D27" i="1" s="1"/>
  <c r="F27" i="1" s="1" a="1"/>
  <c r="F27" i="1" s="1"/>
  <c r="E22" i="2"/>
  <c r="F22" i="2"/>
  <c r="F25" i="2"/>
  <c r="E25" i="2"/>
  <c r="E11" i="2"/>
  <c r="F11" i="2"/>
  <c r="N11" i="2" s="1"/>
  <c r="P16" i="2"/>
  <c r="AJ16" i="2" s="1"/>
  <c r="AL16" i="2"/>
  <c r="AM16" i="2" s="1"/>
  <c r="AN16" i="2" s="1"/>
  <c r="AO16" i="2" s="1"/>
  <c r="AP16" i="2" s="1"/>
  <c r="AQ16" i="2" s="1"/>
  <c r="AR16" i="2" s="1"/>
  <c r="AS16" i="2" s="1"/>
  <c r="AT16" i="2" s="1"/>
  <c r="AU16" i="2" s="1"/>
  <c r="E24" i="2"/>
  <c r="F24" i="2"/>
  <c r="E20" i="2"/>
  <c r="F20" i="2"/>
  <c r="P14" i="2"/>
  <c r="AJ14" i="2" s="1"/>
  <c r="AL14" i="2"/>
  <c r="AM14" i="2" s="1"/>
  <c r="AN14" i="2" s="1"/>
  <c r="AO14" i="2" s="1"/>
  <c r="AP14" i="2" s="1"/>
  <c r="AQ14" i="2" s="1"/>
  <c r="AR14" i="2" s="1"/>
  <c r="AS14" i="2" s="1"/>
  <c r="AT14" i="2" s="1"/>
  <c r="AU14" i="2" s="1"/>
  <c r="E27" i="2"/>
  <c r="F27" i="2"/>
  <c r="J13" i="2"/>
  <c r="K13" i="2" s="1"/>
  <c r="Y13" i="2" s="1"/>
  <c r="O5" i="1" s="1"/>
  <c r="P5" i="1" s="1" a="1"/>
  <c r="P5" i="1" s="1"/>
  <c r="J16" i="2"/>
  <c r="K16" i="2" s="1"/>
  <c r="Y16" i="2" s="1"/>
  <c r="O8" i="1" s="1"/>
  <c r="P8" i="1" s="1" a="1"/>
  <c r="P8" i="1" s="1"/>
  <c r="E26" i="2"/>
  <c r="F26" i="2"/>
  <c r="AL12" i="2"/>
  <c r="AM12" i="2" s="1"/>
  <c r="AN12" i="2" s="1"/>
  <c r="AO12" i="2" s="1"/>
  <c r="AP12" i="2" s="1"/>
  <c r="AQ12" i="2" s="1"/>
  <c r="AR12" i="2" s="1"/>
  <c r="AS12" i="2" s="1"/>
  <c r="AT12" i="2" s="1"/>
  <c r="AU12" i="2" s="1"/>
  <c r="P12" i="2"/>
  <c r="AJ12" i="2" s="1"/>
  <c r="AL13" i="2"/>
  <c r="AM13" i="2" s="1"/>
  <c r="AN13" i="2" s="1"/>
  <c r="AO13" i="2" s="1"/>
  <c r="AP13" i="2" s="1"/>
  <c r="AQ13" i="2" s="1"/>
  <c r="AR13" i="2" s="1"/>
  <c r="AS13" i="2" s="1"/>
  <c r="AT13" i="2" s="1"/>
  <c r="AU13" i="2" s="1"/>
  <c r="P13" i="2"/>
  <c r="AJ13" i="2" s="1"/>
  <c r="J11" i="2"/>
  <c r="K11" i="2" s="1"/>
  <c r="Y11" i="2" s="1"/>
  <c r="O3" i="1" s="1"/>
  <c r="P3" i="1" s="1" a="1"/>
  <c r="P3" i="1" s="1"/>
  <c r="F16" i="2"/>
  <c r="N16" i="2" s="1"/>
  <c r="E16" i="2"/>
  <c r="N1203" i="7"/>
  <c r="A1203" i="7"/>
  <c r="E30" i="2"/>
  <c r="F30" i="2"/>
  <c r="E18" i="2"/>
  <c r="F18" i="2"/>
  <c r="P11" i="2"/>
  <c r="AJ11" i="2" s="1"/>
  <c r="AL11" i="2"/>
  <c r="AM11" i="2" s="1"/>
  <c r="AN11" i="2" s="1"/>
  <c r="AO11" i="2" s="1"/>
  <c r="AP11" i="2" s="1"/>
  <c r="AQ11" i="2" s="1"/>
  <c r="AR11" i="2" s="1"/>
  <c r="AS11" i="2" s="1"/>
  <c r="AT11" i="2" s="1"/>
  <c r="AU11" i="2" s="1"/>
  <c r="J12" i="2"/>
  <c r="K12" i="2" s="1"/>
  <c r="Y12" i="2" s="1"/>
  <c r="O4" i="1" s="1"/>
  <c r="P4" i="1" s="1" a="1"/>
  <c r="P4" i="1" s="1"/>
  <c r="E14" i="2"/>
  <c r="F14" i="2"/>
  <c r="N14" i="2" s="1"/>
  <c r="F13" i="2"/>
  <c r="N13" i="2" s="1"/>
  <c r="E13" i="2"/>
  <c r="E23" i="2"/>
  <c r="F23" i="2"/>
  <c r="E12" i="2"/>
  <c r="F12" i="2"/>
  <c r="N12" i="2" s="1"/>
  <c r="E21" i="2"/>
  <c r="F21" i="2"/>
  <c r="AL17" i="2"/>
  <c r="AM17" i="2" s="1"/>
  <c r="AN17" i="2" s="1"/>
  <c r="AO17" i="2" s="1"/>
  <c r="AP17" i="2" s="1"/>
  <c r="AQ17" i="2" s="1"/>
  <c r="AR17" i="2" s="1"/>
  <c r="AS17" i="2" s="1"/>
  <c r="AT17" i="2" s="1"/>
  <c r="AU17" i="2" s="1"/>
  <c r="P17" i="2"/>
  <c r="AJ17" i="2" s="1"/>
  <c r="F17" i="2"/>
  <c r="N17" i="2" s="1"/>
  <c r="E17" i="2"/>
  <c r="E19" i="2"/>
  <c r="F19" i="2"/>
  <c r="L900" i="7" l="1"/>
  <c r="M129" i="7"/>
  <c r="M172" i="7"/>
  <c r="M891" i="7"/>
  <c r="L854" i="7"/>
  <c r="M1044" i="7"/>
  <c r="L1039" i="7"/>
  <c r="M817" i="7"/>
  <c r="L351" i="7"/>
  <c r="M89" i="7"/>
  <c r="L859" i="7"/>
  <c r="M535" i="7"/>
  <c r="L587" i="7"/>
  <c r="M189" i="7"/>
  <c r="L686" i="7"/>
  <c r="M653" i="7"/>
  <c r="L509" i="7"/>
  <c r="L739" i="7"/>
  <c r="M138" i="7"/>
  <c r="L359" i="7"/>
  <c r="L850" i="7"/>
  <c r="M48" i="7"/>
  <c r="L809" i="7"/>
  <c r="M408" i="7"/>
  <c r="L647" i="7"/>
  <c r="L681" i="7"/>
  <c r="L632" i="7"/>
  <c r="M724" i="7"/>
  <c r="L864" i="7"/>
  <c r="L553" i="7"/>
  <c r="M390" i="7"/>
  <c r="L811" i="7"/>
  <c r="L118" i="7"/>
  <c r="M74" i="7"/>
  <c r="L1006" i="7"/>
  <c r="L586" i="7"/>
  <c r="M721" i="7"/>
  <c r="L1187" i="7"/>
  <c r="M469" i="7"/>
  <c r="M329" i="7"/>
  <c r="L302" i="7"/>
  <c r="M1176" i="7"/>
  <c r="L136" i="7"/>
  <c r="M558" i="7"/>
  <c r="L43" i="7"/>
  <c r="M378" i="7"/>
  <c r="L488" i="7"/>
  <c r="M1102" i="7"/>
  <c r="L958" i="7"/>
  <c r="M1081" i="7"/>
  <c r="M738" i="7"/>
  <c r="L420" i="7"/>
  <c r="M167" i="7"/>
  <c r="M278" i="7"/>
  <c r="L576" i="7"/>
  <c r="M791" i="7"/>
  <c r="M999" i="7"/>
  <c r="L697" i="7"/>
  <c r="M301" i="7"/>
  <c r="M190" i="7"/>
  <c r="L215" i="7"/>
  <c r="L349" i="7"/>
  <c r="M139" i="7"/>
  <c r="M716" i="7"/>
  <c r="L905" i="7"/>
  <c r="M58" i="7"/>
  <c r="L227" i="7"/>
  <c r="M480" i="7"/>
  <c r="M849" i="7"/>
  <c r="M803" i="7"/>
  <c r="L513" i="7"/>
  <c r="L906" i="7"/>
  <c r="L257" i="7"/>
  <c r="M603" i="7"/>
  <c r="L180" i="7"/>
  <c r="M207" i="7"/>
  <c r="M914" i="7"/>
  <c r="L83" i="7"/>
  <c r="M953" i="7"/>
  <c r="M347" i="7"/>
  <c r="L207" i="7"/>
  <c r="M56" i="7"/>
  <c r="M268" i="7"/>
  <c r="M982" i="7"/>
  <c r="M543" i="7"/>
  <c r="M460" i="7"/>
  <c r="M756" i="7"/>
  <c r="L196" i="7"/>
  <c r="M166" i="7"/>
  <c r="M739" i="7"/>
  <c r="L1101" i="7"/>
  <c r="L1165" i="7"/>
  <c r="M980" i="7"/>
  <c r="L1045" i="7"/>
  <c r="L668" i="7"/>
  <c r="M22" i="7"/>
  <c r="M470" i="7"/>
  <c r="L853" i="7"/>
  <c r="L987" i="7"/>
  <c r="M1024" i="7"/>
  <c r="M173" i="7"/>
  <c r="M677" i="7"/>
  <c r="M812" i="7"/>
  <c r="M641" i="7"/>
  <c r="M1001" i="7"/>
  <c r="L940" i="7"/>
  <c r="L380" i="7"/>
  <c r="M1007" i="7"/>
  <c r="M663" i="7"/>
  <c r="M499" i="7"/>
  <c r="L978" i="7"/>
  <c r="L1052" i="7"/>
  <c r="L772" i="7"/>
  <c r="M585" i="7"/>
  <c r="M7" i="7"/>
  <c r="M73" i="7"/>
  <c r="M309" i="7"/>
  <c r="L909" i="7"/>
  <c r="M976" i="7"/>
  <c r="M831" i="7"/>
  <c r="M954" i="7"/>
  <c r="L946" i="7"/>
  <c r="M88" i="7"/>
  <c r="M748" i="7"/>
  <c r="M193" i="7"/>
  <c r="L782" i="7"/>
  <c r="M934" i="7"/>
  <c r="L604" i="7"/>
  <c r="M1126" i="7"/>
  <c r="L784" i="7"/>
  <c r="M516" i="7"/>
  <c r="M133" i="7"/>
  <c r="M312" i="7"/>
  <c r="M773" i="7"/>
  <c r="L1150" i="7"/>
  <c r="L209" i="7"/>
  <c r="M280" i="7"/>
  <c r="M866" i="7"/>
  <c r="M1038" i="7"/>
  <c r="L640" i="7"/>
  <c r="L470" i="7"/>
  <c r="L59" i="7"/>
  <c r="M365" i="7"/>
  <c r="M750" i="7"/>
  <c r="M629" i="7"/>
  <c r="L659" i="7"/>
  <c r="L423" i="7"/>
  <c r="L125" i="7"/>
  <c r="L556" i="7"/>
  <c r="M895" i="7"/>
  <c r="L347" i="7"/>
  <c r="L600" i="7"/>
  <c r="L954" i="7"/>
  <c r="M792" i="7"/>
  <c r="M697" i="7"/>
  <c r="M450" i="7"/>
  <c r="M1116" i="7"/>
  <c r="M949" i="7"/>
  <c r="M902" i="7"/>
  <c r="L918" i="7"/>
  <c r="L13" i="7"/>
  <c r="L191" i="7"/>
  <c r="L1008" i="7"/>
  <c r="L1158" i="7"/>
  <c r="L829" i="7"/>
  <c r="L1100" i="7"/>
  <c r="L272" i="7"/>
  <c r="M945" i="7"/>
  <c r="M913" i="7"/>
  <c r="M633" i="7"/>
  <c r="M979" i="7"/>
  <c r="M596" i="7"/>
  <c r="M1051" i="7"/>
  <c r="M119" i="7"/>
  <c r="M375" i="7"/>
  <c r="M414" i="7"/>
  <c r="M229" i="7"/>
  <c r="M52" i="7"/>
  <c r="L873" i="7"/>
  <c r="L518" i="7"/>
  <c r="L768" i="7"/>
  <c r="L1033" i="7"/>
  <c r="L12" i="7"/>
  <c r="L208" i="7"/>
  <c r="L1081" i="7"/>
  <c r="M887" i="7"/>
  <c r="M354" i="7"/>
  <c r="M1087" i="7"/>
  <c r="M128" i="7"/>
  <c r="M359" i="7"/>
  <c r="M800" i="7"/>
  <c r="M975" i="7"/>
  <c r="M445" i="7"/>
  <c r="M930" i="7"/>
  <c r="L158" i="7"/>
  <c r="L74" i="7"/>
  <c r="L17" i="7"/>
  <c r="L141" i="7"/>
  <c r="L919" i="7"/>
  <c r="M915" i="7"/>
  <c r="M960" i="7"/>
  <c r="M789" i="7"/>
  <c r="M971" i="7"/>
  <c r="M992" i="7"/>
  <c r="L949" i="7"/>
  <c r="L826" i="7"/>
  <c r="L57" i="7"/>
  <c r="L690" i="7"/>
  <c r="L487" i="7"/>
  <c r="L674" i="7"/>
  <c r="M296" i="7"/>
  <c r="M977" i="7"/>
  <c r="M285" i="7"/>
  <c r="M364" i="7"/>
  <c r="M5" i="7"/>
  <c r="M1130" i="7"/>
  <c r="M814" i="7"/>
  <c r="M269" i="7"/>
  <c r="M823" i="7"/>
  <c r="M24" i="7"/>
  <c r="M1059" i="7"/>
  <c r="L699" i="7"/>
  <c r="L502" i="7"/>
  <c r="L267" i="7"/>
  <c r="L634" i="7"/>
  <c r="M728" i="7"/>
  <c r="L923" i="7"/>
  <c r="L318" i="7"/>
  <c r="L852" i="7"/>
  <c r="L1091" i="7"/>
  <c r="L819" i="7"/>
  <c r="M1075" i="7"/>
  <c r="M1131" i="7"/>
  <c r="M848" i="7"/>
  <c r="M25" i="7"/>
  <c r="M344" i="7"/>
  <c r="M1077" i="7"/>
  <c r="M1154" i="7"/>
  <c r="M639" i="7"/>
  <c r="M1157" i="7"/>
  <c r="M492" i="7"/>
  <c r="M672" i="7"/>
  <c r="L762" i="7"/>
  <c r="L443" i="7"/>
  <c r="L858" i="7"/>
  <c r="L975" i="7"/>
  <c r="L62" i="7"/>
  <c r="L402" i="7"/>
  <c r="L654" i="7"/>
  <c r="L477" i="7"/>
  <c r="M1106" i="7"/>
  <c r="M1177" i="7"/>
  <c r="M1047" i="7"/>
  <c r="M1123" i="7"/>
  <c r="M513" i="7"/>
  <c r="M901" i="7"/>
  <c r="M380" i="7"/>
  <c r="M1090" i="7"/>
  <c r="M1093" i="7"/>
  <c r="M463" i="7"/>
  <c r="M961" i="7"/>
  <c r="L26" i="7"/>
  <c r="L794" i="7"/>
  <c r="L198" i="7"/>
  <c r="L778" i="7"/>
  <c r="L988" i="7"/>
  <c r="M81" i="7"/>
  <c r="M590" i="7"/>
  <c r="M854" i="7"/>
  <c r="M720" i="7"/>
  <c r="M819" i="7"/>
  <c r="M740" i="7"/>
  <c r="M30" i="7"/>
  <c r="M500" i="7"/>
  <c r="M829" i="7"/>
  <c r="L1088" i="7"/>
  <c r="L545" i="7"/>
  <c r="L1070" i="7"/>
  <c r="L619" i="7"/>
  <c r="L1010" i="7"/>
  <c r="L1030" i="7"/>
  <c r="L76" i="7"/>
  <c r="M1065" i="7"/>
  <c r="M1082" i="7"/>
  <c r="M418" i="7"/>
  <c r="M810" i="7"/>
  <c r="M367" i="7"/>
  <c r="M148" i="7"/>
  <c r="M872" i="7"/>
  <c r="M507" i="7"/>
  <c r="M78" i="7"/>
  <c r="M1060" i="7"/>
  <c r="M658" i="7"/>
  <c r="M333" i="7"/>
  <c r="L618" i="7"/>
  <c r="L430" i="7"/>
  <c r="L1036" i="7"/>
  <c r="L650" i="7"/>
  <c r="L557" i="7"/>
  <c r="L704" i="7"/>
  <c r="L460" i="7"/>
  <c r="M1187" i="7"/>
  <c r="M987" i="7"/>
  <c r="M591" i="7"/>
  <c r="M328" i="7"/>
  <c r="M905" i="7"/>
  <c r="M545" i="7"/>
  <c r="M303" i="7"/>
  <c r="M265" i="7"/>
  <c r="M1013" i="7"/>
  <c r="M413" i="7"/>
  <c r="M937" i="7"/>
  <c r="M197" i="7"/>
  <c r="L326" i="7"/>
  <c r="L189" i="7"/>
  <c r="L728" i="7"/>
  <c r="L247" i="7"/>
  <c r="M289" i="7"/>
  <c r="M969" i="7"/>
  <c r="L838" i="7"/>
  <c r="L194" i="7"/>
  <c r="M736" i="7"/>
  <c r="M701" i="7"/>
  <c r="M1165" i="7"/>
  <c r="M1178" i="7"/>
  <c r="M267" i="7"/>
  <c r="L848" i="7"/>
  <c r="L357" i="7"/>
  <c r="M2" i="7"/>
  <c r="M638" i="7"/>
  <c r="M13" i="7"/>
  <c r="M564" i="7"/>
  <c r="M412" i="7"/>
  <c r="M582" i="7"/>
  <c r="M880" i="7"/>
  <c r="M149" i="7"/>
  <c r="L67" i="7"/>
  <c r="L721" i="7"/>
  <c r="L1023" i="7"/>
  <c r="L332" i="7"/>
  <c r="M388" i="7"/>
  <c r="L1123" i="7"/>
  <c r="L3" i="7"/>
  <c r="L815" i="7"/>
  <c r="M850" i="7"/>
  <c r="M441" i="7"/>
  <c r="M574" i="7"/>
  <c r="M438" i="7"/>
  <c r="M383" i="7"/>
  <c r="M898" i="7"/>
  <c r="M755" i="7"/>
  <c r="L1082" i="7"/>
  <c r="L285" i="7"/>
  <c r="L754" i="7"/>
  <c r="L1120" i="7"/>
  <c r="L549" i="7"/>
  <c r="M760" i="7"/>
  <c r="M305" i="7"/>
  <c r="M546" i="7"/>
  <c r="M1151" i="7"/>
  <c r="L1094" i="7"/>
  <c r="L672" i="7"/>
  <c r="L160" i="7"/>
  <c r="L938" i="7"/>
  <c r="L1060" i="7"/>
  <c r="L416" i="7"/>
  <c r="M39" i="7"/>
  <c r="M332" i="7"/>
  <c r="M321" i="7"/>
  <c r="M553" i="7"/>
  <c r="M16" i="7"/>
  <c r="M538" i="7"/>
  <c r="M125" i="7"/>
  <c r="M144" i="7"/>
  <c r="M614" i="7"/>
  <c r="M14" i="7"/>
  <c r="M785" i="7"/>
  <c r="M310" i="7"/>
  <c r="L865" i="7"/>
  <c r="L867" i="7"/>
  <c r="L474" i="7"/>
  <c r="L507" i="7"/>
  <c r="L759" i="7"/>
  <c r="L512" i="7"/>
  <c r="L166" i="7"/>
  <c r="L797" i="7"/>
  <c r="L369" i="7"/>
  <c r="L363" i="7"/>
  <c r="M924" i="7"/>
  <c r="M118" i="7"/>
  <c r="M696" i="7"/>
  <c r="M662" i="7"/>
  <c r="M423" i="7"/>
  <c r="M417" i="7"/>
  <c r="M842" i="7"/>
  <c r="M931" i="7"/>
  <c r="M623" i="7"/>
  <c r="M234" i="7"/>
  <c r="M1144" i="7"/>
  <c r="M1061" i="7"/>
  <c r="L879" i="7"/>
  <c r="L316" i="7"/>
  <c r="L1087" i="7"/>
  <c r="L288" i="7"/>
  <c r="L164" i="7"/>
  <c r="L23" i="7"/>
  <c r="L675" i="7"/>
  <c r="L1139" i="7"/>
  <c r="M605" i="7"/>
  <c r="M862" i="7"/>
  <c r="M1089" i="7"/>
  <c r="M393" i="7"/>
  <c r="M967" i="7"/>
  <c r="M840" i="7"/>
  <c r="M177" i="7"/>
  <c r="M317" i="7"/>
  <c r="M214" i="7"/>
  <c r="M213" i="7"/>
  <c r="M1185" i="7"/>
  <c r="M257" i="7"/>
  <c r="L491" i="7"/>
  <c r="L636" i="7"/>
  <c r="L1024" i="7"/>
  <c r="L394" i="7"/>
  <c r="L320" i="7"/>
  <c r="L228" i="7"/>
  <c r="L800" i="7"/>
  <c r="L899" i="7"/>
  <c r="M1199" i="7"/>
  <c r="M548" i="7"/>
  <c r="M559" i="7"/>
  <c r="M1105" i="7"/>
  <c r="M616" i="7"/>
  <c r="M709" i="7"/>
  <c r="M232" i="7"/>
  <c r="M1119" i="7"/>
  <c r="M196" i="7"/>
  <c r="M894" i="7"/>
  <c r="M809" i="7"/>
  <c r="M79" i="7"/>
  <c r="L643" i="7"/>
  <c r="L574" i="7"/>
  <c r="L917" i="7"/>
  <c r="L303" i="7"/>
  <c r="L856" i="7"/>
  <c r="L758" i="7"/>
  <c r="L1074" i="7"/>
  <c r="L915" i="7"/>
  <c r="L1005" i="7"/>
  <c r="L719" i="7"/>
  <c r="M97" i="7"/>
  <c r="M784" i="7"/>
  <c r="M1070" i="7"/>
  <c r="M171" i="7"/>
  <c r="M780" i="7"/>
  <c r="M1018" i="7"/>
  <c r="M580" i="7"/>
  <c r="M896" i="7"/>
  <c r="M300" i="7"/>
  <c r="M114" i="7"/>
  <c r="M134" i="7"/>
  <c r="L1182" i="7"/>
  <c r="L750" i="7"/>
  <c r="L131" i="7"/>
  <c r="L950" i="7"/>
  <c r="L458" i="7"/>
  <c r="L761" i="7"/>
  <c r="L1107" i="7"/>
  <c r="L555" i="7"/>
  <c r="L356" i="7"/>
  <c r="M684" i="7"/>
  <c r="M57" i="7"/>
  <c r="M1136" i="7"/>
  <c r="M391" i="7"/>
  <c r="M467" i="7"/>
  <c r="M179" i="7"/>
  <c r="M137" i="7"/>
  <c r="M338" i="7"/>
  <c r="M471" i="7"/>
  <c r="M405" i="7"/>
  <c r="M204" i="7"/>
  <c r="M157" i="7"/>
  <c r="L1176" i="7"/>
  <c r="L1050" i="7"/>
  <c r="L70" i="7"/>
  <c r="M965" i="7"/>
  <c r="M1134" i="7"/>
  <c r="M298" i="7"/>
  <c r="M799" i="7"/>
  <c r="M244" i="7"/>
  <c r="M512" i="7"/>
  <c r="L384" i="7"/>
  <c r="L888" i="7"/>
  <c r="L998" i="7"/>
  <c r="L939" i="7"/>
  <c r="L435" i="7"/>
  <c r="L97" i="7"/>
  <c r="L1162" i="7"/>
  <c r="M182" i="7"/>
  <c r="M676" i="7"/>
  <c r="M993" i="7"/>
  <c r="M1115" i="7"/>
  <c r="M1104" i="7"/>
  <c r="M1137" i="7"/>
  <c r="M916" i="7"/>
  <c r="M552" i="7"/>
  <c r="M479" i="7"/>
  <c r="M621" i="7"/>
  <c r="M261" i="7"/>
  <c r="M707" i="7"/>
  <c r="L269" i="7"/>
  <c r="L147" i="7"/>
  <c r="M454" i="7"/>
  <c r="M159" i="7"/>
  <c r="M1140" i="7"/>
  <c r="M160" i="7"/>
  <c r="M940" i="7"/>
  <c r="M869" i="7"/>
  <c r="L561" i="7"/>
  <c r="L677" i="7"/>
  <c r="L304" i="7"/>
  <c r="L554" i="7"/>
  <c r="L229" i="7"/>
  <c r="L903" i="7"/>
  <c r="L528" i="7"/>
  <c r="M530" i="7"/>
  <c r="M1191" i="7"/>
  <c r="M938" i="7"/>
  <c r="M127" i="7"/>
  <c r="M525" i="7"/>
  <c r="M620" i="7"/>
  <c r="M1193" i="7"/>
  <c r="M362" i="7"/>
  <c r="M174" i="7"/>
  <c r="M727" i="7"/>
  <c r="M962" i="7"/>
  <c r="M448" i="7"/>
  <c r="L651" i="7"/>
  <c r="L1106" i="7"/>
  <c r="L605" i="7"/>
  <c r="L1062" i="7"/>
  <c r="L895" i="7"/>
  <c r="L608" i="7"/>
  <c r="M847" i="7"/>
  <c r="M1045" i="7"/>
  <c r="M1112" i="7"/>
  <c r="M1122" i="7"/>
  <c r="M154" i="7"/>
  <c r="M323" i="7"/>
  <c r="M1041" i="7"/>
  <c r="M951" i="7"/>
  <c r="M843" i="7"/>
  <c r="M1155" i="7"/>
  <c r="M627" i="7"/>
  <c r="M326" i="7"/>
  <c r="L273" i="7"/>
  <c r="M851" i="7"/>
  <c r="M276" i="7"/>
  <c r="M757" i="7"/>
  <c r="M282" i="7"/>
  <c r="M772" i="7"/>
  <c r="M594" i="7"/>
  <c r="M600" i="7"/>
  <c r="M879" i="7"/>
  <c r="L306" i="7"/>
  <c r="L361" i="7"/>
  <c r="M1156" i="7"/>
  <c r="M1025" i="7"/>
  <c r="M737" i="7"/>
  <c r="M1197" i="7"/>
  <c r="M972" i="7"/>
  <c r="M241" i="7"/>
  <c r="M660" i="7"/>
  <c r="M1014" i="7"/>
  <c r="M59" i="7"/>
  <c r="M43" i="7"/>
  <c r="M964" i="7"/>
  <c r="M1020" i="7"/>
  <c r="M839" i="7"/>
  <c r="M632" i="7"/>
  <c r="L1086" i="7"/>
  <c r="L1156" i="7"/>
  <c r="M550" i="7"/>
  <c r="M465" i="7"/>
  <c r="M266" i="7"/>
  <c r="M833" i="7"/>
  <c r="M1166" i="7"/>
  <c r="M1128" i="7"/>
  <c r="M306" i="7"/>
  <c r="M1180" i="7"/>
  <c r="M355" i="7"/>
  <c r="M446" i="7"/>
  <c r="M318" i="7"/>
  <c r="M67" i="7"/>
  <c r="M112" i="7"/>
  <c r="M32" i="7"/>
  <c r="L682" i="7"/>
  <c r="L462" i="7"/>
  <c r="L263" i="7"/>
  <c r="L572" i="7"/>
  <c r="M84" i="7"/>
  <c r="M890" i="7"/>
  <c r="M504" i="7"/>
  <c r="M927" i="7"/>
  <c r="M826" i="7"/>
  <c r="M947" i="7"/>
  <c r="M517" i="7"/>
  <c r="M113" i="7"/>
  <c r="M86" i="7"/>
  <c r="M488" i="7"/>
  <c r="M377" i="7"/>
  <c r="M834" i="7"/>
  <c r="M80" i="7"/>
  <c r="M432" i="7"/>
  <c r="L1163" i="7"/>
  <c r="M589" i="7"/>
  <c r="M387" i="7"/>
  <c r="M123" i="7"/>
  <c r="M473" i="7"/>
  <c r="M195" i="7"/>
  <c r="M796" i="7"/>
  <c r="M451" i="7"/>
  <c r="M943" i="7"/>
  <c r="M54" i="7"/>
  <c r="M316" i="7"/>
  <c r="M484" i="7"/>
  <c r="M897" i="7"/>
  <c r="M786" i="7"/>
  <c r="M38" i="7"/>
  <c r="L1194" i="7"/>
  <c r="L621" i="7"/>
  <c r="L635" i="7"/>
  <c r="L30" i="7"/>
  <c r="L726" i="7"/>
  <c r="L145" i="7"/>
  <c r="L44" i="7"/>
  <c r="L893" i="7"/>
  <c r="L88" i="7"/>
  <c r="L799" i="7"/>
  <c r="M808" i="7"/>
  <c r="M1083" i="7"/>
  <c r="M551" i="7"/>
  <c r="M542" i="7"/>
  <c r="M61" i="7"/>
  <c r="M1133" i="7"/>
  <c r="M126" i="7"/>
  <c r="M1132" i="7"/>
  <c r="M907" i="7"/>
  <c r="M75" i="7"/>
  <c r="M599" i="7"/>
  <c r="M770" i="7"/>
  <c r="M1188" i="7"/>
  <c r="M447" i="7"/>
  <c r="M804" i="7"/>
  <c r="M758" i="7"/>
  <c r="M302" i="7"/>
  <c r="M858" i="7"/>
  <c r="L524" i="7"/>
  <c r="L1159" i="7"/>
  <c r="L427" i="7"/>
  <c r="L564" i="7"/>
  <c r="L999" i="7"/>
  <c r="M307" i="7"/>
  <c r="M958" i="7"/>
  <c r="M990" i="7"/>
  <c r="M1002" i="7"/>
  <c r="M437" i="7"/>
  <c r="M475" i="7"/>
  <c r="M165" i="7"/>
  <c r="M928" i="7"/>
  <c r="M1052" i="7"/>
  <c r="M169" i="7"/>
  <c r="M1062" i="7"/>
  <c r="M942" i="7"/>
  <c r="M1097" i="7"/>
  <c r="M490" i="7"/>
  <c r="M1192" i="7"/>
  <c r="M515" i="7"/>
  <c r="M297" i="7"/>
  <c r="M1072" i="7"/>
  <c r="M630" i="7"/>
  <c r="L42" i="7"/>
  <c r="L457" i="7"/>
  <c r="L610" i="7"/>
  <c r="L540" i="7"/>
  <c r="L992" i="7"/>
  <c r="M1096" i="7"/>
  <c r="M711" i="7"/>
  <c r="M1067" i="7"/>
  <c r="M816" i="7"/>
  <c r="M524" i="7"/>
  <c r="M493" i="7"/>
  <c r="M1147" i="7"/>
  <c r="M45" i="7"/>
  <c r="M1048" i="7"/>
  <c r="M741" i="7"/>
  <c r="M1037" i="7"/>
  <c r="M434" i="7"/>
  <c r="M1153" i="7"/>
  <c r="M42" i="7"/>
  <c r="M304" i="7"/>
  <c r="M761" i="7"/>
  <c r="M749" i="7"/>
  <c r="M136" i="7"/>
  <c r="M279" i="7"/>
  <c r="L688" i="7"/>
  <c r="L250" i="7"/>
  <c r="L271" i="7"/>
  <c r="L834" i="7"/>
  <c r="L984" i="7"/>
  <c r="L709" i="7"/>
  <c r="L84" i="7"/>
  <c r="M671" i="7"/>
  <c r="M970" i="7"/>
  <c r="M206" i="7"/>
  <c r="M501" i="7"/>
  <c r="M311" i="7"/>
  <c r="M161" i="7"/>
  <c r="M544" i="7"/>
  <c r="M91" i="7"/>
  <c r="M41" i="7"/>
  <c r="M1146" i="7"/>
  <c r="M245" i="7"/>
  <c r="M1100" i="7"/>
  <c r="M661" i="7"/>
  <c r="M704" i="7"/>
  <c r="M783" i="7"/>
  <c r="M1110" i="7"/>
  <c r="M893" i="7"/>
  <c r="M878" i="7"/>
  <c r="L8" i="7"/>
  <c r="L993" i="7"/>
  <c r="L876" i="7"/>
  <c r="L977" i="7"/>
  <c r="M861" i="7"/>
  <c r="M1094" i="7"/>
  <c r="M1150" i="7"/>
  <c r="M1030" i="7"/>
  <c r="M957" i="7"/>
  <c r="M1064" i="7"/>
  <c r="M506" i="7"/>
  <c r="M886" i="7"/>
  <c r="M771" i="7"/>
  <c r="M290" i="7"/>
  <c r="M247" i="7"/>
  <c r="M1194" i="7"/>
  <c r="M1009" i="7"/>
  <c r="M238" i="7"/>
  <c r="M687" i="7"/>
  <c r="M203" i="7"/>
  <c r="M103" i="7"/>
  <c r="M918" i="7"/>
  <c r="M1069" i="7"/>
  <c r="M873" i="7"/>
  <c r="L837" i="7"/>
  <c r="L937" i="7"/>
  <c r="L433" i="7"/>
  <c r="L1066" i="7"/>
  <c r="L1125" i="7"/>
  <c r="L99" i="7"/>
  <c r="M1006" i="7"/>
  <c r="M430" i="7"/>
  <c r="M767" i="7"/>
  <c r="M1200" i="7"/>
  <c r="M665" i="7"/>
  <c r="M428" i="7"/>
  <c r="M53" i="7"/>
  <c r="M1152" i="7"/>
  <c r="M35" i="7"/>
  <c r="M324" i="7"/>
  <c r="M1182" i="7"/>
  <c r="M277" i="7"/>
  <c r="M563" i="7"/>
  <c r="M693" i="7"/>
  <c r="M293" i="7"/>
  <c r="M539" i="7"/>
  <c r="M1163" i="7"/>
  <c r="M920" i="7"/>
  <c r="M458" i="7"/>
  <c r="M382" i="7"/>
  <c r="L980" i="7"/>
  <c r="L142" i="7"/>
  <c r="L926" i="7"/>
  <c r="L755" i="7"/>
  <c r="L376" i="7"/>
  <c r="L790" i="7"/>
  <c r="L240" i="7"/>
  <c r="M299" i="7"/>
  <c r="M320" i="7"/>
  <c r="M763" i="7"/>
  <c r="M384" i="7"/>
  <c r="M352" i="7"/>
  <c r="M121" i="7"/>
  <c r="M334" i="7"/>
  <c r="M865" i="7"/>
  <c r="M610" i="7"/>
  <c r="M554" i="7"/>
  <c r="M19" i="7"/>
  <c r="M386" i="7"/>
  <c r="M274" i="7"/>
  <c r="M885" i="7"/>
  <c r="M366" i="7"/>
  <c r="M254" i="7"/>
  <c r="M837" i="7"/>
  <c r="M612" i="7"/>
  <c r="M514" i="7"/>
  <c r="M1039" i="7"/>
  <c r="L1064" i="7"/>
  <c r="L340" i="7"/>
  <c r="L508" i="7"/>
  <c r="L154" i="7"/>
  <c r="L729" i="7"/>
  <c r="L559" i="7"/>
  <c r="M607" i="7"/>
  <c r="M185" i="7"/>
  <c r="M640" i="7"/>
  <c r="M734" i="7"/>
  <c r="M892" i="7"/>
  <c r="M223" i="7"/>
  <c r="M521" i="7"/>
  <c r="M966" i="7"/>
  <c r="M1170" i="7"/>
  <c r="M762" i="7"/>
  <c r="M70" i="7"/>
  <c r="M158" i="7"/>
  <c r="M1079" i="7"/>
  <c r="M433" i="7"/>
  <c r="M615" i="7"/>
  <c r="M109" i="7"/>
  <c r="M464" i="7"/>
  <c r="M186" i="7"/>
  <c r="M991" i="7"/>
  <c r="L31" i="7"/>
  <c r="L603" i="7"/>
  <c r="L40" i="7"/>
  <c r="L1168" i="7"/>
  <c r="L348" i="7"/>
  <c r="L103" i="7"/>
  <c r="M511" i="7"/>
  <c r="M1043" i="7"/>
  <c r="M933" i="7"/>
  <c r="M717" i="7"/>
  <c r="M617" i="7"/>
  <c r="M115" i="7"/>
  <c r="M802" i="7"/>
  <c r="M496" i="7"/>
  <c r="L468" i="7"/>
  <c r="L543" i="7"/>
  <c r="L137" i="7"/>
  <c r="L1041" i="7"/>
  <c r="L339" i="7"/>
  <c r="L459" i="7"/>
  <c r="L265" i="7"/>
  <c r="M292" i="7"/>
  <c r="M864" i="7"/>
  <c r="M187" i="7"/>
  <c r="M420" i="7"/>
  <c r="M997" i="7"/>
  <c r="M83" i="7"/>
  <c r="M688" i="7"/>
  <c r="M194" i="7"/>
  <c r="L410" i="7"/>
  <c r="L408" i="7"/>
  <c r="L519" i="7"/>
  <c r="L757" i="7"/>
  <c r="L624" i="7"/>
  <c r="L101" i="7"/>
  <c r="M778" i="7"/>
  <c r="M1049" i="7"/>
  <c r="M313" i="7"/>
  <c r="M601" i="7"/>
  <c r="M841" i="7"/>
  <c r="M117" i="7"/>
  <c r="M561" i="7"/>
  <c r="M735" i="7"/>
  <c r="L122" i="7"/>
  <c r="L445" i="7"/>
  <c r="L1040" i="7"/>
  <c r="L1121" i="7"/>
  <c r="L973" i="7"/>
  <c r="L1061" i="7"/>
  <c r="M846" i="7"/>
  <c r="M746" i="7"/>
  <c r="M1008" i="7"/>
  <c r="M336" i="7"/>
  <c r="M346" i="7"/>
  <c r="M857" i="7"/>
  <c r="M955" i="7"/>
  <c r="M1023" i="7"/>
  <c r="L492" i="7"/>
  <c r="L1132" i="7"/>
  <c r="L1007" i="7"/>
  <c r="L889" i="7"/>
  <c r="L930" i="7"/>
  <c r="L10" i="7"/>
  <c r="L1143" i="7"/>
  <c r="L593" i="7"/>
  <c r="L429" i="7"/>
  <c r="L248" i="7"/>
  <c r="L211" i="7"/>
  <c r="L418" i="7"/>
  <c r="L1073" i="7"/>
  <c r="L1001" i="7"/>
  <c r="L960" i="7"/>
  <c r="L599" i="7"/>
  <c r="L415" i="7"/>
  <c r="L7" i="7"/>
  <c r="L25" i="7"/>
  <c r="L130" i="7"/>
  <c r="L823" i="7"/>
  <c r="L1037" i="7"/>
  <c r="L1084" i="7"/>
  <c r="L738" i="7"/>
  <c r="L114" i="7"/>
  <c r="L1186" i="7"/>
  <c r="L307" i="7"/>
  <c r="L63" i="7"/>
  <c r="L1012" i="7"/>
  <c r="M743" i="7"/>
  <c r="M742" i="7"/>
  <c r="M100" i="7"/>
  <c r="M560" i="7"/>
  <c r="M995" i="7"/>
  <c r="M643" i="7"/>
  <c r="M21" i="7"/>
  <c r="M1111" i="7"/>
  <c r="M1201" i="7"/>
  <c r="M794" i="7"/>
  <c r="M220" i="7"/>
  <c r="M397" i="7"/>
  <c r="M520" i="7"/>
  <c r="M251" i="7"/>
  <c r="M1022" i="7"/>
  <c r="L562" i="7"/>
  <c r="L662" i="7"/>
  <c r="L110" i="7"/>
  <c r="L911" i="7"/>
  <c r="L1026" i="7"/>
  <c r="L763" i="7"/>
  <c r="L360" i="7"/>
  <c r="L527" i="7"/>
  <c r="L216" i="7"/>
  <c r="L602" i="7"/>
  <c r="M102" i="7"/>
  <c r="M692" i="7"/>
  <c r="M1186" i="7"/>
  <c r="M1058" i="7"/>
  <c r="M425" i="7"/>
  <c r="M1145" i="7"/>
  <c r="M93" i="7"/>
  <c r="M732" i="7"/>
  <c r="M153" i="7"/>
  <c r="M950" i="7"/>
  <c r="M1010" i="7"/>
  <c r="M237" i="7"/>
  <c r="M201" i="7"/>
  <c r="L637" i="7"/>
  <c r="L951" i="7"/>
  <c r="L16" i="7"/>
  <c r="L539" i="7"/>
  <c r="L814" i="7"/>
  <c r="L409" i="7"/>
  <c r="L661" i="7"/>
  <c r="L335" i="7"/>
  <c r="L1027" i="7"/>
  <c r="L1015" i="7"/>
  <c r="L898" i="7"/>
  <c r="L1134" i="7"/>
  <c r="L81" i="7"/>
  <c r="L1129" i="7"/>
  <c r="L138" i="7"/>
  <c r="M11" i="7"/>
  <c r="M753" i="7"/>
  <c r="M1162" i="7"/>
  <c r="M424" i="7"/>
  <c r="M906" i="7"/>
  <c r="M775" i="7"/>
  <c r="M1103" i="7"/>
  <c r="M404" i="7"/>
  <c r="M505" i="7"/>
  <c r="M714" i="7"/>
  <c r="M1017" i="7"/>
  <c r="M385" i="7"/>
  <c r="M571" i="7"/>
  <c r="M694" i="7"/>
  <c r="M449" i="7"/>
  <c r="L670" i="7"/>
  <c r="L928" i="7"/>
  <c r="L34" i="7"/>
  <c r="L1103" i="7"/>
  <c r="L244" i="7"/>
  <c r="L214" i="7"/>
  <c r="L379" i="7"/>
  <c r="L372" i="7"/>
  <c r="M611" i="7"/>
  <c r="M1073" i="7"/>
  <c r="M883" i="7"/>
  <c r="M178" i="7"/>
  <c r="M40" i="7"/>
  <c r="M1198" i="7"/>
  <c r="M764" i="7"/>
  <c r="M963" i="7"/>
  <c r="M1098" i="7"/>
  <c r="M188" i="7"/>
  <c r="M689" i="7"/>
  <c r="M481" i="7"/>
  <c r="M1196" i="7"/>
  <c r="M439" i="7"/>
  <c r="M37" i="7"/>
  <c r="M881" i="7"/>
  <c r="L90" i="7"/>
  <c r="L382" i="7"/>
  <c r="L894" i="7"/>
  <c r="L231" i="7"/>
  <c r="L1038" i="7"/>
  <c r="L323" i="7"/>
  <c r="L1031" i="7"/>
  <c r="L1128" i="7"/>
  <c r="L804" i="7"/>
  <c r="M1040" i="7"/>
  <c r="M141" i="7"/>
  <c r="M1092" i="7"/>
  <c r="M411" i="7"/>
  <c r="M575" i="7"/>
  <c r="M968" i="7"/>
  <c r="M335" i="7"/>
  <c r="M228" i="7"/>
  <c r="M664" i="7"/>
  <c r="M211" i="7"/>
  <c r="M618" i="7"/>
  <c r="M76" i="7"/>
  <c r="M925" i="7"/>
  <c r="M308" i="7"/>
  <c r="M180" i="7"/>
  <c r="M911" i="7"/>
  <c r="L161" i="7"/>
  <c r="L270" i="7"/>
  <c r="L1029" i="7"/>
  <c r="L802" i="7"/>
  <c r="L1126" i="7"/>
  <c r="L702" i="7"/>
  <c r="L816" i="7"/>
  <c r="L658" i="7"/>
  <c r="L927" i="7"/>
  <c r="L69" i="7"/>
  <c r="M818" i="7"/>
  <c r="M226" i="7"/>
  <c r="M498" i="7"/>
  <c r="M453" i="7"/>
  <c r="M224" i="7"/>
  <c r="M291" i="7"/>
  <c r="M151" i="7"/>
  <c r="M353" i="7"/>
  <c r="M678" i="7"/>
  <c r="M273" i="7"/>
  <c r="M1053" i="7"/>
  <c r="M18" i="7"/>
  <c r="M636" i="7"/>
  <c r="M491" i="7"/>
  <c r="L1111" i="7"/>
  <c r="L146" i="7"/>
  <c r="L631" i="7"/>
  <c r="L886" i="7"/>
  <c r="L1051" i="7"/>
  <c r="L851" i="7"/>
  <c r="L391" i="7"/>
  <c r="L843" i="7"/>
  <c r="L162" i="7"/>
  <c r="L353" i="7"/>
  <c r="L112" i="7"/>
  <c r="L243" i="7"/>
  <c r="L188" i="7"/>
  <c r="L747" i="7"/>
  <c r="L249" i="7"/>
  <c r="M595" i="7"/>
  <c r="M673" i="7"/>
  <c r="M147" i="7"/>
  <c r="M830" i="7"/>
  <c r="M315" i="7"/>
  <c r="M1032" i="7"/>
  <c r="M700" i="7"/>
  <c r="M718" i="7"/>
  <c r="M670" i="7"/>
  <c r="M284" i="7"/>
  <c r="M713" i="7"/>
  <c r="M838" i="7"/>
  <c r="M1161" i="7"/>
  <c r="M645" i="7"/>
  <c r="M205" i="7"/>
  <c r="M1015" i="7"/>
  <c r="M1016" i="7"/>
  <c r="M199" i="7"/>
  <c r="M635" i="7"/>
  <c r="M572" i="7"/>
  <c r="M573" i="7"/>
  <c r="M272" i="7"/>
  <c r="M253" i="7"/>
  <c r="M283" i="7"/>
  <c r="M468" i="7"/>
  <c r="M683" i="7"/>
  <c r="M12" i="7"/>
  <c r="M877" i="7"/>
  <c r="L234" i="7"/>
  <c r="L336" i="7"/>
  <c r="L617" i="7"/>
  <c r="L75" i="7"/>
  <c r="L1083" i="7"/>
  <c r="L714" i="7"/>
  <c r="L38" i="7"/>
  <c r="L840" i="7"/>
  <c r="L475" i="7"/>
  <c r="L985" i="7"/>
  <c r="L106" i="7"/>
  <c r="L397" i="7"/>
  <c r="L362" i="7"/>
  <c r="L448" i="7"/>
  <c r="L179" i="7"/>
  <c r="L691" i="7"/>
  <c r="L730" i="7"/>
  <c r="L601" i="7"/>
  <c r="M1099" i="7"/>
  <c r="M705" i="7"/>
  <c r="M1107" i="7"/>
  <c r="M569" i="7"/>
  <c r="M55" i="7"/>
  <c r="M60" i="7"/>
  <c r="M578" i="7"/>
  <c r="M216" i="7"/>
  <c r="M416" i="7"/>
  <c r="M466" i="7"/>
  <c r="M637" i="7"/>
  <c r="M130" i="7"/>
  <c r="M581" i="7"/>
  <c r="M998" i="7"/>
  <c r="M145" i="7"/>
  <c r="M747" i="7"/>
  <c r="M642" i="7"/>
  <c r="M532" i="7"/>
  <c r="M922" i="7"/>
  <c r="M549" i="7"/>
  <c r="M1084" i="7"/>
  <c r="M708" i="7"/>
  <c r="M483" i="7"/>
  <c r="M657" i="7"/>
  <c r="M444" i="7"/>
  <c r="M262" i="7"/>
  <c r="M221" i="7"/>
  <c r="L1170" i="7"/>
  <c r="L165" i="7"/>
  <c r="L563" i="7"/>
  <c r="L1199" i="7"/>
  <c r="L266" i="7"/>
  <c r="L607" i="7"/>
  <c r="L642" i="7"/>
  <c r="L1003" i="7"/>
  <c r="L169" i="7"/>
  <c r="L329" i="7"/>
  <c r="L109" i="7"/>
  <c r="L964" i="7"/>
  <c r="M1012" i="7"/>
  <c r="M882" i="7"/>
  <c r="M255" i="7"/>
  <c r="M101" i="7"/>
  <c r="M49" i="7"/>
  <c r="M597" i="7"/>
  <c r="M327" i="7"/>
  <c r="M429" i="7"/>
  <c r="M528" i="7"/>
  <c r="M874" i="7"/>
  <c r="M1113" i="7"/>
  <c r="M744" i="7"/>
  <c r="M426" i="7"/>
  <c r="M124" i="7"/>
  <c r="M162" i="7"/>
  <c r="M903" i="7"/>
  <c r="M681" i="7"/>
  <c r="M394" i="7"/>
  <c r="M988" i="7"/>
  <c r="M584" i="7"/>
  <c r="M1029" i="7"/>
  <c r="M111" i="7"/>
  <c r="M725" i="7"/>
  <c r="M567" i="7"/>
  <c r="M608" i="7"/>
  <c r="L486" i="7"/>
  <c r="L944" i="7"/>
  <c r="L151" i="7"/>
  <c r="L652" i="7"/>
  <c r="L884" i="7"/>
  <c r="L64" i="7"/>
  <c r="L344" i="7"/>
  <c r="L2" i="7"/>
  <c r="L880" i="7"/>
  <c r="L1069" i="7"/>
  <c r="M576" i="7"/>
  <c r="M624" i="7"/>
  <c r="M921" i="7"/>
  <c r="M1021" i="7"/>
  <c r="M1169" i="7"/>
  <c r="M1195" i="7"/>
  <c r="M239" i="7"/>
  <c r="M570" i="7"/>
  <c r="M1027" i="7"/>
  <c r="M526" i="7"/>
  <c r="M1056" i="7"/>
  <c r="M1160" i="7"/>
  <c r="M904" i="7"/>
  <c r="M260" i="7"/>
  <c r="M1159" i="7"/>
  <c r="M540" i="7"/>
  <c r="M790" i="7"/>
  <c r="M1183" i="7"/>
  <c r="M710" i="7"/>
  <c r="M398" i="7"/>
  <c r="M648" i="7"/>
  <c r="L261" i="7"/>
  <c r="L801" i="7"/>
  <c r="L55" i="7"/>
  <c r="L20" i="7"/>
  <c r="L628" i="7"/>
  <c r="L237" i="7"/>
  <c r="L737" i="7"/>
  <c r="L1147" i="7"/>
  <c r="L1197" i="7"/>
  <c r="L199" i="7"/>
  <c r="M1026" i="7"/>
  <c r="M631" i="7"/>
  <c r="L178" i="7"/>
  <c r="L981" i="7"/>
  <c r="L436" i="7"/>
  <c r="L18" i="7"/>
  <c r="L883" i="7"/>
  <c r="L264" i="7"/>
  <c r="L694" i="7"/>
  <c r="L506" i="7"/>
  <c r="L544" i="7"/>
  <c r="L314" i="7"/>
  <c r="L300" i="7"/>
  <c r="L373" i="7"/>
  <c r="M1080" i="7"/>
  <c r="M502" i="7"/>
  <c r="M619" i="7"/>
  <c r="M163" i="7"/>
  <c r="M1179" i="7"/>
  <c r="M952" i="7"/>
  <c r="M1109" i="7"/>
  <c r="M685" i="7"/>
  <c r="M646" i="7"/>
  <c r="M4" i="7"/>
  <c r="M71" i="7"/>
  <c r="M1148" i="7"/>
  <c r="M50" i="7"/>
  <c r="M202" i="7"/>
  <c r="M541" i="7"/>
  <c r="M675" i="7"/>
  <c r="M34" i="7"/>
  <c r="M654" i="7"/>
  <c r="M1004" i="7"/>
  <c r="M845" i="7"/>
  <c r="M825" i="7"/>
  <c r="M555" i="7"/>
  <c r="M751" i="7"/>
  <c r="L1133" i="7"/>
  <c r="L904" i="7"/>
  <c r="L1196" i="7"/>
  <c r="L1004" i="7"/>
  <c r="L839" i="7"/>
  <c r="L1071" i="7"/>
  <c r="L45" i="7"/>
  <c r="L717" i="7"/>
  <c r="L322" i="7"/>
  <c r="L465" i="7"/>
  <c r="L796" i="7"/>
  <c r="L275" i="7"/>
  <c r="L723" i="7"/>
  <c r="M26" i="7"/>
  <c r="M929" i="7"/>
  <c r="M1164" i="7"/>
  <c r="M828" i="7"/>
  <c r="M105" i="7"/>
  <c r="M1086" i="7"/>
  <c r="M217" i="7"/>
  <c r="M602" i="7"/>
  <c r="M183" i="7"/>
  <c r="M706" i="7"/>
  <c r="M142" i="7"/>
  <c r="M994" i="7"/>
  <c r="M331" i="7"/>
  <c r="M824" i="7"/>
  <c r="M17" i="7"/>
  <c r="M363" i="7"/>
  <c r="M1034" i="7"/>
  <c r="M695" i="7"/>
  <c r="M1168" i="7"/>
  <c r="M822" i="7"/>
  <c r="M1076" i="7"/>
  <c r="M852" i="7"/>
  <c r="M628" i="7"/>
  <c r="L155" i="7"/>
  <c r="L623" i="7"/>
  <c r="L452" i="7"/>
  <c r="L976" i="7"/>
  <c r="L798" i="7"/>
  <c r="L193" i="7"/>
  <c r="L330" i="7"/>
  <c r="L80" i="7"/>
  <c r="L467" i="7"/>
  <c r="L218" i="7"/>
  <c r="L698" i="7"/>
  <c r="L149" i="7"/>
  <c r="M98" i="7"/>
  <c r="M459" i="7"/>
  <c r="M820" i="7"/>
  <c r="M259" i="7"/>
  <c r="M723" i="7"/>
  <c r="M703" i="7"/>
  <c r="M656" i="7"/>
  <c r="M271" i="7"/>
  <c r="M256" i="7"/>
  <c r="M325" i="7"/>
  <c r="M184" i="7"/>
  <c r="M1003" i="7"/>
  <c r="M494" i="7"/>
  <c r="M286" i="7"/>
  <c r="M281" i="7"/>
  <c r="M6" i="7"/>
  <c r="M87" i="7"/>
  <c r="M1035" i="7"/>
  <c r="M1088" i="7"/>
  <c r="M867" i="7"/>
  <c r="M522" i="7"/>
  <c r="M527" i="7"/>
  <c r="M116" i="7"/>
  <c r="L89" i="7"/>
  <c r="L1068" i="7"/>
  <c r="L715" i="7"/>
  <c r="L510" i="7"/>
  <c r="L33" i="7"/>
  <c r="L22" i="7"/>
  <c r="L708" i="7"/>
  <c r="L831" i="7"/>
  <c r="L449" i="7"/>
  <c r="L260" i="7"/>
  <c r="L503" i="7"/>
  <c r="L1136" i="7"/>
  <c r="M29" i="7"/>
  <c r="M51" i="7"/>
  <c r="M1114" i="7"/>
  <c r="M122" i="7"/>
  <c r="M1028" i="7"/>
  <c r="M1054" i="7"/>
  <c r="M95" i="7"/>
  <c r="M978" i="7"/>
  <c r="M959" i="7"/>
  <c r="M682" i="7"/>
  <c r="L891" i="7"/>
  <c r="L1166" i="7"/>
  <c r="L711" i="7"/>
  <c r="L609" i="7"/>
  <c r="L484" i="7"/>
  <c r="L578" i="7"/>
  <c r="L1047" i="7"/>
  <c r="L701" i="7"/>
  <c r="L552" i="7"/>
  <c r="L1191" i="7"/>
  <c r="L312" i="7"/>
  <c r="L1130" i="7"/>
  <c r="L877" i="7"/>
  <c r="L390" i="7"/>
  <c r="L21" i="7"/>
  <c r="M44" i="7"/>
  <c r="M1121" i="7"/>
  <c r="M565" i="7"/>
  <c r="M795" i="7"/>
  <c r="M649" i="7"/>
  <c r="M876" i="7"/>
  <c r="M263" i="7"/>
  <c r="M768" i="7"/>
  <c r="M486" i="7"/>
  <c r="M156" i="7"/>
  <c r="M856" i="7"/>
  <c r="M1184" i="7"/>
  <c r="M533" i="7"/>
  <c r="M94" i="7"/>
  <c r="L1025" i="7"/>
  <c r="L434" i="7"/>
  <c r="L514" i="7"/>
  <c r="L569" i="7"/>
  <c r="L338" i="7"/>
  <c r="L325" i="7"/>
  <c r="L230" i="7"/>
  <c r="L108" i="7"/>
  <c r="L683" i="7"/>
  <c r="L922" i="7"/>
  <c r="L375" i="7"/>
  <c r="L421" i="7"/>
  <c r="L746" i="7"/>
  <c r="L224" i="7"/>
  <c r="L965" i="7"/>
  <c r="M510" i="7"/>
  <c r="M625" i="7"/>
  <c r="M1167" i="7"/>
  <c r="M356" i="7"/>
  <c r="M350" i="7"/>
  <c r="M243" i="7"/>
  <c r="M863" i="7"/>
  <c r="M910" i="7"/>
  <c r="M941" i="7"/>
  <c r="M669" i="7"/>
  <c r="M811" i="7"/>
  <c r="L113" i="7"/>
  <c r="L134" i="7"/>
  <c r="L441" i="7"/>
  <c r="L119" i="7"/>
  <c r="L862" i="7"/>
  <c r="L521" i="7"/>
  <c r="L485" i="7"/>
  <c r="L96" i="7"/>
  <c r="L1077" i="7"/>
  <c r="L1140" i="7"/>
  <c r="L646" i="7"/>
  <c r="L953" i="7"/>
  <c r="L482" i="7"/>
  <c r="L1169" i="7"/>
  <c r="M634" i="7"/>
  <c r="M27" i="7"/>
  <c r="M295" i="7"/>
  <c r="M452" i="7"/>
  <c r="M908" i="7"/>
  <c r="M1135" i="7"/>
  <c r="M909" i="7"/>
  <c r="M690" i="7"/>
  <c r="M181" i="7"/>
  <c r="M989" i="7"/>
  <c r="M210" i="7"/>
  <c r="M110" i="7"/>
  <c r="M1117" i="7"/>
  <c r="M1127" i="7"/>
  <c r="M807" i="7"/>
  <c r="L943" i="7"/>
  <c r="L241" i="7"/>
  <c r="L680" i="7"/>
  <c r="L337" i="7"/>
  <c r="L481" i="7"/>
  <c r="L845" i="7"/>
  <c r="L143" i="7"/>
  <c r="L536" i="7"/>
  <c r="L878" i="7"/>
  <c r="L471" i="7"/>
  <c r="L289" i="7"/>
  <c r="L638" i="7"/>
  <c r="L358" i="7"/>
  <c r="L663" i="7"/>
  <c r="L529" i="7"/>
  <c r="L413" i="7"/>
  <c r="L537" i="7"/>
  <c r="L135" i="7"/>
  <c r="L217" i="7"/>
  <c r="L534" i="7"/>
  <c r="L281" i="7"/>
  <c r="L478" i="7"/>
  <c r="L252" i="7"/>
  <c r="L389" i="7"/>
  <c r="L629" i="7"/>
  <c r="L387" i="7"/>
  <c r="L830" i="7"/>
  <c r="L66" i="7"/>
  <c r="L594" i="7"/>
  <c r="L277" i="7"/>
  <c r="L497" i="7"/>
  <c r="L1110" i="7"/>
  <c r="L606" i="7"/>
  <c r="L881" i="7"/>
  <c r="L649" i="7"/>
  <c r="L1104" i="7"/>
  <c r="L327" i="7"/>
  <c r="L395" i="7"/>
  <c r="L439" i="7"/>
  <c r="L1114" i="7"/>
  <c r="M509" i="7"/>
  <c r="M1202" i="7"/>
  <c r="M1019" i="7"/>
  <c r="M622" i="7"/>
  <c r="M28" i="7"/>
  <c r="M209" i="7"/>
  <c r="M1143" i="7"/>
  <c r="M407" i="7"/>
  <c r="M164" i="7"/>
  <c r="M8" i="7"/>
  <c r="M33" i="7"/>
  <c r="M556" i="7"/>
  <c r="M715" i="7"/>
  <c r="M343" i="7"/>
  <c r="M358" i="7"/>
  <c r="M680" i="7"/>
  <c r="M1158" i="7"/>
  <c r="M1050" i="7"/>
  <c r="M235" i="7"/>
  <c r="M435" i="7"/>
  <c r="M1173" i="7"/>
  <c r="M557" i="7"/>
  <c r="M456" i="7"/>
  <c r="M361" i="7"/>
  <c r="M427" i="7"/>
  <c r="M699" i="7"/>
  <c r="M219" i="7"/>
  <c r="M381" i="7"/>
  <c r="M135" i="7"/>
  <c r="M36" i="7"/>
  <c r="M996" i="7"/>
  <c r="M287" i="7"/>
  <c r="M395" i="7"/>
  <c r="M729" i="7"/>
  <c r="M1190" i="7"/>
  <c r="M379" i="7"/>
  <c r="M330" i="7"/>
  <c r="L795" i="7"/>
  <c r="L442" i="7"/>
  <c r="L311" i="7"/>
  <c r="L967" i="7"/>
  <c r="L530" i="7"/>
  <c r="L875" i="7"/>
  <c r="L1016" i="7"/>
  <c r="L1063" i="7"/>
  <c r="L803" i="7"/>
  <c r="L935" i="7"/>
  <c r="L102" i="7"/>
  <c r="L1184" i="7"/>
  <c r="L213" i="7"/>
  <c r="L185" i="7"/>
  <c r="L1118" i="7"/>
  <c r="L970" i="7"/>
  <c r="L121" i="7"/>
  <c r="L251" i="7"/>
  <c r="L1164" i="7"/>
  <c r="L849" i="7"/>
  <c r="L98" i="7"/>
  <c r="L986" i="7"/>
  <c r="L370" i="7"/>
  <c r="L897" i="7"/>
  <c r="L693" i="7"/>
  <c r="L1144" i="7"/>
  <c r="L994" i="7"/>
  <c r="L276" i="7"/>
  <c r="L82" i="7"/>
  <c r="L689" i="7"/>
  <c r="M20" i="7"/>
  <c r="M644" i="7"/>
  <c r="M252" i="7"/>
  <c r="M1042" i="7"/>
  <c r="M919" i="7"/>
  <c r="M604" i="7"/>
  <c r="M1142" i="7"/>
  <c r="M870" i="7"/>
  <c r="M218" i="7"/>
  <c r="M222" i="7"/>
  <c r="M46" i="7"/>
  <c r="M200" i="7"/>
  <c r="M932" i="7"/>
  <c r="M106" i="7"/>
  <c r="M1139" i="7"/>
  <c r="M270" i="7"/>
  <c r="M752" i="7"/>
  <c r="M143" i="7"/>
  <c r="M579" i="7"/>
  <c r="M731" i="7"/>
  <c r="M396" i="7"/>
  <c r="M258" i="7"/>
  <c r="M10" i="7"/>
  <c r="M401" i="7"/>
  <c r="M917" i="7"/>
  <c r="M146" i="7"/>
  <c r="M85" i="7"/>
  <c r="M626" i="7"/>
  <c r="M593" i="7"/>
  <c r="M981" i="7"/>
  <c r="M400" i="7"/>
  <c r="M759" i="7"/>
  <c r="M31" i="7"/>
  <c r="M487" i="7"/>
  <c r="M314" i="7"/>
  <c r="M99" i="7"/>
  <c r="M422" i="7"/>
  <c r="L444" i="7"/>
  <c r="L836" i="7"/>
  <c r="L533" i="7"/>
  <c r="L731" i="7"/>
  <c r="L68" i="7"/>
  <c r="L833" i="7"/>
  <c r="L1171" i="7"/>
  <c r="L280" i="7"/>
  <c r="L774" i="7"/>
  <c r="L24" i="7"/>
  <c r="L1017" i="7"/>
  <c r="L195" i="7"/>
  <c r="L870" i="7"/>
  <c r="L366" i="7"/>
  <c r="L87" i="7"/>
  <c r="L148" i="7"/>
  <c r="L720" i="7"/>
  <c r="L466" i="7"/>
  <c r="L567" i="7"/>
  <c r="L971" i="7"/>
  <c r="L1173" i="7"/>
  <c r="L1137" i="7"/>
  <c r="L291" i="7"/>
  <c r="L296" i="7"/>
  <c r="L37" i="7"/>
  <c r="L47" i="7"/>
  <c r="L319" i="7"/>
  <c r="L6" i="7"/>
  <c r="L1079" i="7"/>
  <c r="L817" i="7"/>
  <c r="L869" i="7"/>
  <c r="L405" i="7"/>
  <c r="L95" i="7"/>
  <c r="L538" i="7"/>
  <c r="L727" i="7"/>
  <c r="L1011" i="7"/>
  <c r="L997" i="7"/>
  <c r="L955" i="7"/>
  <c r="L115" i="7"/>
  <c r="L676" i="7"/>
  <c r="L417" i="7"/>
  <c r="L41" i="7"/>
  <c r="L665" i="7"/>
  <c r="L1057" i="7"/>
  <c r="L1151" i="7"/>
  <c r="L157" i="7"/>
  <c r="L982" i="7"/>
  <c r="L399" i="7"/>
  <c r="L844" i="7"/>
  <c r="L660" i="7"/>
  <c r="L535" i="7"/>
  <c r="L190" i="7"/>
  <c r="L204" i="7"/>
  <c r="L202" i="7"/>
  <c r="M90" i="7"/>
  <c r="M853" i="7"/>
  <c r="M801" i="7"/>
  <c r="M227" i="7"/>
  <c r="M518" i="7"/>
  <c r="M777" i="7"/>
  <c r="M788" i="7"/>
  <c r="M781" i="7"/>
  <c r="M592" i="7"/>
  <c r="M66" i="7"/>
  <c r="M319" i="7"/>
  <c r="M806" i="7"/>
  <c r="M3" i="7"/>
  <c r="M668" i="7"/>
  <c r="M15" i="7"/>
  <c r="M371" i="7"/>
  <c r="M855" i="7"/>
  <c r="M769" i="7"/>
  <c r="M402" i="7"/>
  <c r="M497" i="7"/>
  <c r="M1068" i="7"/>
  <c r="M782" i="7"/>
  <c r="M248" i="7"/>
  <c r="M1118" i="7"/>
  <c r="M836" i="7"/>
  <c r="M436" i="7"/>
  <c r="M82" i="7"/>
  <c r="M606" i="7"/>
  <c r="M1078" i="7"/>
  <c r="M410" i="7"/>
  <c r="M392" i="7"/>
  <c r="M537" i="7"/>
  <c r="M944" i="7"/>
  <c r="M754" i="7"/>
  <c r="M712" i="7"/>
  <c r="M192" i="7"/>
  <c r="M462" i="7"/>
  <c r="L1076" i="7"/>
  <c r="L1085" i="7"/>
  <c r="L123" i="7"/>
  <c r="L931" i="7"/>
  <c r="L1142" i="7"/>
  <c r="L392" i="7"/>
  <c r="L233" i="7"/>
  <c r="L56" i="7"/>
  <c r="L860" i="7"/>
  <c r="L696" i="7"/>
  <c r="L703" i="7"/>
  <c r="L258" i="7"/>
  <c r="L173" i="7"/>
  <c r="L770" i="7"/>
  <c r="L1190" i="7"/>
  <c r="L684" i="7"/>
  <c r="L72" i="7"/>
  <c r="L1055" i="7"/>
  <c r="L734" i="7"/>
  <c r="L212" i="7"/>
  <c r="L321" i="7"/>
  <c r="L419" i="7"/>
  <c r="L741" i="7"/>
  <c r="L1192" i="7"/>
  <c r="L32" i="7"/>
  <c r="L724" i="7"/>
  <c r="L577" i="7"/>
  <c r="L259" i="7"/>
  <c r="L589" i="7"/>
  <c r="L438" i="7"/>
  <c r="L832" i="7"/>
  <c r="L505" i="7"/>
  <c r="L426" i="7"/>
  <c r="L585" i="7"/>
  <c r="L1152" i="7"/>
  <c r="L79" i="7"/>
  <c r="L752" i="7"/>
  <c r="L295" i="7"/>
  <c r="L239" i="7"/>
  <c r="L1002" i="7"/>
  <c r="L172" i="7"/>
  <c r="L945" i="7"/>
  <c r="L1078" i="7"/>
  <c r="L625" i="7"/>
  <c r="L301" i="7"/>
  <c r="L183" i="7"/>
  <c r="L29" i="7"/>
  <c r="L810" i="7"/>
  <c r="L666" i="7"/>
  <c r="L117" i="7"/>
  <c r="L1200" i="7"/>
  <c r="L226" i="7"/>
  <c r="L1155" i="7"/>
  <c r="L777" i="7"/>
  <c r="L367" i="7"/>
  <c r="L942" i="7"/>
  <c r="L542" i="7"/>
  <c r="L776" i="7"/>
  <c r="L641" i="7"/>
  <c r="L551" i="7"/>
  <c r="L868" i="7"/>
  <c r="L1049" i="7"/>
  <c r="L205" i="7"/>
  <c r="L615" i="7"/>
  <c r="L107" i="7"/>
  <c r="L712" i="7"/>
  <c r="L92" i="7"/>
  <c r="L655" i="7"/>
  <c r="L583" i="7"/>
  <c r="L1201" i="7"/>
  <c r="L365" i="7"/>
  <c r="L328" i="7"/>
  <c r="L979" i="7"/>
  <c r="L431" i="7"/>
  <c r="L828" i="7"/>
  <c r="L268" i="7"/>
  <c r="L71" i="7"/>
  <c r="L355" i="7"/>
  <c r="L490" i="7"/>
  <c r="L35" i="7"/>
  <c r="L767" i="7"/>
  <c r="L297" i="7"/>
  <c r="L1174" i="7"/>
  <c r="L866" i="7"/>
  <c r="L847" i="7"/>
  <c r="L254" i="7"/>
  <c r="L1080" i="7"/>
  <c r="L863" i="7"/>
  <c r="M288" i="7"/>
  <c r="M47" i="7"/>
  <c r="M1091" i="7"/>
  <c r="M946" i="7"/>
  <c r="M1055" i="7"/>
  <c r="M726" i="7"/>
  <c r="M155" i="7"/>
  <c r="M339" i="7"/>
  <c r="M455" i="7"/>
  <c r="M399" i="7"/>
  <c r="M787" i="7"/>
  <c r="M613" i="7"/>
  <c r="M264" i="7"/>
  <c r="M131" i="7"/>
  <c r="M609" i="7"/>
  <c r="M403" i="7"/>
  <c r="M175" i="7"/>
  <c r="M647" i="7"/>
  <c r="M598" i="7"/>
  <c r="M583" i="7"/>
  <c r="M249" i="7"/>
  <c r="M805" i="7"/>
  <c r="M415" i="7"/>
  <c r="M1036" i="7"/>
  <c r="M482" i="7"/>
  <c r="M655" i="7"/>
  <c r="M798" i="7"/>
  <c r="M461" i="7"/>
  <c r="M198" i="7"/>
  <c r="M152" i="7"/>
  <c r="M884" i="7"/>
  <c r="M472" i="7"/>
  <c r="M360" i="7"/>
  <c r="M225" i="7"/>
  <c r="M477" i="7"/>
  <c r="M495" i="7"/>
  <c r="M65" i="7"/>
  <c r="L1020" i="7"/>
  <c r="L354" i="7"/>
  <c r="L716" i="7"/>
  <c r="L222" i="7"/>
  <c r="L494" i="7"/>
  <c r="L1157" i="7"/>
  <c r="L1090" i="7"/>
  <c r="L414" i="7"/>
  <c r="L871" i="7"/>
  <c r="L568" i="7"/>
  <c r="L274" i="7"/>
  <c r="L570" i="7"/>
  <c r="L558" i="7"/>
  <c r="L575" i="7"/>
  <c r="L333" i="7"/>
  <c r="L1099" i="7"/>
  <c r="L232" i="7"/>
  <c r="L104" i="7"/>
  <c r="L437" i="7"/>
  <c r="L934" i="7"/>
  <c r="L223" i="7"/>
  <c r="L5" i="7"/>
  <c r="L238" i="7"/>
  <c r="L515" i="7"/>
  <c r="L473" i="7"/>
  <c r="L156" i="7"/>
  <c r="L1019" i="7"/>
  <c r="L565" i="7"/>
  <c r="L453" i="7"/>
  <c r="L882" i="7"/>
  <c r="L181" i="7"/>
  <c r="L673" i="7"/>
  <c r="L342" i="7"/>
  <c r="L324" i="7"/>
  <c r="L550" i="7"/>
  <c r="L116" i="7"/>
  <c r="L595" i="7"/>
  <c r="L671" i="7"/>
  <c r="L111" i="7"/>
  <c r="L313" i="7"/>
  <c r="L959" i="7"/>
  <c r="L614" i="7"/>
  <c r="L246" i="7"/>
  <c r="L283" i="7"/>
  <c r="L192" i="7"/>
  <c r="L812" i="7"/>
  <c r="L598" i="7"/>
  <c r="L129" i="7"/>
  <c r="L253" i="7"/>
  <c r="L127" i="7"/>
  <c r="L236" i="7"/>
  <c r="L807" i="7"/>
  <c r="L664" i="7"/>
  <c r="L511" i="7"/>
  <c r="L1097" i="7"/>
  <c r="L407" i="7"/>
  <c r="L579" i="7"/>
  <c r="L352" i="7"/>
  <c r="L751" i="7"/>
  <c r="L501" i="7"/>
  <c r="L725" i="7"/>
  <c r="L54" i="7"/>
  <c r="L1035" i="7"/>
  <c r="L857" i="7"/>
  <c r="L1102" i="7"/>
  <c r="L1044" i="7"/>
  <c r="L1028" i="7"/>
  <c r="L648" i="7"/>
  <c r="L769" i="7"/>
  <c r="L386" i="7"/>
  <c r="L498" i="7"/>
  <c r="L706" i="7"/>
  <c r="L432" i="7"/>
  <c r="L203" i="7"/>
  <c r="L700" i="7"/>
  <c r="L679" i="7"/>
  <c r="L1115" i="7"/>
  <c r="L957" i="7"/>
  <c r="L219" i="7"/>
  <c r="L346" i="7"/>
  <c r="L592" i="7"/>
  <c r="L279" i="7"/>
  <c r="L1022" i="7"/>
  <c r="L520" i="7"/>
  <c r="L440" i="7"/>
  <c r="L225" i="7"/>
  <c r="L176" i="7"/>
  <c r="L1154" i="7"/>
  <c r="L775" i="7"/>
  <c r="L630" i="7"/>
  <c r="L286" i="7"/>
  <c r="L707" i="7"/>
  <c r="L948" i="7"/>
  <c r="L398" i="7"/>
  <c r="L773" i="7"/>
  <c r="L827" i="7"/>
  <c r="L718" i="7"/>
  <c r="L1146" i="7"/>
  <c r="L1058" i="7"/>
  <c r="L656" i="7"/>
  <c r="L299" i="7"/>
  <c r="L872" i="7"/>
  <c r="L153" i="7"/>
  <c r="L1109" i="7"/>
  <c r="L920" i="7"/>
  <c r="L105" i="7"/>
  <c r="L1181" i="7"/>
  <c r="L368" i="7"/>
  <c r="L764" i="7"/>
  <c r="L1056" i="7"/>
  <c r="L760" i="7"/>
  <c r="L806" i="7"/>
  <c r="L86" i="7"/>
  <c r="L428" i="7"/>
  <c r="L745" i="7"/>
  <c r="L1145" i="7"/>
  <c r="L139" i="7"/>
  <c r="L1122" i="7"/>
  <c r="L182" i="7"/>
  <c r="L400" i="7"/>
  <c r="L298" i="7"/>
  <c r="L989" i="7"/>
  <c r="L1193" i="7"/>
  <c r="L46" i="7"/>
  <c r="L580" i="7"/>
  <c r="L616" i="7"/>
  <c r="L463" i="7"/>
  <c r="L255" i="7"/>
  <c r="L667" i="7"/>
  <c r="L425" i="7"/>
  <c r="L669" i="7"/>
  <c r="L933" i="7"/>
  <c r="L1161" i="7"/>
  <c r="L489" i="7"/>
  <c r="L908" i="7"/>
  <c r="L1188" i="7"/>
  <c r="L364" i="7"/>
  <c r="L936" i="7"/>
  <c r="L210" i="7"/>
  <c r="L1119" i="7"/>
  <c r="L124" i="7"/>
  <c r="L627" i="7"/>
  <c r="L874" i="7"/>
  <c r="L49" i="7"/>
  <c r="L1105" i="7"/>
  <c r="L916" i="7"/>
  <c r="L968" i="7"/>
  <c r="L393" i="7"/>
  <c r="L483" i="7"/>
  <c r="L1042" i="7"/>
  <c r="L896" i="7"/>
  <c r="L1098" i="7"/>
  <c r="L4" i="7"/>
  <c r="L644" i="7"/>
  <c r="L740" i="7"/>
  <c r="L171" i="7"/>
  <c r="L51" i="7"/>
  <c r="L780" i="7"/>
  <c r="L633" i="7"/>
  <c r="L1096" i="7"/>
  <c r="L1009" i="7"/>
  <c r="L1014" i="7"/>
  <c r="L256" i="7"/>
  <c r="L791" i="7"/>
  <c r="L167" i="7"/>
  <c r="L85" i="7"/>
  <c r="L657" i="7"/>
  <c r="L526" i="7"/>
  <c r="L464" i="7"/>
  <c r="L597" i="7"/>
  <c r="L924" i="7"/>
  <c r="L547" i="7"/>
  <c r="L821" i="7"/>
  <c r="L808" i="7"/>
  <c r="L705" i="7"/>
  <c r="L855" i="7"/>
  <c r="L733" i="7"/>
  <c r="L1046" i="7"/>
  <c r="L78" i="7"/>
  <c r="L779" i="7"/>
  <c r="L1149" i="7"/>
  <c r="L692" i="7"/>
  <c r="L887" i="7"/>
  <c r="L200" i="7"/>
  <c r="L996" i="7"/>
  <c r="L581" i="7"/>
  <c r="L612" i="7"/>
  <c r="L822" i="7"/>
  <c r="L262" i="7"/>
  <c r="L308" i="7"/>
  <c r="L282" i="7"/>
  <c r="L1127" i="7"/>
  <c r="L100" i="7"/>
  <c r="L532" i="7"/>
  <c r="L197" i="7"/>
  <c r="L753" i="7"/>
  <c r="L388" i="7"/>
  <c r="L1113" i="7"/>
  <c r="L73" i="7"/>
  <c r="L792" i="7"/>
  <c r="L385" i="7"/>
  <c r="L128" i="7"/>
  <c r="L885" i="7"/>
  <c r="L1065" i="7"/>
  <c r="L1178" i="7"/>
  <c r="L1189" i="7"/>
  <c r="L1075" i="7"/>
  <c r="L48" i="7"/>
  <c r="L496" i="7"/>
  <c r="L60" i="7"/>
  <c r="L966" i="7"/>
  <c r="L15" i="7"/>
  <c r="L841" i="7"/>
  <c r="L1093" i="7"/>
  <c r="L61" i="7"/>
  <c r="L765" i="7"/>
  <c r="L309" i="7"/>
  <c r="L159" i="7"/>
  <c r="L620" i="7"/>
  <c r="L573" i="7"/>
  <c r="L1021" i="7"/>
  <c r="L58" i="7"/>
  <c r="L846" i="7"/>
  <c r="L611" i="7"/>
  <c r="L1167" i="7"/>
  <c r="L1124" i="7"/>
  <c r="L824" i="7"/>
  <c r="L901" i="7"/>
  <c r="L785" i="7"/>
  <c r="L1054" i="7"/>
  <c r="L186" i="7"/>
  <c r="L956" i="7"/>
  <c r="L499" i="7"/>
  <c r="L1202" i="7"/>
  <c r="L743" i="7"/>
  <c r="L1018" i="7"/>
  <c r="L52" i="7"/>
  <c r="L371" i="7"/>
  <c r="L591" i="7"/>
  <c r="L516" i="7"/>
  <c r="L713" i="7"/>
  <c r="L861" i="7"/>
  <c r="L1095" i="7"/>
  <c r="L1032" i="7"/>
  <c r="L742" i="7"/>
  <c r="L9" i="7"/>
  <c r="L793" i="7"/>
  <c r="L287" i="7"/>
  <c r="M529" i="7"/>
  <c r="M68" i="7"/>
  <c r="M519" i="7"/>
  <c r="M368" i="7"/>
  <c r="M92" i="7"/>
  <c r="M1095" i="7"/>
  <c r="M168" i="7"/>
  <c r="M936" i="7"/>
  <c r="M774" i="7"/>
  <c r="M1171" i="7"/>
  <c r="M1071" i="7"/>
  <c r="M1085" i="7"/>
  <c r="M686" i="7"/>
  <c r="M478" i="7"/>
  <c r="M797" i="7"/>
  <c r="M588" i="7"/>
  <c r="M679" i="7"/>
  <c r="M568" i="7"/>
  <c r="M983" i="7"/>
  <c r="M372" i="7"/>
  <c r="M1000" i="7"/>
  <c r="M1120" i="7"/>
  <c r="M409" i="7"/>
  <c r="M733" i="7"/>
  <c r="M667" i="7"/>
  <c r="M956" i="7"/>
  <c r="M1101" i="7"/>
  <c r="M827" i="7"/>
  <c r="M250" i="7"/>
  <c r="M815" i="7"/>
  <c r="M170" i="7"/>
  <c r="M1174" i="7"/>
  <c r="M813" i="7"/>
  <c r="M440" i="7"/>
  <c r="M104" i="7"/>
  <c r="M236" i="7"/>
  <c r="M191" i="7"/>
  <c r="M536" i="7"/>
  <c r="L472" i="7"/>
  <c r="L907" i="7"/>
  <c r="L120" i="7"/>
  <c r="L735" i="7"/>
  <c r="L748" i="7"/>
  <c r="L1179" i="7"/>
  <c r="L495" i="7"/>
  <c r="L175" i="7"/>
  <c r="L932" i="7"/>
  <c r="L334" i="7"/>
  <c r="L11" i="7"/>
  <c r="L456" i="7"/>
  <c r="L235" i="7"/>
  <c r="L902" i="7"/>
  <c r="L278" i="7"/>
  <c r="L653" i="7"/>
  <c r="L1072" i="7"/>
  <c r="L479" i="7"/>
  <c r="L220" i="7"/>
  <c r="L541" i="7"/>
  <c r="L1138" i="7"/>
  <c r="L422" i="7"/>
  <c r="L381" i="7"/>
  <c r="L1108" i="7"/>
  <c r="L170" i="7"/>
  <c r="L1180" i="7"/>
  <c r="L522" i="7"/>
  <c r="L1172" i="7"/>
  <c r="L991" i="7"/>
  <c r="L962" i="7"/>
  <c r="L504" i="7"/>
  <c r="L406" i="7"/>
  <c r="L941" i="7"/>
  <c r="L771" i="7"/>
  <c r="L914" i="7"/>
  <c r="L447" i="7"/>
  <c r="L749" i="7"/>
  <c r="M208" i="7"/>
  <c r="M374" i="7"/>
  <c r="M1063" i="7"/>
  <c r="M691" i="7"/>
  <c r="M240" i="7"/>
  <c r="M376" i="7"/>
  <c r="M406" i="7"/>
  <c r="M844" i="7"/>
  <c r="M835" i="7"/>
  <c r="M547" i="7"/>
  <c r="M900" i="7"/>
  <c r="M233" i="7"/>
  <c r="M1138" i="7"/>
  <c r="M503" i="7"/>
  <c r="M566" i="7"/>
  <c r="M340" i="7"/>
  <c r="M1189" i="7"/>
  <c r="M389" i="7"/>
  <c r="M69" i="7"/>
  <c r="M1011" i="7"/>
  <c r="M64" i="7"/>
  <c r="M322" i="7"/>
  <c r="M935" i="7"/>
  <c r="M349" i="7"/>
  <c r="M63" i="7"/>
  <c r="M1108" i="7"/>
  <c r="M821" i="7"/>
  <c r="M120" i="7"/>
  <c r="M77" i="7"/>
  <c r="M1175" i="7"/>
  <c r="M586" i="7"/>
  <c r="M132" i="7"/>
  <c r="M888" i="7"/>
  <c r="M926" i="7"/>
  <c r="M140" i="7"/>
  <c r="M587" i="7"/>
  <c r="M294" i="7"/>
  <c r="I2" i="2"/>
  <c r="C31" i="1" s="1"/>
  <c r="L1117" i="7"/>
  <c r="L27" i="7"/>
  <c r="L50" i="7"/>
  <c r="L929" i="7"/>
  <c r="L140" i="7"/>
  <c r="L818" i="7"/>
  <c r="L455" i="7"/>
  <c r="L331" i="7"/>
  <c r="L892" i="7"/>
  <c r="L687" i="7"/>
  <c r="L343" i="7"/>
  <c r="L626" i="7"/>
  <c r="L921" i="7"/>
  <c r="L781" i="7"/>
  <c r="L517" i="7"/>
  <c r="L1013" i="7"/>
  <c r="L374" i="7"/>
  <c r="L293" i="7"/>
  <c r="L93" i="7"/>
  <c r="L1048" i="7"/>
  <c r="L523" i="7"/>
  <c r="L952" i="7"/>
  <c r="L786" i="7"/>
  <c r="L961" i="7"/>
  <c r="L972" i="7"/>
  <c r="L451" i="7"/>
  <c r="L722" i="7"/>
  <c r="L582" i="7"/>
  <c r="L571" i="7"/>
  <c r="L560" i="7"/>
  <c r="L305" i="7"/>
  <c r="L206" i="7"/>
  <c r="L596" i="7"/>
  <c r="L1177" i="7"/>
  <c r="L639" i="7"/>
  <c r="L378" i="7"/>
  <c r="L744" i="7"/>
  <c r="L401" i="7"/>
  <c r="M108" i="7"/>
  <c r="M652" i="7"/>
  <c r="M212" i="7"/>
  <c r="M889" i="7"/>
  <c r="M489" i="7"/>
  <c r="M1141" i="7"/>
  <c r="M474" i="7"/>
  <c r="M431" i="7"/>
  <c r="M674" i="7"/>
  <c r="M348" i="7"/>
  <c r="M534" i="7"/>
  <c r="M23" i="7"/>
  <c r="M485" i="7"/>
  <c r="M984" i="7"/>
  <c r="M666" i="7"/>
  <c r="M246" i="7"/>
  <c r="M859" i="7"/>
  <c r="M1125" i="7"/>
  <c r="M230" i="7"/>
  <c r="M562" i="7"/>
  <c r="M357" i="7"/>
  <c r="M1124" i="7"/>
  <c r="M776" i="7"/>
  <c r="M1031" i="7"/>
  <c r="M275" i="7"/>
  <c r="M650" i="7"/>
  <c r="M523" i="7"/>
  <c r="M231" i="7"/>
  <c r="M974" i="7"/>
  <c r="M1057" i="7"/>
  <c r="M1172" i="7"/>
  <c r="M698" i="7"/>
  <c r="M215" i="7"/>
  <c r="M832" i="7"/>
  <c r="M923" i="7"/>
  <c r="M939" i="7"/>
  <c r="M476" i="7"/>
  <c r="L913" i="7"/>
  <c r="L525" i="7"/>
  <c r="L925" i="7"/>
  <c r="L963" i="7"/>
  <c r="L163" i="7"/>
  <c r="L783" i="7"/>
  <c r="L825" i="7"/>
  <c r="L65" i="7"/>
  <c r="L947" i="7"/>
  <c r="L350" i="7"/>
  <c r="L290" i="7"/>
  <c r="L152" i="7"/>
  <c r="L787" i="7"/>
  <c r="L412" i="7"/>
  <c r="L1043" i="7"/>
  <c r="L242" i="7"/>
  <c r="L403" i="7"/>
  <c r="L53" i="7"/>
  <c r="L1185" i="7"/>
  <c r="L1034" i="7"/>
  <c r="L1059" i="7"/>
  <c r="L77" i="7"/>
  <c r="L910" i="7"/>
  <c r="L613" i="7"/>
  <c r="L789" i="7"/>
  <c r="L1148" i="7"/>
  <c r="L245" i="7"/>
  <c r="L983" i="7"/>
  <c r="L842" i="7"/>
  <c r="L805" i="7"/>
  <c r="L19" i="7"/>
  <c r="L469" i="7"/>
  <c r="L835" i="7"/>
  <c r="L132" i="7"/>
  <c r="L1183" i="7"/>
  <c r="L912" i="7"/>
  <c r="L345" i="7"/>
  <c r="M9" i="7"/>
  <c r="M341" i="7"/>
  <c r="M973" i="7"/>
  <c r="M337" i="7"/>
  <c r="M779" i="7"/>
  <c r="M62" i="7"/>
  <c r="M1181" i="7"/>
  <c r="M985" i="7"/>
  <c r="M176" i="7"/>
  <c r="M722" i="7"/>
  <c r="M1074" i="7"/>
  <c r="M651" i="7"/>
  <c r="M1005" i="7"/>
  <c r="M421" i="7"/>
  <c r="M719" i="7"/>
  <c r="M860" i="7"/>
  <c r="M107" i="7"/>
  <c r="M1129" i="7"/>
  <c r="M577" i="7"/>
  <c r="M373" i="7"/>
  <c r="M351" i="7"/>
  <c r="M370" i="7"/>
  <c r="M765" i="7"/>
  <c r="M1149" i="7"/>
  <c r="M150" i="7"/>
  <c r="M419" i="7"/>
  <c r="M96" i="7"/>
  <c r="M531" i="7"/>
  <c r="M369" i="7"/>
  <c r="M442" i="7"/>
  <c r="M702" i="7"/>
  <c r="M457" i="7"/>
  <c r="M659" i="7"/>
  <c r="M508" i="7"/>
  <c r="M1033" i="7"/>
  <c r="M871" i="7"/>
  <c r="M948" i="7"/>
  <c r="L1153" i="7"/>
  <c r="L28" i="7"/>
  <c r="L294" i="7"/>
  <c r="L995" i="7"/>
  <c r="L310" i="7"/>
  <c r="L590" i="7"/>
  <c r="L566" i="7"/>
  <c r="L1112" i="7"/>
  <c r="L974" i="7"/>
  <c r="L531" i="7"/>
  <c r="L1131" i="7"/>
  <c r="L476" i="7"/>
  <c r="L736" i="7"/>
  <c r="L969" i="7"/>
  <c r="L174" i="7"/>
  <c r="L756" i="7"/>
  <c r="L732" i="7"/>
  <c r="L678" i="7"/>
  <c r="L820" i="7"/>
  <c r="L446" i="7"/>
  <c r="L411" i="7"/>
  <c r="L1135" i="7"/>
  <c r="L1053" i="7"/>
  <c r="L1141" i="7"/>
  <c r="L813" i="7"/>
  <c r="L133" i="7"/>
  <c r="L454" i="7"/>
  <c r="L168" i="7"/>
  <c r="L500" i="7"/>
  <c r="L201" i="7"/>
  <c r="L424" i="7"/>
  <c r="L317" i="7"/>
  <c r="L39" i="7"/>
  <c r="L710" i="7"/>
  <c r="L150" i="7"/>
  <c r="L493" i="7"/>
  <c r="L685" i="7"/>
  <c r="M986" i="7"/>
  <c r="M868" i="7"/>
  <c r="M1046" i="7"/>
  <c r="M242" i="7"/>
  <c r="M72" i="7"/>
  <c r="M899" i="7"/>
  <c r="M342" i="7"/>
  <c r="M1066" i="7"/>
  <c r="M443" i="7"/>
  <c r="M793" i="7"/>
  <c r="M730" i="7"/>
  <c r="M875" i="7"/>
  <c r="M766" i="7"/>
  <c r="M912" i="7"/>
  <c r="M745" i="7"/>
  <c r="M345" i="7"/>
  <c r="L546" i="7"/>
  <c r="L94" i="7"/>
  <c r="L284" i="7"/>
  <c r="L14" i="7"/>
  <c r="L890" i="7"/>
  <c r="L91" i="7"/>
  <c r="L480" i="7"/>
  <c r="L341" i="7"/>
  <c r="L1067" i="7"/>
  <c r="L144" i="7"/>
  <c r="L1175" i="7"/>
  <c r="L1116" i="7"/>
  <c r="L990" i="7"/>
  <c r="L377" i="7"/>
  <c r="L788" i="7"/>
  <c r="L36" i="7"/>
  <c r="L404" i="7"/>
  <c r="L184" i="7"/>
  <c r="L187" i="7"/>
  <c r="L622" i="7"/>
  <c r="L548" i="7"/>
  <c r="L1092" i="7"/>
  <c r="L126" i="7"/>
  <c r="L1160" i="7"/>
  <c r="L1198" i="7"/>
  <c r="L383" i="7"/>
  <c r="L584" i="7"/>
  <c r="L450" i="7"/>
  <c r="L221" i="7"/>
  <c r="L1195" i="7"/>
  <c r="L315" i="7"/>
  <c r="L766" i="7"/>
  <c r="L695" i="7"/>
  <c r="L1000" i="7"/>
  <c r="L292" i="7"/>
  <c r="L461" i="7"/>
  <c r="L645" i="7"/>
  <c r="L177" i="7"/>
  <c r="L1089" i="7"/>
  <c r="L588" i="7"/>
  <c r="L396" i="7"/>
  <c r="AH13" i="2"/>
  <c r="O13" i="2"/>
  <c r="AI13" i="2" s="1"/>
  <c r="M5" i="1"/>
  <c r="N5" i="1" s="1"/>
  <c r="M9" i="1"/>
  <c r="N9" i="1" s="1"/>
  <c r="O17" i="2"/>
  <c r="AI17" i="2" s="1"/>
  <c r="AH17" i="2"/>
  <c r="M6" i="1"/>
  <c r="N6" i="1" s="1"/>
  <c r="AH14" i="2"/>
  <c r="O14" i="2"/>
  <c r="AI14" i="2" s="1"/>
  <c r="N1205" i="7"/>
  <c r="N1204" i="7"/>
  <c r="M4" i="1"/>
  <c r="N4" i="1" s="1"/>
  <c r="O12" i="2"/>
  <c r="AI12" i="2" s="1"/>
  <c r="AH12" i="2"/>
  <c r="O16" i="2"/>
  <c r="AI16" i="2" s="1"/>
  <c r="AH16" i="2"/>
  <c r="M8" i="1"/>
  <c r="N8" i="1" s="1"/>
  <c r="O11" i="2"/>
  <c r="M3" i="1"/>
  <c r="N3" i="1" s="1"/>
  <c r="AH11" i="2"/>
  <c r="M7" i="1"/>
  <c r="N7" i="1" s="1"/>
  <c r="O15" i="2"/>
  <c r="AI15" i="2" s="1"/>
  <c r="AH15" i="2"/>
  <c r="AI1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W. Joel Schneider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The Conditional Mahalanobis Distance measures the unusualness of the profile shape after taking into account the overall profile elevation.</t>
        </r>
      </text>
    </comment>
    <comment ref="B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The Mahalanobis Distance measures the unusualness of the profile, considering both the shape and elevation of the profile.</t>
        </r>
      </text>
    </comment>
    <comment ref="B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Number of scales that contribute to the composite score.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W. Joel Schneider</author>
  </authors>
  <commentList>
    <comment ref="A3" authorId="0" shapeId="0" xr:uid="{0525D6BD-0823-448C-BAD5-B52249CF0A67}">
      <text>
        <r>
          <rPr>
            <b/>
            <sz val="9"/>
            <color indexed="81"/>
            <rFont val="Tahoma"/>
            <family val="2"/>
          </rPr>
          <t>Distance to the Centroid Vector: Measures the unusualness of the profile shape, after taking into account the overall profile elevation.</t>
        </r>
      </text>
    </comment>
    <comment ref="A4" authorId="0" shapeId="0" xr:uid="{C755C4E7-F405-4DD3-8D7B-C0552EB57F02}">
      <text>
        <r>
          <rPr>
            <b/>
            <sz val="9"/>
            <color indexed="81"/>
            <rFont val="Tahoma"/>
            <family val="2"/>
          </rPr>
          <t>Mahalanobis Distance: Measures the unusualness of the profile, considering both the shape and elevation of the profile.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<sst xmlns="http://schemas.openxmlformats.org/spreadsheetml/2006/main" count="383" uniqueCount="232">
  <si>
    <t>Mean</t>
  </si>
  <si>
    <t>SD</t>
  </si>
  <si>
    <t>Weight</t>
  </si>
  <si>
    <t>Correlations</t>
  </si>
  <si>
    <t>Scores</t>
  </si>
  <si>
    <t>k</t>
  </si>
  <si>
    <t>Composite</t>
  </si>
  <si>
    <t>x w</t>
  </si>
  <si>
    <t>dev</t>
  </si>
  <si>
    <t>predicted X</t>
  </si>
  <si>
    <t>Observed Scores</t>
  </si>
  <si>
    <t>rXC</t>
  </si>
  <si>
    <t>Predicted</t>
  </si>
  <si>
    <t>SEE</t>
  </si>
  <si>
    <t>Large deviations from expectations</t>
  </si>
  <si>
    <t>Very large deviations from expectations</t>
  </si>
  <si>
    <t>Extremely large deviations from expectations</t>
  </si>
  <si>
    <t>Small deviations from expectations</t>
  </si>
  <si>
    <t>Very small deviations from expectations</t>
  </si>
  <si>
    <t>Extremely small deviations from expectations</t>
  </si>
  <si>
    <t>Prevalence of Deviation</t>
  </si>
  <si>
    <t>z Deviation</t>
  </si>
  <si>
    <t>Expected Score</t>
  </si>
  <si>
    <t>Size of Deviation</t>
  </si>
  <si>
    <t>p(Deviation)</t>
  </si>
  <si>
    <t>Very small deviation</t>
  </si>
  <si>
    <t>Small deviation</t>
  </si>
  <si>
    <t>Large deviation</t>
  </si>
  <si>
    <t>Very large deviation</t>
  </si>
  <si>
    <t>Extremely large deviation</t>
  </si>
  <si>
    <t>Moderately small deviation</t>
  </si>
  <si>
    <t>Moderately large deviation</t>
  </si>
  <si>
    <t>Extremely small deviation</t>
  </si>
  <si>
    <t>Moderately small deviations from expectations</t>
  </si>
  <si>
    <t>Moderately large deviations from expectations</t>
  </si>
  <si>
    <t>SEE * 2</t>
  </si>
  <si>
    <t>e2</t>
  </si>
  <si>
    <t>w</t>
  </si>
  <si>
    <t>z</t>
  </si>
  <si>
    <t>zhat</t>
  </si>
  <si>
    <t>z-zhat</t>
  </si>
  <si>
    <t>zSEE</t>
  </si>
  <si>
    <t>p</t>
  </si>
  <si>
    <t>Statistic</t>
  </si>
  <si>
    <t>Extremely Low</t>
  </si>
  <si>
    <t>Very Low</t>
  </si>
  <si>
    <t>Low</t>
  </si>
  <si>
    <t>Low Average</t>
  </si>
  <si>
    <t>Average</t>
  </si>
  <si>
    <t>High Average</t>
  </si>
  <si>
    <t>Very High</t>
  </si>
  <si>
    <t>High</t>
  </si>
  <si>
    <t>Extremely High</t>
  </si>
  <si>
    <t>Range</t>
  </si>
  <si>
    <t>Percentile</t>
  </si>
  <si>
    <t>Index Scores</t>
  </si>
  <si>
    <t>Include</t>
  </si>
  <si>
    <t>rank</t>
  </si>
  <si>
    <t>match</t>
  </si>
  <si>
    <t>Subtests</t>
  </si>
  <si>
    <r>
      <t>Mahalanobis Distance (d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)</t>
    </r>
  </si>
  <si>
    <r>
      <t>Conditional Mahalanobis Distance (d</t>
    </r>
    <r>
      <rPr>
        <vertAlign val="subscript"/>
        <sz val="11"/>
        <color theme="1"/>
        <rFont val="Calibri"/>
        <family val="2"/>
        <scheme val="minor"/>
      </rPr>
      <t>cm</t>
    </r>
    <r>
      <rPr>
        <sz val="11"/>
        <color theme="1"/>
        <rFont val="Calibri"/>
        <family val="2"/>
        <scheme val="minor"/>
      </rPr>
      <t>)</t>
    </r>
  </si>
  <si>
    <t>rounded p</t>
  </si>
  <si>
    <t>140–160</t>
  </si>
  <si>
    <t>130–139</t>
  </si>
  <si>
    <t>120–129</t>
  </si>
  <si>
    <t>110–119</t>
  </si>
  <si>
    <t>81–90</t>
  </si>
  <si>
    <t>71–80</t>
  </si>
  <si>
    <t>61–70</t>
  </si>
  <si>
    <t>40–60</t>
  </si>
  <si>
    <t>91–97</t>
  </si>
  <si>
    <t>75–90</t>
  </si>
  <si>
    <t>26–74</t>
  </si>
  <si>
    <r>
      <rPr>
        <sz val="12"/>
        <color theme="0" tint="-4.9989318521683403E-2"/>
        <rFont val="Calibri"/>
        <family val="2"/>
        <scheme val="minor"/>
      </rPr>
      <t>9</t>
    </r>
    <r>
      <rPr>
        <sz val="12"/>
        <color theme="1"/>
        <rFont val="Calibri"/>
        <family val="2"/>
        <scheme val="minor"/>
      </rPr>
      <t>99.6–99.99</t>
    </r>
  </si>
  <si>
    <t>Year
Tested</t>
  </si>
  <si>
    <t>Stanford-Binet</t>
  </si>
  <si>
    <t>Wechsler Intelligence Scale for Children</t>
  </si>
  <si>
    <t>WISC</t>
  </si>
  <si>
    <t>WISC-R</t>
  </si>
  <si>
    <t>WISC-III</t>
  </si>
  <si>
    <t>WISC-IV</t>
  </si>
  <si>
    <t>WISC-V</t>
  </si>
  <si>
    <t>Wechsler Adult Intelligence Scale</t>
  </si>
  <si>
    <t>WAIS</t>
  </si>
  <si>
    <t>WAIS-R</t>
  </si>
  <si>
    <t>WAIS-III</t>
  </si>
  <si>
    <t>WAIS-IV</t>
  </si>
  <si>
    <t>Weschler Abbreviated Scale of Intelligence</t>
  </si>
  <si>
    <t>WASI</t>
  </si>
  <si>
    <t>WASI-II</t>
  </si>
  <si>
    <t>Differential Ability Scales</t>
  </si>
  <si>
    <t>DAS</t>
  </si>
  <si>
    <t>DAS-II</t>
  </si>
  <si>
    <t>Woodcock-Johnson Tests of Cognitive Ability</t>
  </si>
  <si>
    <t>WJ77</t>
  </si>
  <si>
    <t>WJ III</t>
  </si>
  <si>
    <t>WJ IV</t>
  </si>
  <si>
    <t>Kaufman Assessment Battery for Children</t>
  </si>
  <si>
    <t>KABC</t>
  </si>
  <si>
    <t>KABC-II</t>
  </si>
  <si>
    <t>KABC-II NU</t>
  </si>
  <si>
    <t>WJ III NU</t>
  </si>
  <si>
    <t>Kaufman Brief Intelligence Test</t>
  </si>
  <si>
    <t>KBIT</t>
  </si>
  <si>
    <t>KBIT-2</t>
  </si>
  <si>
    <t>Wide Range Intelligence Test</t>
  </si>
  <si>
    <t>General Ability Measure for Adults</t>
  </si>
  <si>
    <t>CAS</t>
  </si>
  <si>
    <t>CAS-II</t>
  </si>
  <si>
    <t>Naglieri Nonverbal Ability Test</t>
  </si>
  <si>
    <t>Comprehensive Test of Nonverbal Intelligence</t>
  </si>
  <si>
    <t>CTONI</t>
  </si>
  <si>
    <t>CTONI-II</t>
  </si>
  <si>
    <t>Wechsler Nonverbal Scale of Ability</t>
  </si>
  <si>
    <t>Bayley Scales of Infant and Toddler Development</t>
  </si>
  <si>
    <t>Bayley III</t>
  </si>
  <si>
    <t>Das–Naglieri Cognitive Assessment System</t>
  </si>
  <si>
    <t>BSID-II</t>
  </si>
  <si>
    <t>BSID</t>
  </si>
  <si>
    <t>Universal Nonverbal Intelligence Test</t>
  </si>
  <si>
    <t>UNIT</t>
  </si>
  <si>
    <t>UNIT-2</t>
  </si>
  <si>
    <t>Leiter International Performance Scale</t>
  </si>
  <si>
    <t>Leiter</t>
  </si>
  <si>
    <t>Leiter-R</t>
  </si>
  <si>
    <t>Leiter-3</t>
  </si>
  <si>
    <t>Test of Nonverbal Intelligence</t>
  </si>
  <si>
    <t>TONI</t>
  </si>
  <si>
    <t>TONI-2</t>
  </si>
  <si>
    <t>TONI-3</t>
  </si>
  <si>
    <t>TONI-4</t>
  </si>
  <si>
    <t>Slosson Intelligence Test</t>
  </si>
  <si>
    <t>SIT</t>
  </si>
  <si>
    <t>SIT-4</t>
  </si>
  <si>
    <t>RIAS</t>
  </si>
  <si>
    <t>RIAS-II</t>
  </si>
  <si>
    <t>SIT-R</t>
  </si>
  <si>
    <t>SIT-R3</t>
  </si>
  <si>
    <t>Shipley-2</t>
  </si>
  <si>
    <t>SILS</t>
  </si>
  <si>
    <t>Shipley Institute of Living Scale</t>
  </si>
  <si>
    <t>Test of General Reasoning Ability</t>
  </si>
  <si>
    <t>TOGRA</t>
  </si>
  <si>
    <t>WNA</t>
  </si>
  <si>
    <t>WRIT</t>
  </si>
  <si>
    <t>Reynolds Intellectual Assessment Scales</t>
  </si>
  <si>
    <t>Kaufman Adult and Adolescent Intelligence Test</t>
  </si>
  <si>
    <t>KAIT</t>
  </si>
  <si>
    <t>NNAT</t>
  </si>
  <si>
    <t>NNAT-2</t>
  </si>
  <si>
    <t>GAMA</t>
  </si>
  <si>
    <t>SBIV</t>
  </si>
  <si>
    <t>SB5</t>
  </si>
  <si>
    <t>Years
Elapsed</t>
  </si>
  <si>
    <t>Corrected
Score</t>
  </si>
  <si>
    <t>Insert correlations</t>
  </si>
  <si>
    <t>Insert ones in diagonal</t>
  </si>
  <si>
    <t>Correlation</t>
  </si>
  <si>
    <t>Uncorrected Score</t>
  </si>
  <si>
    <t>Score Used</t>
  </si>
  <si>
    <t>Year Published</t>
  </si>
  <si>
    <t>List</t>
  </si>
  <si>
    <t>SIT expanded norms</t>
  </si>
  <si>
    <t>Deviation from Expected</t>
  </si>
  <si>
    <t>Edition</t>
  </si>
  <si>
    <t>Battery</t>
  </si>
  <si>
    <t>Average-sized deviations from expectations</t>
  </si>
  <si>
    <t>Average-sized deviation</t>
  </si>
  <si>
    <t>Composite IQ</t>
  </si>
  <si>
    <r>
      <rPr>
        <sz val="12"/>
        <color theme="1" tint="0.499984740745262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91–109</t>
    </r>
  </si>
  <si>
    <r>
      <t>0.5–2</t>
    </r>
    <r>
      <rPr>
        <sz val="12"/>
        <color theme="0" tint="-0.14999847407452621"/>
        <rFont val="Calibri"/>
        <family val="2"/>
        <scheme val="minor"/>
      </rPr>
      <t>.0</t>
    </r>
  </si>
  <si>
    <r>
      <rPr>
        <sz val="12"/>
        <color theme="0" tint="-0.14999847407452621"/>
        <rFont val="Calibri"/>
        <family val="2"/>
        <scheme val="minor"/>
      </rPr>
      <t>5.</t>
    </r>
    <r>
      <rPr>
        <sz val="12"/>
        <color theme="1"/>
        <rFont val="Calibri"/>
        <family val="2"/>
        <scheme val="minor"/>
      </rPr>
      <t>98–99.5</t>
    </r>
  </si>
  <si>
    <r>
      <t>0.01–0.4</t>
    </r>
    <r>
      <rPr>
        <sz val="12"/>
        <color rgb="FFE6E6E6"/>
        <rFont val="Calibri"/>
        <family val="2"/>
        <scheme val="minor"/>
      </rPr>
      <t>0</t>
    </r>
  </si>
  <si>
    <t>Proportion</t>
  </si>
  <si>
    <t>WISC-III PIQ</t>
  </si>
  <si>
    <t>Helper 1</t>
  </si>
  <si>
    <t>Helper 2</t>
  </si>
  <si>
    <t>Helper 3</t>
  </si>
  <si>
    <t>Helper 4</t>
  </si>
  <si>
    <t>Sorted Data</t>
  </si>
  <si>
    <t>Tests</t>
  </si>
  <si>
    <t>Extremely Low1</t>
  </si>
  <si>
    <t>Very Low1</t>
  </si>
  <si>
    <t>Low1</t>
  </si>
  <si>
    <t>Low Average1</t>
  </si>
  <si>
    <t>Average1</t>
  </si>
  <si>
    <t>High Average1</t>
  </si>
  <si>
    <t>High1</t>
  </si>
  <si>
    <t>Very High1</t>
  </si>
  <si>
    <t>Extremely High1</t>
  </si>
  <si>
    <t>Reliability</t>
  </si>
  <si>
    <t>Reliabiliy</t>
  </si>
  <si>
    <t>Correlation Sum</t>
  </si>
  <si>
    <t>Reliability Sum</t>
  </si>
  <si>
    <t>Composite Reliability</t>
  </si>
  <si>
    <t>95% CI</t>
  </si>
  <si>
    <t>true score</t>
  </si>
  <si>
    <t>CI</t>
  </si>
  <si>
    <t>Confidence</t>
  </si>
  <si>
    <t>LB</t>
  </si>
  <si>
    <t>UB</t>
  </si>
  <si>
    <t>Overall</t>
  </si>
  <si>
    <t>Ind Norml</t>
  </si>
  <si>
    <t>Ind Norm Tails</t>
  </si>
  <si>
    <t>Ranges</t>
  </si>
  <si>
    <t>Default Reliability</t>
  </si>
  <si>
    <t>Any blank</t>
  </si>
  <si>
    <t>WAIS-5</t>
  </si>
  <si>
    <t>Year Normed</t>
  </si>
  <si>
    <t>Year
Normed</t>
  </si>
  <si>
    <t>WJ V</t>
  </si>
  <si>
    <t>SBLM</t>
  </si>
  <si>
    <t>SBLM Updated</t>
  </si>
  <si>
    <t>WJ R Extended Scale</t>
  </si>
  <si>
    <t>WJ R Standard Scale</t>
  </si>
  <si>
    <t>WISC-R (1974)</t>
  </si>
  <si>
    <t>SB5 (2003)</t>
  </si>
  <si>
    <t>WAIS-IV (2008)</t>
  </si>
  <si>
    <t>Default Flynn Effect Size (per decade)</t>
  </si>
  <si>
    <t>Age</t>
  </si>
  <si>
    <t>Family</t>
  </si>
  <si>
    <t>Bayley</t>
  </si>
  <si>
    <t>Kaufman</t>
  </si>
  <si>
    <t>Shipley</t>
  </si>
  <si>
    <t>Slosson</t>
  </si>
  <si>
    <t>Wechsler</t>
  </si>
  <si>
    <t>Woodcock-Johnson</t>
  </si>
  <si>
    <t>Flynn
Effect</t>
  </si>
  <si>
    <t>Age at
Testing</t>
  </si>
  <si>
    <r>
      <t xml:space="preserve">Default Correlations in </t>
    </r>
    <r>
      <rPr>
        <sz val="11"/>
        <color theme="5"/>
        <rFont val="Calibri"/>
        <family val="2"/>
        <scheme val="minor"/>
      </rPr>
      <t>Red</t>
    </r>
    <r>
      <rPr>
        <sz val="11"/>
        <rFont val="Calibri"/>
        <family val="2"/>
        <scheme val="minor"/>
      </rPr>
      <t>, using equations from Breit, M., Scherrer, V., Tucker-Drob, E. M., &amp; Preckel, F. (2024). The stability of cognitive abilities: A meta-analytic review of longitudinal studies. Psychological Bulletin. https://doi.org/10.1037/bul0000425</t>
    </r>
  </si>
  <si>
    <t>WAIS-III (1997)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</si>
</sst>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7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2"/>
      <color rgb="FFE6E6E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indexed="64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3" borderId="4" xfId="0" applyFill="1" applyBorder="1" applyAlignment="1" applyProtection="1">
      <alignment horizontal="center" vertical="center"/>
      <protection locked="0"/>
    </xf>
    <xf numFmtId="1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/>
    <xf numFmtId="1" fontId="9" fillId="2" borderId="8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left" vertical="center" indent="2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0" fillId="3" borderId="1" xfId="0" applyFill="1" applyBorder="1" applyProtection="1">
      <protection locked="0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0" fillId="2" borderId="2" xfId="0" applyFill="1" applyBorder="1"/>
    <xf numFmtId="0" fontId="4" fillId="2" borderId="2" xfId="0" applyFont="1" applyFill="1" applyBorder="1" applyAlignment="1">
      <alignment horizontal="right" vertical="center"/>
    </xf>
    <xf numFmtId="0" fontId="0" fillId="3" borderId="7" xfId="0" applyFill="1" applyBorder="1" applyAlignment="1" applyProtection="1">
      <alignment vertical="center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16" fontId="6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15" fillId="8" borderId="1" xfId="0" applyFont="1" applyFill="1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/>
    </xf>
    <xf numFmtId="0" fontId="15" fillId="8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right" vertical="center"/>
    </xf>
    <xf numFmtId="1" fontId="0" fillId="2" borderId="0" xfId="0" applyNumberFormat="1" applyFill="1"/>
    <xf numFmtId="1" fontId="0" fillId="0" borderId="0" xfId="0" applyNumberFormat="1"/>
    <xf numFmtId="0" fontId="5" fillId="2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" fontId="4" fillId="3" borderId="1" xfId="0" applyNumberFormat="1" applyFont="1" applyFill="1" applyBorder="1" applyAlignment="1" applyProtection="1">
      <alignment horizontal="center" vertical="center"/>
      <protection locked="0"/>
    </xf>
    <xf numFmtId="166" fontId="9" fillId="2" borderId="8" xfId="0" applyNumberFormat="1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4" xfId="0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" fontId="6" fillId="6" borderId="0" xfId="0" applyNumberFormat="1" applyFont="1" applyFill="1" applyAlignment="1">
      <alignment horizontal="center" vertical="center"/>
    </xf>
    <xf numFmtId="16" fontId="6" fillId="3" borderId="0" xfId="0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theme="5"/>
      </font>
    </dxf>
    <dxf>
      <font>
        <color theme="0" tint="-4.9989318521683403E-2"/>
      </font>
    </dxf>
    <dxf>
      <font>
        <color theme="5"/>
      </font>
    </dxf>
    <dxf>
      <font>
        <b val="0"/>
        <i val="0"/>
        <color theme="1" tint="0.499984740745262"/>
      </font>
    </dxf>
    <dxf>
      <font>
        <b val="0"/>
        <i val="0"/>
        <color theme="1" tint="0.499984740745262"/>
      </font>
    </dxf>
    <dxf>
      <font>
        <b/>
        <i val="0"/>
        <color theme="1"/>
      </font>
    </dxf>
    <dxf>
      <font>
        <color theme="5"/>
      </font>
    </dxf>
    <dxf>
      <font>
        <color theme="5"/>
      </font>
    </dxf>
  </dxfs>
  <tableStyles count="0" defaultTableStyle="TableStyleMedium2" defaultPivotStyle="PivotStyleLight16"/>
  <colors>
    <mruColors>
      <color rgb="FFF5F5F5"/>
      <color rgb="FFF0F0EB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ChartCalculations!$B$1</c:f>
              <c:strCache>
                <c:ptCount val="1"/>
                <c:pt idx="0">
                  <c:v>Extremely 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ChartCalculations!$B$2:$B$1214</c:f>
              <c:numCache>
                <c:formatCode>General</c:formatCode>
                <c:ptCount val="1213"/>
                <c:pt idx="0">
                  <c:v>8.9220150509923572E-6</c:v>
                </c:pt>
                <c:pt idx="1">
                  <c:v>9.1629324883529079E-6</c:v>
                </c:pt>
                <c:pt idx="2">
                  <c:v>9.4099370896980996E-6</c:v>
                </c:pt>
                <c:pt idx="3">
                  <c:v>9.6631706949260695E-6</c:v>
                </c:pt>
                <c:pt idx="4">
                  <c:v>9.9227781225771862E-6</c:v>
                </c:pt>
                <c:pt idx="5">
                  <c:v>1.0188907223902323E-5</c:v>
                </c:pt>
                <c:pt idx="6">
                  <c:v>1.0461708937702151E-5</c:v>
                </c:pt>
                <c:pt idx="7">
                  <c:v>1.0741337345943126E-5</c:v>
                </c:pt>
                <c:pt idx="8">
                  <c:v>1.1027949730156035E-5</c:v>
                </c:pt>
                <c:pt idx="9">
                  <c:v>1.1321706628622907E-5</c:v>
                </c:pt>
                <c:pt idx="10">
                  <c:v>1.1622771894357563E-5</c:v>
                </c:pt>
                <c:pt idx="11">
                  <c:v>1.1931312753885828E-5</c:v>
                </c:pt>
                <c:pt idx="12">
                  <c:v>1.2247499866830472E-5</c:v>
                </c:pt>
                <c:pt idx="13">
                  <c:v>1.2571507386306139E-5</c:v>
                </c:pt>
                <c:pt idx="14">
                  <c:v>1.2903513020129834E-5</c:v>
                </c:pt>
                <c:pt idx="15">
                  <c:v>1.3243698092851514E-5</c:v>
                </c:pt>
                <c:pt idx="16">
                  <c:v>1.3592247608610153E-5</c:v>
                </c:pt>
                <c:pt idx="17">
                  <c:v>1.3949350314819923E-5</c:v>
                </c:pt>
                <c:pt idx="18">
                  <c:v>1.4315198766691111E-5</c:v>
                </c:pt>
                <c:pt idx="19">
                  <c:v>1.4689989392590589E-5</c:v>
                </c:pt>
                <c:pt idx="20">
                  <c:v>1.5073922560245645E-5</c:v>
                </c:pt>
                <c:pt idx="21">
                  <c:v>1.5467202643796159E-5</c:v>
                </c:pt>
                <c:pt idx="22">
                  <c:v>1.587003809169876E-5</c:v>
                </c:pt>
                <c:pt idx="23">
                  <c:v>1.6282641495486875E-5</c:v>
                </c:pt>
                <c:pt idx="24">
                  <c:v>1.6705229659390687E-5</c:v>
                </c:pt>
                <c:pt idx="25">
                  <c:v>1.7138023670820421E-5</c:v>
                </c:pt>
                <c:pt idx="26">
                  <c:v>1.7581248971716192E-5</c:v>
                </c:pt>
                <c:pt idx="27">
                  <c:v>1.8035135430768067E-5</c:v>
                </c:pt>
                <c:pt idx="28">
                  <c:v>1.8499917416509125E-5</c:v>
                </c:pt>
                <c:pt idx="29">
                  <c:v>1.8975833871284228E-5</c:v>
                </c:pt>
                <c:pt idx="30">
                  <c:v>1.9463128386097353E-5</c:v>
                </c:pt>
                <c:pt idx="31">
                  <c:v>1.9962049276339817E-5</c:v>
                </c:pt>
                <c:pt idx="32">
                  <c:v>2.0472849658402195E-5</c:v>
                </c:pt>
                <c:pt idx="33">
                  <c:v>2.0995787527168103E-5</c:v>
                </c:pt>
                <c:pt idx="34">
                  <c:v>2.1531125834402781E-5</c:v>
                </c:pt>
                <c:pt idx="35">
                  <c:v>2.2079132568019509E-5</c:v>
                </c:pt>
                <c:pt idx="36">
                  <c:v>2.2640080832244235E-5</c:v>
                </c:pt>
                <c:pt idx="37">
                  <c:v>2.3214248928664819E-5</c:v>
                </c:pt>
                <c:pt idx="38">
                  <c:v>2.3801920438177416E-5</c:v>
                </c:pt>
                <c:pt idx="39">
                  <c:v>2.4403384303822943E-5</c:v>
                </c:pt>
                <c:pt idx="40">
                  <c:v>2.5018934914509291E-5</c:v>
                </c:pt>
                <c:pt idx="41">
                  <c:v>2.5648872189637549E-5</c:v>
                </c:pt>
                <c:pt idx="42">
                  <c:v>2.6293501664611118E-5</c:v>
                </c:pt>
                <c:pt idx="43">
                  <c:v>2.6953134577239585E-5</c:v>
                </c:pt>
                <c:pt idx="44">
                  <c:v>2.7628087955032838E-5</c:v>
                </c:pt>
                <c:pt idx="45">
                  <c:v>2.8318684703384135E-5</c:v>
                </c:pt>
                <c:pt idx="46">
                  <c:v>2.9025253694640915E-5</c:v>
                </c:pt>
                <c:pt idx="47">
                  <c:v>2.9748129858061926E-5</c:v>
                </c:pt>
                <c:pt idx="48">
                  <c:v>3.0487654270657849E-5</c:v>
                </c:pt>
                <c:pt idx="49">
                  <c:v>3.1244174248913646E-5</c:v>
                </c:pt>
                <c:pt idx="50">
                  <c:v>3.2018043441388816E-5</c:v>
                </c:pt>
                <c:pt idx="51">
                  <c:v>3.2809621922193693E-5</c:v>
                </c:pt>
                <c:pt idx="52">
                  <c:v>3.36192762853374E-5</c:v>
                </c:pt>
                <c:pt idx="53">
                  <c:v>3.4447379739943447E-5</c:v>
                </c:pt>
                <c:pt idx="54">
                  <c:v>3.5294312206329824E-5</c:v>
                </c:pt>
                <c:pt idx="55">
                  <c:v>3.6160460412947411E-5</c:v>
                </c:pt>
                <c:pt idx="56">
                  <c:v>3.7046217994173024E-5</c:v>
                </c:pt>
                <c:pt idx="57">
                  <c:v>3.7951985588951154E-5</c:v>
                </c:pt>
                <c:pt idx="58">
                  <c:v>3.8878170940278272E-5</c:v>
                </c:pt>
                <c:pt idx="59">
                  <c:v>3.982518899552483E-5</c:v>
                </c:pt>
                <c:pt idx="60">
                  <c:v>4.0793462007585774E-5</c:v>
                </c:pt>
                <c:pt idx="61">
                  <c:v>4.178341963685571E-5</c:v>
                </c:pt>
                <c:pt idx="62">
                  <c:v>4.2795499054018704E-5</c:v>
                </c:pt>
                <c:pt idx="63">
                  <c:v>4.3830145043646106E-5</c:v>
                </c:pt>
                <c:pt idx="64">
                  <c:v>4.4887810108594003E-5</c:v>
                </c:pt>
                <c:pt idx="65">
                  <c:v>4.5968954575190111E-5</c:v>
                </c:pt>
                <c:pt idx="66">
                  <c:v>4.7074046699203549E-5</c:v>
                </c:pt>
                <c:pt idx="67">
                  <c:v>4.8203562772584277E-5</c:v>
                </c:pt>
                <c:pt idx="68">
                  <c:v>4.9357987230965436E-5</c:v>
                </c:pt>
                <c:pt idx="69">
                  <c:v>5.0537812761915225E-5</c:v>
                </c:pt>
                <c:pt idx="70">
                  <c:v>5.1743540413928501E-5</c:v>
                </c:pt>
                <c:pt idx="71">
                  <c:v>5.297567970614588E-5</c:v>
                </c:pt>
                <c:pt idx="72">
                  <c:v>5.4234748738788475E-5</c:v>
                </c:pt>
                <c:pt idx="73">
                  <c:v>5.5521274304295511E-5</c:v>
                </c:pt>
                <c:pt idx="74">
                  <c:v>5.683579199915084E-5</c:v>
                </c:pt>
                <c:pt idx="75">
                  <c:v>5.8178846336385351E-5</c:v>
                </c:pt>
                <c:pt idx="76">
                  <c:v>5.9550990858741191E-5</c:v>
                </c:pt>
                <c:pt idx="77">
                  <c:v>6.095278825248183E-5</c:v>
                </c:pt>
                <c:pt idx="78">
                  <c:v>6.2384810461833364E-5</c:v>
                </c:pt>
                <c:pt idx="79">
                  <c:v>6.3847638804041674E-5</c:v>
                </c:pt>
                <c:pt idx="80">
                  <c:v>6.5341864085026292E-5</c:v>
                </c:pt>
                <c:pt idx="81">
                  <c:v>6.6868086715617377E-5</c:v>
                </c:pt>
                <c:pt idx="82">
                  <c:v>6.8426916828355462E-5</c:v>
                </c:pt>
                <c:pt idx="83">
                  <c:v>7.001897439483647E-5</c:v>
                </c:pt>
                <c:pt idx="84">
                  <c:v>7.1644889343583972E-5</c:v>
                </c:pt>
                <c:pt idx="85">
                  <c:v>7.3305301678426791E-5</c:v>
                </c:pt>
                <c:pt idx="86">
                  <c:v>7.5000861597365062E-5</c:v>
                </c:pt>
                <c:pt idx="87">
                  <c:v>7.673222961190067E-5</c:v>
                </c:pt>
                <c:pt idx="88">
                  <c:v>7.8500076666813466E-5</c:v>
                </c:pt>
                <c:pt idx="89">
                  <c:v>8.0305084260359728E-5</c:v>
                </c:pt>
                <c:pt idx="90">
                  <c:v>8.2147944564869813E-5</c:v>
                </c:pt>
                <c:pt idx="91">
                  <c:v>8.4029360547723463E-5</c:v>
                </c:pt>
                <c:pt idx="92">
                  <c:v>8.5950046092676715E-5</c:v>
                </c:pt>
                <c:pt idx="93">
                  <c:v>8.7910726121517938E-5</c:v>
                </c:pt>
                <c:pt idx="94">
                  <c:v>8.9912136716025588E-5</c:v>
                </c:pt>
                <c:pt idx="95">
                  <c:v>9.1955025240202435E-5</c:v>
                </c:pt>
                <c:pt idx="96">
                  <c:v>9.404015046276108E-5</c:v>
                </c:pt>
                <c:pt idx="97">
                  <c:v>9.6168282679831208E-5</c:v>
                </c:pt>
                <c:pt idx="98">
                  <c:v>9.8340203837861707E-5</c:v>
                </c:pt>
                <c:pt idx="99">
                  <c:v>1.005567076566893E-4</c:v>
                </c:pt>
                <c:pt idx="100">
                  <c:v>1.0281859975274264E-4</c:v>
                </c:pt>
                <c:pt idx="101">
                  <c:v>1.0512669776235366E-4</c:v>
                </c:pt>
                <c:pt idx="102">
                  <c:v>1.0748183146514403E-4</c:v>
                </c:pt>
                <c:pt idx="103">
                  <c:v>1.0988484290745592E-4</c:v>
                </c:pt>
                <c:pt idx="104">
                  <c:v>1.1233658652579446E-4</c:v>
                </c:pt>
                <c:pt idx="105">
                  <c:v>1.1483792927024798E-4</c:v>
                </c:pt>
                <c:pt idx="106">
                  <c:v>1.1738975072785657E-4</c:v>
                </c:pt>
                <c:pt idx="107">
                  <c:v>1.1999294324587896E-4</c:v>
                </c:pt>
                <c:pt idx="108">
                  <c:v>1.226484120549574E-4</c:v>
                </c:pt>
                <c:pt idx="109">
                  <c:v>1.2535707539209934E-4</c:v>
                </c:pt>
                <c:pt idx="110">
                  <c:v>1.2811986462347283E-4</c:v>
                </c:pt>
                <c:pt idx="111">
                  <c:v>1.3093772436696409E-4</c:v>
                </c:pt>
                <c:pt idx="112">
                  <c:v>1.3381161261446218E-4</c:v>
                </c:pt>
                <c:pt idx="113">
                  <c:v>1.3674250085383245E-4</c:v>
                </c:pt>
                <c:pt idx="114">
                  <c:v>1.3973137419053555E-4</c:v>
                </c:pt>
                <c:pt idx="115">
                  <c:v>1.4277923146885729E-4</c:v>
                </c:pt>
                <c:pt idx="116">
                  <c:v>1.4588708539270154E-4</c:v>
                </c:pt>
                <c:pt idx="117">
                  <c:v>1.4905596264590918E-4</c:v>
                </c:pt>
                <c:pt idx="118">
                  <c:v>1.5228690401205815E-4</c:v>
                </c:pt>
                <c:pt idx="119">
                  <c:v>1.5558096449370081E-4</c:v>
                </c:pt>
                <c:pt idx="120">
                  <c:v>1.5893921343099613E-4</c:v>
                </c:pt>
                <c:pt idx="121">
                  <c:v>1.6236273461968788E-4</c:v>
                </c:pt>
                <c:pt idx="122">
                  <c:v>1.6585262642838667E-4</c:v>
                </c:pt>
                <c:pt idx="123">
                  <c:v>1.694100019151088E-4</c:v>
                </c:pt>
                <c:pt idx="124">
                  <c:v>1.7303598894302099E-4</c:v>
                </c:pt>
                <c:pt idx="125">
                  <c:v>1.7673173029534773E-4</c:v>
                </c:pt>
                <c:pt idx="126">
                  <c:v>1.8049838378938769E-4</c:v>
                </c:pt>
                <c:pt idx="127">
                  <c:v>1.8433712238959303E-4</c:v>
                </c:pt>
                <c:pt idx="128">
                  <c:v>1.8824913431965854E-4</c:v>
                </c:pt>
                <c:pt idx="129">
                  <c:v>1.9223562317357063E-4</c:v>
                </c:pt>
                <c:pt idx="130">
                  <c:v>1.9629780802556546E-4</c:v>
                </c:pt>
                <c:pt idx="131">
                  <c:v>2.0043692353893862E-4</c:v>
                </c:pt>
                <c:pt idx="132">
                  <c:v>2.0465422007365813E-4</c:v>
                </c:pt>
                <c:pt idx="133">
                  <c:v>2.0895096379272454E-4</c:v>
                </c:pt>
                <c:pt idx="134">
                  <c:v>2.1332843676722163E-4</c:v>
                </c:pt>
                <c:pt idx="135">
                  <c:v>2.1778793708000365E-4</c:v>
                </c:pt>
                <c:pt idx="136">
                  <c:v>2.2233077892796073E-4</c:v>
                </c:pt>
                <c:pt idx="137">
                  <c:v>2.2695829272280843E-4</c:v>
                </c:pt>
                <c:pt idx="138">
                  <c:v>2.3167182519033886E-4</c:v>
                </c:pt>
                <c:pt idx="139">
                  <c:v>2.3647273946807919E-4</c:v>
                </c:pt>
                <c:pt idx="140">
                  <c:v>2.4136241520129564E-4</c:v>
                </c:pt>
                <c:pt idx="141">
                  <c:v>2.4634224863727904E-4</c:v>
                </c:pt>
                <c:pt idx="142">
                  <c:v>2.5141365271786047E-4</c:v>
                </c:pt>
                <c:pt idx="143">
                  <c:v>2.5657805717008652E-4</c:v>
                </c:pt>
                <c:pt idx="144">
                  <c:v>2.6183690859499578E-4</c:v>
                </c:pt>
                <c:pt idx="145">
                  <c:v>2.6719167055443393E-4</c:v>
                </c:pt>
                <c:pt idx="146">
                  <c:v>2.7264382365583894E-4</c:v>
                </c:pt>
                <c:pt idx="147">
                  <c:v>2.7819486563494193E-4</c:v>
                </c:pt>
                <c:pt idx="148">
                  <c:v>2.8384631143630679E-4</c:v>
                </c:pt>
                <c:pt idx="149">
                  <c:v>2.8959969329165068E-4</c:v>
                </c:pt>
                <c:pt idx="150">
                  <c:v>2.9545656079587896E-4</c:v>
                </c:pt>
                <c:pt idx="151">
                  <c:v>3.0141848098076132E-4</c:v>
                </c:pt>
                <c:pt idx="152">
                  <c:v>3.0748703838618985E-4</c:v>
                </c:pt>
                <c:pt idx="153">
                  <c:v>3.1366383512894451E-4</c:v>
                </c:pt>
                <c:pt idx="154">
                  <c:v>3.1995049096890052E-4</c:v>
                </c:pt>
                <c:pt idx="155">
                  <c:v>3.2634864337260851E-4</c:v>
                </c:pt>
                <c:pt idx="156">
                  <c:v>3.3285994757417138E-4</c:v>
                </c:pt>
                <c:pt idx="157">
                  <c:v>3.3948607663336026E-4</c:v>
                </c:pt>
                <c:pt idx="158">
                  <c:v>3.4622872149088371E-4</c:v>
                </c:pt>
                <c:pt idx="159">
                  <c:v>3.5308959102074846E-4</c:v>
                </c:pt>
                <c:pt idx="160">
                  <c:v>3.6007041207963879E-4</c:v>
                </c:pt>
                <c:pt idx="161">
                  <c:v>3.6717292955323687E-4</c:v>
                </c:pt>
                <c:pt idx="162">
                  <c:v>3.7439890639941219E-4</c:v>
                </c:pt>
                <c:pt idx="163">
                  <c:v>3.8175012368821612E-4</c:v>
                </c:pt>
                <c:pt idx="164">
                  <c:v>3.8922838063859154E-4</c:v>
                </c:pt>
                <c:pt idx="165">
                  <c:v>3.9683549465173906E-4</c:v>
                </c:pt>
                <c:pt idx="166">
                  <c:v>4.0457330134105072E-4</c:v>
                </c:pt>
                <c:pt idx="167">
                  <c:v>4.1244365455854828E-4</c:v>
                </c:pt>
                <c:pt idx="168">
                  <c:v>4.2044842641774456E-4</c:v>
                </c:pt>
                <c:pt idx="169">
                  <c:v>4.2858950731284944E-4</c:v>
                </c:pt>
                <c:pt idx="170">
                  <c:v>4.3686880593425144E-4</c:v>
                </c:pt>
                <c:pt idx="171">
                  <c:v>4.4528824928019171E-4</c:v>
                </c:pt>
                <c:pt idx="172">
                  <c:v>4.5384978266455695E-4</c:v>
                </c:pt>
                <c:pt idx="173">
                  <c:v>4.625553697207156E-4</c:v>
                </c:pt>
                <c:pt idx="174">
                  <c:v>4.7140699240131424E-4</c:v>
                </c:pt>
                <c:pt idx="175">
                  <c:v>4.8040665097396609E-4</c:v>
                </c:pt>
                <c:pt idx="176">
                  <c:v>4.8955636401275021E-4</c:v>
                </c:pt>
                <c:pt idx="177">
                  <c:v>4.9885816838539908E-4</c:v>
                </c:pt>
                <c:pt idx="178">
                  <c:v>5.0831411923623227E-4</c:v>
                </c:pt>
                <c:pt idx="179">
                  <c:v>5.1792628996457063E-4</c:v>
                </c:pt>
                <c:pt idx="180">
                  <c:v>5.2769677219869336E-4</c:v>
                </c:pt>
                <c:pt idx="181">
                  <c:v>5.376276757652035E-4</c:v>
                </c:pt>
                <c:pt idx="182">
                  <c:v>5.4772112865373093E-4</c:v>
                </c:pt>
                <c:pt idx="183">
                  <c:v>5.5797927697689986E-4</c:v>
                </c:pt>
                <c:pt idx="184">
                  <c:v>5.6840428492547699E-4</c:v>
                </c:pt>
                <c:pt idx="185">
                  <c:v>5.7899833471862549E-4</c:v>
                </c:pt>
                <c:pt idx="186">
                  <c:v>5.8976362654918112E-4</c:v>
                </c:pt>
                <c:pt idx="187">
                  <c:v>6.0070237852387939E-4</c:v>
                </c:pt>
                <c:pt idx="188">
                  <c:v>6.1181682659845369E-4</c:v>
                </c:pt>
                <c:pt idx="189">
                  <c:v>6.2310922450751962E-4</c:v>
                </c:pt>
                <c:pt idx="190">
                  <c:v>6.3458184368918064E-4</c:v>
                </c:pt>
                <c:pt idx="191">
                  <c:v>6.462369732042622E-4</c:v>
                </c:pt>
                <c:pt idx="192">
                  <c:v>6.580769196501122E-4</c:v>
                </c:pt>
                <c:pt idx="193">
                  <c:v>6.701040070688797E-4</c:v>
                </c:pt>
                <c:pt idx="194">
                  <c:v>6.8232057685019894E-4</c:v>
                </c:pt>
                <c:pt idx="195">
                  <c:v>6.9472898762820993E-4</c:v>
                </c:pt>
                <c:pt idx="196">
                  <c:v>7.0733161517281856E-4</c:v>
                </c:pt>
                <c:pt idx="197">
                  <c:v>7.2013085227514611E-4</c:v>
                </c:pt>
                <c:pt idx="198">
                  <c:v>7.3312910862707859E-4</c:v>
                </c:pt>
                <c:pt idx="199">
                  <c:v>7.4632881069484154E-4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D-4FB6-B3EC-2366FC1ED568}"/>
            </c:ext>
          </c:extLst>
        </c:ser>
        <c:ser>
          <c:idx val="1"/>
          <c:order val="1"/>
          <c:tx>
            <c:strRef>
              <c:f>ChartCalculations!$C$1</c:f>
              <c:strCache>
                <c:ptCount val="1"/>
                <c:pt idx="0">
                  <c:v>Very 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ChartCalculations!$C$2:$C$1214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7.5973240158653599E-4</c:v>
                </c:pt>
                <c:pt idx="201">
                  <c:v>7.7334234091354489E-4</c:v>
                </c:pt>
                <c:pt idx="202">
                  <c:v>7.8716110464575558E-4</c:v>
                </c:pt>
                <c:pt idx="203">
                  <c:v>8.0119118496051287E-4</c:v>
                </c:pt>
                <c:pt idx="204">
                  <c:v>8.1543509008524112E-4</c:v>
                </c:pt>
                <c:pt idx="205">
                  <c:v>8.2989534413365721E-4</c:v>
                </c:pt>
                <c:pt idx="206">
                  <c:v>8.4457448693550218E-4</c:v>
                </c:pt>
                <c:pt idx="207">
                  <c:v>8.5947507385973187E-4</c:v>
                </c:pt>
                <c:pt idx="208">
                  <c:v>8.7459967563109533E-4</c:v>
                </c:pt>
                <c:pt idx="209">
                  <c:v>8.8995087814001841E-4</c:v>
                </c:pt>
                <c:pt idx="210">
                  <c:v>9.0553128224575455E-4</c:v>
                </c:pt>
                <c:pt idx="211">
                  <c:v>9.2134350357270614E-4</c:v>
                </c:pt>
                <c:pt idx="212">
                  <c:v>9.3739017229987453E-4</c:v>
                </c:pt>
                <c:pt idx="213">
                  <c:v>9.5367393294336301E-4</c:v>
                </c:pt>
                <c:pt idx="214">
                  <c:v>9.701974441318718E-4</c:v>
                </c:pt>
                <c:pt idx="215">
                  <c:v>9.8696337837513655E-4</c:v>
                </c:pt>
                <c:pt idx="216">
                  <c:v>1.0039744218252147E-3</c:v>
                </c:pt>
                <c:pt idx="217">
                  <c:v>1.0212332740306073E-3</c:v>
                </c:pt>
                <c:pt idx="218">
                  <c:v>1.0387426476831233E-3</c:v>
                </c:pt>
                <c:pt idx="219">
                  <c:v>1.0565052683574414E-3</c:v>
                </c:pt>
                <c:pt idx="220">
                  <c:v>1.0745238742433205E-3</c:v>
                </c:pt>
                <c:pt idx="221">
                  <c:v>1.0928012158703845E-3</c:v>
                </c:pt>
                <c:pt idx="222">
                  <c:v>1.1113400558254601E-3</c:v>
                </c:pt>
                <c:pt idx="223">
                  <c:v>1.1301431684623772E-3</c:v>
                </c:pt>
                <c:pt idx="224">
                  <c:v>1.1492133396042202E-3</c:v>
                </c:pt>
                <c:pt idx="225">
                  <c:v>1.1685533662379609E-3</c:v>
                </c:pt>
                <c:pt idx="226">
                  <c:v>1.1881660562014199E-3</c:v>
                </c:pt>
                <c:pt idx="227">
                  <c:v>1.2080542278625327E-3</c:v>
                </c:pt>
                <c:pt idx="228">
                  <c:v>1.2282207097908642E-3</c:v>
                </c:pt>
                <c:pt idx="229">
                  <c:v>1.248668340421329E-3</c:v>
                </c:pt>
                <c:pt idx="230">
                  <c:v>1.2693999677100801E-3</c:v>
                </c:pt>
                <c:pt idx="231">
                  <c:v>1.2904184487825274E-3</c:v>
                </c:pt>
                <c:pt idx="232">
                  <c:v>1.3117266495734528E-3</c:v>
                </c:pt>
                <c:pt idx="233">
                  <c:v>1.3333274444591835E-3</c:v>
                </c:pt>
                <c:pt idx="234">
                  <c:v>1.3552237158817868E-3</c:v>
                </c:pt>
                <c:pt idx="235">
                  <c:v>1.3774183539652801E-3</c:v>
                </c:pt>
                <c:pt idx="236">
                  <c:v>1.3999142561237738E-3</c:v>
                </c:pt>
                <c:pt idx="237">
                  <c:v>1.4227143266615878E-3</c:v>
                </c:pt>
                <c:pt idx="238">
                  <c:v>1.4458214763652709E-3</c:v>
                </c:pt>
                <c:pt idx="239">
                  <c:v>1.4692386220875107E-3</c:v>
                </c:pt>
                <c:pt idx="240">
                  <c:v>1.4929686863229315E-3</c:v>
                </c:pt>
                <c:pt idx="241">
                  <c:v>1.5170145967757286E-3</c:v>
                </c:pt>
                <c:pt idx="242">
                  <c:v>1.5413792859191506E-3</c:v>
                </c:pt>
                <c:pt idx="243">
                  <c:v>1.5660656905468308E-3</c:v>
                </c:pt>
                <c:pt idx="244">
                  <c:v>1.5910767513158961E-3</c:v>
                </c:pt>
                <c:pt idx="245">
                  <c:v>1.6164154122819004E-3</c:v>
                </c:pt>
                <c:pt idx="246">
                  <c:v>1.6420846204255801E-3</c:v>
                </c:pt>
                <c:pt idx="247">
                  <c:v>1.6680873251713863E-3</c:v>
                </c:pt>
                <c:pt idx="248">
                  <c:v>1.6944264778977365E-3</c:v>
                </c:pt>
                <c:pt idx="249">
                  <c:v>1.7211050314392866E-3</c:v>
                </c:pt>
                <c:pt idx="250">
                  <c:v>1.748125939580741E-3</c:v>
                </c:pt>
                <c:pt idx="251">
                  <c:v>1.775492156542643E-3</c:v>
                </c:pt>
                <c:pt idx="252">
                  <c:v>1.8032066364588979E-3</c:v>
                </c:pt>
                <c:pt idx="253">
                  <c:v>1.83127233284618E-3</c:v>
                </c:pt>
                <c:pt idx="254">
                  <c:v>1.8596921980651494E-3</c:v>
                </c:pt>
                <c:pt idx="255">
                  <c:v>1.8884691827735264E-3</c:v>
                </c:pt>
                <c:pt idx="256">
                  <c:v>1.9176062353710892E-3</c:v>
                </c:pt>
                <c:pt idx="257">
                  <c:v>1.9471063014365139E-3</c:v>
                </c:pt>
                <c:pt idx="258">
                  <c:v>1.9769723231562036E-3</c:v>
                </c:pt>
                <c:pt idx="259">
                  <c:v>2.0072072387450467E-3</c:v>
                </c:pt>
                <c:pt idx="260">
                  <c:v>2.0378139818591555E-3</c:v>
                </c:pt>
                <c:pt idx="261">
                  <c:v>2.0687954810006785E-3</c:v>
                </c:pt>
                <c:pt idx="262">
                  <c:v>2.100154658914612E-3</c:v>
                </c:pt>
                <c:pt idx="263">
                  <c:v>2.1318944319777891E-3</c:v>
                </c:pt>
                <c:pt idx="264">
                  <c:v>2.1640177095799602E-3</c:v>
                </c:pt>
                <c:pt idx="265">
                  <c:v>2.1965273934970832E-3</c:v>
                </c:pt>
                <c:pt idx="266">
                  <c:v>2.229426377256899E-3</c:v>
                </c:pt>
                <c:pt idx="267">
                  <c:v>2.2627175454967476E-3</c:v>
                </c:pt>
                <c:pt idx="268">
                  <c:v>2.2964037733138034E-3</c:v>
                </c:pt>
                <c:pt idx="269">
                  <c:v>2.3304879256076908E-3</c:v>
                </c:pt>
                <c:pt idx="270">
                  <c:v>2.3649728564155668E-3</c:v>
                </c:pt>
                <c:pt idx="271">
                  <c:v>2.3998614082398123E-3</c:v>
                </c:pt>
                <c:pt idx="272">
                  <c:v>2.4351564113682714E-3</c:v>
                </c:pt>
                <c:pt idx="273">
                  <c:v>2.4708606831872417E-3</c:v>
                </c:pt>
                <c:pt idx="274">
                  <c:v>2.5069770274871945E-3</c:v>
                </c:pt>
                <c:pt idx="275">
                  <c:v>2.5435082337613435E-3</c:v>
                </c:pt>
                <c:pt idx="276">
                  <c:v>2.5804570764971918E-3</c:v>
                </c:pt>
                <c:pt idx="277">
                  <c:v>2.617826314461019E-3</c:v>
                </c:pt>
                <c:pt idx="278">
                  <c:v>2.6556186899755608E-3</c:v>
                </c:pt>
                <c:pt idx="279">
                  <c:v>2.6938369281908426E-3</c:v>
                </c:pt>
                <c:pt idx="280">
                  <c:v>2.7324837363483013E-3</c:v>
                </c:pt>
                <c:pt idx="281">
                  <c:v>2.7715618030383763E-3</c:v>
                </c:pt>
                <c:pt idx="282">
                  <c:v>2.8110737974515127E-3</c:v>
                </c:pt>
                <c:pt idx="283">
                  <c:v>2.8510223686228808E-3</c:v>
                </c:pt>
                <c:pt idx="284">
                  <c:v>2.8914101446707351E-3</c:v>
                </c:pt>
                <c:pt idx="285">
                  <c:v>2.9322397320286435E-3</c:v>
                </c:pt>
                <c:pt idx="286">
                  <c:v>2.9735137146717138E-3</c:v>
                </c:pt>
                <c:pt idx="287">
                  <c:v>3.0152346533368285E-3</c:v>
                </c:pt>
                <c:pt idx="288">
                  <c:v>3.0574050847371596E-3</c:v>
                </c:pt>
                <c:pt idx="289">
                  <c:v>3.1000275207709858E-3</c:v>
                </c:pt>
                <c:pt idx="290">
                  <c:v>3.1431044477249442E-3</c:v>
                </c:pt>
                <c:pt idx="291">
                  <c:v>3.1866383254719787E-3</c:v>
                </c:pt>
                <c:pt idx="292">
                  <c:v>3.2306315866639347E-3</c:v>
                </c:pt>
                <c:pt idx="293">
                  <c:v>3.275086635919129E-3</c:v>
                </c:pt>
                <c:pt idx="294">
                  <c:v>3.3200058490049011E-3</c:v>
                </c:pt>
                <c:pt idx="295">
                  <c:v>3.3653915720153588E-3</c:v>
                </c:pt>
                <c:pt idx="296">
                  <c:v>3.4112461205445281E-3</c:v>
                </c:pt>
                <c:pt idx="297">
                  <c:v>3.4575717788548899E-3</c:v>
                </c:pt>
                <c:pt idx="298">
                  <c:v>3.504370799041704E-3</c:v>
                </c:pt>
                <c:pt idx="299">
                  <c:v>3.5516454001930826E-3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CD-4FB6-B3EC-2366FC1ED568}"/>
            </c:ext>
          </c:extLst>
        </c:ser>
        <c:ser>
          <c:idx val="2"/>
          <c:order val="2"/>
          <c:tx>
            <c:strRef>
              <c:f>ChartCalculations!$D$1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ChartCalculations!$D$2:$D$1214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3.5993977675460604E-3</c:v>
                </c:pt>
                <c:pt idx="301">
                  <c:v>3.6476300516389091E-3</c:v>
                </c:pt>
                <c:pt idx="302">
                  <c:v>3.6963443674596823E-3</c:v>
                </c:pt>
                <c:pt idx="303">
                  <c:v>3.7455427935913998E-3</c:v>
                </c:pt>
                <c:pt idx="304">
                  <c:v>3.7952273713538647E-3</c:v>
                </c:pt>
                <c:pt idx="305">
                  <c:v>3.8454001039423882E-3</c:v>
                </c:pt>
                <c:pt idx="306">
                  <c:v>3.8960629555636378E-3</c:v>
                </c:pt>
                <c:pt idx="307">
                  <c:v>3.9472178505686904E-3</c:v>
                </c:pt>
                <c:pt idx="308">
                  <c:v>3.9988666725836505E-3</c:v>
                </c:pt>
                <c:pt idx="309">
                  <c:v>4.0510112636378635E-3</c:v>
                </c:pt>
                <c:pt idx="310">
                  <c:v>4.1036534232900294E-3</c:v>
                </c:pt>
                <c:pt idx="311">
                  <c:v>4.1567949077524436E-3</c:v>
                </c:pt>
                <c:pt idx="312">
                  <c:v>4.2104374290134593E-3</c:v>
                </c:pt>
                <c:pt idx="313">
                  <c:v>4.2645826539585222E-3</c:v>
                </c:pt>
                <c:pt idx="314">
                  <c:v>4.3192322034898986E-3</c:v>
                </c:pt>
                <c:pt idx="315">
                  <c:v>4.3743876516453275E-3</c:v>
                </c:pt>
                <c:pt idx="316">
                  <c:v>4.4300505247159049E-3</c:v>
                </c:pt>
                <c:pt idx="317">
                  <c:v>4.4862223003633295E-3</c:v>
                </c:pt>
                <c:pt idx="318">
                  <c:v>4.5429044067365866E-3</c:v>
                </c:pt>
                <c:pt idx="319">
                  <c:v>4.600098221588968E-3</c:v>
                </c:pt>
                <c:pt idx="320">
                  <c:v>4.6578050713946316E-3</c:v>
                </c:pt>
                <c:pt idx="321">
                  <c:v>4.7160262304658546E-3</c:v>
                </c:pt>
                <c:pt idx="322">
                  <c:v>4.7747629200706439E-3</c:v>
                </c:pt>
                <c:pt idx="323">
                  <c:v>4.8340163075513308E-3</c:v>
                </c:pt>
                <c:pt idx="324">
                  <c:v>4.8937875054440947E-3</c:v>
                </c:pt>
                <c:pt idx="325">
                  <c:v>4.9540775705998394E-3</c:v>
                </c:pt>
                <c:pt idx="326">
                  <c:v>5.0148875033066802E-3</c:v>
                </c:pt>
                <c:pt idx="327">
                  <c:v>5.0762182464141291E-3</c:v>
                </c:pt>
                <c:pt idx="328">
                  <c:v>5.1380706844594967E-3</c:v>
                </c:pt>
                <c:pt idx="329">
                  <c:v>5.2004456427965197E-3</c:v>
                </c:pt>
                <c:pt idx="330">
                  <c:v>5.2633438867265925E-3</c:v>
                </c:pt>
                <c:pt idx="331">
                  <c:v>5.3267661206329439E-3</c:v>
                </c:pt>
                <c:pt idx="332">
                  <c:v>5.3907129871178204E-3</c:v>
                </c:pt>
                <c:pt idx="333">
                  <c:v>5.4551850661431747E-3</c:v>
                </c:pt>
                <c:pt idx="334">
                  <c:v>5.5201828741749505E-3</c:v>
                </c:pt>
                <c:pt idx="335">
                  <c:v>5.5857068633313085E-3</c:v>
                </c:pt>
                <c:pt idx="336">
                  <c:v>5.6517574205351504E-3</c:v>
                </c:pt>
                <c:pt idx="337">
                  <c:v>5.7183348666710017E-3</c:v>
                </c:pt>
                <c:pt idx="338">
                  <c:v>5.7854394557468117E-3</c:v>
                </c:pt>
                <c:pt idx="339">
                  <c:v>5.8530713740607169E-3</c:v>
                </c:pt>
                <c:pt idx="340">
                  <c:v>5.9212307393731326E-3</c:v>
                </c:pt>
                <c:pt idx="341">
                  <c:v>5.9899176000845654E-3</c:v>
                </c:pt>
                <c:pt idx="342">
                  <c:v>6.0591319344192058E-3</c:v>
                </c:pt>
                <c:pt idx="343">
                  <c:v>6.1288736496148341E-3</c:v>
                </c:pt>
                <c:pt idx="344">
                  <c:v>6.1991425811191428E-3</c:v>
                </c:pt>
                <c:pt idx="345">
                  <c:v>6.2699384917928157E-3</c:v>
                </c:pt>
                <c:pt idx="346">
                  <c:v>6.341261071119788E-3</c:v>
                </c:pt>
                <c:pt idx="347">
                  <c:v>6.4131099344247036E-3</c:v>
                </c:pt>
                <c:pt idx="348">
                  <c:v>6.4854846220981921E-3</c:v>
                </c:pt>
                <c:pt idx="349">
                  <c:v>6.5583845988299852E-3</c:v>
                </c:pt>
                <c:pt idx="350">
                  <c:v>6.6318092528502787E-3</c:v>
                </c:pt>
                <c:pt idx="351">
                  <c:v>6.7057578951797477E-3</c:v>
                </c:pt>
                <c:pt idx="352">
                  <c:v>6.7802297588882262E-3</c:v>
                </c:pt>
                <c:pt idx="353">
                  <c:v>6.8552239983627116E-3</c:v>
                </c:pt>
                <c:pt idx="354">
                  <c:v>6.9307396885846615E-3</c:v>
                </c:pt>
                <c:pt idx="355">
                  <c:v>7.0067758244170561E-3</c:v>
                </c:pt>
                <c:pt idx="356">
                  <c:v>7.0833313199015775E-3</c:v>
                </c:pt>
                <c:pt idx="357">
                  <c:v>7.1604050075659755E-3</c:v>
                </c:pt>
                <c:pt idx="358">
                  <c:v>7.2379956377421999E-3</c:v>
                </c:pt>
                <c:pt idx="359">
                  <c:v>7.3161018778954015E-3</c:v>
                </c:pt>
                <c:pt idx="360">
                  <c:v>7.3947223119640972E-3</c:v>
                </c:pt>
                <c:pt idx="361">
                  <c:v>7.4738554397120295E-3</c:v>
                </c:pt>
                <c:pt idx="362">
                  <c:v>7.5534996760916427E-3</c:v>
                </c:pt>
                <c:pt idx="363">
                  <c:v>7.6336533506198906E-3</c:v>
                </c:pt>
                <c:pt idx="364">
                  <c:v>7.7143147067662947E-3</c:v>
                </c:pt>
                <c:pt idx="365">
                  <c:v>7.7954819013537728E-3</c:v>
                </c:pt>
                <c:pt idx="366">
                  <c:v>7.8771530039725667E-3</c:v>
                </c:pt>
                <c:pt idx="367">
                  <c:v>7.9593259964073071E-3</c:v>
                </c:pt>
                <c:pt idx="368">
                  <c:v>8.0419987720778425E-3</c:v>
                </c:pt>
                <c:pt idx="369">
                  <c:v>8.1251691354938711E-3</c:v>
                </c:pt>
                <c:pt idx="370">
                  <c:v>8.2088348017237238E-3</c:v>
                </c:pt>
                <c:pt idx="371">
                  <c:v>8.292993395877751E-3</c:v>
                </c:pt>
                <c:pt idx="372">
                  <c:v>8.377642452606299E-3</c:v>
                </c:pt>
                <c:pt idx="373">
                  <c:v>8.4627794156129209E-3</c:v>
                </c:pt>
                <c:pt idx="374">
                  <c:v>8.5484016371827464E-3</c:v>
                </c:pt>
                <c:pt idx="375">
                  <c:v>8.6345063777265463E-3</c:v>
                </c:pt>
                <c:pt idx="376">
                  <c:v>8.7210908053407497E-3</c:v>
                </c:pt>
                <c:pt idx="377">
                  <c:v>8.8081519953834876E-3</c:v>
                </c:pt>
                <c:pt idx="378">
                  <c:v>8.895686930067254E-3</c:v>
                </c:pt>
                <c:pt idx="379">
                  <c:v>8.9836924980681819E-3</c:v>
                </c:pt>
                <c:pt idx="380">
                  <c:v>9.0721654941523112E-3</c:v>
                </c:pt>
                <c:pt idx="381">
                  <c:v>9.161102618819238E-3</c:v>
                </c:pt>
                <c:pt idx="382">
                  <c:v>9.2505004779631136E-3</c:v>
                </c:pt>
                <c:pt idx="383">
                  <c:v>9.3403555825516595E-3</c:v>
                </c:pt>
                <c:pt idx="384">
                  <c:v>9.4306643483230441E-3</c:v>
                </c:pt>
                <c:pt idx="385">
                  <c:v>9.5214230955011393E-3</c:v>
                </c:pt>
                <c:pt idx="386">
                  <c:v>9.6126280485294459E-3</c:v>
                </c:pt>
                <c:pt idx="387">
                  <c:v>9.7042753358236328E-3</c:v>
                </c:pt>
                <c:pt idx="388">
                  <c:v>9.7963609895434442E-3</c:v>
                </c:pt>
                <c:pt idx="389">
                  <c:v>9.8888809453833333E-3</c:v>
                </c:pt>
                <c:pt idx="390">
                  <c:v>9.9818310423835464E-3</c:v>
                </c:pt>
                <c:pt idx="391">
                  <c:v>1.0075207022760217E-2</c:v>
                </c:pt>
                <c:pt idx="392">
                  <c:v>1.0169004531755732E-2</c:v>
                </c:pt>
                <c:pt idx="393">
                  <c:v>1.0263219117509475E-2</c:v>
                </c:pt>
                <c:pt idx="394">
                  <c:v>1.0357846230948868E-2</c:v>
                </c:pt>
                <c:pt idx="395">
                  <c:v>1.0452881225701141E-2</c:v>
                </c:pt>
                <c:pt idx="396">
                  <c:v>1.0548319358026114E-2</c:v>
                </c:pt>
                <c:pt idx="397">
                  <c:v>1.0644155786769922E-2</c:v>
                </c:pt>
                <c:pt idx="398">
                  <c:v>1.0740385573340226E-2</c:v>
                </c:pt>
                <c:pt idx="399">
                  <c:v>1.0837003681702859E-2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CD-4FB6-B3EC-2366FC1ED568}"/>
            </c:ext>
          </c:extLst>
        </c:ser>
        <c:ser>
          <c:idx val="3"/>
          <c:order val="3"/>
          <c:tx>
            <c:strRef>
              <c:f>ChartCalculations!$E$1</c:f>
              <c:strCache>
                <c:ptCount val="1"/>
                <c:pt idx="0">
                  <c:v>Low Average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ChartCalculations!$E$2:$E$1214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1.0934004978400155E-2</c:v>
                </c:pt>
                <c:pt idx="401">
                  <c:v>1.1031384232591345E-2</c:v>
                </c:pt>
                <c:pt idx="402">
                  <c:v>1.1129136116114841E-2</c:v>
                </c:pt>
                <c:pt idx="403">
                  <c:v>1.1227255203573013E-2</c:v>
                </c:pt>
                <c:pt idx="404">
                  <c:v>1.1325735972439263E-2</c:v>
                </c:pt>
                <c:pt idx="405">
                  <c:v>1.1424572803187748E-2</c:v>
                </c:pt>
                <c:pt idx="406">
                  <c:v>1.1523759979446024E-2</c:v>
                </c:pt>
                <c:pt idx="407">
                  <c:v>1.1623291688170426E-2</c:v>
                </c:pt>
                <c:pt idx="408">
                  <c:v>1.1723162019844751E-2</c:v>
                </c:pt>
                <c:pt idx="409">
                  <c:v>1.1823364968702083E-2</c:v>
                </c:pt>
                <c:pt idx="410">
                  <c:v>1.1923894432969971E-2</c:v>
                </c:pt>
                <c:pt idx="411">
                  <c:v>1.2024744215139301E-2</c:v>
                </c:pt>
                <c:pt idx="412">
                  <c:v>1.2125908022256599E-2</c:v>
                </c:pt>
                <c:pt idx="413">
                  <c:v>1.2227379466240336E-2</c:v>
                </c:pt>
                <c:pt idx="414">
                  <c:v>1.2329152064220967E-2</c:v>
                </c:pt>
                <c:pt idx="415">
                  <c:v>1.2431219238904993E-2</c:v>
                </c:pt>
                <c:pt idx="416">
                  <c:v>1.2533574318963269E-2</c:v>
                </c:pt>
                <c:pt idx="417">
                  <c:v>1.2636210539443297E-2</c:v>
                </c:pt>
                <c:pt idx="418">
                  <c:v>1.273912104220604E-2</c:v>
                </c:pt>
                <c:pt idx="419">
                  <c:v>1.2842298876386951E-2</c:v>
                </c:pt>
                <c:pt idx="420">
                  <c:v>1.294573699888148E-2</c:v>
                </c:pt>
                <c:pt idx="421">
                  <c:v>1.3049428274855239E-2</c:v>
                </c:pt>
                <c:pt idx="422">
                  <c:v>1.3153365478278511E-2</c:v>
                </c:pt>
                <c:pt idx="423">
                  <c:v>1.3257541292485681E-2</c:v>
                </c:pt>
                <c:pt idx="424">
                  <c:v>1.336194831075912E-2</c:v>
                </c:pt>
                <c:pt idx="425">
                  <c:v>1.3466579036937886E-2</c:v>
                </c:pt>
                <c:pt idx="426">
                  <c:v>1.3571425886051263E-2</c:v>
                </c:pt>
                <c:pt idx="427">
                  <c:v>1.3676481184976922E-2</c:v>
                </c:pt>
                <c:pt idx="428">
                  <c:v>1.3781737173124049E-2</c:v>
                </c:pt>
                <c:pt idx="429">
                  <c:v>1.3887186003141191E-2</c:v>
                </c:pt>
                <c:pt idx="430">
                  <c:v>1.3992819741648913E-2</c:v>
                </c:pt>
                <c:pt idx="431">
                  <c:v>1.4098630369997365E-2</c:v>
                </c:pt>
                <c:pt idx="432">
                  <c:v>1.4204609785048497E-2</c:v>
                </c:pt>
                <c:pt idx="433">
                  <c:v>1.4310749799983213E-2</c:v>
                </c:pt>
                <c:pt idx="434">
                  <c:v>1.4417042145133193E-2</c:v>
                </c:pt>
                <c:pt idx="435">
                  <c:v>1.452347846883734E-2</c:v>
                </c:pt>
                <c:pt idx="436">
                  <c:v>1.463005033832313E-2</c:v>
                </c:pt>
                <c:pt idx="437">
                  <c:v>1.4736749240612312E-2</c:v>
                </c:pt>
                <c:pt idx="438">
                  <c:v>1.4843566583451378E-2</c:v>
                </c:pt>
                <c:pt idx="439">
                  <c:v>1.4950493696266404E-2</c:v>
                </c:pt>
                <c:pt idx="440">
                  <c:v>1.505752183114227E-2</c:v>
                </c:pt>
                <c:pt idx="441">
                  <c:v>1.5164642163826375E-2</c:v>
                </c:pt>
                <c:pt idx="442">
                  <c:v>1.5271845794756338E-2</c:v>
                </c:pt>
                <c:pt idx="443">
                  <c:v>1.5379123750112075E-2</c:v>
                </c:pt>
                <c:pt idx="444">
                  <c:v>1.5486466982891725E-2</c:v>
                </c:pt>
                <c:pt idx="445">
                  <c:v>1.5593866374011509E-2</c:v>
                </c:pt>
                <c:pt idx="446">
                  <c:v>1.5701312733429462E-2</c:v>
                </c:pt>
                <c:pt idx="447">
                  <c:v>1.5808796801292616E-2</c:v>
                </c:pt>
                <c:pt idx="448">
                  <c:v>1.5916309249107943E-2</c:v>
                </c:pt>
                <c:pt idx="449">
                  <c:v>1.6023840680936392E-2</c:v>
                </c:pt>
                <c:pt idx="450">
                  <c:v>1.6131381634610198E-2</c:v>
                </c:pt>
                <c:pt idx="451">
                  <c:v>1.6238922582973343E-2</c:v>
                </c:pt>
                <c:pt idx="452">
                  <c:v>1.6346453935144598E-2</c:v>
                </c:pt>
                <c:pt idx="453">
                  <c:v>1.6453966037803486E-2</c:v>
                </c:pt>
                <c:pt idx="454">
                  <c:v>1.6561449176498551E-2</c:v>
                </c:pt>
                <c:pt idx="455">
                  <c:v>1.6668893576977869E-2</c:v>
                </c:pt>
                <c:pt idx="456">
                  <c:v>1.677628940654179E-2</c:v>
                </c:pt>
                <c:pt idx="457">
                  <c:v>1.6883626775417264E-2</c:v>
                </c:pt>
                <c:pt idx="458">
                  <c:v>1.6990895738154134E-2</c:v>
                </c:pt>
                <c:pt idx="459">
                  <c:v>1.7098086295042111E-2</c:v>
                </c:pt>
                <c:pt idx="460">
                  <c:v>1.7205188393549925E-2</c:v>
                </c:pt>
                <c:pt idx="461">
                  <c:v>1.7312191929784494E-2</c:v>
                </c:pt>
                <c:pt idx="462">
                  <c:v>1.7419086749970957E-2</c:v>
                </c:pt>
                <c:pt idx="463">
                  <c:v>1.7525862651953262E-2</c:v>
                </c:pt>
                <c:pt idx="464">
                  <c:v>1.7632509386714609E-2</c:v>
                </c:pt>
                <c:pt idx="465">
                  <c:v>1.7739016659917731E-2</c:v>
                </c:pt>
                <c:pt idx="466">
                  <c:v>1.7845374133464844E-2</c:v>
                </c:pt>
                <c:pt idx="467">
                  <c:v>1.7951571427076565E-2</c:v>
                </c:pt>
                <c:pt idx="468">
                  <c:v>1.8057598119889936E-2</c:v>
                </c:pt>
                <c:pt idx="469">
                  <c:v>1.8163443752074956E-2</c:v>
                </c:pt>
                <c:pt idx="470">
                  <c:v>1.8269097826469297E-2</c:v>
                </c:pt>
                <c:pt idx="471">
                  <c:v>1.8374549810231188E-2</c:v>
                </c:pt>
                <c:pt idx="472">
                  <c:v>1.8479789136509609E-2</c:v>
                </c:pt>
                <c:pt idx="473">
                  <c:v>1.858480520613201E-2</c:v>
                </c:pt>
                <c:pt idx="474">
                  <c:v>1.8689587389308773E-2</c:v>
                </c:pt>
                <c:pt idx="475">
                  <c:v>1.8794125027354232E-2</c:v>
                </c:pt>
                <c:pt idx="476">
                  <c:v>1.8898407434423989E-2</c:v>
                </c:pt>
                <c:pt idx="477">
                  <c:v>1.9002423899267873E-2</c:v>
                </c:pt>
                <c:pt idx="478">
                  <c:v>1.9106163686998474E-2</c:v>
                </c:pt>
                <c:pt idx="479">
                  <c:v>1.9209616040874636E-2</c:v>
                </c:pt>
                <c:pt idx="480">
                  <c:v>1.9312770184099569E-2</c:v>
                </c:pt>
                <c:pt idx="481">
                  <c:v>1.9415615321633335E-2</c:v>
                </c:pt>
                <c:pt idx="482">
                  <c:v>1.9518140642019007E-2</c:v>
                </c:pt>
                <c:pt idx="483">
                  <c:v>1.9620335319222387E-2</c:v>
                </c:pt>
                <c:pt idx="484">
                  <c:v>1.9722188514484644E-2</c:v>
                </c:pt>
                <c:pt idx="485">
                  <c:v>1.9823689378187546E-2</c:v>
                </c:pt>
                <c:pt idx="486">
                  <c:v>1.9924827051730893E-2</c:v>
                </c:pt>
                <c:pt idx="487">
                  <c:v>2.0025590669421549E-2</c:v>
                </c:pt>
                <c:pt idx="488">
                  <c:v>2.0125969360373842E-2</c:v>
                </c:pt>
                <c:pt idx="489">
                  <c:v>2.022595225042071E-2</c:v>
                </c:pt>
                <c:pt idx="490">
                  <c:v>2.032552846403517E-2</c:v>
                </c:pt>
                <c:pt idx="491">
                  <c:v>2.0424687126261821E-2</c:v>
                </c:pt>
                <c:pt idx="492">
                  <c:v>2.0523417364657553E-2</c:v>
                </c:pt>
                <c:pt idx="493">
                  <c:v>2.0621708311241434E-2</c:v>
                </c:pt>
                <c:pt idx="494">
                  <c:v>2.0719549104452929E-2</c:v>
                </c:pt>
                <c:pt idx="495">
                  <c:v>2.0816928891118094E-2</c:v>
                </c:pt>
                <c:pt idx="496">
                  <c:v>2.0913836828423432E-2</c:v>
                </c:pt>
                <c:pt idx="497">
                  <c:v>2.1010262085896545E-2</c:v>
                </c:pt>
                <c:pt idx="498">
                  <c:v>2.1106193847393519E-2</c:v>
                </c:pt>
                <c:pt idx="499">
                  <c:v>2.1201621313092167E-2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CD-4FB6-B3EC-2366FC1ED568}"/>
            </c:ext>
          </c:extLst>
        </c:ser>
        <c:ser>
          <c:idx val="4"/>
          <c:order val="4"/>
          <c:tx>
            <c:strRef>
              <c:f>ChartCalculations!$F$1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ChartCalculations!$F$2:$F$1214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2.1296533701490809E-2</c:v>
                </c:pt>
                <c:pt idx="501">
                  <c:v>2.1390920251412166E-2</c:v>
                </c:pt>
                <c:pt idx="502">
                  <c:v>2.1484770224011549E-2</c:v>
                </c:pt>
                <c:pt idx="503">
                  <c:v>2.1578072904789233E-2</c:v>
                </c:pt>
                <c:pt idx="504">
                  <c:v>2.1670817605606126E-2</c:v>
                </c:pt>
                <c:pt idx="505">
                  <c:v>2.1762993666702372E-2</c:v>
                </c:pt>
                <c:pt idx="506">
                  <c:v>2.1854590458718511E-2</c:v>
                </c:pt>
                <c:pt idx="507">
                  <c:v>2.1945597384718286E-2</c:v>
                </c:pt>
                <c:pt idx="508">
                  <c:v>2.2036003882212999E-2</c:v>
                </c:pt>
                <c:pt idx="509">
                  <c:v>2.2125799425186516E-2</c:v>
                </c:pt>
                <c:pt idx="510">
                  <c:v>2.2214973526120597E-2</c:v>
                </c:pt>
                <c:pt idx="511">
                  <c:v>2.2303515738020006E-2</c:v>
                </c:pt>
                <c:pt idx="512">
                  <c:v>2.239141565643667E-2</c:v>
                </c:pt>
                <c:pt idx="513">
                  <c:v>2.2478662921492639E-2</c:v>
                </c:pt>
                <c:pt idx="514">
                  <c:v>2.2565247219901021E-2</c:v>
                </c:pt>
                <c:pt idx="515">
                  <c:v>2.2651158286984465E-2</c:v>
                </c:pt>
                <c:pt idx="516">
                  <c:v>2.273638590869077E-2</c:v>
                </c:pt>
                <c:pt idx="517">
                  <c:v>2.2820919923604733E-2</c:v>
                </c:pt>
                <c:pt idx="518">
                  <c:v>2.2904750224956118E-2</c:v>
                </c:pt>
                <c:pt idx="519">
                  <c:v>2.2987866762622804E-2</c:v>
                </c:pt>
                <c:pt idx="520">
                  <c:v>2.3070259545128768E-2</c:v>
                </c:pt>
                <c:pt idx="521">
                  <c:v>2.3151918641636363E-2</c:v>
                </c:pt>
                <c:pt idx="522">
                  <c:v>2.3232834183932197E-2</c:v>
                </c:pt>
                <c:pt idx="523">
                  <c:v>2.3312996368406228E-2</c:v>
                </c:pt>
                <c:pt idx="524">
                  <c:v>2.3392395458023383E-2</c:v>
                </c:pt>
                <c:pt idx="525">
                  <c:v>2.3471021784287179E-2</c:v>
                </c:pt>
                <c:pt idx="526">
                  <c:v>2.354886574919493E-2</c:v>
                </c:pt>
                <c:pt idx="527">
                  <c:v>2.3625917827183745E-2</c:v>
                </c:pt>
                <c:pt idx="528">
                  <c:v>2.3702168567067073E-2</c:v>
                </c:pt>
                <c:pt idx="529">
                  <c:v>2.3777608593960671E-2</c:v>
                </c:pt>
                <c:pt idx="530">
                  <c:v>2.3852228611198522E-2</c:v>
                </c:pt>
                <c:pt idx="531">
                  <c:v>2.39260194022369E-2</c:v>
                </c:pt>
                <c:pt idx="532">
                  <c:v>2.3998971832546789E-2</c:v>
                </c:pt>
                <c:pt idx="533">
                  <c:v>2.4071076851494084E-2</c:v>
                </c:pt>
                <c:pt idx="534">
                  <c:v>2.4142325494206716E-2</c:v>
                </c:pt>
                <c:pt idx="535">
                  <c:v>2.4212708883428424E-2</c:v>
                </c:pt>
                <c:pt idx="536">
                  <c:v>2.428221823135859E-2</c:v>
                </c:pt>
                <c:pt idx="537">
                  <c:v>2.4350844841477471E-2</c:v>
                </c:pt>
                <c:pt idx="538">
                  <c:v>2.4418580110356511E-2</c:v>
                </c:pt>
                <c:pt idx="539">
                  <c:v>2.4485415529453013E-2</c:v>
                </c:pt>
                <c:pt idx="540">
                  <c:v>2.4551342686888744E-2</c:v>
                </c:pt>
                <c:pt idx="541">
                  <c:v>2.461635326921198E-2</c:v>
                </c:pt>
                <c:pt idx="542">
                  <c:v>2.4680439063142368E-2</c:v>
                </c:pt>
                <c:pt idx="543">
                  <c:v>2.4743591957298233E-2</c:v>
                </c:pt>
                <c:pt idx="544">
                  <c:v>2.4805803943905674E-2</c:v>
                </c:pt>
                <c:pt idx="545">
                  <c:v>2.4867067120489052E-2</c:v>
                </c:pt>
                <c:pt idx="546">
                  <c:v>2.4927373691542375E-2</c:v>
                </c:pt>
                <c:pt idx="547">
                  <c:v>2.4986715970180942E-2</c:v>
                </c:pt>
                <c:pt idx="548">
                  <c:v>2.5045086379773006E-2</c:v>
                </c:pt>
                <c:pt idx="549">
                  <c:v>2.5102477455550724E-2</c:v>
                </c:pt>
                <c:pt idx="550">
                  <c:v>2.515888184619999E-2</c:v>
                </c:pt>
                <c:pt idx="551">
                  <c:v>2.5214292315428887E-2</c:v>
                </c:pt>
                <c:pt idx="552">
                  <c:v>2.5268701743513877E-2</c:v>
                </c:pt>
                <c:pt idx="553">
                  <c:v>2.5322103128823659E-2</c:v>
                </c:pt>
                <c:pt idx="554">
                  <c:v>2.5374489589320037E-2</c:v>
                </c:pt>
                <c:pt idx="555">
                  <c:v>2.5425854364035348E-2</c:v>
                </c:pt>
                <c:pt idx="556">
                  <c:v>2.5476190814526112E-2</c:v>
                </c:pt>
                <c:pt idx="557">
                  <c:v>2.5525492426302365E-2</c:v>
                </c:pt>
                <c:pt idx="558">
                  <c:v>2.5573752810232279E-2</c:v>
                </c:pt>
                <c:pt idx="559">
                  <c:v>2.5620965703921684E-2</c:v>
                </c:pt>
                <c:pt idx="560">
                  <c:v>2.5667124973067959E-2</c:v>
                </c:pt>
                <c:pt idx="561">
                  <c:v>2.5712224612788097E-2</c:v>
                </c:pt>
                <c:pt idx="562">
                  <c:v>2.5756258748920246E-2</c:v>
                </c:pt>
                <c:pt idx="563">
                  <c:v>2.5799221639298642E-2</c:v>
                </c:pt>
                <c:pt idx="564">
                  <c:v>2.5841107675001272E-2</c:v>
                </c:pt>
                <c:pt idx="565">
                  <c:v>2.5881911381570113E-2</c:v>
                </c:pt>
                <c:pt idx="566">
                  <c:v>2.5921627420203399E-2</c:v>
                </c:pt>
                <c:pt idx="567">
                  <c:v>2.5960250588919664E-2</c:v>
                </c:pt>
                <c:pt idx="568">
                  <c:v>2.5997775823693201E-2</c:v>
                </c:pt>
                <c:pt idx="569">
                  <c:v>2.6034198199560491E-2</c:v>
                </c:pt>
                <c:pt idx="570">
                  <c:v>2.6069512931697337E-2</c:v>
                </c:pt>
                <c:pt idx="571">
                  <c:v>2.6103715376466479E-2</c:v>
                </c:pt>
                <c:pt idx="572">
                  <c:v>2.6136801032435097E-2</c:v>
                </c:pt>
                <c:pt idx="573">
                  <c:v>2.6168765541362177E-2</c:v>
                </c:pt>
                <c:pt idx="574">
                  <c:v>2.6199604689155238E-2</c:v>
                </c:pt>
                <c:pt idx="575">
                  <c:v>2.6229314406796225E-2</c:v>
                </c:pt>
                <c:pt idx="576">
                  <c:v>2.6257890771236279E-2</c:v>
                </c:pt>
                <c:pt idx="577">
                  <c:v>2.6285330006259034E-2</c:v>
                </c:pt>
                <c:pt idx="578">
                  <c:v>2.6311628483312269E-2</c:v>
                </c:pt>
                <c:pt idx="579">
                  <c:v>2.6336782722307613E-2</c:v>
                </c:pt>
                <c:pt idx="580">
                  <c:v>2.6360789392388034E-2</c:v>
                </c:pt>
                <c:pt idx="581">
                  <c:v>2.6383645312662934E-2</c:v>
                </c:pt>
                <c:pt idx="582">
                  <c:v>2.6405347452910573E-2</c:v>
                </c:pt>
                <c:pt idx="583">
                  <c:v>2.642589293424762E-2</c:v>
                </c:pt>
                <c:pt idx="584">
                  <c:v>2.6445279029765633E-2</c:v>
                </c:pt>
                <c:pt idx="585">
                  <c:v>2.6463503165134256E-2</c:v>
                </c:pt>
                <c:pt idx="586">
                  <c:v>2.6480562919170995E-2</c:v>
                </c:pt>
                <c:pt idx="587">
                  <c:v>2.6496456024377259E-2</c:v>
                </c:pt>
                <c:pt idx="588">
                  <c:v>2.6511180367440702E-2</c:v>
                </c:pt>
                <c:pt idx="589">
                  <c:v>2.6524733989703578E-2</c:v>
                </c:pt>
                <c:pt idx="590">
                  <c:v>2.6537115087596912E-2</c:v>
                </c:pt>
                <c:pt idx="591">
                  <c:v>2.6548322013040544E-2</c:v>
                </c:pt>
                <c:pt idx="592">
                  <c:v>2.655835327380875E-2</c:v>
                </c:pt>
                <c:pt idx="593">
                  <c:v>2.6567207533861371E-2</c:v>
                </c:pt>
                <c:pt idx="594">
                  <c:v>2.6574883613640389E-2</c:v>
                </c:pt>
                <c:pt idx="595">
                  <c:v>2.658138049033185E-2</c:v>
                </c:pt>
                <c:pt idx="596">
                  <c:v>2.6586697298092959E-2</c:v>
                </c:pt>
                <c:pt idx="597">
                  <c:v>2.6590833328244433E-2</c:v>
                </c:pt>
                <c:pt idx="598">
                  <c:v>2.6593788029427926E-2</c:v>
                </c:pt>
                <c:pt idx="599">
                  <c:v>2.6595561007728499E-2</c:v>
                </c:pt>
                <c:pt idx="600">
                  <c:v>2.6596152026762181E-2</c:v>
                </c:pt>
                <c:pt idx="601">
                  <c:v>2.6595561007728474E-2</c:v>
                </c:pt>
                <c:pt idx="602">
                  <c:v>2.659378802942788E-2</c:v>
                </c:pt>
                <c:pt idx="603">
                  <c:v>2.659083332824437E-2</c:v>
                </c:pt>
                <c:pt idx="604">
                  <c:v>2.6586697298092876E-2</c:v>
                </c:pt>
                <c:pt idx="605">
                  <c:v>2.6581380490331742E-2</c:v>
                </c:pt>
                <c:pt idx="606">
                  <c:v>2.6574883613640268E-2</c:v>
                </c:pt>
                <c:pt idx="607">
                  <c:v>2.6567207533861218E-2</c:v>
                </c:pt>
                <c:pt idx="608">
                  <c:v>2.6558353273808583E-2</c:v>
                </c:pt>
                <c:pt idx="609">
                  <c:v>2.6548322013040356E-2</c:v>
                </c:pt>
                <c:pt idx="610">
                  <c:v>2.6537115087596701E-2</c:v>
                </c:pt>
                <c:pt idx="611">
                  <c:v>2.6524733989703345E-2</c:v>
                </c:pt>
                <c:pt idx="612">
                  <c:v>2.6511180367440452E-2</c:v>
                </c:pt>
                <c:pt idx="613">
                  <c:v>2.6496456024376981E-2</c:v>
                </c:pt>
                <c:pt idx="614">
                  <c:v>2.6480562919170697E-2</c:v>
                </c:pt>
                <c:pt idx="615">
                  <c:v>2.6463503165133948E-2</c:v>
                </c:pt>
                <c:pt idx="616">
                  <c:v>2.644527902976529E-2</c:v>
                </c:pt>
                <c:pt idx="617">
                  <c:v>2.6425892934247259E-2</c:v>
                </c:pt>
                <c:pt idx="618">
                  <c:v>2.6405347452910191E-2</c:v>
                </c:pt>
                <c:pt idx="619">
                  <c:v>2.6383645312662532E-2</c:v>
                </c:pt>
                <c:pt idx="620">
                  <c:v>2.6360789392387615E-2</c:v>
                </c:pt>
                <c:pt idx="621">
                  <c:v>2.6336782722307168E-2</c:v>
                </c:pt>
                <c:pt idx="622">
                  <c:v>2.6311628483311807E-2</c:v>
                </c:pt>
                <c:pt idx="623">
                  <c:v>2.6285330006258545E-2</c:v>
                </c:pt>
                <c:pt idx="624">
                  <c:v>2.6257890771235776E-2</c:v>
                </c:pt>
                <c:pt idx="625">
                  <c:v>2.6229314406795705E-2</c:v>
                </c:pt>
                <c:pt idx="626">
                  <c:v>2.619960468915469E-2</c:v>
                </c:pt>
                <c:pt idx="627">
                  <c:v>2.6168765541361612E-2</c:v>
                </c:pt>
                <c:pt idx="628">
                  <c:v>2.6136801032434511E-2</c:v>
                </c:pt>
                <c:pt idx="629">
                  <c:v>2.6103715376465875E-2</c:v>
                </c:pt>
                <c:pt idx="630">
                  <c:v>2.6069512931696712E-2</c:v>
                </c:pt>
                <c:pt idx="631">
                  <c:v>2.6034198199559842E-2</c:v>
                </c:pt>
                <c:pt idx="632">
                  <c:v>2.5997775823692542E-2</c:v>
                </c:pt>
                <c:pt idx="633">
                  <c:v>2.5960250588918977E-2</c:v>
                </c:pt>
                <c:pt idx="634">
                  <c:v>2.5921627420202691E-2</c:v>
                </c:pt>
                <c:pt idx="635">
                  <c:v>2.5881911381569391E-2</c:v>
                </c:pt>
                <c:pt idx="636">
                  <c:v>2.5841107675000526E-2</c:v>
                </c:pt>
                <c:pt idx="637">
                  <c:v>2.5799221639297883E-2</c:v>
                </c:pt>
                <c:pt idx="638">
                  <c:v>2.5756258748919462E-2</c:v>
                </c:pt>
                <c:pt idx="639">
                  <c:v>2.5712224612787292E-2</c:v>
                </c:pt>
                <c:pt idx="640">
                  <c:v>2.566712497306714E-2</c:v>
                </c:pt>
                <c:pt idx="641">
                  <c:v>2.5620965703920844E-2</c:v>
                </c:pt>
                <c:pt idx="642">
                  <c:v>2.5573752810231429E-2</c:v>
                </c:pt>
                <c:pt idx="643">
                  <c:v>2.5525492426301491E-2</c:v>
                </c:pt>
                <c:pt idx="644">
                  <c:v>2.5476190814525217E-2</c:v>
                </c:pt>
                <c:pt idx="645">
                  <c:v>2.5425854364034436E-2</c:v>
                </c:pt>
                <c:pt idx="646">
                  <c:v>2.5374489589319101E-2</c:v>
                </c:pt>
                <c:pt idx="647">
                  <c:v>2.5322103128822708E-2</c:v>
                </c:pt>
                <c:pt idx="648">
                  <c:v>2.5268701743512909E-2</c:v>
                </c:pt>
                <c:pt idx="649">
                  <c:v>2.5214292315427898E-2</c:v>
                </c:pt>
                <c:pt idx="650">
                  <c:v>2.5158881846198987E-2</c:v>
                </c:pt>
                <c:pt idx="651">
                  <c:v>2.5102477455549693E-2</c:v>
                </c:pt>
                <c:pt idx="652">
                  <c:v>2.5045086379771972E-2</c:v>
                </c:pt>
                <c:pt idx="653">
                  <c:v>2.498671597017988E-2</c:v>
                </c:pt>
                <c:pt idx="654">
                  <c:v>2.4927373691541296E-2</c:v>
                </c:pt>
                <c:pt idx="655">
                  <c:v>2.4867067120487966E-2</c:v>
                </c:pt>
                <c:pt idx="656">
                  <c:v>2.480580394390456E-2</c:v>
                </c:pt>
                <c:pt idx="657">
                  <c:v>2.4743591957297108E-2</c:v>
                </c:pt>
                <c:pt idx="658">
                  <c:v>2.4680439063141223E-2</c:v>
                </c:pt>
                <c:pt idx="659">
                  <c:v>2.4616353269210817E-2</c:v>
                </c:pt>
                <c:pt idx="660">
                  <c:v>2.4551342686887571E-2</c:v>
                </c:pt>
                <c:pt idx="661">
                  <c:v>2.4485415529451819E-2</c:v>
                </c:pt>
                <c:pt idx="662">
                  <c:v>2.4418580110355307E-2</c:v>
                </c:pt>
                <c:pt idx="663">
                  <c:v>2.4350844841476239E-2</c:v>
                </c:pt>
                <c:pt idx="664">
                  <c:v>2.4282218231357344E-2</c:v>
                </c:pt>
                <c:pt idx="665">
                  <c:v>2.4212708883427168E-2</c:v>
                </c:pt>
                <c:pt idx="666">
                  <c:v>2.4142325494205436E-2</c:v>
                </c:pt>
                <c:pt idx="667">
                  <c:v>2.40710768514928E-2</c:v>
                </c:pt>
                <c:pt idx="668">
                  <c:v>2.3998971832545481E-2</c:v>
                </c:pt>
                <c:pt idx="669">
                  <c:v>2.3926019402235571E-2</c:v>
                </c:pt>
                <c:pt idx="670">
                  <c:v>2.3852228611197193E-2</c:v>
                </c:pt>
                <c:pt idx="671">
                  <c:v>2.3777608593959318E-2</c:v>
                </c:pt>
                <c:pt idx="672">
                  <c:v>2.3702168567065713E-2</c:v>
                </c:pt>
                <c:pt idx="673">
                  <c:v>2.3625917827182437E-2</c:v>
                </c:pt>
                <c:pt idx="674">
                  <c:v>2.3548865749193612E-2</c:v>
                </c:pt>
                <c:pt idx="675">
                  <c:v>2.3471021784285857E-2</c:v>
                </c:pt>
                <c:pt idx="676">
                  <c:v>2.3392395458022037E-2</c:v>
                </c:pt>
                <c:pt idx="677">
                  <c:v>2.3312996368404882E-2</c:v>
                </c:pt>
                <c:pt idx="678">
                  <c:v>2.3232834183930823E-2</c:v>
                </c:pt>
                <c:pt idx="679">
                  <c:v>2.3151918641634978E-2</c:v>
                </c:pt>
                <c:pt idx="680">
                  <c:v>2.3070259545127376E-2</c:v>
                </c:pt>
                <c:pt idx="681">
                  <c:v>2.2987866762621392E-2</c:v>
                </c:pt>
                <c:pt idx="682">
                  <c:v>2.2904750224954706E-2</c:v>
                </c:pt>
                <c:pt idx="683">
                  <c:v>2.2820919923603297E-2</c:v>
                </c:pt>
                <c:pt idx="684">
                  <c:v>2.2736385908689323E-2</c:v>
                </c:pt>
                <c:pt idx="685">
                  <c:v>2.2651158286983018E-2</c:v>
                </c:pt>
                <c:pt idx="686">
                  <c:v>2.256524721989955E-2</c:v>
                </c:pt>
                <c:pt idx="687">
                  <c:v>2.2478662921491172E-2</c:v>
                </c:pt>
                <c:pt idx="688">
                  <c:v>2.2391415656435178E-2</c:v>
                </c:pt>
                <c:pt idx="689">
                  <c:v>2.23035157380185E-2</c:v>
                </c:pt>
                <c:pt idx="690">
                  <c:v>2.2214973526119095E-2</c:v>
                </c:pt>
                <c:pt idx="691">
                  <c:v>2.2125799425184989E-2</c:v>
                </c:pt>
                <c:pt idx="692">
                  <c:v>2.2036003882211472E-2</c:v>
                </c:pt>
                <c:pt idx="693">
                  <c:v>2.1945597384716742E-2</c:v>
                </c:pt>
                <c:pt idx="694">
                  <c:v>2.1854590458716953E-2</c:v>
                </c:pt>
                <c:pt idx="695">
                  <c:v>2.1762993666700817E-2</c:v>
                </c:pt>
                <c:pt idx="696">
                  <c:v>2.1670817605604551E-2</c:v>
                </c:pt>
                <c:pt idx="697">
                  <c:v>2.1578072904787662E-2</c:v>
                </c:pt>
                <c:pt idx="698">
                  <c:v>2.1484770224009953E-2</c:v>
                </c:pt>
                <c:pt idx="699">
                  <c:v>2.139092025141056E-2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CD-4FB6-B3EC-2366FC1ED568}"/>
            </c:ext>
          </c:extLst>
        </c:ser>
        <c:ser>
          <c:idx val="5"/>
          <c:order val="5"/>
          <c:tx>
            <c:strRef>
              <c:f>ChartCalculations!$G$1</c:f>
              <c:strCache>
                <c:ptCount val="1"/>
                <c:pt idx="0">
                  <c:v>High 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ChartCalculations!$G$2:$G$1214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2.1296533701489206E-2</c:v>
                </c:pt>
                <c:pt idx="701">
                  <c:v>2.1201621313090543E-2</c:v>
                </c:pt>
                <c:pt idx="702">
                  <c:v>2.1106193847391898E-2</c:v>
                </c:pt>
                <c:pt idx="703">
                  <c:v>2.1010262085894908E-2</c:v>
                </c:pt>
                <c:pt idx="704">
                  <c:v>2.0913836828421781E-2</c:v>
                </c:pt>
                <c:pt idx="705">
                  <c:v>2.0816928891116453E-2</c:v>
                </c:pt>
                <c:pt idx="706">
                  <c:v>2.0719549104451267E-2</c:v>
                </c:pt>
                <c:pt idx="707">
                  <c:v>2.0621708311239776E-2</c:v>
                </c:pt>
                <c:pt idx="708">
                  <c:v>2.0523417364655874E-2</c:v>
                </c:pt>
                <c:pt idx="709">
                  <c:v>2.0424687126260131E-2</c:v>
                </c:pt>
                <c:pt idx="710">
                  <c:v>2.0325528464033491E-2</c:v>
                </c:pt>
                <c:pt idx="711">
                  <c:v>2.0225952250419007E-2</c:v>
                </c:pt>
                <c:pt idx="712">
                  <c:v>2.0125969360372146E-2</c:v>
                </c:pt>
                <c:pt idx="713">
                  <c:v>2.0025590669419838E-2</c:v>
                </c:pt>
                <c:pt idx="714">
                  <c:v>1.9924827051729172E-2</c:v>
                </c:pt>
                <c:pt idx="715">
                  <c:v>1.9823689378185832E-2</c:v>
                </c:pt>
                <c:pt idx="716">
                  <c:v>1.9722188514482906E-2</c:v>
                </c:pt>
                <c:pt idx="717">
                  <c:v>1.9620335319220659E-2</c:v>
                </c:pt>
                <c:pt idx="718">
                  <c:v>1.9518140642017266E-2</c:v>
                </c:pt>
                <c:pt idx="719">
                  <c:v>1.941561532163159E-2</c:v>
                </c:pt>
                <c:pt idx="720">
                  <c:v>1.9312770184097827E-2</c:v>
                </c:pt>
                <c:pt idx="721">
                  <c:v>1.9209616040872873E-2</c:v>
                </c:pt>
                <c:pt idx="722">
                  <c:v>1.9106163686996722E-2</c:v>
                </c:pt>
                <c:pt idx="723">
                  <c:v>1.90024238992661E-2</c:v>
                </c:pt>
                <c:pt idx="724">
                  <c:v>1.8898407434422216E-2</c:v>
                </c:pt>
                <c:pt idx="725">
                  <c:v>1.8794125027352469E-2</c:v>
                </c:pt>
                <c:pt idx="726">
                  <c:v>1.8689587389306987E-2</c:v>
                </c:pt>
                <c:pt idx="727">
                  <c:v>1.8584805206130234E-2</c:v>
                </c:pt>
                <c:pt idx="728">
                  <c:v>1.8479789136507815E-2</c:v>
                </c:pt>
                <c:pt idx="729">
                  <c:v>1.8374549810229391E-2</c:v>
                </c:pt>
                <c:pt idx="730">
                  <c:v>1.8269097826467514E-2</c:v>
                </c:pt>
                <c:pt idx="731">
                  <c:v>1.8163443752073152E-2</c:v>
                </c:pt>
                <c:pt idx="732">
                  <c:v>1.8057598119888146E-2</c:v>
                </c:pt>
                <c:pt idx="733">
                  <c:v>1.7951571427074754E-2</c:v>
                </c:pt>
                <c:pt idx="734">
                  <c:v>1.7845374133463033E-2</c:v>
                </c:pt>
                <c:pt idx="735">
                  <c:v>1.7739016659915931E-2</c:v>
                </c:pt>
                <c:pt idx="736">
                  <c:v>1.7632509386712791E-2</c:v>
                </c:pt>
                <c:pt idx="737">
                  <c:v>1.7525862651951458E-2</c:v>
                </c:pt>
                <c:pt idx="738">
                  <c:v>1.7419086749969132E-2</c:v>
                </c:pt>
                <c:pt idx="739">
                  <c:v>1.7312191929782665E-2</c:v>
                </c:pt>
                <c:pt idx="740">
                  <c:v>1.7205188393548114E-2</c:v>
                </c:pt>
                <c:pt idx="741">
                  <c:v>1.7098086295040282E-2</c:v>
                </c:pt>
                <c:pt idx="742">
                  <c:v>1.6990895738152323E-2</c:v>
                </c:pt>
                <c:pt idx="743">
                  <c:v>1.6883626775415543E-2</c:v>
                </c:pt>
                <c:pt idx="744">
                  <c:v>1.6776289406540065E-2</c:v>
                </c:pt>
                <c:pt idx="745">
                  <c:v>1.6668893576976162E-2</c:v>
                </c:pt>
                <c:pt idx="746">
                  <c:v>1.6561449176496826E-2</c:v>
                </c:pt>
                <c:pt idx="747">
                  <c:v>1.6453966037801779E-2</c:v>
                </c:pt>
                <c:pt idx="748">
                  <c:v>1.6346453935142873E-2</c:v>
                </c:pt>
                <c:pt idx="749">
                  <c:v>1.6238922582971618E-2</c:v>
                </c:pt>
                <c:pt idx="750">
                  <c:v>1.6131381634608487E-2</c:v>
                </c:pt>
                <c:pt idx="751">
                  <c:v>1.6023840680934664E-2</c:v>
                </c:pt>
                <c:pt idx="752">
                  <c:v>1.5916309249106232E-2</c:v>
                </c:pt>
                <c:pt idx="753">
                  <c:v>1.5808796801290891E-2</c:v>
                </c:pt>
                <c:pt idx="754">
                  <c:v>1.570131273342773E-2</c:v>
                </c:pt>
                <c:pt idx="755">
                  <c:v>1.5593866374009797E-2</c:v>
                </c:pt>
                <c:pt idx="756">
                  <c:v>1.5486466982890001E-2</c:v>
                </c:pt>
                <c:pt idx="757">
                  <c:v>1.5379123750110364E-2</c:v>
                </c:pt>
                <c:pt idx="758">
                  <c:v>1.5271845794754614E-2</c:v>
                </c:pt>
                <c:pt idx="759">
                  <c:v>1.5164642163824654E-2</c:v>
                </c:pt>
                <c:pt idx="760">
                  <c:v>1.5057521831140565E-2</c:v>
                </c:pt>
                <c:pt idx="761">
                  <c:v>1.4950493696264684E-2</c:v>
                </c:pt>
                <c:pt idx="762">
                  <c:v>1.4843566583449676E-2</c:v>
                </c:pt>
                <c:pt idx="763">
                  <c:v>1.4736749240610598E-2</c:v>
                </c:pt>
                <c:pt idx="764">
                  <c:v>1.4630050338321418E-2</c:v>
                </c:pt>
                <c:pt idx="765">
                  <c:v>1.4523478468835642E-2</c:v>
                </c:pt>
                <c:pt idx="766">
                  <c:v>1.4417042145131483E-2</c:v>
                </c:pt>
                <c:pt idx="767">
                  <c:v>1.4310749799981523E-2</c:v>
                </c:pt>
                <c:pt idx="768">
                  <c:v>1.4204609785046791E-2</c:v>
                </c:pt>
                <c:pt idx="769">
                  <c:v>1.4098630369995665E-2</c:v>
                </c:pt>
                <c:pt idx="770">
                  <c:v>1.399281974164723E-2</c:v>
                </c:pt>
                <c:pt idx="771">
                  <c:v>1.3887186003139497E-2</c:v>
                </c:pt>
                <c:pt idx="772">
                  <c:v>1.3781737173122371E-2</c:v>
                </c:pt>
                <c:pt idx="773">
                  <c:v>1.3676481184975234E-2</c:v>
                </c:pt>
                <c:pt idx="774">
                  <c:v>1.3571425886049577E-2</c:v>
                </c:pt>
                <c:pt idx="775">
                  <c:v>1.3466579036936219E-2</c:v>
                </c:pt>
                <c:pt idx="776">
                  <c:v>1.3361948310757441E-2</c:v>
                </c:pt>
                <c:pt idx="777">
                  <c:v>1.3257541292484019E-2</c:v>
                </c:pt>
                <c:pt idx="778">
                  <c:v>1.3153365478276842E-2</c:v>
                </c:pt>
                <c:pt idx="779">
                  <c:v>1.3049428274853571E-2</c:v>
                </c:pt>
                <c:pt idx="780">
                  <c:v>1.2945736998879834E-2</c:v>
                </c:pt>
                <c:pt idx="781">
                  <c:v>1.2842298876385293E-2</c:v>
                </c:pt>
                <c:pt idx="782">
                  <c:v>1.2739121042204401E-2</c:v>
                </c:pt>
                <c:pt idx="783">
                  <c:v>1.2636210539441648E-2</c:v>
                </c:pt>
                <c:pt idx="784">
                  <c:v>1.2533574318961623E-2</c:v>
                </c:pt>
                <c:pt idx="785">
                  <c:v>1.2431219238903368E-2</c:v>
                </c:pt>
                <c:pt idx="786">
                  <c:v>1.2329152064219331E-2</c:v>
                </c:pt>
                <c:pt idx="787">
                  <c:v>1.2227379466238718E-2</c:v>
                </c:pt>
                <c:pt idx="788">
                  <c:v>1.2125908022254973E-2</c:v>
                </c:pt>
                <c:pt idx="789">
                  <c:v>1.2024744215137679E-2</c:v>
                </c:pt>
                <c:pt idx="790">
                  <c:v>1.1923894432968367E-2</c:v>
                </c:pt>
                <c:pt idx="791">
                  <c:v>1.182336496870047E-2</c:v>
                </c:pt>
                <c:pt idx="792">
                  <c:v>1.1723162019843161E-2</c:v>
                </c:pt>
                <c:pt idx="793">
                  <c:v>1.1623291688168827E-2</c:v>
                </c:pt>
                <c:pt idx="794">
                  <c:v>1.152375997944443E-2</c:v>
                </c:pt>
                <c:pt idx="795">
                  <c:v>1.1424572803186175E-2</c:v>
                </c:pt>
                <c:pt idx="796">
                  <c:v>1.1325735972437679E-2</c:v>
                </c:pt>
                <c:pt idx="797">
                  <c:v>1.1227255203571448E-2</c:v>
                </c:pt>
                <c:pt idx="798">
                  <c:v>1.112913611611327E-2</c:v>
                </c:pt>
                <c:pt idx="799">
                  <c:v>1.1031384232589779E-2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CD-4FB6-B3EC-2366FC1ED568}"/>
            </c:ext>
          </c:extLst>
        </c:ser>
        <c:ser>
          <c:idx val="6"/>
          <c:order val="6"/>
          <c:tx>
            <c:strRef>
              <c:f>ChartCalculations!$H$1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ChartCalculations!$H$2:$H$1214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1.0934004978398608E-2</c:v>
                </c:pt>
                <c:pt idx="801">
                  <c:v>1.0837003681701304E-2</c:v>
                </c:pt>
                <c:pt idx="802">
                  <c:v>1.0740385573338692E-2</c:v>
                </c:pt>
                <c:pt idx="803">
                  <c:v>1.0644155786768382E-2</c:v>
                </c:pt>
                <c:pt idx="804">
                  <c:v>1.0548319358024579E-2</c:v>
                </c:pt>
                <c:pt idx="805">
                  <c:v>1.0452881225699623E-2</c:v>
                </c:pt>
                <c:pt idx="806">
                  <c:v>1.0357846230947347E-2</c:v>
                </c:pt>
                <c:pt idx="807">
                  <c:v>1.0263219117507973E-2</c:v>
                </c:pt>
                <c:pt idx="808">
                  <c:v>1.0169004531754221E-2</c:v>
                </c:pt>
                <c:pt idx="809">
                  <c:v>1.0075207022758714E-2</c:v>
                </c:pt>
                <c:pt idx="810">
                  <c:v>9.9818310423820649E-3</c:v>
                </c:pt>
                <c:pt idx="811">
                  <c:v>9.8888809453818449E-3</c:v>
                </c:pt>
                <c:pt idx="812">
                  <c:v>9.7963609895419749E-3</c:v>
                </c:pt>
                <c:pt idx="813">
                  <c:v>9.7042753358222503E-3</c:v>
                </c:pt>
                <c:pt idx="814">
                  <c:v>9.6126280485280702E-3</c:v>
                </c:pt>
                <c:pt idx="815">
                  <c:v>9.5214230954997828E-3</c:v>
                </c:pt>
                <c:pt idx="816">
                  <c:v>9.4306643483216806E-3</c:v>
                </c:pt>
                <c:pt idx="817">
                  <c:v>9.3403555825503134E-3</c:v>
                </c:pt>
                <c:pt idx="818">
                  <c:v>9.250500477961764E-3</c:v>
                </c:pt>
                <c:pt idx="819">
                  <c:v>9.1611026188178901E-3</c:v>
                </c:pt>
                <c:pt idx="820">
                  <c:v>9.0721654941509893E-3</c:v>
                </c:pt>
                <c:pt idx="821">
                  <c:v>8.9836924980668548E-3</c:v>
                </c:pt>
                <c:pt idx="822">
                  <c:v>8.8956869300659425E-3</c:v>
                </c:pt>
                <c:pt idx="823">
                  <c:v>8.8081519953821744E-3</c:v>
                </c:pt>
                <c:pt idx="824">
                  <c:v>8.72109080533944E-3</c:v>
                </c:pt>
                <c:pt idx="825">
                  <c:v>8.6345063777252557E-3</c:v>
                </c:pt>
                <c:pt idx="826">
                  <c:v>8.5484016371814506E-3</c:v>
                </c:pt>
                <c:pt idx="827">
                  <c:v>8.4627794156116459E-3</c:v>
                </c:pt>
                <c:pt idx="828">
                  <c:v>8.3776424526050223E-3</c:v>
                </c:pt>
                <c:pt idx="829">
                  <c:v>8.2929933958764742E-3</c:v>
                </c:pt>
                <c:pt idx="830">
                  <c:v>8.2088348017224696E-3</c:v>
                </c:pt>
                <c:pt idx="831">
                  <c:v>8.1251691354926152E-3</c:v>
                </c:pt>
                <c:pt idx="832">
                  <c:v>8.0419987720766056E-3</c:v>
                </c:pt>
                <c:pt idx="833">
                  <c:v>7.9593259964060616E-3</c:v>
                </c:pt>
                <c:pt idx="834">
                  <c:v>7.8771530039713333E-3</c:v>
                </c:pt>
                <c:pt idx="835">
                  <c:v>7.7954819013525576E-3</c:v>
                </c:pt>
                <c:pt idx="836">
                  <c:v>7.7143147067650734E-3</c:v>
                </c:pt>
                <c:pt idx="837">
                  <c:v>7.633653350618691E-3</c:v>
                </c:pt>
                <c:pt idx="838">
                  <c:v>7.5534996760904406E-3</c:v>
                </c:pt>
                <c:pt idx="839">
                  <c:v>7.4738554397108308E-3</c:v>
                </c:pt>
                <c:pt idx="840">
                  <c:v>7.3947223119629202E-3</c:v>
                </c:pt>
                <c:pt idx="841">
                  <c:v>7.3161018778942219E-3</c:v>
                </c:pt>
                <c:pt idx="842">
                  <c:v>7.2379956377410402E-3</c:v>
                </c:pt>
                <c:pt idx="843">
                  <c:v>7.1604050075648098E-3</c:v>
                </c:pt>
                <c:pt idx="844">
                  <c:v>7.0833313199004221E-3</c:v>
                </c:pt>
                <c:pt idx="845">
                  <c:v>7.0067758244159182E-3</c:v>
                </c:pt>
                <c:pt idx="846">
                  <c:v>6.9307396885835183E-3</c:v>
                </c:pt>
                <c:pt idx="847">
                  <c:v>6.8552239983615875E-3</c:v>
                </c:pt>
                <c:pt idx="848">
                  <c:v>6.7802297588871012E-3</c:v>
                </c:pt>
                <c:pt idx="849">
                  <c:v>6.7057578951786288E-3</c:v>
                </c:pt>
                <c:pt idx="850">
                  <c:v>6.6318092528491815E-3</c:v>
                </c:pt>
                <c:pt idx="851">
                  <c:v>6.5583845988288854E-3</c:v>
                </c:pt>
                <c:pt idx="852">
                  <c:v>6.4854846220971079E-3</c:v>
                </c:pt>
                <c:pt idx="853">
                  <c:v>6.4131099344236159E-3</c:v>
                </c:pt>
                <c:pt idx="854">
                  <c:v>6.3412610711187081E-3</c:v>
                </c:pt>
                <c:pt idx="855">
                  <c:v>6.2699384917917541E-3</c:v>
                </c:pt>
                <c:pt idx="856">
                  <c:v>6.1991425811180794E-3</c:v>
                </c:pt>
                <c:pt idx="857">
                  <c:v>6.1288736496137889E-3</c:v>
                </c:pt>
                <c:pt idx="858">
                  <c:v>6.0591319344181589E-3</c:v>
                </c:pt>
                <c:pt idx="859">
                  <c:v>5.9899176000835263E-3</c:v>
                </c:pt>
                <c:pt idx="860">
                  <c:v>5.9212307393721117E-3</c:v>
                </c:pt>
                <c:pt idx="861">
                  <c:v>5.8530713740596943E-3</c:v>
                </c:pt>
                <c:pt idx="862">
                  <c:v>5.7854394557458064E-3</c:v>
                </c:pt>
                <c:pt idx="863">
                  <c:v>5.7183348666699938E-3</c:v>
                </c:pt>
                <c:pt idx="864">
                  <c:v>5.6517574205341529E-3</c:v>
                </c:pt>
                <c:pt idx="865">
                  <c:v>5.5857068633303275E-3</c:v>
                </c:pt>
                <c:pt idx="866">
                  <c:v>5.5201828741739669E-3</c:v>
                </c:pt>
                <c:pt idx="867">
                  <c:v>5.4551850661422093E-3</c:v>
                </c:pt>
                <c:pt idx="868">
                  <c:v>5.3907129871168542E-3</c:v>
                </c:pt>
                <c:pt idx="869">
                  <c:v>5.3267661206319846E-3</c:v>
                </c:pt>
                <c:pt idx="870">
                  <c:v>5.2633438867256506E-3</c:v>
                </c:pt>
                <c:pt idx="871">
                  <c:v>5.2004456427955778E-3</c:v>
                </c:pt>
                <c:pt idx="872">
                  <c:v>5.1380706844585712E-3</c:v>
                </c:pt>
                <c:pt idx="873">
                  <c:v>5.076218246413201E-3</c:v>
                </c:pt>
                <c:pt idx="874">
                  <c:v>5.0148875033057608E-3</c:v>
                </c:pt>
                <c:pt idx="875">
                  <c:v>4.9540775705989373E-3</c:v>
                </c:pt>
                <c:pt idx="876">
                  <c:v>4.89378750544319E-3</c:v>
                </c:pt>
                <c:pt idx="877">
                  <c:v>4.8340163075504435E-3</c:v>
                </c:pt>
                <c:pt idx="878">
                  <c:v>4.7747629200697575E-3</c:v>
                </c:pt>
                <c:pt idx="879">
                  <c:v>4.7160262304649734E-3</c:v>
                </c:pt>
                <c:pt idx="880">
                  <c:v>4.6578050713937677E-3</c:v>
                </c:pt>
                <c:pt idx="881">
                  <c:v>4.6000982215881102E-3</c:v>
                </c:pt>
                <c:pt idx="882">
                  <c:v>4.5429044067357288E-3</c:v>
                </c:pt>
                <c:pt idx="883">
                  <c:v>4.4862223003624803E-3</c:v>
                </c:pt>
                <c:pt idx="884">
                  <c:v>4.4300505247151199E-3</c:v>
                </c:pt>
                <c:pt idx="885">
                  <c:v>4.3743876516445547E-3</c:v>
                </c:pt>
                <c:pt idx="886">
                  <c:v>4.3192322034891345E-3</c:v>
                </c:pt>
                <c:pt idx="887">
                  <c:v>4.2645826539577554E-3</c:v>
                </c:pt>
                <c:pt idx="888">
                  <c:v>4.2104374290127013E-3</c:v>
                </c:pt>
                <c:pt idx="889">
                  <c:v>4.1567949077516934E-3</c:v>
                </c:pt>
                <c:pt idx="890">
                  <c:v>4.1036534232892913E-3</c:v>
                </c:pt>
                <c:pt idx="891">
                  <c:v>4.051011263637134E-3</c:v>
                </c:pt>
                <c:pt idx="892">
                  <c:v>3.9988666725829201E-3</c:v>
                </c:pt>
                <c:pt idx="893">
                  <c:v>3.9472178505679679E-3</c:v>
                </c:pt>
                <c:pt idx="894">
                  <c:v>3.8960629555629218E-3</c:v>
                </c:pt>
                <c:pt idx="895">
                  <c:v>3.8454001039416857E-3</c:v>
                </c:pt>
                <c:pt idx="896">
                  <c:v>3.7952273713531691E-3</c:v>
                </c:pt>
                <c:pt idx="897">
                  <c:v>3.745542793590702E-3</c:v>
                </c:pt>
                <c:pt idx="898">
                  <c:v>3.6963443674589941E-3</c:v>
                </c:pt>
                <c:pt idx="899">
                  <c:v>3.6476300516382282E-3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CD-4FB6-B3EC-2366FC1ED568}"/>
            </c:ext>
          </c:extLst>
        </c:ser>
        <c:ser>
          <c:idx val="7"/>
          <c:order val="7"/>
          <c:tx>
            <c:strRef>
              <c:f>ChartCalculations!$I$1</c:f>
              <c:strCache>
                <c:ptCount val="1"/>
                <c:pt idx="0">
                  <c:v>Very 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ChartCalculations!$I$2:$I$1214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3.5993977675453938E-3</c:v>
                </c:pt>
                <c:pt idx="901">
                  <c:v>3.5516454001924204E-3</c:v>
                </c:pt>
                <c:pt idx="902">
                  <c:v>3.5043707990410427E-3</c:v>
                </c:pt>
                <c:pt idx="903">
                  <c:v>3.4575717788542359E-3</c:v>
                </c:pt>
                <c:pt idx="904">
                  <c:v>3.4112461205438802E-3</c:v>
                </c:pt>
                <c:pt idx="905">
                  <c:v>3.3653915720147239E-3</c:v>
                </c:pt>
                <c:pt idx="906">
                  <c:v>3.3200058490042727E-3</c:v>
                </c:pt>
                <c:pt idx="907">
                  <c:v>3.2750866359185006E-3</c:v>
                </c:pt>
                <c:pt idx="908">
                  <c:v>3.2306315866633137E-3</c:v>
                </c:pt>
                <c:pt idx="909">
                  <c:v>3.1866383254713646E-3</c:v>
                </c:pt>
                <c:pt idx="910">
                  <c:v>3.1431044477243414E-3</c:v>
                </c:pt>
                <c:pt idx="911">
                  <c:v>3.1000275207703895E-3</c:v>
                </c:pt>
                <c:pt idx="912">
                  <c:v>3.0574050847365633E-3</c:v>
                </c:pt>
                <c:pt idx="913">
                  <c:v>3.0152346533362353E-3</c:v>
                </c:pt>
                <c:pt idx="914">
                  <c:v>2.9735137146711297E-3</c:v>
                </c:pt>
                <c:pt idx="915">
                  <c:v>2.932239732028072E-3</c:v>
                </c:pt>
                <c:pt idx="916">
                  <c:v>2.89141014467017E-3</c:v>
                </c:pt>
                <c:pt idx="917">
                  <c:v>2.8510223686223175E-3</c:v>
                </c:pt>
                <c:pt idx="918">
                  <c:v>2.8110737974509545E-3</c:v>
                </c:pt>
                <c:pt idx="919">
                  <c:v>2.7715618030378212E-3</c:v>
                </c:pt>
                <c:pt idx="920">
                  <c:v>2.7324837363477605E-3</c:v>
                </c:pt>
                <c:pt idx="921">
                  <c:v>2.6938369281903078E-3</c:v>
                </c:pt>
                <c:pt idx="922">
                  <c:v>2.6556186899750265E-3</c:v>
                </c:pt>
                <c:pt idx="923">
                  <c:v>2.6178263144604899E-3</c:v>
                </c:pt>
                <c:pt idx="924">
                  <c:v>2.5804570764966692E-3</c:v>
                </c:pt>
                <c:pt idx="925">
                  <c:v>2.5435082337608318E-3</c:v>
                </c:pt>
                <c:pt idx="926">
                  <c:v>2.5069770274866897E-3</c:v>
                </c:pt>
                <c:pt idx="927">
                  <c:v>2.4708606831867347E-3</c:v>
                </c:pt>
                <c:pt idx="928">
                  <c:v>2.4351564113677731E-3</c:v>
                </c:pt>
                <c:pt idx="929">
                  <c:v>2.39986140823932E-3</c:v>
                </c:pt>
                <c:pt idx="930">
                  <c:v>2.3649728564150837E-3</c:v>
                </c:pt>
                <c:pt idx="931">
                  <c:v>2.3304879256072137E-3</c:v>
                </c:pt>
                <c:pt idx="932">
                  <c:v>2.2964037733133272E-3</c:v>
                </c:pt>
                <c:pt idx="933">
                  <c:v>2.2627175454962753E-3</c:v>
                </c:pt>
                <c:pt idx="934">
                  <c:v>2.2294263772564332E-3</c:v>
                </c:pt>
                <c:pt idx="935">
                  <c:v>2.1965273934966278E-3</c:v>
                </c:pt>
                <c:pt idx="936">
                  <c:v>2.1640177095795105E-3</c:v>
                </c:pt>
                <c:pt idx="937">
                  <c:v>2.1318944319773402E-3</c:v>
                </c:pt>
                <c:pt idx="938">
                  <c:v>2.1001546589141679E-3</c:v>
                </c:pt>
                <c:pt idx="939">
                  <c:v>2.068795481000237E-3</c:v>
                </c:pt>
                <c:pt idx="940">
                  <c:v>2.0378139818587266E-3</c:v>
                </c:pt>
                <c:pt idx="941">
                  <c:v>2.007207238744623E-3</c:v>
                </c:pt>
                <c:pt idx="942">
                  <c:v>1.9769723231557812E-3</c:v>
                </c:pt>
                <c:pt idx="943">
                  <c:v>1.9471063014360969E-3</c:v>
                </c:pt>
                <c:pt idx="944">
                  <c:v>1.9176062353706781E-3</c:v>
                </c:pt>
                <c:pt idx="945">
                  <c:v>1.8884691827731231E-3</c:v>
                </c:pt>
                <c:pt idx="946">
                  <c:v>1.8596921980647497E-3</c:v>
                </c:pt>
                <c:pt idx="947">
                  <c:v>1.8312723328457803E-3</c:v>
                </c:pt>
                <c:pt idx="948">
                  <c:v>1.8032066364585056E-3</c:v>
                </c:pt>
                <c:pt idx="949">
                  <c:v>1.775492156542256E-3</c:v>
                </c:pt>
                <c:pt idx="950">
                  <c:v>1.7481259395803628E-3</c:v>
                </c:pt>
                <c:pt idx="951">
                  <c:v>1.7211050314389128E-3</c:v>
                </c:pt>
                <c:pt idx="952">
                  <c:v>1.6944264778973642E-3</c:v>
                </c:pt>
                <c:pt idx="953">
                  <c:v>1.6680873251710168E-3</c:v>
                </c:pt>
                <c:pt idx="954">
                  <c:v>1.6420846204252422E-3</c:v>
                </c:pt>
                <c:pt idx="955">
                  <c:v>1.6164154122815706E-3</c:v>
                </c:pt>
                <c:pt idx="956">
                  <c:v>1.5910767513155713E-3</c:v>
                </c:pt>
                <c:pt idx="957">
                  <c:v>1.566065690546506E-3</c:v>
                </c:pt>
                <c:pt idx="958">
                  <c:v>1.5413792859188303E-3</c:v>
                </c:pt>
                <c:pt idx="959">
                  <c:v>1.5170145967754111E-3</c:v>
                </c:pt>
                <c:pt idx="960">
                  <c:v>1.4929686863226212E-3</c:v>
                </c:pt>
                <c:pt idx="961">
                  <c:v>1.4692386220872082E-3</c:v>
                </c:pt>
                <c:pt idx="962">
                  <c:v>1.4458214763649658E-3</c:v>
                </c:pt>
                <c:pt idx="963">
                  <c:v>1.4227143266612886E-3</c:v>
                </c:pt>
                <c:pt idx="964">
                  <c:v>1.3999142561234796E-3</c:v>
                </c:pt>
                <c:pt idx="965">
                  <c:v>1.3774183539649915E-3</c:v>
                </c:pt>
                <c:pt idx="966">
                  <c:v>1.3552237158815034E-3</c:v>
                </c:pt>
                <c:pt idx="967">
                  <c:v>1.333327444458897E-3</c:v>
                </c:pt>
                <c:pt idx="968">
                  <c:v>1.3117266495731731E-3</c:v>
                </c:pt>
                <c:pt idx="969">
                  <c:v>1.2904184487822527E-3</c:v>
                </c:pt>
                <c:pt idx="970">
                  <c:v>1.2693999677098108E-3</c:v>
                </c:pt>
                <c:pt idx="971">
                  <c:v>1.248668340421064E-3</c:v>
                </c:pt>
                <c:pt idx="972">
                  <c:v>1.2282207097905975E-3</c:v>
                </c:pt>
                <c:pt idx="973">
                  <c:v>1.2080542278622699E-3</c:v>
                </c:pt>
                <c:pt idx="974">
                  <c:v>1.1881660562011618E-3</c:v>
                </c:pt>
                <c:pt idx="975">
                  <c:v>1.1685533662377096E-3</c:v>
                </c:pt>
                <c:pt idx="976">
                  <c:v>1.1492133396039733E-3</c:v>
                </c:pt>
                <c:pt idx="977">
                  <c:v>1.1301431684621287E-3</c:v>
                </c:pt>
                <c:pt idx="978">
                  <c:v>1.1113400558252164E-3</c:v>
                </c:pt>
                <c:pt idx="979">
                  <c:v>1.0928012158701458E-3</c:v>
                </c:pt>
                <c:pt idx="980">
                  <c:v>1.0745238742430848E-3</c:v>
                </c:pt>
                <c:pt idx="981">
                  <c:v>1.0565052683572116E-3</c:v>
                </c:pt>
                <c:pt idx="982">
                  <c:v>1.0387426476828917E-3</c:v>
                </c:pt>
                <c:pt idx="983">
                  <c:v>1.0212332740303805E-3</c:v>
                </c:pt>
                <c:pt idx="984">
                  <c:v>1.0039744218249922E-3</c:v>
                </c:pt>
                <c:pt idx="985">
                  <c:v>9.8696337837491819E-4</c:v>
                </c:pt>
                <c:pt idx="986">
                  <c:v>9.7019744413165767E-4</c:v>
                </c:pt>
                <c:pt idx="987">
                  <c:v>9.5367393294314661E-4</c:v>
                </c:pt>
                <c:pt idx="988">
                  <c:v>9.3739017229966268E-4</c:v>
                </c:pt>
                <c:pt idx="989">
                  <c:v>9.2134350357249938E-4</c:v>
                </c:pt>
                <c:pt idx="990">
                  <c:v>9.0553128224555191E-4</c:v>
                </c:pt>
                <c:pt idx="991">
                  <c:v>8.8995087813981968E-4</c:v>
                </c:pt>
                <c:pt idx="992">
                  <c:v>8.7459967563089562E-4</c:v>
                </c:pt>
                <c:pt idx="993">
                  <c:v>8.5947507385953606E-4</c:v>
                </c:pt>
                <c:pt idx="994">
                  <c:v>8.4457448693530898E-4</c:v>
                </c:pt>
                <c:pt idx="995">
                  <c:v>8.2989534413346899E-4</c:v>
                </c:pt>
                <c:pt idx="996">
                  <c:v>8.1543509008505637E-4</c:v>
                </c:pt>
                <c:pt idx="997">
                  <c:v>8.0119118496032725E-4</c:v>
                </c:pt>
                <c:pt idx="998">
                  <c:v>7.8716110464557376E-4</c:v>
                </c:pt>
                <c:pt idx="999">
                  <c:v>7.7334234091336709E-4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CD-4FB6-B3EC-2366FC1ED568}"/>
            </c:ext>
          </c:extLst>
        </c:ser>
        <c:ser>
          <c:idx val="8"/>
          <c:order val="8"/>
          <c:tx>
            <c:strRef>
              <c:f>ChartCalculations!$J$1</c:f>
              <c:strCache>
                <c:ptCount val="1"/>
                <c:pt idx="0">
                  <c:v>Extremely 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5875" cap="rnd" cmpd="sng" algn="ctr">
                <a:solidFill>
                  <a:schemeClr val="bg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ChartCalculations!$J$2:$J$1214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7.5973240158636122E-4</c:v>
                </c:pt>
                <c:pt idx="1001">
                  <c:v>7.4632881069467056E-4</c:v>
                </c:pt>
                <c:pt idx="1002">
                  <c:v>7.3312910862690565E-4</c:v>
                </c:pt>
                <c:pt idx="1003">
                  <c:v>7.2013085227497751E-4</c:v>
                </c:pt>
                <c:pt idx="1004">
                  <c:v>7.0733161517265376E-4</c:v>
                </c:pt>
                <c:pt idx="1005">
                  <c:v>6.9472898762804871E-4</c:v>
                </c:pt>
                <c:pt idx="1006">
                  <c:v>6.8232057685004043E-4</c:v>
                </c:pt>
                <c:pt idx="1007">
                  <c:v>6.7010400706871978E-4</c:v>
                </c:pt>
                <c:pt idx="1008">
                  <c:v>6.5807691964995553E-4</c:v>
                </c:pt>
                <c:pt idx="1009">
                  <c:v>6.4623697320410954E-4</c:v>
                </c:pt>
                <c:pt idx="1010">
                  <c:v>6.3458184368903102E-4</c:v>
                </c:pt>
                <c:pt idx="1011">
                  <c:v>6.2310922450737314E-4</c:v>
                </c:pt>
                <c:pt idx="1012">
                  <c:v>6.1181682659830678E-4</c:v>
                </c:pt>
                <c:pt idx="1013">
                  <c:v>6.007023785237353E-4</c:v>
                </c:pt>
                <c:pt idx="1014">
                  <c:v>5.8976362654903952E-4</c:v>
                </c:pt>
                <c:pt idx="1015">
                  <c:v>5.7899833471848747E-4</c:v>
                </c:pt>
                <c:pt idx="1016">
                  <c:v>5.6840428492534189E-4</c:v>
                </c:pt>
                <c:pt idx="1017">
                  <c:v>5.5797927697676412E-4</c:v>
                </c:pt>
                <c:pt idx="1018">
                  <c:v>5.4772112865359801E-4</c:v>
                </c:pt>
                <c:pt idx="1019">
                  <c:v>5.376276757650734E-4</c:v>
                </c:pt>
                <c:pt idx="1020">
                  <c:v>5.2769677219856607E-4</c:v>
                </c:pt>
                <c:pt idx="1021">
                  <c:v>5.1792628996444529E-4</c:v>
                </c:pt>
                <c:pt idx="1022">
                  <c:v>5.083141192361065E-4</c:v>
                </c:pt>
                <c:pt idx="1023">
                  <c:v>4.9885816838527656E-4</c:v>
                </c:pt>
                <c:pt idx="1024">
                  <c:v>4.8955636401263041E-4</c:v>
                </c:pt>
                <c:pt idx="1025">
                  <c:v>4.8040665097385816E-4</c:v>
                </c:pt>
                <c:pt idx="1026">
                  <c:v>4.7140699240120825E-4</c:v>
                </c:pt>
                <c:pt idx="1027">
                  <c:v>4.6255536972060842E-4</c:v>
                </c:pt>
                <c:pt idx="1028">
                  <c:v>4.5384978266445222E-4</c:v>
                </c:pt>
                <c:pt idx="1029">
                  <c:v>4.4528824928008974E-4</c:v>
                </c:pt>
                <c:pt idx="1030">
                  <c:v>4.3686880593415224E-4</c:v>
                </c:pt>
                <c:pt idx="1031">
                  <c:v>4.2858950731275203E-4</c:v>
                </c:pt>
                <c:pt idx="1032">
                  <c:v>4.2044842641764671E-4</c:v>
                </c:pt>
                <c:pt idx="1033">
                  <c:v>4.1244365455845228E-4</c:v>
                </c:pt>
                <c:pt idx="1034">
                  <c:v>4.0457330134095661E-4</c:v>
                </c:pt>
                <c:pt idx="1035">
                  <c:v>3.9683549465164712E-4</c:v>
                </c:pt>
                <c:pt idx="1036">
                  <c:v>3.8922838063850231E-4</c:v>
                </c:pt>
                <c:pt idx="1037">
                  <c:v>3.8175012368812624E-4</c:v>
                </c:pt>
                <c:pt idx="1038">
                  <c:v>3.7439890639932443E-4</c:v>
                </c:pt>
                <c:pt idx="1039">
                  <c:v>3.6717292955315073E-4</c:v>
                </c:pt>
                <c:pt idx="1040">
                  <c:v>3.6007041207955498E-4</c:v>
                </c:pt>
                <c:pt idx="1041">
                  <c:v>3.5308959102066595E-4</c:v>
                </c:pt>
                <c:pt idx="1042">
                  <c:v>3.4622872149080072E-4</c:v>
                </c:pt>
                <c:pt idx="1043">
                  <c:v>3.394860766332797E-4</c:v>
                </c:pt>
                <c:pt idx="1044">
                  <c:v>3.3285994757409278E-4</c:v>
                </c:pt>
                <c:pt idx="1045">
                  <c:v>3.2634864337253137E-4</c:v>
                </c:pt>
                <c:pt idx="1046">
                  <c:v>3.1995049096882549E-4</c:v>
                </c:pt>
                <c:pt idx="1047">
                  <c:v>3.1366383512886872E-4</c:v>
                </c:pt>
                <c:pt idx="1048">
                  <c:v>3.0748703838611585E-4</c:v>
                </c:pt>
                <c:pt idx="1049">
                  <c:v>3.0141848098068884E-4</c:v>
                </c:pt>
                <c:pt idx="1050">
                  <c:v>2.9545656079580838E-4</c:v>
                </c:pt>
                <c:pt idx="1051">
                  <c:v>2.8959969329152231E-4</c:v>
                </c:pt>
                <c:pt idx="1052">
                  <c:v>2.8384631143623767E-4</c:v>
                </c:pt>
                <c:pt idx="1053">
                  <c:v>2.7819486563487449E-4</c:v>
                </c:pt>
                <c:pt idx="1054">
                  <c:v>2.726438236557728E-4</c:v>
                </c:pt>
                <c:pt idx="1055">
                  <c:v>2.6719167055431548E-4</c:v>
                </c:pt>
                <c:pt idx="1056">
                  <c:v>2.6183690859487853E-4</c:v>
                </c:pt>
                <c:pt idx="1057">
                  <c:v>2.5657805717002342E-4</c:v>
                </c:pt>
                <c:pt idx="1058">
                  <c:v>2.514136527177475E-4</c:v>
                </c:pt>
                <c:pt idx="1059">
                  <c:v>2.4634224863716878E-4</c:v>
                </c:pt>
                <c:pt idx="1060">
                  <c:v>2.4136241520118781E-4</c:v>
                </c:pt>
                <c:pt idx="1061">
                  <c:v>2.3647273946797247E-4</c:v>
                </c:pt>
                <c:pt idx="1062">
                  <c:v>2.3167182519023372E-4</c:v>
                </c:pt>
                <c:pt idx="1063">
                  <c:v>2.269582927227054E-4</c:v>
                </c:pt>
                <c:pt idx="1064">
                  <c:v>2.2233077892786003E-4</c:v>
                </c:pt>
                <c:pt idx="1065">
                  <c:v>2.177879370799052E-4</c:v>
                </c:pt>
                <c:pt idx="1066">
                  <c:v>2.1332843676712384E-4</c:v>
                </c:pt>
                <c:pt idx="1067">
                  <c:v>2.0895096379262894E-4</c:v>
                </c:pt>
                <c:pt idx="1068">
                  <c:v>2.0465422007356429E-4</c:v>
                </c:pt>
                <c:pt idx="1069">
                  <c:v>2.0043692353884676E-4</c:v>
                </c:pt>
                <c:pt idx="1070">
                  <c:v>1.9629780802547569E-4</c:v>
                </c:pt>
                <c:pt idx="1071">
                  <c:v>1.9223562317348167E-4</c:v>
                </c:pt>
                <c:pt idx="1072">
                  <c:v>1.882491343195711E-4</c:v>
                </c:pt>
                <c:pt idx="1073">
                  <c:v>1.8433712238950786E-4</c:v>
                </c:pt>
                <c:pt idx="1074">
                  <c:v>1.8049838378930434E-4</c:v>
                </c:pt>
                <c:pt idx="1075">
                  <c:v>1.7673173029526611E-4</c:v>
                </c:pt>
                <c:pt idx="1076">
                  <c:v>1.7303598894294E-4</c:v>
                </c:pt>
                <c:pt idx="1077">
                  <c:v>1.6941000191502935E-4</c:v>
                </c:pt>
                <c:pt idx="1078">
                  <c:v>1.6585262642830907E-4</c:v>
                </c:pt>
                <c:pt idx="1079">
                  <c:v>1.6236273461961204E-4</c:v>
                </c:pt>
                <c:pt idx="1080">
                  <c:v>1.5893921343092216E-4</c:v>
                </c:pt>
                <c:pt idx="1081">
                  <c:v>1.5558096449362743E-4</c:v>
                </c:pt>
                <c:pt idx="1082">
                  <c:v>1.5228690401198605E-4</c:v>
                </c:pt>
                <c:pt idx="1083">
                  <c:v>1.490559626458386E-4</c:v>
                </c:pt>
                <c:pt idx="1084">
                  <c:v>1.4588708539263259E-4</c:v>
                </c:pt>
                <c:pt idx="1085">
                  <c:v>1.4277923146878982E-4</c:v>
                </c:pt>
                <c:pt idx="1086">
                  <c:v>1.3973137419046877E-4</c:v>
                </c:pt>
                <c:pt idx="1087">
                  <c:v>1.367425008537671E-4</c:v>
                </c:pt>
                <c:pt idx="1088">
                  <c:v>1.3381161261439837E-4</c:v>
                </c:pt>
                <c:pt idx="1089">
                  <c:v>1.309377243669015E-4</c:v>
                </c:pt>
                <c:pt idx="1090">
                  <c:v>1.2811986462341174E-4</c:v>
                </c:pt>
                <c:pt idx="1091">
                  <c:v>1.2535707539203879E-4</c:v>
                </c:pt>
                <c:pt idx="1092">
                  <c:v>1.2264841205489804E-4</c:v>
                </c:pt>
                <c:pt idx="1093">
                  <c:v>1.199929432458212E-4</c:v>
                </c:pt>
                <c:pt idx="1094">
                  <c:v>1.1738975072780007E-4</c:v>
                </c:pt>
                <c:pt idx="1095">
                  <c:v>1.1483792927019515E-4</c:v>
                </c:pt>
                <c:pt idx="1096">
                  <c:v>1.1233658652574219E-4</c:v>
                </c:pt>
                <c:pt idx="1097">
                  <c:v>1.0988484290740477E-4</c:v>
                </c:pt>
                <c:pt idx="1098">
                  <c:v>1.0748183146509398E-4</c:v>
                </c:pt>
                <c:pt idx="1099">
                  <c:v>1.0512669776230472E-4</c:v>
                </c:pt>
                <c:pt idx="1100">
                  <c:v>1.0281859975269506E-4</c:v>
                </c:pt>
                <c:pt idx="1101">
                  <c:v>1.0055670765664214E-4</c:v>
                </c:pt>
                <c:pt idx="1102">
                  <c:v>9.8340203837815601E-5</c:v>
                </c:pt>
                <c:pt idx="1103">
                  <c:v>9.6168282679785929E-5</c:v>
                </c:pt>
                <c:pt idx="1104">
                  <c:v>9.4040150462716899E-5</c:v>
                </c:pt>
                <c:pt idx="1105">
                  <c:v>9.1955025240159243E-5</c:v>
                </c:pt>
                <c:pt idx="1106">
                  <c:v>8.991213671598287E-5</c:v>
                </c:pt>
                <c:pt idx="1107">
                  <c:v>8.79107261214764E-5</c:v>
                </c:pt>
                <c:pt idx="1108">
                  <c:v>8.5950046092635963E-5</c:v>
                </c:pt>
                <c:pt idx="1109">
                  <c:v>8.4029360547683551E-5</c:v>
                </c:pt>
                <c:pt idx="1110">
                  <c:v>8.214794456483085E-5</c:v>
                </c:pt>
                <c:pt idx="1111">
                  <c:v>8.0305084260321212E-5</c:v>
                </c:pt>
                <c:pt idx="1112">
                  <c:v>7.8500076666775885E-5</c:v>
                </c:pt>
                <c:pt idx="1113">
                  <c:v>7.6732229611863861E-5</c:v>
                </c:pt>
                <c:pt idx="1114">
                  <c:v>7.5000861597329215E-5</c:v>
                </c:pt>
                <c:pt idx="1115">
                  <c:v>7.3305301678391825E-5</c:v>
                </c:pt>
                <c:pt idx="1116">
                  <c:v>7.1644889343549305E-5</c:v>
                </c:pt>
                <c:pt idx="1117">
                  <c:v>7.0018974394802643E-5</c:v>
                </c:pt>
                <c:pt idx="1118">
                  <c:v>6.8426916828322285E-5</c:v>
                </c:pt>
                <c:pt idx="1119">
                  <c:v>6.6868086715585014E-5</c:v>
                </c:pt>
                <c:pt idx="1120">
                  <c:v>6.534186408499485E-5</c:v>
                </c:pt>
                <c:pt idx="1121">
                  <c:v>6.384763880401053E-5</c:v>
                </c:pt>
                <c:pt idx="1122">
                  <c:v>6.2384810461802952E-5</c:v>
                </c:pt>
                <c:pt idx="1123">
                  <c:v>6.0952788252451994E-5</c:v>
                </c:pt>
                <c:pt idx="1124">
                  <c:v>5.9550990858712107E-5</c:v>
                </c:pt>
                <c:pt idx="1125">
                  <c:v>5.8178846336356978E-5</c:v>
                </c:pt>
                <c:pt idx="1126">
                  <c:v>5.6835791999122779E-5</c:v>
                </c:pt>
                <c:pt idx="1127">
                  <c:v>5.5521274304268142E-5</c:v>
                </c:pt>
                <c:pt idx="1128">
                  <c:v>5.4234748738761803E-5</c:v>
                </c:pt>
                <c:pt idx="1129">
                  <c:v>5.2975679706119724E-5</c:v>
                </c:pt>
                <c:pt idx="1130">
                  <c:v>5.1743540413902995E-5</c:v>
                </c:pt>
                <c:pt idx="1131">
                  <c:v>5.0537812761890051E-5</c:v>
                </c:pt>
                <c:pt idx="1132">
                  <c:v>4.9357987230940838E-5</c:v>
                </c:pt>
                <c:pt idx="1133">
                  <c:v>4.8203562772560262E-5</c:v>
                </c:pt>
                <c:pt idx="1134">
                  <c:v>4.7074046699180171E-5</c:v>
                </c:pt>
                <c:pt idx="1135">
                  <c:v>4.5968954575167335E-5</c:v>
                </c:pt>
                <c:pt idx="1136">
                  <c:v>4.4887810108571431E-5</c:v>
                </c:pt>
                <c:pt idx="1137">
                  <c:v>4.383014504362411E-5</c:v>
                </c:pt>
                <c:pt idx="1138">
                  <c:v>4.2795499053997155E-5</c:v>
                </c:pt>
                <c:pt idx="1139">
                  <c:v>4.1783419636834704E-5</c:v>
                </c:pt>
                <c:pt idx="1140">
                  <c:v>4.0793462007565377E-5</c:v>
                </c:pt>
                <c:pt idx="1141">
                  <c:v>3.9825188995504589E-5</c:v>
                </c:pt>
                <c:pt idx="1142">
                  <c:v>3.8878170940258628E-5</c:v>
                </c:pt>
                <c:pt idx="1143">
                  <c:v>3.7951985588931868E-5</c:v>
                </c:pt>
                <c:pt idx="1144">
                  <c:v>3.7046217994154233E-5</c:v>
                </c:pt>
                <c:pt idx="1145">
                  <c:v>3.6160460412929108E-5</c:v>
                </c:pt>
                <c:pt idx="1146">
                  <c:v>3.5294312206311738E-5</c:v>
                </c:pt>
                <c:pt idx="1147">
                  <c:v>3.4447379739925822E-5</c:v>
                </c:pt>
                <c:pt idx="1148">
                  <c:v>3.3619276285320202E-5</c:v>
                </c:pt>
                <c:pt idx="1149">
                  <c:v>3.2809621922176936E-5</c:v>
                </c:pt>
                <c:pt idx="1150">
                  <c:v>3.2018043441372465E-5</c:v>
                </c:pt>
                <c:pt idx="1151">
                  <c:v>3.1244174248897491E-5</c:v>
                </c:pt>
                <c:pt idx="1152">
                  <c:v>3.0487654270642114E-5</c:v>
                </c:pt>
                <c:pt idx="1153">
                  <c:v>2.9748129858046524E-5</c:v>
                </c:pt>
                <c:pt idx="1154">
                  <c:v>2.9025253694625963E-5</c:v>
                </c:pt>
                <c:pt idx="1155">
                  <c:v>2.8318684703369569E-5</c:v>
                </c:pt>
                <c:pt idx="1156">
                  <c:v>2.7628087955018483E-5</c:v>
                </c:pt>
                <c:pt idx="1157">
                  <c:v>2.6953134577225538E-5</c:v>
                </c:pt>
                <c:pt idx="1158">
                  <c:v>2.6293501664597389E-5</c:v>
                </c:pt>
                <c:pt idx="1159">
                  <c:v>2.56488721896242E-5</c:v>
                </c:pt>
                <c:pt idx="1160">
                  <c:v>2.501893491449627E-5</c:v>
                </c:pt>
                <c:pt idx="1161">
                  <c:v>2.4403384303810109E-5</c:v>
                </c:pt>
                <c:pt idx="1162">
                  <c:v>2.3801920438165537E-5</c:v>
                </c:pt>
                <c:pt idx="1163">
                  <c:v>2.3214248928652592E-5</c:v>
                </c:pt>
                <c:pt idx="1164">
                  <c:v>2.2640080832232313E-5</c:v>
                </c:pt>
                <c:pt idx="1165">
                  <c:v>2.2079132568008464E-5</c:v>
                </c:pt>
                <c:pt idx="1166">
                  <c:v>2.1531125834391881E-5</c:v>
                </c:pt>
                <c:pt idx="1167">
                  <c:v>2.0995787527157491E-5</c:v>
                </c:pt>
                <c:pt idx="1168">
                  <c:v>2.047284965839136E-5</c:v>
                </c:pt>
                <c:pt idx="1169">
                  <c:v>1.9962049276329747E-5</c:v>
                </c:pt>
                <c:pt idx="1170">
                  <c:v>1.9463128386087534E-5</c:v>
                </c:pt>
                <c:pt idx="1171">
                  <c:v>1.8975833871274538E-5</c:v>
                </c:pt>
                <c:pt idx="1172">
                  <c:v>1.8499917416499692E-5</c:v>
                </c:pt>
                <c:pt idx="1173">
                  <c:v>1.8035135430758872E-5</c:v>
                </c:pt>
                <c:pt idx="1174">
                  <c:v>1.758124897170723E-5</c:v>
                </c:pt>
                <c:pt idx="1175">
                  <c:v>1.7138023670811731E-5</c:v>
                </c:pt>
                <c:pt idx="1176">
                  <c:v>1.6705229659382125E-5</c:v>
                </c:pt>
                <c:pt idx="1177">
                  <c:v>1.6282641495478503E-5</c:v>
                </c:pt>
                <c:pt idx="1178">
                  <c:v>1.5870038091690584E-5</c:v>
                </c:pt>
                <c:pt idx="1179">
                  <c:v>1.5467202643788203E-5</c:v>
                </c:pt>
                <c:pt idx="1180">
                  <c:v>1.5073922560237908E-5</c:v>
                </c:pt>
                <c:pt idx="1181">
                  <c:v>1.4689989392582957E-5</c:v>
                </c:pt>
                <c:pt idx="1182">
                  <c:v>1.4315198766683711E-5</c:v>
                </c:pt>
                <c:pt idx="1183">
                  <c:v>1.3949350314812677E-5</c:v>
                </c:pt>
                <c:pt idx="1184">
                  <c:v>1.3592247608603104E-5</c:v>
                </c:pt>
                <c:pt idx="1185">
                  <c:v>1.3243698092844658E-5</c:v>
                </c:pt>
                <c:pt idx="1186">
                  <c:v>1.2903513020123073E-5</c:v>
                </c:pt>
                <c:pt idx="1187">
                  <c:v>1.2571507386299563E-5</c:v>
                </c:pt>
                <c:pt idx="1188">
                  <c:v>1.2247499866824057E-5</c:v>
                </c:pt>
                <c:pt idx="1189">
                  <c:v>1.1931312753879606E-5</c:v>
                </c:pt>
                <c:pt idx="1190">
                  <c:v>1.1622771894351493E-5</c:v>
                </c:pt>
                <c:pt idx="1191">
                  <c:v>1.1321706628616921E-5</c:v>
                </c:pt>
                <c:pt idx="1192">
                  <c:v>1.1027949730150226E-5</c:v>
                </c:pt>
                <c:pt idx="1193">
                  <c:v>1.0741337345937449E-5</c:v>
                </c:pt>
                <c:pt idx="1194">
                  <c:v>1.0461708937696632E-5</c:v>
                </c:pt>
                <c:pt idx="1195">
                  <c:v>1.0188907223896975E-5</c:v>
                </c:pt>
                <c:pt idx="1196">
                  <c:v>9.9227781225719176E-6</c:v>
                </c:pt>
                <c:pt idx="1197">
                  <c:v>9.663170694920928E-6</c:v>
                </c:pt>
                <c:pt idx="1198">
                  <c:v>9.4099370896930852E-6</c:v>
                </c:pt>
                <c:pt idx="1199">
                  <c:v>9.1629324883480341E-6</c:v>
                </c:pt>
                <c:pt idx="1200">
                  <c:v>8.9220150509876341E-6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CD-4FB6-B3EC-2366FC1ED568}"/>
            </c:ext>
          </c:extLst>
        </c:ser>
        <c:ser>
          <c:idx val="9"/>
          <c:order val="9"/>
          <c:tx>
            <c:strRef>
              <c:f>ChartCalculations!$K$1</c:f>
              <c:strCache>
                <c:ptCount val="1"/>
                <c:pt idx="0">
                  <c:v>Overall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ChartCalculations!$K$2:$K$1214</c:f>
              <c:numCache>
                <c:formatCode>General</c:formatCode>
                <c:ptCount val="1213"/>
                <c:pt idx="0">
                  <c:v>2.0892201505099236E-4</c:v>
                </c:pt>
                <c:pt idx="1">
                  <c:v>2.0916293248835291E-4</c:v>
                </c:pt>
                <c:pt idx="2">
                  <c:v>2.094099370896981E-4</c:v>
                </c:pt>
                <c:pt idx="3">
                  <c:v>2.0966317069492609E-4</c:v>
                </c:pt>
                <c:pt idx="4">
                  <c:v>2.099227781225772E-4</c:v>
                </c:pt>
                <c:pt idx="5">
                  <c:v>2.1018890722390233E-4</c:v>
                </c:pt>
                <c:pt idx="6">
                  <c:v>2.1046170893770217E-4</c:v>
                </c:pt>
                <c:pt idx="7">
                  <c:v>2.1074133734594314E-4</c:v>
                </c:pt>
                <c:pt idx="8">
                  <c:v>2.1102794973015603E-4</c:v>
                </c:pt>
                <c:pt idx="9">
                  <c:v>2.113217066286229E-4</c:v>
                </c:pt>
                <c:pt idx="10">
                  <c:v>2.1162277189435758E-4</c:v>
                </c:pt>
                <c:pt idx="11">
                  <c:v>2.1193131275388583E-4</c:v>
                </c:pt>
                <c:pt idx="12">
                  <c:v>2.1224749986683048E-4</c:v>
                </c:pt>
                <c:pt idx="13">
                  <c:v>2.1257150738630614E-4</c:v>
                </c:pt>
                <c:pt idx="14">
                  <c:v>2.1290351302012984E-4</c:v>
                </c:pt>
                <c:pt idx="15">
                  <c:v>2.1324369809285152E-4</c:v>
                </c:pt>
                <c:pt idx="16">
                  <c:v>2.1359224760861015E-4</c:v>
                </c:pt>
                <c:pt idx="17">
                  <c:v>2.1394935031481994E-4</c:v>
                </c:pt>
                <c:pt idx="18">
                  <c:v>2.1431519876669112E-4</c:v>
                </c:pt>
                <c:pt idx="19">
                  <c:v>2.1468998939259059E-4</c:v>
                </c:pt>
                <c:pt idx="20">
                  <c:v>2.1507392256024565E-4</c:v>
                </c:pt>
                <c:pt idx="21">
                  <c:v>2.1546720264379617E-4</c:v>
                </c:pt>
                <c:pt idx="22">
                  <c:v>2.1587003809169877E-4</c:v>
                </c:pt>
                <c:pt idx="23">
                  <c:v>2.1628264149548687E-4</c:v>
                </c:pt>
                <c:pt idx="24">
                  <c:v>2.1670522965939069E-4</c:v>
                </c:pt>
                <c:pt idx="25">
                  <c:v>2.1713802367082042E-4</c:v>
                </c:pt>
                <c:pt idx="26">
                  <c:v>2.1758124897171621E-4</c:v>
                </c:pt>
                <c:pt idx="27">
                  <c:v>2.1803513543076808E-4</c:v>
                </c:pt>
                <c:pt idx="28">
                  <c:v>2.1849991741650914E-4</c:v>
                </c:pt>
                <c:pt idx="29">
                  <c:v>2.1897583387128425E-4</c:v>
                </c:pt>
                <c:pt idx="30">
                  <c:v>2.1946312838609736E-4</c:v>
                </c:pt>
                <c:pt idx="31">
                  <c:v>2.1996204927633982E-4</c:v>
                </c:pt>
                <c:pt idx="32">
                  <c:v>2.2047284965840221E-4</c:v>
                </c:pt>
                <c:pt idx="33">
                  <c:v>2.2099578752716811E-4</c:v>
                </c:pt>
                <c:pt idx="34">
                  <c:v>2.2153112583440278E-4</c:v>
                </c:pt>
                <c:pt idx="35">
                  <c:v>2.2207913256801952E-4</c:v>
                </c:pt>
                <c:pt idx="36">
                  <c:v>2.2264008083224424E-4</c:v>
                </c:pt>
                <c:pt idx="37">
                  <c:v>2.2321424892866483E-4</c:v>
                </c:pt>
                <c:pt idx="38">
                  <c:v>2.2380192043817743E-4</c:v>
                </c:pt>
                <c:pt idx="39">
                  <c:v>2.2440338430382295E-4</c:v>
                </c:pt>
                <c:pt idx="40">
                  <c:v>2.2501893491450931E-4</c:v>
                </c:pt>
                <c:pt idx="41">
                  <c:v>2.2564887218963755E-4</c:v>
                </c:pt>
                <c:pt idx="42">
                  <c:v>2.2629350166461113E-4</c:v>
                </c:pt>
                <c:pt idx="43">
                  <c:v>2.269531345772396E-4</c:v>
                </c:pt>
                <c:pt idx="44">
                  <c:v>2.2762808795503286E-4</c:v>
                </c:pt>
                <c:pt idx="45">
                  <c:v>2.2831868470338414E-4</c:v>
                </c:pt>
                <c:pt idx="46">
                  <c:v>2.2902525369464092E-4</c:v>
                </c:pt>
                <c:pt idx="47">
                  <c:v>2.2974812985806194E-4</c:v>
                </c:pt>
                <c:pt idx="48">
                  <c:v>2.3048765427065787E-4</c:v>
                </c:pt>
                <c:pt idx="49">
                  <c:v>2.3124417424891366E-4</c:v>
                </c:pt>
                <c:pt idx="50">
                  <c:v>2.3201804344138882E-4</c:v>
                </c:pt>
                <c:pt idx="51">
                  <c:v>2.328096219221937E-4</c:v>
                </c:pt>
                <c:pt idx="52">
                  <c:v>2.336192762853374E-4</c:v>
                </c:pt>
                <c:pt idx="53">
                  <c:v>2.3444737973994347E-4</c:v>
                </c:pt>
                <c:pt idx="54">
                  <c:v>2.3529431220632984E-4</c:v>
                </c:pt>
                <c:pt idx="55">
                  <c:v>2.3616046041294742E-4</c:v>
                </c:pt>
                <c:pt idx="56">
                  <c:v>2.3704621799417304E-4</c:v>
                </c:pt>
                <c:pt idx="57">
                  <c:v>2.3795198558895116E-4</c:v>
                </c:pt>
                <c:pt idx="58">
                  <c:v>2.3887817094027828E-4</c:v>
                </c:pt>
                <c:pt idx="59">
                  <c:v>2.3982518899552484E-4</c:v>
                </c:pt>
                <c:pt idx="60">
                  <c:v>2.4079346200758578E-4</c:v>
                </c:pt>
                <c:pt idx="61">
                  <c:v>2.4178341963685573E-4</c:v>
                </c:pt>
                <c:pt idx="62">
                  <c:v>2.4279549905401873E-4</c:v>
                </c:pt>
                <c:pt idx="63">
                  <c:v>2.4383014504364612E-4</c:v>
                </c:pt>
                <c:pt idx="64">
                  <c:v>2.4488781010859403E-4</c:v>
                </c:pt>
                <c:pt idx="65">
                  <c:v>2.4596895457519011E-4</c:v>
                </c:pt>
                <c:pt idx="66">
                  <c:v>2.4707404669920355E-4</c:v>
                </c:pt>
                <c:pt idx="67">
                  <c:v>2.4820356277258429E-4</c:v>
                </c:pt>
                <c:pt idx="68">
                  <c:v>2.4935798723096545E-4</c:v>
                </c:pt>
                <c:pt idx="69">
                  <c:v>2.5053781276191523E-4</c:v>
                </c:pt>
                <c:pt idx="70">
                  <c:v>2.5174354041392852E-4</c:v>
                </c:pt>
                <c:pt idx="71">
                  <c:v>2.5297567970614587E-4</c:v>
                </c:pt>
                <c:pt idx="72">
                  <c:v>2.5423474873878846E-4</c:v>
                </c:pt>
                <c:pt idx="73">
                  <c:v>2.5552127430429551E-4</c:v>
                </c:pt>
                <c:pt idx="74">
                  <c:v>2.5683579199915085E-4</c:v>
                </c:pt>
                <c:pt idx="75">
                  <c:v>2.5817884633638538E-4</c:v>
                </c:pt>
                <c:pt idx="76">
                  <c:v>2.5955099085874119E-4</c:v>
                </c:pt>
                <c:pt idx="77">
                  <c:v>2.6095278825248185E-4</c:v>
                </c:pt>
                <c:pt idx="78">
                  <c:v>2.6238481046183339E-4</c:v>
                </c:pt>
                <c:pt idx="79">
                  <c:v>2.6384763880404167E-4</c:v>
                </c:pt>
                <c:pt idx="80">
                  <c:v>2.6534186408502629E-4</c:v>
                </c:pt>
                <c:pt idx="81">
                  <c:v>2.668680867156174E-4</c:v>
                </c:pt>
                <c:pt idx="82">
                  <c:v>2.6842691682835547E-4</c:v>
                </c:pt>
                <c:pt idx="83">
                  <c:v>2.7001897439483648E-4</c:v>
                </c:pt>
                <c:pt idx="84">
                  <c:v>2.71644889343584E-4</c:v>
                </c:pt>
                <c:pt idx="85">
                  <c:v>2.7330530167842681E-4</c:v>
                </c:pt>
                <c:pt idx="86">
                  <c:v>2.7500086159736509E-4</c:v>
                </c:pt>
                <c:pt idx="87">
                  <c:v>2.7673222961190069E-4</c:v>
                </c:pt>
                <c:pt idx="88">
                  <c:v>2.7850007666681346E-4</c:v>
                </c:pt>
                <c:pt idx="89">
                  <c:v>2.8030508426035976E-4</c:v>
                </c:pt>
                <c:pt idx="90">
                  <c:v>2.8214794456486985E-4</c:v>
                </c:pt>
                <c:pt idx="91">
                  <c:v>2.840293605477235E-4</c:v>
                </c:pt>
                <c:pt idx="92">
                  <c:v>2.8595004609267675E-4</c:v>
                </c:pt>
                <c:pt idx="93">
                  <c:v>2.8791072612151795E-4</c:v>
                </c:pt>
                <c:pt idx="94">
                  <c:v>2.8991213671602557E-4</c:v>
                </c:pt>
                <c:pt idx="95">
                  <c:v>2.9195502524020244E-4</c:v>
                </c:pt>
                <c:pt idx="96">
                  <c:v>2.9404015046276109E-4</c:v>
                </c:pt>
                <c:pt idx="97">
                  <c:v>2.9616828267983123E-4</c:v>
                </c:pt>
                <c:pt idx="98">
                  <c:v>2.983402038378617E-4</c:v>
                </c:pt>
                <c:pt idx="99">
                  <c:v>3.0055670765668932E-4</c:v>
                </c:pt>
                <c:pt idx="100">
                  <c:v>3.0281859975274264E-4</c:v>
                </c:pt>
                <c:pt idx="101">
                  <c:v>3.0512669776235367E-4</c:v>
                </c:pt>
                <c:pt idx="102">
                  <c:v>3.0748183146514404E-4</c:v>
                </c:pt>
                <c:pt idx="103">
                  <c:v>3.0988484290745593E-4</c:v>
                </c:pt>
                <c:pt idx="104">
                  <c:v>3.1233658652579448E-4</c:v>
                </c:pt>
                <c:pt idx="105">
                  <c:v>3.1483792927024799E-4</c:v>
                </c:pt>
                <c:pt idx="106">
                  <c:v>3.1738975072785657E-4</c:v>
                </c:pt>
                <c:pt idx="107">
                  <c:v>3.1999294324587898E-4</c:v>
                </c:pt>
                <c:pt idx="108">
                  <c:v>3.2264841205495741E-4</c:v>
                </c:pt>
                <c:pt idx="109">
                  <c:v>3.2535707539209932E-4</c:v>
                </c:pt>
                <c:pt idx="110">
                  <c:v>3.2811986462347284E-4</c:v>
                </c:pt>
                <c:pt idx="111">
                  <c:v>3.309377243669641E-4</c:v>
                </c:pt>
                <c:pt idx="112">
                  <c:v>3.3381161261446219E-4</c:v>
                </c:pt>
                <c:pt idx="113">
                  <c:v>3.3674250085383248E-4</c:v>
                </c:pt>
                <c:pt idx="114">
                  <c:v>3.3973137419053556E-4</c:v>
                </c:pt>
                <c:pt idx="115">
                  <c:v>3.427792314688573E-4</c:v>
                </c:pt>
                <c:pt idx="116">
                  <c:v>3.4588708539270155E-4</c:v>
                </c:pt>
                <c:pt idx="117">
                  <c:v>3.4905596264590919E-4</c:v>
                </c:pt>
                <c:pt idx="118">
                  <c:v>3.5228690401205819E-4</c:v>
                </c:pt>
                <c:pt idx="119">
                  <c:v>3.5558096449370081E-4</c:v>
                </c:pt>
                <c:pt idx="120">
                  <c:v>3.5893921343099614E-4</c:v>
                </c:pt>
                <c:pt idx="121">
                  <c:v>3.6236273461968786E-4</c:v>
                </c:pt>
                <c:pt idx="122">
                  <c:v>3.6585262642838665E-4</c:v>
                </c:pt>
                <c:pt idx="123">
                  <c:v>3.6941000191510883E-4</c:v>
                </c:pt>
                <c:pt idx="124">
                  <c:v>3.7303598894302098E-4</c:v>
                </c:pt>
                <c:pt idx="125">
                  <c:v>3.7673173029534774E-4</c:v>
                </c:pt>
                <c:pt idx="126">
                  <c:v>3.804983837893877E-4</c:v>
                </c:pt>
                <c:pt idx="127">
                  <c:v>3.8433712238959304E-4</c:v>
                </c:pt>
                <c:pt idx="128">
                  <c:v>3.8824913431965855E-4</c:v>
                </c:pt>
                <c:pt idx="129">
                  <c:v>3.9223562317357064E-4</c:v>
                </c:pt>
                <c:pt idx="130">
                  <c:v>3.962978080255655E-4</c:v>
                </c:pt>
                <c:pt idx="131">
                  <c:v>4.0043692353893863E-4</c:v>
                </c:pt>
                <c:pt idx="132">
                  <c:v>4.0465422007365814E-4</c:v>
                </c:pt>
                <c:pt idx="133">
                  <c:v>4.0895096379272455E-4</c:v>
                </c:pt>
                <c:pt idx="134">
                  <c:v>4.1332843676722164E-4</c:v>
                </c:pt>
                <c:pt idx="135">
                  <c:v>4.1778793708000363E-4</c:v>
                </c:pt>
                <c:pt idx="136">
                  <c:v>4.2233077892796071E-4</c:v>
                </c:pt>
                <c:pt idx="137">
                  <c:v>4.2695829272280841E-4</c:v>
                </c:pt>
                <c:pt idx="138">
                  <c:v>4.3167182519033887E-4</c:v>
                </c:pt>
                <c:pt idx="139">
                  <c:v>4.3647273946807919E-4</c:v>
                </c:pt>
                <c:pt idx="140">
                  <c:v>4.4136241520129565E-4</c:v>
                </c:pt>
                <c:pt idx="141">
                  <c:v>4.4634224863727902E-4</c:v>
                </c:pt>
                <c:pt idx="142">
                  <c:v>4.5141365271786046E-4</c:v>
                </c:pt>
                <c:pt idx="143">
                  <c:v>4.565780571700865E-4</c:v>
                </c:pt>
                <c:pt idx="144">
                  <c:v>4.6183690859499576E-4</c:v>
                </c:pt>
                <c:pt idx="145">
                  <c:v>4.6719167055443397E-4</c:v>
                </c:pt>
                <c:pt idx="146">
                  <c:v>4.7264382365583898E-4</c:v>
                </c:pt>
                <c:pt idx="147">
                  <c:v>4.7819486563494191E-4</c:v>
                </c:pt>
                <c:pt idx="148">
                  <c:v>4.8384631143630677E-4</c:v>
                </c:pt>
                <c:pt idx="149">
                  <c:v>4.8959969329165072E-4</c:v>
                </c:pt>
                <c:pt idx="150">
                  <c:v>4.9545656079587894E-4</c:v>
                </c:pt>
                <c:pt idx="151">
                  <c:v>5.014184809807613E-4</c:v>
                </c:pt>
                <c:pt idx="152">
                  <c:v>5.0748703838618989E-4</c:v>
                </c:pt>
                <c:pt idx="153">
                  <c:v>5.1366383512894455E-4</c:v>
                </c:pt>
                <c:pt idx="154">
                  <c:v>5.1995049096890055E-4</c:v>
                </c:pt>
                <c:pt idx="155">
                  <c:v>5.2634864337260849E-4</c:v>
                </c:pt>
                <c:pt idx="156">
                  <c:v>5.3285994757417137E-4</c:v>
                </c:pt>
                <c:pt idx="157">
                  <c:v>5.3948607663336029E-4</c:v>
                </c:pt>
                <c:pt idx="158">
                  <c:v>5.462287214908837E-4</c:v>
                </c:pt>
                <c:pt idx="159">
                  <c:v>5.530895910207485E-4</c:v>
                </c:pt>
                <c:pt idx="160">
                  <c:v>5.6007041207963883E-4</c:v>
                </c:pt>
                <c:pt idx="161">
                  <c:v>5.6717292955323691E-4</c:v>
                </c:pt>
                <c:pt idx="162">
                  <c:v>5.7439890639941218E-4</c:v>
                </c:pt>
                <c:pt idx="163">
                  <c:v>5.8175012368821616E-4</c:v>
                </c:pt>
                <c:pt idx="164">
                  <c:v>5.8922838063859152E-4</c:v>
                </c:pt>
                <c:pt idx="165">
                  <c:v>5.9683549465173904E-4</c:v>
                </c:pt>
                <c:pt idx="166">
                  <c:v>6.045733013410507E-4</c:v>
                </c:pt>
                <c:pt idx="167">
                  <c:v>6.1244365455854826E-4</c:v>
                </c:pt>
                <c:pt idx="168">
                  <c:v>6.2044842641774455E-4</c:v>
                </c:pt>
                <c:pt idx="169">
                  <c:v>6.2858950731284943E-4</c:v>
                </c:pt>
                <c:pt idx="170">
                  <c:v>6.3686880593425148E-4</c:v>
                </c:pt>
                <c:pt idx="171">
                  <c:v>6.452882492801917E-4</c:v>
                </c:pt>
                <c:pt idx="172">
                  <c:v>6.5384978266455694E-4</c:v>
                </c:pt>
                <c:pt idx="173">
                  <c:v>6.6255536972071563E-4</c:v>
                </c:pt>
                <c:pt idx="174">
                  <c:v>6.7140699240131427E-4</c:v>
                </c:pt>
                <c:pt idx="175">
                  <c:v>6.8040665097396607E-4</c:v>
                </c:pt>
                <c:pt idx="176">
                  <c:v>6.895563640127502E-4</c:v>
                </c:pt>
                <c:pt idx="177">
                  <c:v>6.9885816838539906E-4</c:v>
                </c:pt>
                <c:pt idx="178">
                  <c:v>7.0831411923623225E-4</c:v>
                </c:pt>
                <c:pt idx="179">
                  <c:v>7.1792628996457061E-4</c:v>
                </c:pt>
                <c:pt idx="180">
                  <c:v>7.2769677219869334E-4</c:v>
                </c:pt>
                <c:pt idx="181">
                  <c:v>7.3762767576520348E-4</c:v>
                </c:pt>
                <c:pt idx="182">
                  <c:v>7.4772112865373092E-4</c:v>
                </c:pt>
                <c:pt idx="183">
                  <c:v>7.5797927697689985E-4</c:v>
                </c:pt>
                <c:pt idx="184">
                  <c:v>7.6840428492547697E-4</c:v>
                </c:pt>
                <c:pt idx="185">
                  <c:v>7.7899833471862547E-4</c:v>
                </c:pt>
                <c:pt idx="186">
                  <c:v>7.897636265491811E-4</c:v>
                </c:pt>
                <c:pt idx="187">
                  <c:v>8.0070237852387937E-4</c:v>
                </c:pt>
                <c:pt idx="188">
                  <c:v>8.1181682659845367E-4</c:v>
                </c:pt>
                <c:pt idx="189">
                  <c:v>8.231092245075196E-4</c:v>
                </c:pt>
                <c:pt idx="190">
                  <c:v>8.3458184368918062E-4</c:v>
                </c:pt>
                <c:pt idx="191">
                  <c:v>8.4623697320426218E-4</c:v>
                </c:pt>
                <c:pt idx="192">
                  <c:v>8.5807691965011218E-4</c:v>
                </c:pt>
                <c:pt idx="193">
                  <c:v>8.7010400706887968E-4</c:v>
                </c:pt>
                <c:pt idx="194">
                  <c:v>8.8232057685019892E-4</c:v>
                </c:pt>
                <c:pt idx="195">
                  <c:v>8.9472898762820992E-4</c:v>
                </c:pt>
                <c:pt idx="196">
                  <c:v>9.0733161517281855E-4</c:v>
                </c:pt>
                <c:pt idx="197">
                  <c:v>9.2013085227514609E-4</c:v>
                </c:pt>
                <c:pt idx="198">
                  <c:v>9.3312910862707857E-4</c:v>
                </c:pt>
                <c:pt idx="199">
                  <c:v>9.4632881069484152E-4</c:v>
                </c:pt>
                <c:pt idx="200">
                  <c:v>9.5973240158653598E-4</c:v>
                </c:pt>
                <c:pt idx="201">
                  <c:v>9.7334234091354488E-4</c:v>
                </c:pt>
                <c:pt idx="202">
                  <c:v>9.8716110464575567E-4</c:v>
                </c:pt>
                <c:pt idx="203">
                  <c:v>1.0011911849605129E-3</c:v>
                </c:pt>
                <c:pt idx="204">
                  <c:v>1.0154350900852412E-3</c:v>
                </c:pt>
                <c:pt idx="205">
                  <c:v>1.0298953441336572E-3</c:v>
                </c:pt>
                <c:pt idx="206">
                  <c:v>1.0445744869355023E-3</c:v>
                </c:pt>
                <c:pt idx="207">
                  <c:v>1.059475073859732E-3</c:v>
                </c:pt>
                <c:pt idx="208">
                  <c:v>1.0745996756310954E-3</c:v>
                </c:pt>
                <c:pt idx="209">
                  <c:v>1.0899508781400185E-3</c:v>
                </c:pt>
                <c:pt idx="210">
                  <c:v>1.1055312822457546E-3</c:v>
                </c:pt>
                <c:pt idx="211">
                  <c:v>1.1213435035727062E-3</c:v>
                </c:pt>
                <c:pt idx="212">
                  <c:v>1.1373901722998745E-3</c:v>
                </c:pt>
                <c:pt idx="213">
                  <c:v>1.153673932943363E-3</c:v>
                </c:pt>
                <c:pt idx="214">
                  <c:v>1.1701974441318719E-3</c:v>
                </c:pt>
                <c:pt idx="215">
                  <c:v>1.1869633783751366E-3</c:v>
                </c:pt>
                <c:pt idx="216">
                  <c:v>1.2039744218252147E-3</c:v>
                </c:pt>
                <c:pt idx="217">
                  <c:v>1.2212332740306074E-3</c:v>
                </c:pt>
                <c:pt idx="218">
                  <c:v>1.2387426476831234E-3</c:v>
                </c:pt>
                <c:pt idx="219">
                  <c:v>1.2565052683574415E-3</c:v>
                </c:pt>
                <c:pt idx="220">
                  <c:v>1.2745238742433206E-3</c:v>
                </c:pt>
                <c:pt idx="221">
                  <c:v>1.2928012158703846E-3</c:v>
                </c:pt>
                <c:pt idx="222">
                  <c:v>1.3113400558254602E-3</c:v>
                </c:pt>
                <c:pt idx="223">
                  <c:v>1.3301431684623773E-3</c:v>
                </c:pt>
                <c:pt idx="224">
                  <c:v>1.3492133396042203E-3</c:v>
                </c:pt>
                <c:pt idx="225">
                  <c:v>1.368553366237961E-3</c:v>
                </c:pt>
                <c:pt idx="226">
                  <c:v>1.38816605620142E-3</c:v>
                </c:pt>
                <c:pt idx="227">
                  <c:v>1.4080542278625328E-3</c:v>
                </c:pt>
                <c:pt idx="228">
                  <c:v>1.4282207097908643E-3</c:v>
                </c:pt>
                <c:pt idx="229">
                  <c:v>1.4486683404213291E-3</c:v>
                </c:pt>
                <c:pt idx="230">
                  <c:v>1.4693999677100802E-3</c:v>
                </c:pt>
                <c:pt idx="231">
                  <c:v>1.4904184487825275E-3</c:v>
                </c:pt>
                <c:pt idx="232">
                  <c:v>1.5117266495734529E-3</c:v>
                </c:pt>
                <c:pt idx="233">
                  <c:v>1.5333274444591836E-3</c:v>
                </c:pt>
                <c:pt idx="234">
                  <c:v>1.5552237158817869E-3</c:v>
                </c:pt>
                <c:pt idx="235">
                  <c:v>1.5774183539652802E-3</c:v>
                </c:pt>
                <c:pt idx="236">
                  <c:v>1.5999142561237739E-3</c:v>
                </c:pt>
                <c:pt idx="237">
                  <c:v>1.6227143266615879E-3</c:v>
                </c:pt>
                <c:pt idx="238">
                  <c:v>1.645821476365271E-3</c:v>
                </c:pt>
                <c:pt idx="239">
                  <c:v>1.6692386220875108E-3</c:v>
                </c:pt>
                <c:pt idx="240">
                  <c:v>1.6929686863229316E-3</c:v>
                </c:pt>
                <c:pt idx="241">
                  <c:v>1.7170145967757287E-3</c:v>
                </c:pt>
                <c:pt idx="242">
                  <c:v>1.7413792859191507E-3</c:v>
                </c:pt>
                <c:pt idx="243">
                  <c:v>1.7660656905468309E-3</c:v>
                </c:pt>
                <c:pt idx="244">
                  <c:v>1.7910767513158962E-3</c:v>
                </c:pt>
                <c:pt idx="245">
                  <c:v>1.8164154122819005E-3</c:v>
                </c:pt>
                <c:pt idx="246">
                  <c:v>1.8420846204255802E-3</c:v>
                </c:pt>
                <c:pt idx="247">
                  <c:v>1.8680873251713864E-3</c:v>
                </c:pt>
                <c:pt idx="248">
                  <c:v>1.8944264778977366E-3</c:v>
                </c:pt>
                <c:pt idx="249">
                  <c:v>1.9211050314392867E-3</c:v>
                </c:pt>
                <c:pt idx="250">
                  <c:v>1.9481259395807411E-3</c:v>
                </c:pt>
                <c:pt idx="251">
                  <c:v>1.9754921565426431E-3</c:v>
                </c:pt>
                <c:pt idx="252">
                  <c:v>2.0032066364588977E-3</c:v>
                </c:pt>
                <c:pt idx="253">
                  <c:v>2.0312723328461801E-3</c:v>
                </c:pt>
                <c:pt idx="254">
                  <c:v>2.0596921980651495E-3</c:v>
                </c:pt>
                <c:pt idx="255">
                  <c:v>2.0884691827735263E-3</c:v>
                </c:pt>
                <c:pt idx="256">
                  <c:v>2.1176062353710891E-3</c:v>
                </c:pt>
                <c:pt idx="257">
                  <c:v>2.147106301436514E-3</c:v>
                </c:pt>
                <c:pt idx="258">
                  <c:v>2.1769723231562037E-3</c:v>
                </c:pt>
                <c:pt idx="259">
                  <c:v>2.2072072387450468E-3</c:v>
                </c:pt>
                <c:pt idx="260">
                  <c:v>2.2378139818591556E-3</c:v>
                </c:pt>
                <c:pt idx="261">
                  <c:v>2.2687954810006786E-3</c:v>
                </c:pt>
                <c:pt idx="262">
                  <c:v>2.3001546589146121E-3</c:v>
                </c:pt>
                <c:pt idx="263">
                  <c:v>2.3318944319777892E-3</c:v>
                </c:pt>
                <c:pt idx="264">
                  <c:v>2.3640177095799603E-3</c:v>
                </c:pt>
                <c:pt idx="265">
                  <c:v>2.3965273934970833E-3</c:v>
                </c:pt>
                <c:pt idx="266">
                  <c:v>2.4294263772568991E-3</c:v>
                </c:pt>
                <c:pt idx="267">
                  <c:v>2.4627175454967477E-3</c:v>
                </c:pt>
                <c:pt idx="268">
                  <c:v>2.4964037733138035E-3</c:v>
                </c:pt>
                <c:pt idx="269">
                  <c:v>2.5304879256076909E-3</c:v>
                </c:pt>
                <c:pt idx="270">
                  <c:v>2.5649728564155669E-3</c:v>
                </c:pt>
                <c:pt idx="271">
                  <c:v>2.5998614082398124E-3</c:v>
                </c:pt>
                <c:pt idx="272">
                  <c:v>2.6351564113682715E-3</c:v>
                </c:pt>
                <c:pt idx="273">
                  <c:v>2.6708606831872417E-3</c:v>
                </c:pt>
                <c:pt idx="274">
                  <c:v>2.7069770274871945E-3</c:v>
                </c:pt>
                <c:pt idx="275">
                  <c:v>2.7435082337613436E-3</c:v>
                </c:pt>
                <c:pt idx="276">
                  <c:v>2.7804570764971919E-3</c:v>
                </c:pt>
                <c:pt idx="277">
                  <c:v>2.8178263144610191E-3</c:v>
                </c:pt>
                <c:pt idx="278">
                  <c:v>2.8556186899755609E-3</c:v>
                </c:pt>
                <c:pt idx="279">
                  <c:v>2.8938369281908427E-3</c:v>
                </c:pt>
                <c:pt idx="280">
                  <c:v>2.9324837363483014E-3</c:v>
                </c:pt>
                <c:pt idx="281">
                  <c:v>2.9715618030383764E-3</c:v>
                </c:pt>
                <c:pt idx="282">
                  <c:v>3.0110737974515128E-3</c:v>
                </c:pt>
                <c:pt idx="283">
                  <c:v>3.0510223686228809E-3</c:v>
                </c:pt>
                <c:pt idx="284">
                  <c:v>3.0914101446707352E-3</c:v>
                </c:pt>
                <c:pt idx="285">
                  <c:v>3.1322397320286436E-3</c:v>
                </c:pt>
                <c:pt idx="286">
                  <c:v>3.1735137146717139E-3</c:v>
                </c:pt>
                <c:pt idx="287">
                  <c:v>3.2152346533368286E-3</c:v>
                </c:pt>
                <c:pt idx="288">
                  <c:v>3.2574050847371597E-3</c:v>
                </c:pt>
                <c:pt idx="289">
                  <c:v>3.3000275207709859E-3</c:v>
                </c:pt>
                <c:pt idx="290">
                  <c:v>3.3431044477249443E-3</c:v>
                </c:pt>
                <c:pt idx="291">
                  <c:v>3.3866383254719788E-3</c:v>
                </c:pt>
                <c:pt idx="292">
                  <c:v>3.4306315866639348E-3</c:v>
                </c:pt>
                <c:pt idx="293">
                  <c:v>3.475086635919129E-3</c:v>
                </c:pt>
                <c:pt idx="294">
                  <c:v>3.5200058490049012E-3</c:v>
                </c:pt>
                <c:pt idx="295">
                  <c:v>3.5653915720153589E-3</c:v>
                </c:pt>
                <c:pt idx="296">
                  <c:v>3.6112461205445282E-3</c:v>
                </c:pt>
                <c:pt idx="297">
                  <c:v>3.65757177885489E-3</c:v>
                </c:pt>
                <c:pt idx="298">
                  <c:v>3.7043707990417041E-3</c:v>
                </c:pt>
                <c:pt idx="299">
                  <c:v>3.7516454001930827E-3</c:v>
                </c:pt>
                <c:pt idx="300">
                  <c:v>3.7993977675460605E-3</c:v>
                </c:pt>
                <c:pt idx="301">
                  <c:v>3.8476300516389092E-3</c:v>
                </c:pt>
                <c:pt idx="302">
                  <c:v>3.8963443674596824E-3</c:v>
                </c:pt>
                <c:pt idx="303">
                  <c:v>3.9455427935913999E-3</c:v>
                </c:pt>
                <c:pt idx="304">
                  <c:v>3.9952273713538648E-3</c:v>
                </c:pt>
                <c:pt idx="305">
                  <c:v>4.0454001039423879E-3</c:v>
                </c:pt>
                <c:pt idx="306">
                  <c:v>4.0960629555636379E-3</c:v>
                </c:pt>
                <c:pt idx="307">
                  <c:v>4.1472178505686901E-3</c:v>
                </c:pt>
                <c:pt idx="308">
                  <c:v>4.1988666725836501E-3</c:v>
                </c:pt>
                <c:pt idx="309">
                  <c:v>4.2510112636378631E-3</c:v>
                </c:pt>
                <c:pt idx="310">
                  <c:v>4.3036534232900291E-3</c:v>
                </c:pt>
                <c:pt idx="311">
                  <c:v>4.3567949077524433E-3</c:v>
                </c:pt>
                <c:pt idx="312">
                  <c:v>4.410437429013459E-3</c:v>
                </c:pt>
                <c:pt idx="313">
                  <c:v>4.4645826539585218E-3</c:v>
                </c:pt>
                <c:pt idx="314">
                  <c:v>4.5192322034898983E-3</c:v>
                </c:pt>
                <c:pt idx="315">
                  <c:v>4.5743876516453272E-3</c:v>
                </c:pt>
                <c:pt idx="316">
                  <c:v>4.6300505247159045E-3</c:v>
                </c:pt>
                <c:pt idx="317">
                  <c:v>4.6862223003633291E-3</c:v>
                </c:pt>
                <c:pt idx="318">
                  <c:v>4.7429044067365863E-3</c:v>
                </c:pt>
                <c:pt idx="319">
                  <c:v>4.8000982215889677E-3</c:v>
                </c:pt>
                <c:pt idx="320">
                  <c:v>4.8578050713946313E-3</c:v>
                </c:pt>
                <c:pt idx="321">
                  <c:v>4.9160262304658543E-3</c:v>
                </c:pt>
                <c:pt idx="322">
                  <c:v>4.9747629200706436E-3</c:v>
                </c:pt>
                <c:pt idx="323">
                  <c:v>5.0340163075513304E-3</c:v>
                </c:pt>
                <c:pt idx="324">
                  <c:v>5.0937875054440944E-3</c:v>
                </c:pt>
                <c:pt idx="325">
                  <c:v>5.154077570599839E-3</c:v>
                </c:pt>
                <c:pt idx="326">
                  <c:v>5.2148875033066798E-3</c:v>
                </c:pt>
                <c:pt idx="327">
                  <c:v>5.2762182464141287E-3</c:v>
                </c:pt>
                <c:pt idx="328">
                  <c:v>5.3380706844594963E-3</c:v>
                </c:pt>
                <c:pt idx="329">
                  <c:v>5.4004456427965194E-3</c:v>
                </c:pt>
                <c:pt idx="330">
                  <c:v>5.4633438867265922E-3</c:v>
                </c:pt>
                <c:pt idx="331">
                  <c:v>5.5267661206329435E-3</c:v>
                </c:pt>
                <c:pt idx="332">
                  <c:v>5.5907129871178201E-3</c:v>
                </c:pt>
                <c:pt idx="333">
                  <c:v>5.6551850661431743E-3</c:v>
                </c:pt>
                <c:pt idx="334">
                  <c:v>5.7201828741749502E-3</c:v>
                </c:pt>
                <c:pt idx="335">
                  <c:v>5.7857068633313082E-3</c:v>
                </c:pt>
                <c:pt idx="336">
                  <c:v>5.8517574205351501E-3</c:v>
                </c:pt>
                <c:pt idx="337">
                  <c:v>5.9183348666710014E-3</c:v>
                </c:pt>
                <c:pt idx="338">
                  <c:v>5.9854394557468113E-3</c:v>
                </c:pt>
                <c:pt idx="339">
                  <c:v>6.0530713740607166E-3</c:v>
                </c:pt>
                <c:pt idx="340">
                  <c:v>6.1212307393731322E-3</c:v>
                </c:pt>
                <c:pt idx="341">
                  <c:v>6.189917600084565E-3</c:v>
                </c:pt>
                <c:pt idx="342">
                  <c:v>6.2591319344192054E-3</c:v>
                </c:pt>
                <c:pt idx="343">
                  <c:v>6.3288736496148338E-3</c:v>
                </c:pt>
                <c:pt idx="344">
                  <c:v>6.3991425811191424E-3</c:v>
                </c:pt>
                <c:pt idx="345">
                  <c:v>6.4699384917928154E-3</c:v>
                </c:pt>
                <c:pt idx="346">
                  <c:v>6.5412610711197876E-3</c:v>
                </c:pt>
                <c:pt idx="347">
                  <c:v>6.6131099344247032E-3</c:v>
                </c:pt>
                <c:pt idx="348">
                  <c:v>6.6854846220981918E-3</c:v>
                </c:pt>
                <c:pt idx="349">
                  <c:v>6.7583845988299848E-3</c:v>
                </c:pt>
                <c:pt idx="350">
                  <c:v>6.8318092528502784E-3</c:v>
                </c:pt>
                <c:pt idx="351">
                  <c:v>6.9057578951797474E-3</c:v>
                </c:pt>
                <c:pt idx="352">
                  <c:v>6.9802297588882258E-3</c:v>
                </c:pt>
                <c:pt idx="353">
                  <c:v>7.0552239983627113E-3</c:v>
                </c:pt>
                <c:pt idx="354">
                  <c:v>7.1307396885846612E-3</c:v>
                </c:pt>
                <c:pt idx="355">
                  <c:v>7.2067758244170558E-3</c:v>
                </c:pt>
                <c:pt idx="356">
                  <c:v>7.2833313199015771E-3</c:v>
                </c:pt>
                <c:pt idx="357">
                  <c:v>7.3604050075659752E-3</c:v>
                </c:pt>
                <c:pt idx="358">
                  <c:v>7.4379956377421995E-3</c:v>
                </c:pt>
                <c:pt idx="359">
                  <c:v>7.5161018778954012E-3</c:v>
                </c:pt>
                <c:pt idx="360">
                  <c:v>7.5947223119640968E-3</c:v>
                </c:pt>
                <c:pt idx="361">
                  <c:v>7.6738554397120292E-3</c:v>
                </c:pt>
                <c:pt idx="362">
                  <c:v>7.7534996760916424E-3</c:v>
                </c:pt>
                <c:pt idx="363">
                  <c:v>7.8336533506198902E-3</c:v>
                </c:pt>
                <c:pt idx="364">
                  <c:v>7.9143147067662952E-3</c:v>
                </c:pt>
                <c:pt idx="365">
                  <c:v>7.9954819013537733E-3</c:v>
                </c:pt>
                <c:pt idx="366">
                  <c:v>8.0771530039725672E-3</c:v>
                </c:pt>
                <c:pt idx="367">
                  <c:v>8.1593259964073076E-3</c:v>
                </c:pt>
                <c:pt idx="368">
                  <c:v>8.241998772077843E-3</c:v>
                </c:pt>
                <c:pt idx="369">
                  <c:v>8.3251691354938716E-3</c:v>
                </c:pt>
                <c:pt idx="370">
                  <c:v>8.4088348017237243E-3</c:v>
                </c:pt>
                <c:pt idx="371">
                  <c:v>8.4929933958777515E-3</c:v>
                </c:pt>
                <c:pt idx="372">
                  <c:v>8.5776424526062996E-3</c:v>
                </c:pt>
                <c:pt idx="373">
                  <c:v>8.6627794156129215E-3</c:v>
                </c:pt>
                <c:pt idx="374">
                  <c:v>8.7484016371827469E-3</c:v>
                </c:pt>
                <c:pt idx="375">
                  <c:v>8.8345063777265469E-3</c:v>
                </c:pt>
                <c:pt idx="376">
                  <c:v>8.9210908053407503E-3</c:v>
                </c:pt>
                <c:pt idx="377">
                  <c:v>9.0081519953834881E-3</c:v>
                </c:pt>
                <c:pt idx="378">
                  <c:v>9.0956869300672545E-3</c:v>
                </c:pt>
                <c:pt idx="379">
                  <c:v>9.1836924980681824E-3</c:v>
                </c:pt>
                <c:pt idx="380">
                  <c:v>9.2721654941523117E-3</c:v>
                </c:pt>
                <c:pt idx="381">
                  <c:v>9.3611026188192385E-3</c:v>
                </c:pt>
                <c:pt idx="382">
                  <c:v>9.4505004779631141E-3</c:v>
                </c:pt>
                <c:pt idx="383">
                  <c:v>9.5403555825516601E-3</c:v>
                </c:pt>
                <c:pt idx="384">
                  <c:v>9.6306643483230446E-3</c:v>
                </c:pt>
                <c:pt idx="385">
                  <c:v>9.7214230955011399E-3</c:v>
                </c:pt>
                <c:pt idx="386">
                  <c:v>9.8126280485294464E-3</c:v>
                </c:pt>
                <c:pt idx="387">
                  <c:v>9.9042753358236334E-3</c:v>
                </c:pt>
                <c:pt idx="388">
                  <c:v>9.9963609895434447E-3</c:v>
                </c:pt>
                <c:pt idx="389">
                  <c:v>1.0088880945383334E-2</c:v>
                </c:pt>
                <c:pt idx="390">
                  <c:v>1.0181831042383547E-2</c:v>
                </c:pt>
                <c:pt idx="391">
                  <c:v>1.0275207022760217E-2</c:v>
                </c:pt>
                <c:pt idx="392">
                  <c:v>1.0369004531755733E-2</c:v>
                </c:pt>
                <c:pt idx="393">
                  <c:v>1.0463219117509475E-2</c:v>
                </c:pt>
                <c:pt idx="394">
                  <c:v>1.0557846230948869E-2</c:v>
                </c:pt>
                <c:pt idx="395">
                  <c:v>1.0652881225701141E-2</c:v>
                </c:pt>
                <c:pt idx="396">
                  <c:v>1.0748319358026115E-2</c:v>
                </c:pt>
                <c:pt idx="397">
                  <c:v>1.0844155786769923E-2</c:v>
                </c:pt>
                <c:pt idx="398">
                  <c:v>1.0940385573340226E-2</c:v>
                </c:pt>
                <c:pt idx="399">
                  <c:v>1.1037003681702859E-2</c:v>
                </c:pt>
                <c:pt idx="400">
                  <c:v>1.1134004978400155E-2</c:v>
                </c:pt>
                <c:pt idx="401">
                  <c:v>1.1231384232591346E-2</c:v>
                </c:pt>
                <c:pt idx="402">
                  <c:v>1.1329136116114842E-2</c:v>
                </c:pt>
                <c:pt idx="403">
                  <c:v>1.1427255203573013E-2</c:v>
                </c:pt>
                <c:pt idx="404">
                  <c:v>1.1525735972439263E-2</c:v>
                </c:pt>
                <c:pt idx="405">
                  <c:v>1.1624572803187749E-2</c:v>
                </c:pt>
                <c:pt idx="406">
                  <c:v>1.1723759979446025E-2</c:v>
                </c:pt>
                <c:pt idx="407">
                  <c:v>1.1823291688170427E-2</c:v>
                </c:pt>
                <c:pt idx="408">
                  <c:v>1.1923162019844752E-2</c:v>
                </c:pt>
                <c:pt idx="409">
                  <c:v>1.2023364968702084E-2</c:v>
                </c:pt>
                <c:pt idx="410">
                  <c:v>1.2123894432969972E-2</c:v>
                </c:pt>
                <c:pt idx="411">
                  <c:v>1.2224744215139301E-2</c:v>
                </c:pt>
                <c:pt idx="412">
                  <c:v>1.2325908022256599E-2</c:v>
                </c:pt>
                <c:pt idx="413">
                  <c:v>1.2427379466240337E-2</c:v>
                </c:pt>
                <c:pt idx="414">
                  <c:v>1.2529152064220967E-2</c:v>
                </c:pt>
                <c:pt idx="415">
                  <c:v>1.2631219238904994E-2</c:v>
                </c:pt>
                <c:pt idx="416">
                  <c:v>1.273357431896327E-2</c:v>
                </c:pt>
                <c:pt idx="417">
                  <c:v>1.2836210539443298E-2</c:v>
                </c:pt>
                <c:pt idx="418">
                  <c:v>1.293912104220604E-2</c:v>
                </c:pt>
                <c:pt idx="419">
                  <c:v>1.3042298876386952E-2</c:v>
                </c:pt>
                <c:pt idx="420">
                  <c:v>1.3145736998881481E-2</c:v>
                </c:pt>
                <c:pt idx="421">
                  <c:v>1.324942827485524E-2</c:v>
                </c:pt>
                <c:pt idx="422">
                  <c:v>1.3353365478278511E-2</c:v>
                </c:pt>
                <c:pt idx="423">
                  <c:v>1.3457541292485681E-2</c:v>
                </c:pt>
                <c:pt idx="424">
                  <c:v>1.3561948310759121E-2</c:v>
                </c:pt>
                <c:pt idx="425">
                  <c:v>1.3666579036937887E-2</c:v>
                </c:pt>
                <c:pt idx="426">
                  <c:v>1.3771425886051264E-2</c:v>
                </c:pt>
                <c:pt idx="427">
                  <c:v>1.3876481184976922E-2</c:v>
                </c:pt>
                <c:pt idx="428">
                  <c:v>1.3981737173124049E-2</c:v>
                </c:pt>
                <c:pt idx="429">
                  <c:v>1.4087186003141192E-2</c:v>
                </c:pt>
                <c:pt idx="430">
                  <c:v>1.4192819741648913E-2</c:v>
                </c:pt>
                <c:pt idx="431">
                  <c:v>1.4298630369997366E-2</c:v>
                </c:pt>
                <c:pt idx="432">
                  <c:v>1.4404609785048497E-2</c:v>
                </c:pt>
                <c:pt idx="433">
                  <c:v>1.4510749799983213E-2</c:v>
                </c:pt>
                <c:pt idx="434">
                  <c:v>1.4617042145133194E-2</c:v>
                </c:pt>
                <c:pt idx="435">
                  <c:v>1.472347846883734E-2</c:v>
                </c:pt>
                <c:pt idx="436">
                  <c:v>1.4830050338323131E-2</c:v>
                </c:pt>
                <c:pt idx="437">
                  <c:v>1.4936749240612312E-2</c:v>
                </c:pt>
                <c:pt idx="438">
                  <c:v>1.5043566583451379E-2</c:v>
                </c:pt>
                <c:pt idx="439">
                  <c:v>1.5150493696266405E-2</c:v>
                </c:pt>
                <c:pt idx="440">
                  <c:v>1.5257521831142271E-2</c:v>
                </c:pt>
                <c:pt idx="441">
                  <c:v>1.5364642163826376E-2</c:v>
                </c:pt>
                <c:pt idx="442">
                  <c:v>1.5471845794756339E-2</c:v>
                </c:pt>
                <c:pt idx="443">
                  <c:v>1.5579123750112075E-2</c:v>
                </c:pt>
                <c:pt idx="444">
                  <c:v>1.5686466982891726E-2</c:v>
                </c:pt>
                <c:pt idx="445">
                  <c:v>1.5793866374011509E-2</c:v>
                </c:pt>
                <c:pt idx="446">
                  <c:v>1.590131273342946E-2</c:v>
                </c:pt>
                <c:pt idx="447">
                  <c:v>1.6008796801292614E-2</c:v>
                </c:pt>
                <c:pt idx="448">
                  <c:v>1.6116309249107941E-2</c:v>
                </c:pt>
                <c:pt idx="449">
                  <c:v>1.622384068093639E-2</c:v>
                </c:pt>
                <c:pt idx="450">
                  <c:v>1.6331381634610197E-2</c:v>
                </c:pt>
                <c:pt idx="451">
                  <c:v>1.6438922582973341E-2</c:v>
                </c:pt>
                <c:pt idx="452">
                  <c:v>1.6546453935144596E-2</c:v>
                </c:pt>
                <c:pt idx="453">
                  <c:v>1.6653966037803485E-2</c:v>
                </c:pt>
                <c:pt idx="454">
                  <c:v>1.676144917649855E-2</c:v>
                </c:pt>
                <c:pt idx="455">
                  <c:v>1.6868893576977868E-2</c:v>
                </c:pt>
                <c:pt idx="456">
                  <c:v>1.6976289406541788E-2</c:v>
                </c:pt>
                <c:pt idx="457">
                  <c:v>1.7083626775417263E-2</c:v>
                </c:pt>
                <c:pt idx="458">
                  <c:v>1.7190895738154133E-2</c:v>
                </c:pt>
                <c:pt idx="459">
                  <c:v>1.729808629504211E-2</c:v>
                </c:pt>
                <c:pt idx="460">
                  <c:v>1.7405188393549924E-2</c:v>
                </c:pt>
                <c:pt idx="461">
                  <c:v>1.7512191929784492E-2</c:v>
                </c:pt>
                <c:pt idx="462">
                  <c:v>1.7619086749970956E-2</c:v>
                </c:pt>
                <c:pt idx="463">
                  <c:v>1.7725862651953261E-2</c:v>
                </c:pt>
                <c:pt idx="464">
                  <c:v>1.7832509386714608E-2</c:v>
                </c:pt>
                <c:pt idx="465">
                  <c:v>1.793901665991773E-2</c:v>
                </c:pt>
                <c:pt idx="466">
                  <c:v>1.8045374133464843E-2</c:v>
                </c:pt>
                <c:pt idx="467">
                  <c:v>1.8151571427076563E-2</c:v>
                </c:pt>
                <c:pt idx="468">
                  <c:v>1.8257598119889935E-2</c:v>
                </c:pt>
                <c:pt idx="469">
                  <c:v>1.8363443752074955E-2</c:v>
                </c:pt>
                <c:pt idx="470">
                  <c:v>1.8469097826469296E-2</c:v>
                </c:pt>
                <c:pt idx="471">
                  <c:v>1.8574549810231187E-2</c:v>
                </c:pt>
                <c:pt idx="472">
                  <c:v>1.8679789136509608E-2</c:v>
                </c:pt>
                <c:pt idx="473">
                  <c:v>1.8784805206132009E-2</c:v>
                </c:pt>
                <c:pt idx="474">
                  <c:v>1.8889587389308772E-2</c:v>
                </c:pt>
                <c:pt idx="475">
                  <c:v>1.8994125027354231E-2</c:v>
                </c:pt>
                <c:pt idx="476">
                  <c:v>1.9098407434423988E-2</c:v>
                </c:pt>
                <c:pt idx="477">
                  <c:v>1.9202423899267872E-2</c:v>
                </c:pt>
                <c:pt idx="478">
                  <c:v>1.9306163686998473E-2</c:v>
                </c:pt>
                <c:pt idx="479">
                  <c:v>1.9409616040874635E-2</c:v>
                </c:pt>
                <c:pt idx="480">
                  <c:v>1.9512770184099568E-2</c:v>
                </c:pt>
                <c:pt idx="481">
                  <c:v>1.9615615321633334E-2</c:v>
                </c:pt>
                <c:pt idx="482">
                  <c:v>1.9718140642019006E-2</c:v>
                </c:pt>
                <c:pt idx="483">
                  <c:v>1.9820335319222386E-2</c:v>
                </c:pt>
                <c:pt idx="484">
                  <c:v>1.9922188514484643E-2</c:v>
                </c:pt>
                <c:pt idx="485">
                  <c:v>2.0023689378187545E-2</c:v>
                </c:pt>
                <c:pt idx="486">
                  <c:v>2.0124827051730892E-2</c:v>
                </c:pt>
                <c:pt idx="487">
                  <c:v>2.0225590669421548E-2</c:v>
                </c:pt>
                <c:pt idx="488">
                  <c:v>2.0325969360373841E-2</c:v>
                </c:pt>
                <c:pt idx="489">
                  <c:v>2.0425952250420709E-2</c:v>
                </c:pt>
                <c:pt idx="490">
                  <c:v>2.0525528464035169E-2</c:v>
                </c:pt>
                <c:pt idx="491">
                  <c:v>2.062468712626182E-2</c:v>
                </c:pt>
                <c:pt idx="492">
                  <c:v>2.0723417364657552E-2</c:v>
                </c:pt>
                <c:pt idx="493">
                  <c:v>2.0821708311241433E-2</c:v>
                </c:pt>
                <c:pt idx="494">
                  <c:v>2.0919549104452928E-2</c:v>
                </c:pt>
                <c:pt idx="495">
                  <c:v>2.1016928891118093E-2</c:v>
                </c:pt>
                <c:pt idx="496">
                  <c:v>2.1113836828423431E-2</c:v>
                </c:pt>
                <c:pt idx="497">
                  <c:v>2.1210262085896544E-2</c:v>
                </c:pt>
                <c:pt idx="498">
                  <c:v>2.1306193847393518E-2</c:v>
                </c:pt>
                <c:pt idx="499">
                  <c:v>2.1401621313092166E-2</c:v>
                </c:pt>
                <c:pt idx="500">
                  <c:v>2.1496533701490808E-2</c:v>
                </c:pt>
                <c:pt idx="501">
                  <c:v>2.1590920251412165E-2</c:v>
                </c:pt>
                <c:pt idx="502">
                  <c:v>2.1684770224011548E-2</c:v>
                </c:pt>
                <c:pt idx="503">
                  <c:v>2.1778072904789232E-2</c:v>
                </c:pt>
                <c:pt idx="504">
                  <c:v>2.1870817605606125E-2</c:v>
                </c:pt>
                <c:pt idx="505">
                  <c:v>2.196299366670237E-2</c:v>
                </c:pt>
                <c:pt idx="506">
                  <c:v>2.205459045871851E-2</c:v>
                </c:pt>
                <c:pt idx="507">
                  <c:v>2.2145597384718285E-2</c:v>
                </c:pt>
                <c:pt idx="508">
                  <c:v>2.2236003882212998E-2</c:v>
                </c:pt>
                <c:pt idx="509">
                  <c:v>2.2325799425186515E-2</c:v>
                </c:pt>
                <c:pt idx="510">
                  <c:v>2.2414973526120596E-2</c:v>
                </c:pt>
                <c:pt idx="511">
                  <c:v>2.2503515738020004E-2</c:v>
                </c:pt>
                <c:pt idx="512">
                  <c:v>2.2591415656436669E-2</c:v>
                </c:pt>
                <c:pt idx="513">
                  <c:v>2.2678662921492638E-2</c:v>
                </c:pt>
                <c:pt idx="514">
                  <c:v>2.276524721990102E-2</c:v>
                </c:pt>
                <c:pt idx="515">
                  <c:v>2.2851158286984464E-2</c:v>
                </c:pt>
                <c:pt idx="516">
                  <c:v>2.2936385908690769E-2</c:v>
                </c:pt>
                <c:pt idx="517">
                  <c:v>2.3020919923604732E-2</c:v>
                </c:pt>
                <c:pt idx="518">
                  <c:v>2.3104750224956117E-2</c:v>
                </c:pt>
                <c:pt idx="519">
                  <c:v>2.3187866762622803E-2</c:v>
                </c:pt>
                <c:pt idx="520">
                  <c:v>2.3270259545128767E-2</c:v>
                </c:pt>
                <c:pt idx="521">
                  <c:v>2.3351918641636361E-2</c:v>
                </c:pt>
                <c:pt idx="522">
                  <c:v>2.3432834183932195E-2</c:v>
                </c:pt>
                <c:pt idx="523">
                  <c:v>2.3512996368406227E-2</c:v>
                </c:pt>
                <c:pt idx="524">
                  <c:v>2.3592395458023382E-2</c:v>
                </c:pt>
                <c:pt idx="525">
                  <c:v>2.3671021784287177E-2</c:v>
                </c:pt>
                <c:pt idx="526">
                  <c:v>2.3748865749194929E-2</c:v>
                </c:pt>
                <c:pt idx="527">
                  <c:v>2.3825917827183744E-2</c:v>
                </c:pt>
                <c:pt idx="528">
                  <c:v>2.3902168567067072E-2</c:v>
                </c:pt>
                <c:pt idx="529">
                  <c:v>2.397760859396067E-2</c:v>
                </c:pt>
                <c:pt idx="530">
                  <c:v>2.4052228611198521E-2</c:v>
                </c:pt>
                <c:pt idx="531">
                  <c:v>2.4126019402236899E-2</c:v>
                </c:pt>
                <c:pt idx="532">
                  <c:v>2.4198971832546788E-2</c:v>
                </c:pt>
                <c:pt idx="533">
                  <c:v>2.4271076851494083E-2</c:v>
                </c:pt>
                <c:pt idx="534">
                  <c:v>2.4342325494206715E-2</c:v>
                </c:pt>
                <c:pt idx="535">
                  <c:v>2.4412708883428422E-2</c:v>
                </c:pt>
                <c:pt idx="536">
                  <c:v>2.4482218231358589E-2</c:v>
                </c:pt>
                <c:pt idx="537">
                  <c:v>2.455084484147747E-2</c:v>
                </c:pt>
                <c:pt idx="538">
                  <c:v>2.461858011035651E-2</c:v>
                </c:pt>
                <c:pt idx="539">
                  <c:v>2.4685415529453011E-2</c:v>
                </c:pt>
                <c:pt idx="540">
                  <c:v>2.4751342686888743E-2</c:v>
                </c:pt>
                <c:pt idx="541">
                  <c:v>2.4816353269211978E-2</c:v>
                </c:pt>
                <c:pt idx="542">
                  <c:v>2.4880439063142367E-2</c:v>
                </c:pt>
                <c:pt idx="543">
                  <c:v>2.4943591957298231E-2</c:v>
                </c:pt>
                <c:pt idx="544">
                  <c:v>2.5005803943905672E-2</c:v>
                </c:pt>
                <c:pt idx="545">
                  <c:v>2.5067067120489051E-2</c:v>
                </c:pt>
                <c:pt idx="546">
                  <c:v>2.5127373691542373E-2</c:v>
                </c:pt>
                <c:pt idx="547">
                  <c:v>2.5186715970180941E-2</c:v>
                </c:pt>
                <c:pt idx="548">
                  <c:v>2.5245086379773005E-2</c:v>
                </c:pt>
                <c:pt idx="549">
                  <c:v>2.5302477455550722E-2</c:v>
                </c:pt>
                <c:pt idx="550">
                  <c:v>2.5358881846199988E-2</c:v>
                </c:pt>
                <c:pt idx="551">
                  <c:v>2.5414292315428886E-2</c:v>
                </c:pt>
                <c:pt idx="552">
                  <c:v>2.5468701743513875E-2</c:v>
                </c:pt>
                <c:pt idx="553">
                  <c:v>2.5522103128823657E-2</c:v>
                </c:pt>
                <c:pt idx="554">
                  <c:v>2.5574489589320036E-2</c:v>
                </c:pt>
                <c:pt idx="555">
                  <c:v>2.5625854364035347E-2</c:v>
                </c:pt>
                <c:pt idx="556">
                  <c:v>2.5676190814526111E-2</c:v>
                </c:pt>
                <c:pt idx="557">
                  <c:v>2.5725492426302364E-2</c:v>
                </c:pt>
                <c:pt idx="558">
                  <c:v>2.5773752810232278E-2</c:v>
                </c:pt>
                <c:pt idx="559">
                  <c:v>2.5820965703921683E-2</c:v>
                </c:pt>
                <c:pt idx="560">
                  <c:v>2.5867124973067958E-2</c:v>
                </c:pt>
                <c:pt idx="561">
                  <c:v>2.5912224612788096E-2</c:v>
                </c:pt>
                <c:pt idx="562">
                  <c:v>2.5956258748920245E-2</c:v>
                </c:pt>
                <c:pt idx="563">
                  <c:v>2.5999221639298641E-2</c:v>
                </c:pt>
                <c:pt idx="564">
                  <c:v>2.6041107675001271E-2</c:v>
                </c:pt>
                <c:pt idx="565">
                  <c:v>2.6081911381570112E-2</c:v>
                </c:pt>
                <c:pt idx="566">
                  <c:v>2.6121627420203398E-2</c:v>
                </c:pt>
                <c:pt idx="567">
                  <c:v>2.6160250588919663E-2</c:v>
                </c:pt>
                <c:pt idx="568">
                  <c:v>2.61977758236932E-2</c:v>
                </c:pt>
                <c:pt idx="569">
                  <c:v>2.623419819956049E-2</c:v>
                </c:pt>
                <c:pt idx="570">
                  <c:v>2.6269512931697336E-2</c:v>
                </c:pt>
                <c:pt idx="571">
                  <c:v>2.6303715376466478E-2</c:v>
                </c:pt>
                <c:pt idx="572">
                  <c:v>2.6336801032435096E-2</c:v>
                </c:pt>
                <c:pt idx="573">
                  <c:v>2.6368765541362176E-2</c:v>
                </c:pt>
                <c:pt idx="574">
                  <c:v>2.6399604689155236E-2</c:v>
                </c:pt>
                <c:pt idx="575">
                  <c:v>2.6429314406796224E-2</c:v>
                </c:pt>
                <c:pt idx="576">
                  <c:v>2.6457890771236277E-2</c:v>
                </c:pt>
                <c:pt idx="577">
                  <c:v>2.6485330006259033E-2</c:v>
                </c:pt>
                <c:pt idx="578">
                  <c:v>2.6511628483312268E-2</c:v>
                </c:pt>
                <c:pt idx="579">
                  <c:v>2.6536782722307611E-2</c:v>
                </c:pt>
                <c:pt idx="580">
                  <c:v>2.6560789392388033E-2</c:v>
                </c:pt>
                <c:pt idx="581">
                  <c:v>2.6583645312662933E-2</c:v>
                </c:pt>
                <c:pt idx="582">
                  <c:v>2.6605347452910572E-2</c:v>
                </c:pt>
                <c:pt idx="583">
                  <c:v>2.6625892934247618E-2</c:v>
                </c:pt>
                <c:pt idx="584">
                  <c:v>2.6645279029765632E-2</c:v>
                </c:pt>
                <c:pt idx="585">
                  <c:v>2.6663503165134255E-2</c:v>
                </c:pt>
                <c:pt idx="586">
                  <c:v>2.6680562919170994E-2</c:v>
                </c:pt>
                <c:pt idx="587">
                  <c:v>2.6696456024377258E-2</c:v>
                </c:pt>
                <c:pt idx="588">
                  <c:v>2.67111803674407E-2</c:v>
                </c:pt>
                <c:pt idx="589">
                  <c:v>2.6724733989703577E-2</c:v>
                </c:pt>
                <c:pt idx="590">
                  <c:v>2.6737115087596911E-2</c:v>
                </c:pt>
                <c:pt idx="591">
                  <c:v>2.6748322013040542E-2</c:v>
                </c:pt>
                <c:pt idx="592">
                  <c:v>2.6758353273808749E-2</c:v>
                </c:pt>
                <c:pt idx="593">
                  <c:v>2.676720753386137E-2</c:v>
                </c:pt>
                <c:pt idx="594">
                  <c:v>2.6774883613640388E-2</c:v>
                </c:pt>
                <c:pt idx="595">
                  <c:v>2.6781380490331849E-2</c:v>
                </c:pt>
                <c:pt idx="596">
                  <c:v>2.6786697298092958E-2</c:v>
                </c:pt>
                <c:pt idx="597">
                  <c:v>2.6790833328244432E-2</c:v>
                </c:pt>
                <c:pt idx="598">
                  <c:v>2.6793788029427924E-2</c:v>
                </c:pt>
                <c:pt idx="599">
                  <c:v>2.6795561007728497E-2</c:v>
                </c:pt>
                <c:pt idx="600">
                  <c:v>2.6796152026762179E-2</c:v>
                </c:pt>
                <c:pt idx="601">
                  <c:v>2.6795561007728473E-2</c:v>
                </c:pt>
                <c:pt idx="602">
                  <c:v>2.6793788029427879E-2</c:v>
                </c:pt>
                <c:pt idx="603">
                  <c:v>2.6790833328244369E-2</c:v>
                </c:pt>
                <c:pt idx="604">
                  <c:v>2.6786697298092875E-2</c:v>
                </c:pt>
                <c:pt idx="605">
                  <c:v>2.6781380490331741E-2</c:v>
                </c:pt>
                <c:pt idx="606">
                  <c:v>2.6774883613640266E-2</c:v>
                </c:pt>
                <c:pt idx="607">
                  <c:v>2.6767207533861217E-2</c:v>
                </c:pt>
                <c:pt idx="608">
                  <c:v>2.6758353273808582E-2</c:v>
                </c:pt>
                <c:pt idx="609">
                  <c:v>2.6748322013040355E-2</c:v>
                </c:pt>
                <c:pt idx="610">
                  <c:v>2.67371150875967E-2</c:v>
                </c:pt>
                <c:pt idx="611">
                  <c:v>2.6724733989703344E-2</c:v>
                </c:pt>
                <c:pt idx="612">
                  <c:v>2.6711180367440451E-2</c:v>
                </c:pt>
                <c:pt idx="613">
                  <c:v>2.669645602437698E-2</c:v>
                </c:pt>
                <c:pt idx="614">
                  <c:v>2.6680562919170696E-2</c:v>
                </c:pt>
                <c:pt idx="615">
                  <c:v>2.6663503165133946E-2</c:v>
                </c:pt>
                <c:pt idx="616">
                  <c:v>2.6645279029765288E-2</c:v>
                </c:pt>
                <c:pt idx="617">
                  <c:v>2.6625892934247258E-2</c:v>
                </c:pt>
                <c:pt idx="618">
                  <c:v>2.660534745291019E-2</c:v>
                </c:pt>
                <c:pt idx="619">
                  <c:v>2.6583645312662531E-2</c:v>
                </c:pt>
                <c:pt idx="620">
                  <c:v>2.6560789392387613E-2</c:v>
                </c:pt>
                <c:pt idx="621">
                  <c:v>2.6536782722307167E-2</c:v>
                </c:pt>
                <c:pt idx="622">
                  <c:v>2.6511628483311806E-2</c:v>
                </c:pt>
                <c:pt idx="623">
                  <c:v>2.6485330006258544E-2</c:v>
                </c:pt>
                <c:pt idx="624">
                  <c:v>2.6457890771235774E-2</c:v>
                </c:pt>
                <c:pt idx="625">
                  <c:v>2.6429314406795704E-2</c:v>
                </c:pt>
                <c:pt idx="626">
                  <c:v>2.6399604689154688E-2</c:v>
                </c:pt>
                <c:pt idx="627">
                  <c:v>2.6368765541361611E-2</c:v>
                </c:pt>
                <c:pt idx="628">
                  <c:v>2.633680103243451E-2</c:v>
                </c:pt>
                <c:pt idx="629">
                  <c:v>2.6303715376465874E-2</c:v>
                </c:pt>
                <c:pt idx="630">
                  <c:v>2.6269512931696711E-2</c:v>
                </c:pt>
                <c:pt idx="631">
                  <c:v>2.6234198199559841E-2</c:v>
                </c:pt>
                <c:pt idx="632">
                  <c:v>2.6197775823692541E-2</c:v>
                </c:pt>
                <c:pt idx="633">
                  <c:v>2.6160250588918976E-2</c:v>
                </c:pt>
                <c:pt idx="634">
                  <c:v>2.612162742020269E-2</c:v>
                </c:pt>
                <c:pt idx="635">
                  <c:v>2.608191138156939E-2</c:v>
                </c:pt>
                <c:pt idx="636">
                  <c:v>2.6041107675000525E-2</c:v>
                </c:pt>
                <c:pt idx="637">
                  <c:v>2.5999221639297881E-2</c:v>
                </c:pt>
                <c:pt idx="638">
                  <c:v>2.5956258748919461E-2</c:v>
                </c:pt>
                <c:pt idx="639">
                  <c:v>2.5912224612787291E-2</c:v>
                </c:pt>
                <c:pt idx="640">
                  <c:v>2.5867124973067139E-2</c:v>
                </c:pt>
                <c:pt idx="641">
                  <c:v>2.5820965703920843E-2</c:v>
                </c:pt>
                <c:pt idx="642">
                  <c:v>2.5773752810231428E-2</c:v>
                </c:pt>
                <c:pt idx="643">
                  <c:v>2.572549242630149E-2</c:v>
                </c:pt>
                <c:pt idx="644">
                  <c:v>2.5676190814525216E-2</c:v>
                </c:pt>
                <c:pt idx="645">
                  <c:v>2.5625854364034435E-2</c:v>
                </c:pt>
                <c:pt idx="646">
                  <c:v>2.5574489589319099E-2</c:v>
                </c:pt>
                <c:pt idx="647">
                  <c:v>2.5522103128822707E-2</c:v>
                </c:pt>
                <c:pt idx="648">
                  <c:v>2.5468701743512907E-2</c:v>
                </c:pt>
                <c:pt idx="649">
                  <c:v>2.5414292315427897E-2</c:v>
                </c:pt>
                <c:pt idx="650">
                  <c:v>2.5358881846198986E-2</c:v>
                </c:pt>
                <c:pt idx="651">
                  <c:v>2.5302477455549692E-2</c:v>
                </c:pt>
                <c:pt idx="652">
                  <c:v>2.5245086379771971E-2</c:v>
                </c:pt>
                <c:pt idx="653">
                  <c:v>2.5186715970179879E-2</c:v>
                </c:pt>
                <c:pt idx="654">
                  <c:v>2.5127373691541294E-2</c:v>
                </c:pt>
                <c:pt idx="655">
                  <c:v>2.5067067120487965E-2</c:v>
                </c:pt>
                <c:pt idx="656">
                  <c:v>2.5005803943904559E-2</c:v>
                </c:pt>
                <c:pt idx="657">
                  <c:v>2.4943591957297107E-2</c:v>
                </c:pt>
                <c:pt idx="658">
                  <c:v>2.4880439063141222E-2</c:v>
                </c:pt>
                <c:pt idx="659">
                  <c:v>2.4816353269210816E-2</c:v>
                </c:pt>
                <c:pt idx="660">
                  <c:v>2.475134268688757E-2</c:v>
                </c:pt>
                <c:pt idx="661">
                  <c:v>2.4685415529451818E-2</c:v>
                </c:pt>
                <c:pt idx="662">
                  <c:v>2.4618580110355306E-2</c:v>
                </c:pt>
                <c:pt idx="663">
                  <c:v>2.4550844841476238E-2</c:v>
                </c:pt>
                <c:pt idx="664">
                  <c:v>2.4482218231357343E-2</c:v>
                </c:pt>
                <c:pt idx="665">
                  <c:v>2.4412708883427166E-2</c:v>
                </c:pt>
                <c:pt idx="666">
                  <c:v>2.4342325494205435E-2</c:v>
                </c:pt>
                <c:pt idx="667">
                  <c:v>2.4271076851492799E-2</c:v>
                </c:pt>
                <c:pt idx="668">
                  <c:v>2.419897183254548E-2</c:v>
                </c:pt>
                <c:pt idx="669">
                  <c:v>2.412601940223557E-2</c:v>
                </c:pt>
                <c:pt idx="670">
                  <c:v>2.4052228611197192E-2</c:v>
                </c:pt>
                <c:pt idx="671">
                  <c:v>2.3977608593959317E-2</c:v>
                </c:pt>
                <c:pt idx="672">
                  <c:v>2.3902168567065712E-2</c:v>
                </c:pt>
                <c:pt idx="673">
                  <c:v>2.3825917827182436E-2</c:v>
                </c:pt>
                <c:pt idx="674">
                  <c:v>2.3748865749193611E-2</c:v>
                </c:pt>
                <c:pt idx="675">
                  <c:v>2.3671021784285855E-2</c:v>
                </c:pt>
                <c:pt idx="676">
                  <c:v>2.3592395458022036E-2</c:v>
                </c:pt>
                <c:pt idx="677">
                  <c:v>2.3512996368404881E-2</c:v>
                </c:pt>
                <c:pt idx="678">
                  <c:v>2.3432834183930822E-2</c:v>
                </c:pt>
                <c:pt idx="679">
                  <c:v>2.3351918641634977E-2</c:v>
                </c:pt>
                <c:pt idx="680">
                  <c:v>2.3270259545127375E-2</c:v>
                </c:pt>
                <c:pt idx="681">
                  <c:v>2.3187866762621391E-2</c:v>
                </c:pt>
                <c:pt idx="682">
                  <c:v>2.3104750224954704E-2</c:v>
                </c:pt>
                <c:pt idx="683">
                  <c:v>2.3020919923603295E-2</c:v>
                </c:pt>
                <c:pt idx="684">
                  <c:v>2.2936385908689322E-2</c:v>
                </c:pt>
                <c:pt idx="685">
                  <c:v>2.2851158286983017E-2</c:v>
                </c:pt>
                <c:pt idx="686">
                  <c:v>2.2765247219899549E-2</c:v>
                </c:pt>
                <c:pt idx="687">
                  <c:v>2.267866292149117E-2</c:v>
                </c:pt>
                <c:pt idx="688">
                  <c:v>2.2591415656435177E-2</c:v>
                </c:pt>
                <c:pt idx="689">
                  <c:v>2.2503515738018499E-2</c:v>
                </c:pt>
                <c:pt idx="690">
                  <c:v>2.2414973526119094E-2</c:v>
                </c:pt>
                <c:pt idx="691">
                  <c:v>2.2325799425184988E-2</c:v>
                </c:pt>
                <c:pt idx="692">
                  <c:v>2.2236003882211471E-2</c:v>
                </c:pt>
                <c:pt idx="693">
                  <c:v>2.2145597384716741E-2</c:v>
                </c:pt>
                <c:pt idx="694">
                  <c:v>2.2054590458716952E-2</c:v>
                </c:pt>
                <c:pt idx="695">
                  <c:v>2.1962993666700816E-2</c:v>
                </c:pt>
                <c:pt idx="696">
                  <c:v>2.187081760560455E-2</c:v>
                </c:pt>
                <c:pt idx="697">
                  <c:v>2.177807290478766E-2</c:v>
                </c:pt>
                <c:pt idx="698">
                  <c:v>2.1684770224009952E-2</c:v>
                </c:pt>
                <c:pt idx="699">
                  <c:v>2.1590920251410559E-2</c:v>
                </c:pt>
                <c:pt idx="700">
                  <c:v>2.1496533701489205E-2</c:v>
                </c:pt>
                <c:pt idx="701">
                  <c:v>2.1401621313090542E-2</c:v>
                </c:pt>
                <c:pt idx="702">
                  <c:v>2.1306193847391897E-2</c:v>
                </c:pt>
                <c:pt idx="703">
                  <c:v>2.1210262085894906E-2</c:v>
                </c:pt>
                <c:pt idx="704">
                  <c:v>2.111383682842178E-2</c:v>
                </c:pt>
                <c:pt idx="705">
                  <c:v>2.1016928891116452E-2</c:v>
                </c:pt>
                <c:pt idx="706">
                  <c:v>2.0919549104451266E-2</c:v>
                </c:pt>
                <c:pt idx="707">
                  <c:v>2.0821708311239775E-2</c:v>
                </c:pt>
                <c:pt idx="708">
                  <c:v>2.0723417364655872E-2</c:v>
                </c:pt>
                <c:pt idx="709">
                  <c:v>2.062468712626013E-2</c:v>
                </c:pt>
                <c:pt idx="710">
                  <c:v>2.052552846403349E-2</c:v>
                </c:pt>
                <c:pt idx="711">
                  <c:v>2.0425952250419006E-2</c:v>
                </c:pt>
                <c:pt idx="712">
                  <c:v>2.0325969360372145E-2</c:v>
                </c:pt>
                <c:pt idx="713">
                  <c:v>2.0225590669419837E-2</c:v>
                </c:pt>
                <c:pt idx="714">
                  <c:v>2.0124827051729171E-2</c:v>
                </c:pt>
                <c:pt idx="715">
                  <c:v>2.0023689378185831E-2</c:v>
                </c:pt>
                <c:pt idx="716">
                  <c:v>1.9922188514482905E-2</c:v>
                </c:pt>
                <c:pt idx="717">
                  <c:v>1.9820335319220658E-2</c:v>
                </c:pt>
                <c:pt idx="718">
                  <c:v>1.9718140642017264E-2</c:v>
                </c:pt>
                <c:pt idx="719">
                  <c:v>1.9615615321631589E-2</c:v>
                </c:pt>
                <c:pt idx="720">
                  <c:v>1.9512770184097826E-2</c:v>
                </c:pt>
                <c:pt idx="721">
                  <c:v>1.9409616040872872E-2</c:v>
                </c:pt>
                <c:pt idx="722">
                  <c:v>1.9306163686996721E-2</c:v>
                </c:pt>
                <c:pt idx="723">
                  <c:v>1.9202423899266099E-2</c:v>
                </c:pt>
                <c:pt idx="724">
                  <c:v>1.9098407434422215E-2</c:v>
                </c:pt>
                <c:pt idx="725">
                  <c:v>1.8994125027352468E-2</c:v>
                </c:pt>
                <c:pt idx="726">
                  <c:v>1.8889587389306985E-2</c:v>
                </c:pt>
                <c:pt idx="727">
                  <c:v>1.8784805206130233E-2</c:v>
                </c:pt>
                <c:pt idx="728">
                  <c:v>1.8679789136507814E-2</c:v>
                </c:pt>
                <c:pt idx="729">
                  <c:v>1.857454981022939E-2</c:v>
                </c:pt>
                <c:pt idx="730">
                  <c:v>1.8469097826467513E-2</c:v>
                </c:pt>
                <c:pt idx="731">
                  <c:v>1.836344375207315E-2</c:v>
                </c:pt>
                <c:pt idx="732">
                  <c:v>1.8257598119888144E-2</c:v>
                </c:pt>
                <c:pt idx="733">
                  <c:v>1.8151571427074752E-2</c:v>
                </c:pt>
                <c:pt idx="734">
                  <c:v>1.8045374133463032E-2</c:v>
                </c:pt>
                <c:pt idx="735">
                  <c:v>1.793901665991593E-2</c:v>
                </c:pt>
                <c:pt idx="736">
                  <c:v>1.783250938671279E-2</c:v>
                </c:pt>
                <c:pt idx="737">
                  <c:v>1.7725862651951457E-2</c:v>
                </c:pt>
                <c:pt idx="738">
                  <c:v>1.7619086749969131E-2</c:v>
                </c:pt>
                <c:pt idx="739">
                  <c:v>1.7512191929782664E-2</c:v>
                </c:pt>
                <c:pt idx="740">
                  <c:v>1.7405188393548113E-2</c:v>
                </c:pt>
                <c:pt idx="741">
                  <c:v>1.7298086295040281E-2</c:v>
                </c:pt>
                <c:pt idx="742">
                  <c:v>1.7190895738152322E-2</c:v>
                </c:pt>
                <c:pt idx="743">
                  <c:v>1.7083626775415542E-2</c:v>
                </c:pt>
                <c:pt idx="744">
                  <c:v>1.6976289406540064E-2</c:v>
                </c:pt>
                <c:pt idx="745">
                  <c:v>1.6868893576976161E-2</c:v>
                </c:pt>
                <c:pt idx="746">
                  <c:v>1.6761449176496825E-2</c:v>
                </c:pt>
                <c:pt idx="747">
                  <c:v>1.6653966037801778E-2</c:v>
                </c:pt>
                <c:pt idx="748">
                  <c:v>1.6546453935142872E-2</c:v>
                </c:pt>
                <c:pt idx="749">
                  <c:v>1.6438922582971617E-2</c:v>
                </c:pt>
                <c:pt idx="750">
                  <c:v>1.6331381634608486E-2</c:v>
                </c:pt>
                <c:pt idx="751">
                  <c:v>1.6223840680934663E-2</c:v>
                </c:pt>
                <c:pt idx="752">
                  <c:v>1.6116309249106231E-2</c:v>
                </c:pt>
                <c:pt idx="753">
                  <c:v>1.600879680129089E-2</c:v>
                </c:pt>
                <c:pt idx="754">
                  <c:v>1.5901312733427729E-2</c:v>
                </c:pt>
                <c:pt idx="755">
                  <c:v>1.5793866374009796E-2</c:v>
                </c:pt>
                <c:pt idx="756">
                  <c:v>1.5686466982890002E-2</c:v>
                </c:pt>
                <c:pt idx="757">
                  <c:v>1.5579123750110365E-2</c:v>
                </c:pt>
                <c:pt idx="758">
                  <c:v>1.5471845794754614E-2</c:v>
                </c:pt>
                <c:pt idx="759">
                  <c:v>1.5364642163824655E-2</c:v>
                </c:pt>
                <c:pt idx="760">
                  <c:v>1.5257521831140566E-2</c:v>
                </c:pt>
                <c:pt idx="761">
                  <c:v>1.5150493696264684E-2</c:v>
                </c:pt>
                <c:pt idx="762">
                  <c:v>1.5043566583449677E-2</c:v>
                </c:pt>
                <c:pt idx="763">
                  <c:v>1.4936749240610598E-2</c:v>
                </c:pt>
                <c:pt idx="764">
                  <c:v>1.4830050338321419E-2</c:v>
                </c:pt>
                <c:pt idx="765">
                  <c:v>1.4723478468835642E-2</c:v>
                </c:pt>
                <c:pt idx="766">
                  <c:v>1.4617042145131483E-2</c:v>
                </c:pt>
                <c:pt idx="767">
                  <c:v>1.4510749799981524E-2</c:v>
                </c:pt>
                <c:pt idx="768">
                  <c:v>1.4404609785046792E-2</c:v>
                </c:pt>
                <c:pt idx="769">
                  <c:v>1.4298630369995666E-2</c:v>
                </c:pt>
                <c:pt idx="770">
                  <c:v>1.419281974164723E-2</c:v>
                </c:pt>
                <c:pt idx="771">
                  <c:v>1.4087186003139497E-2</c:v>
                </c:pt>
                <c:pt idx="772">
                  <c:v>1.3981737173122372E-2</c:v>
                </c:pt>
                <c:pt idx="773">
                  <c:v>1.3876481184975234E-2</c:v>
                </c:pt>
                <c:pt idx="774">
                  <c:v>1.3771425886049578E-2</c:v>
                </c:pt>
                <c:pt idx="775">
                  <c:v>1.366657903693622E-2</c:v>
                </c:pt>
                <c:pt idx="776">
                  <c:v>1.3561948310757441E-2</c:v>
                </c:pt>
                <c:pt idx="777">
                  <c:v>1.345754129248402E-2</c:v>
                </c:pt>
                <c:pt idx="778">
                  <c:v>1.3353365478276842E-2</c:v>
                </c:pt>
                <c:pt idx="779">
                  <c:v>1.3249428274853571E-2</c:v>
                </c:pt>
                <c:pt idx="780">
                  <c:v>1.3145736998879835E-2</c:v>
                </c:pt>
                <c:pt idx="781">
                  <c:v>1.3042298876385293E-2</c:v>
                </c:pt>
                <c:pt idx="782">
                  <c:v>1.2939121042204401E-2</c:v>
                </c:pt>
                <c:pt idx="783">
                  <c:v>1.2836210539441648E-2</c:v>
                </c:pt>
                <c:pt idx="784">
                  <c:v>1.2733574318961624E-2</c:v>
                </c:pt>
                <c:pt idx="785">
                  <c:v>1.2631219238903368E-2</c:v>
                </c:pt>
                <c:pt idx="786">
                  <c:v>1.2529152064219331E-2</c:v>
                </c:pt>
                <c:pt idx="787">
                  <c:v>1.2427379466238718E-2</c:v>
                </c:pt>
                <c:pt idx="788">
                  <c:v>1.2325908022254974E-2</c:v>
                </c:pt>
                <c:pt idx="789">
                  <c:v>1.2224744215137679E-2</c:v>
                </c:pt>
                <c:pt idx="790">
                  <c:v>1.2123894432968367E-2</c:v>
                </c:pt>
                <c:pt idx="791">
                  <c:v>1.202336496870047E-2</c:v>
                </c:pt>
                <c:pt idx="792">
                  <c:v>1.1923162019843161E-2</c:v>
                </c:pt>
                <c:pt idx="793">
                  <c:v>1.1823291688168827E-2</c:v>
                </c:pt>
                <c:pt idx="794">
                  <c:v>1.172375997944443E-2</c:v>
                </c:pt>
                <c:pt idx="795">
                  <c:v>1.1624572803186175E-2</c:v>
                </c:pt>
                <c:pt idx="796">
                  <c:v>1.1525735972437679E-2</c:v>
                </c:pt>
                <c:pt idx="797">
                  <c:v>1.1427255203571449E-2</c:v>
                </c:pt>
                <c:pt idx="798">
                  <c:v>1.132913611611327E-2</c:v>
                </c:pt>
                <c:pt idx="799">
                  <c:v>1.123138423258978E-2</c:v>
                </c:pt>
                <c:pt idx="800">
                  <c:v>1.1134004978398608E-2</c:v>
                </c:pt>
                <c:pt idx="801">
                  <c:v>1.1037003681701305E-2</c:v>
                </c:pt>
                <c:pt idx="802">
                  <c:v>1.0940385573338693E-2</c:v>
                </c:pt>
                <c:pt idx="803">
                  <c:v>1.0844155786768383E-2</c:v>
                </c:pt>
                <c:pt idx="804">
                  <c:v>1.074831935802458E-2</c:v>
                </c:pt>
                <c:pt idx="805">
                  <c:v>1.0652881225699623E-2</c:v>
                </c:pt>
                <c:pt idx="806">
                  <c:v>1.0557846230947347E-2</c:v>
                </c:pt>
                <c:pt idx="807">
                  <c:v>1.0463219117507973E-2</c:v>
                </c:pt>
                <c:pt idx="808">
                  <c:v>1.0369004531754222E-2</c:v>
                </c:pt>
                <c:pt idx="809">
                  <c:v>1.0275207022758715E-2</c:v>
                </c:pt>
                <c:pt idx="810">
                  <c:v>1.0181831042382065E-2</c:v>
                </c:pt>
                <c:pt idx="811">
                  <c:v>1.0088880945381845E-2</c:v>
                </c:pt>
                <c:pt idx="812">
                  <c:v>9.9963609895419754E-3</c:v>
                </c:pt>
                <c:pt idx="813">
                  <c:v>9.9042753358222508E-3</c:v>
                </c:pt>
                <c:pt idx="814">
                  <c:v>9.8126280485280708E-3</c:v>
                </c:pt>
                <c:pt idx="815">
                  <c:v>9.7214230954997833E-3</c:v>
                </c:pt>
                <c:pt idx="816">
                  <c:v>9.6306643483216811E-3</c:v>
                </c:pt>
                <c:pt idx="817">
                  <c:v>9.5403555825503139E-3</c:v>
                </c:pt>
                <c:pt idx="818">
                  <c:v>9.4505004779617645E-3</c:v>
                </c:pt>
                <c:pt idx="819">
                  <c:v>9.3611026188178906E-3</c:v>
                </c:pt>
                <c:pt idx="820">
                  <c:v>9.2721654941509898E-3</c:v>
                </c:pt>
                <c:pt idx="821">
                  <c:v>9.1836924980668554E-3</c:v>
                </c:pt>
                <c:pt idx="822">
                  <c:v>9.0956869300659431E-3</c:v>
                </c:pt>
                <c:pt idx="823">
                  <c:v>9.008151995382175E-3</c:v>
                </c:pt>
                <c:pt idx="824">
                  <c:v>8.9210908053394405E-3</c:v>
                </c:pt>
                <c:pt idx="825">
                  <c:v>8.8345063777252562E-3</c:v>
                </c:pt>
                <c:pt idx="826">
                  <c:v>8.7484016371814511E-3</c:v>
                </c:pt>
                <c:pt idx="827">
                  <c:v>8.6627794156116465E-3</c:v>
                </c:pt>
                <c:pt idx="828">
                  <c:v>8.5776424526050228E-3</c:v>
                </c:pt>
                <c:pt idx="829">
                  <c:v>8.4929933958764747E-3</c:v>
                </c:pt>
                <c:pt idx="830">
                  <c:v>8.4088348017224701E-3</c:v>
                </c:pt>
                <c:pt idx="831">
                  <c:v>8.3251691354926157E-3</c:v>
                </c:pt>
                <c:pt idx="832">
                  <c:v>8.2419987720766062E-3</c:v>
                </c:pt>
                <c:pt idx="833">
                  <c:v>8.1593259964060621E-3</c:v>
                </c:pt>
                <c:pt idx="834">
                  <c:v>8.0771530039713338E-3</c:v>
                </c:pt>
                <c:pt idx="835">
                  <c:v>7.9954819013525573E-3</c:v>
                </c:pt>
                <c:pt idx="836">
                  <c:v>7.914314706765074E-3</c:v>
                </c:pt>
                <c:pt idx="837">
                  <c:v>7.8336533506186915E-3</c:v>
                </c:pt>
                <c:pt idx="838">
                  <c:v>7.7534996760904402E-3</c:v>
                </c:pt>
                <c:pt idx="839">
                  <c:v>7.6738554397108305E-3</c:v>
                </c:pt>
                <c:pt idx="840">
                  <c:v>7.5947223119629198E-3</c:v>
                </c:pt>
                <c:pt idx="841">
                  <c:v>7.5161018778942216E-3</c:v>
                </c:pt>
                <c:pt idx="842">
                  <c:v>7.4379956377410399E-3</c:v>
                </c:pt>
                <c:pt idx="843">
                  <c:v>7.3604050075648094E-3</c:v>
                </c:pt>
                <c:pt idx="844">
                  <c:v>7.2833313199004218E-3</c:v>
                </c:pt>
                <c:pt idx="845">
                  <c:v>7.2067758244159178E-3</c:v>
                </c:pt>
                <c:pt idx="846">
                  <c:v>7.130739688583518E-3</c:v>
                </c:pt>
                <c:pt idx="847">
                  <c:v>7.0552239983615872E-3</c:v>
                </c:pt>
                <c:pt idx="848">
                  <c:v>6.9802297588871009E-3</c:v>
                </c:pt>
                <c:pt idx="849">
                  <c:v>6.9057578951786285E-3</c:v>
                </c:pt>
                <c:pt idx="850">
                  <c:v>6.8318092528491811E-3</c:v>
                </c:pt>
                <c:pt idx="851">
                  <c:v>6.758384598828885E-3</c:v>
                </c:pt>
                <c:pt idx="852">
                  <c:v>6.6854846220971076E-3</c:v>
                </c:pt>
                <c:pt idx="853">
                  <c:v>6.6131099344236156E-3</c:v>
                </c:pt>
                <c:pt idx="854">
                  <c:v>6.5412610711187077E-3</c:v>
                </c:pt>
                <c:pt idx="855">
                  <c:v>6.4699384917917538E-3</c:v>
                </c:pt>
                <c:pt idx="856">
                  <c:v>6.399142581118079E-3</c:v>
                </c:pt>
                <c:pt idx="857">
                  <c:v>6.3288736496137886E-3</c:v>
                </c:pt>
                <c:pt idx="858">
                  <c:v>6.2591319344181585E-3</c:v>
                </c:pt>
                <c:pt idx="859">
                  <c:v>6.1899176000835259E-3</c:v>
                </c:pt>
                <c:pt idx="860">
                  <c:v>6.1212307393721114E-3</c:v>
                </c:pt>
                <c:pt idx="861">
                  <c:v>6.053071374059694E-3</c:v>
                </c:pt>
                <c:pt idx="862">
                  <c:v>5.9854394557458061E-3</c:v>
                </c:pt>
                <c:pt idx="863">
                  <c:v>5.9183348666699935E-3</c:v>
                </c:pt>
                <c:pt idx="864">
                  <c:v>5.8517574205341526E-3</c:v>
                </c:pt>
                <c:pt idx="865">
                  <c:v>5.7857068633303272E-3</c:v>
                </c:pt>
                <c:pt idx="866">
                  <c:v>5.7201828741739666E-3</c:v>
                </c:pt>
                <c:pt idx="867">
                  <c:v>5.655185066142209E-3</c:v>
                </c:pt>
                <c:pt idx="868">
                  <c:v>5.5907129871168538E-3</c:v>
                </c:pt>
                <c:pt idx="869">
                  <c:v>5.5267661206319842E-3</c:v>
                </c:pt>
                <c:pt idx="870">
                  <c:v>5.4633438867256502E-3</c:v>
                </c:pt>
                <c:pt idx="871">
                  <c:v>5.4004456427955774E-3</c:v>
                </c:pt>
                <c:pt idx="872">
                  <c:v>5.3380706844585709E-3</c:v>
                </c:pt>
                <c:pt idx="873">
                  <c:v>5.2762182464132007E-3</c:v>
                </c:pt>
                <c:pt idx="874">
                  <c:v>5.2148875033057604E-3</c:v>
                </c:pt>
                <c:pt idx="875">
                  <c:v>5.154077570598937E-3</c:v>
                </c:pt>
                <c:pt idx="876">
                  <c:v>5.0937875054431897E-3</c:v>
                </c:pt>
                <c:pt idx="877">
                  <c:v>5.0340163075504431E-3</c:v>
                </c:pt>
                <c:pt idx="878">
                  <c:v>4.9747629200697571E-3</c:v>
                </c:pt>
                <c:pt idx="879">
                  <c:v>4.916026230464973E-3</c:v>
                </c:pt>
                <c:pt idx="880">
                  <c:v>4.8578050713937674E-3</c:v>
                </c:pt>
                <c:pt idx="881">
                  <c:v>4.8000982215881099E-3</c:v>
                </c:pt>
                <c:pt idx="882">
                  <c:v>4.7429044067357285E-3</c:v>
                </c:pt>
                <c:pt idx="883">
                  <c:v>4.68622230036248E-3</c:v>
                </c:pt>
                <c:pt idx="884">
                  <c:v>4.6300505247151196E-3</c:v>
                </c:pt>
                <c:pt idx="885">
                  <c:v>4.5743876516445544E-3</c:v>
                </c:pt>
                <c:pt idx="886">
                  <c:v>4.5192322034891342E-3</c:v>
                </c:pt>
                <c:pt idx="887">
                  <c:v>4.4645826539577551E-3</c:v>
                </c:pt>
                <c:pt idx="888">
                  <c:v>4.4104374290127009E-3</c:v>
                </c:pt>
                <c:pt idx="889">
                  <c:v>4.356794907751693E-3</c:v>
                </c:pt>
                <c:pt idx="890">
                  <c:v>4.3036534232892909E-3</c:v>
                </c:pt>
                <c:pt idx="891">
                  <c:v>4.2510112636371337E-3</c:v>
                </c:pt>
                <c:pt idx="892">
                  <c:v>4.1988666725829198E-3</c:v>
                </c:pt>
                <c:pt idx="893">
                  <c:v>4.1472178505679675E-3</c:v>
                </c:pt>
                <c:pt idx="894">
                  <c:v>4.0960629555629215E-3</c:v>
                </c:pt>
                <c:pt idx="895">
                  <c:v>4.0454001039416853E-3</c:v>
                </c:pt>
                <c:pt idx="896">
                  <c:v>3.9952273713531692E-3</c:v>
                </c:pt>
                <c:pt idx="897">
                  <c:v>3.9455427935907016E-3</c:v>
                </c:pt>
                <c:pt idx="898">
                  <c:v>3.8963443674589942E-3</c:v>
                </c:pt>
                <c:pt idx="899">
                  <c:v>3.8476300516382283E-3</c:v>
                </c:pt>
                <c:pt idx="900">
                  <c:v>3.7993977675453939E-3</c:v>
                </c:pt>
                <c:pt idx="901">
                  <c:v>3.7516454001924205E-3</c:v>
                </c:pt>
                <c:pt idx="902">
                  <c:v>3.7043707990410428E-3</c:v>
                </c:pt>
                <c:pt idx="903">
                  <c:v>3.657571778854236E-3</c:v>
                </c:pt>
                <c:pt idx="904">
                  <c:v>3.6112461205438802E-3</c:v>
                </c:pt>
                <c:pt idx="905">
                  <c:v>3.565391572014724E-3</c:v>
                </c:pt>
                <c:pt idx="906">
                  <c:v>3.5200058490042728E-3</c:v>
                </c:pt>
                <c:pt idx="907">
                  <c:v>3.4750866359185006E-3</c:v>
                </c:pt>
                <c:pt idx="908">
                  <c:v>3.4306315866633138E-3</c:v>
                </c:pt>
                <c:pt idx="909">
                  <c:v>3.3866383254713647E-3</c:v>
                </c:pt>
                <c:pt idx="910">
                  <c:v>3.3431044477243415E-3</c:v>
                </c:pt>
                <c:pt idx="911">
                  <c:v>3.3000275207703896E-3</c:v>
                </c:pt>
                <c:pt idx="912">
                  <c:v>3.2574050847365634E-3</c:v>
                </c:pt>
                <c:pt idx="913">
                  <c:v>3.2152346533362353E-3</c:v>
                </c:pt>
                <c:pt idx="914">
                  <c:v>3.1735137146711298E-3</c:v>
                </c:pt>
                <c:pt idx="915">
                  <c:v>3.132239732028072E-3</c:v>
                </c:pt>
                <c:pt idx="916">
                  <c:v>3.0914101446701701E-3</c:v>
                </c:pt>
                <c:pt idx="917">
                  <c:v>3.0510223686223176E-3</c:v>
                </c:pt>
                <c:pt idx="918">
                  <c:v>3.0110737974509546E-3</c:v>
                </c:pt>
                <c:pt idx="919">
                  <c:v>2.9715618030378213E-3</c:v>
                </c:pt>
                <c:pt idx="920">
                  <c:v>2.9324837363477606E-3</c:v>
                </c:pt>
                <c:pt idx="921">
                  <c:v>2.8938369281903079E-3</c:v>
                </c:pt>
                <c:pt idx="922">
                  <c:v>2.8556186899750266E-3</c:v>
                </c:pt>
                <c:pt idx="923">
                  <c:v>2.81782631446049E-3</c:v>
                </c:pt>
                <c:pt idx="924">
                  <c:v>2.7804570764966693E-3</c:v>
                </c:pt>
                <c:pt idx="925">
                  <c:v>2.7435082337608318E-3</c:v>
                </c:pt>
                <c:pt idx="926">
                  <c:v>2.7069770274866897E-3</c:v>
                </c:pt>
                <c:pt idx="927">
                  <c:v>2.6708606831867348E-3</c:v>
                </c:pt>
                <c:pt idx="928">
                  <c:v>2.6351564113677732E-3</c:v>
                </c:pt>
                <c:pt idx="929">
                  <c:v>2.5998614082393201E-3</c:v>
                </c:pt>
                <c:pt idx="930">
                  <c:v>2.5649728564150838E-3</c:v>
                </c:pt>
                <c:pt idx="931">
                  <c:v>2.5304879256072138E-3</c:v>
                </c:pt>
                <c:pt idx="932">
                  <c:v>2.4964037733133273E-3</c:v>
                </c:pt>
                <c:pt idx="933">
                  <c:v>2.4627175454962754E-3</c:v>
                </c:pt>
                <c:pt idx="934">
                  <c:v>2.4294263772564333E-3</c:v>
                </c:pt>
                <c:pt idx="935">
                  <c:v>2.3965273934966279E-3</c:v>
                </c:pt>
                <c:pt idx="936">
                  <c:v>2.3640177095795105E-3</c:v>
                </c:pt>
                <c:pt idx="937">
                  <c:v>2.3318944319773403E-3</c:v>
                </c:pt>
                <c:pt idx="938">
                  <c:v>2.300154658914168E-3</c:v>
                </c:pt>
                <c:pt idx="939">
                  <c:v>2.2687954810002371E-3</c:v>
                </c:pt>
                <c:pt idx="940">
                  <c:v>2.2378139818587267E-3</c:v>
                </c:pt>
                <c:pt idx="941">
                  <c:v>2.2072072387446231E-3</c:v>
                </c:pt>
                <c:pt idx="942">
                  <c:v>2.1769723231557813E-3</c:v>
                </c:pt>
                <c:pt idx="943">
                  <c:v>2.1471063014360968E-3</c:v>
                </c:pt>
                <c:pt idx="944">
                  <c:v>2.117606235370678E-3</c:v>
                </c:pt>
                <c:pt idx="945">
                  <c:v>2.0884691827731229E-3</c:v>
                </c:pt>
                <c:pt idx="946">
                  <c:v>2.0596921980647496E-3</c:v>
                </c:pt>
                <c:pt idx="947">
                  <c:v>2.0312723328457802E-3</c:v>
                </c:pt>
                <c:pt idx="948">
                  <c:v>2.0032066364585057E-3</c:v>
                </c:pt>
                <c:pt idx="949">
                  <c:v>1.9754921565422559E-3</c:v>
                </c:pt>
                <c:pt idx="950">
                  <c:v>1.9481259395803629E-3</c:v>
                </c:pt>
                <c:pt idx="951">
                  <c:v>1.9211050314389129E-3</c:v>
                </c:pt>
                <c:pt idx="952">
                  <c:v>1.8944264778973643E-3</c:v>
                </c:pt>
                <c:pt idx="953">
                  <c:v>1.8680873251710169E-3</c:v>
                </c:pt>
                <c:pt idx="954">
                  <c:v>1.8420846204252423E-3</c:v>
                </c:pt>
                <c:pt idx="955">
                  <c:v>1.8164154122815707E-3</c:v>
                </c:pt>
                <c:pt idx="956">
                  <c:v>1.7910767513155713E-3</c:v>
                </c:pt>
                <c:pt idx="957">
                  <c:v>1.7660656905465061E-3</c:v>
                </c:pt>
                <c:pt idx="958">
                  <c:v>1.7413792859188304E-3</c:v>
                </c:pt>
                <c:pt idx="959">
                  <c:v>1.7170145967754112E-3</c:v>
                </c:pt>
                <c:pt idx="960">
                  <c:v>1.6929686863226213E-3</c:v>
                </c:pt>
                <c:pt idx="961">
                  <c:v>1.6692386220872083E-3</c:v>
                </c:pt>
                <c:pt idx="962">
                  <c:v>1.6458214763649659E-3</c:v>
                </c:pt>
                <c:pt idx="963">
                  <c:v>1.6227143266612887E-3</c:v>
                </c:pt>
                <c:pt idx="964">
                  <c:v>1.5999142561234797E-3</c:v>
                </c:pt>
                <c:pt idx="965">
                  <c:v>1.5774183539649916E-3</c:v>
                </c:pt>
                <c:pt idx="966">
                  <c:v>1.5552237158815035E-3</c:v>
                </c:pt>
                <c:pt idx="967">
                  <c:v>1.5333274444588971E-3</c:v>
                </c:pt>
                <c:pt idx="968">
                  <c:v>1.5117266495731732E-3</c:v>
                </c:pt>
                <c:pt idx="969">
                  <c:v>1.4904184487822528E-3</c:v>
                </c:pt>
                <c:pt idx="970">
                  <c:v>1.4693999677098109E-3</c:v>
                </c:pt>
                <c:pt idx="971">
                  <c:v>1.4486683404210641E-3</c:v>
                </c:pt>
                <c:pt idx="972">
                  <c:v>1.4282207097905976E-3</c:v>
                </c:pt>
                <c:pt idx="973">
                  <c:v>1.40805422786227E-3</c:v>
                </c:pt>
                <c:pt idx="974">
                  <c:v>1.3881660562011619E-3</c:v>
                </c:pt>
                <c:pt idx="975">
                  <c:v>1.3685533662377096E-3</c:v>
                </c:pt>
                <c:pt idx="976">
                  <c:v>1.3492133396039733E-3</c:v>
                </c:pt>
                <c:pt idx="977">
                  <c:v>1.3301431684621288E-3</c:v>
                </c:pt>
                <c:pt idx="978">
                  <c:v>1.3113400558252164E-3</c:v>
                </c:pt>
                <c:pt idx="979">
                  <c:v>1.2928012158701459E-3</c:v>
                </c:pt>
                <c:pt idx="980">
                  <c:v>1.2745238742430849E-3</c:v>
                </c:pt>
                <c:pt idx="981">
                  <c:v>1.2565052683572117E-3</c:v>
                </c:pt>
                <c:pt idx="982">
                  <c:v>1.2387426476828918E-3</c:v>
                </c:pt>
                <c:pt idx="983">
                  <c:v>1.2212332740303806E-3</c:v>
                </c:pt>
                <c:pt idx="984">
                  <c:v>1.2039744218249923E-3</c:v>
                </c:pt>
                <c:pt idx="985">
                  <c:v>1.1869633783749183E-3</c:v>
                </c:pt>
                <c:pt idx="986">
                  <c:v>1.1701974441316577E-3</c:v>
                </c:pt>
                <c:pt idx="987">
                  <c:v>1.1536739329431466E-3</c:v>
                </c:pt>
                <c:pt idx="988">
                  <c:v>1.1373901722996627E-3</c:v>
                </c:pt>
                <c:pt idx="989">
                  <c:v>1.1213435035724994E-3</c:v>
                </c:pt>
                <c:pt idx="990">
                  <c:v>1.1055312822455519E-3</c:v>
                </c:pt>
                <c:pt idx="991">
                  <c:v>1.0899508781398197E-3</c:v>
                </c:pt>
                <c:pt idx="992">
                  <c:v>1.0745996756308957E-3</c:v>
                </c:pt>
                <c:pt idx="993">
                  <c:v>1.0594750738595362E-3</c:v>
                </c:pt>
                <c:pt idx="994">
                  <c:v>1.0445744869353091E-3</c:v>
                </c:pt>
                <c:pt idx="995">
                  <c:v>1.029895344133469E-3</c:v>
                </c:pt>
                <c:pt idx="996">
                  <c:v>1.0154350900850565E-3</c:v>
                </c:pt>
                <c:pt idx="997">
                  <c:v>1.0011911849603272E-3</c:v>
                </c:pt>
                <c:pt idx="998">
                  <c:v>9.8716110464557374E-4</c:v>
                </c:pt>
                <c:pt idx="999">
                  <c:v>9.7334234091336707E-4</c:v>
                </c:pt>
                <c:pt idx="1000">
                  <c:v>9.597324015863612E-4</c:v>
                </c:pt>
                <c:pt idx="1001">
                  <c:v>9.4632881069467054E-4</c:v>
                </c:pt>
                <c:pt idx="1002">
                  <c:v>9.3312910862690564E-4</c:v>
                </c:pt>
                <c:pt idx="1003">
                  <c:v>9.2013085227497749E-4</c:v>
                </c:pt>
                <c:pt idx="1004">
                  <c:v>9.0733161517265375E-4</c:v>
                </c:pt>
                <c:pt idx="1005">
                  <c:v>8.947289876280487E-4</c:v>
                </c:pt>
                <c:pt idx="1006">
                  <c:v>8.8232057685004041E-4</c:v>
                </c:pt>
                <c:pt idx="1007">
                  <c:v>8.7010400706871976E-4</c:v>
                </c:pt>
                <c:pt idx="1008">
                  <c:v>8.5807691964995552E-4</c:v>
                </c:pt>
                <c:pt idx="1009">
                  <c:v>8.4623697320410952E-4</c:v>
                </c:pt>
                <c:pt idx="1010">
                  <c:v>8.34581843689031E-4</c:v>
                </c:pt>
                <c:pt idx="1011">
                  <c:v>8.2310922450737312E-4</c:v>
                </c:pt>
                <c:pt idx="1012">
                  <c:v>8.1181682659830676E-4</c:v>
                </c:pt>
                <c:pt idx="1013">
                  <c:v>8.0070237852373528E-4</c:v>
                </c:pt>
                <c:pt idx="1014">
                  <c:v>7.8976362654903951E-4</c:v>
                </c:pt>
                <c:pt idx="1015">
                  <c:v>7.7899833471848745E-4</c:v>
                </c:pt>
                <c:pt idx="1016">
                  <c:v>7.6840428492534188E-4</c:v>
                </c:pt>
                <c:pt idx="1017">
                  <c:v>7.579792769767641E-4</c:v>
                </c:pt>
                <c:pt idx="1018">
                  <c:v>7.4772112865359799E-4</c:v>
                </c:pt>
                <c:pt idx="1019">
                  <c:v>7.3762767576507338E-4</c:v>
                </c:pt>
                <c:pt idx="1020">
                  <c:v>7.2769677219856606E-4</c:v>
                </c:pt>
                <c:pt idx="1021">
                  <c:v>7.1792628996444527E-4</c:v>
                </c:pt>
                <c:pt idx="1022">
                  <c:v>7.0831411923610648E-4</c:v>
                </c:pt>
                <c:pt idx="1023">
                  <c:v>6.9885816838527654E-4</c:v>
                </c:pt>
                <c:pt idx="1024">
                  <c:v>6.8955636401263039E-4</c:v>
                </c:pt>
                <c:pt idx="1025">
                  <c:v>6.804066509738582E-4</c:v>
                </c:pt>
                <c:pt idx="1026">
                  <c:v>6.7140699240120824E-4</c:v>
                </c:pt>
                <c:pt idx="1027">
                  <c:v>6.6255536972060841E-4</c:v>
                </c:pt>
                <c:pt idx="1028">
                  <c:v>6.538497826644522E-4</c:v>
                </c:pt>
                <c:pt idx="1029">
                  <c:v>6.4528824928008978E-4</c:v>
                </c:pt>
                <c:pt idx="1030">
                  <c:v>6.3686880593415228E-4</c:v>
                </c:pt>
                <c:pt idx="1031">
                  <c:v>6.2858950731275206E-4</c:v>
                </c:pt>
                <c:pt idx="1032">
                  <c:v>6.2044842641764675E-4</c:v>
                </c:pt>
                <c:pt idx="1033">
                  <c:v>6.1244365455845231E-4</c:v>
                </c:pt>
                <c:pt idx="1034">
                  <c:v>6.045733013409566E-4</c:v>
                </c:pt>
                <c:pt idx="1035">
                  <c:v>5.968354946516471E-4</c:v>
                </c:pt>
                <c:pt idx="1036">
                  <c:v>5.8922838063850229E-4</c:v>
                </c:pt>
                <c:pt idx="1037">
                  <c:v>5.8175012368812627E-4</c:v>
                </c:pt>
                <c:pt idx="1038">
                  <c:v>5.7439890639932446E-4</c:v>
                </c:pt>
                <c:pt idx="1039">
                  <c:v>5.6717292955315072E-4</c:v>
                </c:pt>
                <c:pt idx="1040">
                  <c:v>5.6007041207955502E-4</c:v>
                </c:pt>
                <c:pt idx="1041">
                  <c:v>5.5308959102066599E-4</c:v>
                </c:pt>
                <c:pt idx="1042">
                  <c:v>5.4622872149080075E-4</c:v>
                </c:pt>
                <c:pt idx="1043">
                  <c:v>5.3948607663327974E-4</c:v>
                </c:pt>
                <c:pt idx="1044">
                  <c:v>5.3285994757409276E-4</c:v>
                </c:pt>
                <c:pt idx="1045">
                  <c:v>5.2634864337253141E-4</c:v>
                </c:pt>
                <c:pt idx="1046">
                  <c:v>5.1995049096882553E-4</c:v>
                </c:pt>
                <c:pt idx="1047">
                  <c:v>5.1366383512886876E-4</c:v>
                </c:pt>
                <c:pt idx="1048">
                  <c:v>5.0748703838611583E-4</c:v>
                </c:pt>
                <c:pt idx="1049">
                  <c:v>5.0141848098068887E-4</c:v>
                </c:pt>
                <c:pt idx="1050">
                  <c:v>4.9545656079580836E-4</c:v>
                </c:pt>
                <c:pt idx="1051">
                  <c:v>4.8959969329152235E-4</c:v>
                </c:pt>
                <c:pt idx="1052">
                  <c:v>4.8384631143623771E-4</c:v>
                </c:pt>
                <c:pt idx="1053">
                  <c:v>4.7819486563487447E-4</c:v>
                </c:pt>
                <c:pt idx="1054">
                  <c:v>4.7264382365577284E-4</c:v>
                </c:pt>
                <c:pt idx="1055">
                  <c:v>4.6719167055431546E-4</c:v>
                </c:pt>
                <c:pt idx="1056">
                  <c:v>4.6183690859487856E-4</c:v>
                </c:pt>
                <c:pt idx="1057">
                  <c:v>4.565780571700234E-4</c:v>
                </c:pt>
                <c:pt idx="1058">
                  <c:v>4.5141365271774748E-4</c:v>
                </c:pt>
                <c:pt idx="1059">
                  <c:v>4.4634224863716876E-4</c:v>
                </c:pt>
                <c:pt idx="1060">
                  <c:v>4.4136241520118782E-4</c:v>
                </c:pt>
                <c:pt idx="1061">
                  <c:v>4.3647273946797246E-4</c:v>
                </c:pt>
                <c:pt idx="1062">
                  <c:v>4.3167182519023375E-4</c:v>
                </c:pt>
                <c:pt idx="1063">
                  <c:v>4.2695829272270541E-4</c:v>
                </c:pt>
                <c:pt idx="1064">
                  <c:v>4.2233077892786004E-4</c:v>
                </c:pt>
                <c:pt idx="1065">
                  <c:v>4.1778793707990518E-4</c:v>
                </c:pt>
                <c:pt idx="1066">
                  <c:v>4.1332843676712385E-4</c:v>
                </c:pt>
                <c:pt idx="1067">
                  <c:v>4.0895096379262898E-4</c:v>
                </c:pt>
                <c:pt idx="1068">
                  <c:v>4.046542200735643E-4</c:v>
                </c:pt>
                <c:pt idx="1069">
                  <c:v>4.0043692353884674E-4</c:v>
                </c:pt>
                <c:pt idx="1070">
                  <c:v>3.9629780802547573E-4</c:v>
                </c:pt>
                <c:pt idx="1071">
                  <c:v>3.9223562317348168E-4</c:v>
                </c:pt>
                <c:pt idx="1072">
                  <c:v>3.8824913431957111E-4</c:v>
                </c:pt>
                <c:pt idx="1073">
                  <c:v>3.8433712238950787E-4</c:v>
                </c:pt>
                <c:pt idx="1074">
                  <c:v>3.8049838378930432E-4</c:v>
                </c:pt>
                <c:pt idx="1075">
                  <c:v>3.7673173029526615E-4</c:v>
                </c:pt>
                <c:pt idx="1076">
                  <c:v>3.7303598894293999E-4</c:v>
                </c:pt>
                <c:pt idx="1077">
                  <c:v>3.6941000191502936E-4</c:v>
                </c:pt>
                <c:pt idx="1078">
                  <c:v>3.6585262642830908E-4</c:v>
                </c:pt>
                <c:pt idx="1079">
                  <c:v>3.6236273461961207E-4</c:v>
                </c:pt>
                <c:pt idx="1080">
                  <c:v>3.589392134309222E-4</c:v>
                </c:pt>
                <c:pt idx="1081">
                  <c:v>3.5558096449362741E-4</c:v>
                </c:pt>
                <c:pt idx="1082">
                  <c:v>3.5228690401198609E-4</c:v>
                </c:pt>
                <c:pt idx="1083">
                  <c:v>3.4905596264583861E-4</c:v>
                </c:pt>
                <c:pt idx="1084">
                  <c:v>3.458870853926326E-4</c:v>
                </c:pt>
                <c:pt idx="1085">
                  <c:v>3.4277923146878986E-4</c:v>
                </c:pt>
                <c:pt idx="1086">
                  <c:v>3.3973137419046878E-4</c:v>
                </c:pt>
                <c:pt idx="1087">
                  <c:v>3.3674250085376711E-4</c:v>
                </c:pt>
                <c:pt idx="1088">
                  <c:v>3.3381161261439838E-4</c:v>
                </c:pt>
                <c:pt idx="1089">
                  <c:v>3.3093772436690154E-4</c:v>
                </c:pt>
                <c:pt idx="1090">
                  <c:v>3.2811986462341175E-4</c:v>
                </c:pt>
                <c:pt idx="1091">
                  <c:v>3.2535707539203883E-4</c:v>
                </c:pt>
                <c:pt idx="1092">
                  <c:v>3.2264841205489805E-4</c:v>
                </c:pt>
                <c:pt idx="1093">
                  <c:v>3.1999294324582119E-4</c:v>
                </c:pt>
                <c:pt idx="1094">
                  <c:v>3.1738975072780008E-4</c:v>
                </c:pt>
                <c:pt idx="1095">
                  <c:v>3.1483792927019518E-4</c:v>
                </c:pt>
                <c:pt idx="1096">
                  <c:v>3.1233658652574223E-4</c:v>
                </c:pt>
                <c:pt idx="1097">
                  <c:v>3.0988484290740475E-4</c:v>
                </c:pt>
                <c:pt idx="1098">
                  <c:v>3.0748183146509401E-4</c:v>
                </c:pt>
                <c:pt idx="1099">
                  <c:v>3.0512669776230471E-4</c:v>
                </c:pt>
                <c:pt idx="1100">
                  <c:v>3.0281859975269504E-4</c:v>
                </c:pt>
                <c:pt idx="1101">
                  <c:v>3.0055670765664216E-4</c:v>
                </c:pt>
                <c:pt idx="1102">
                  <c:v>2.9834020383781562E-4</c:v>
                </c:pt>
                <c:pt idx="1103">
                  <c:v>2.9616828267978591E-4</c:v>
                </c:pt>
                <c:pt idx="1104">
                  <c:v>2.9404015046271691E-4</c:v>
                </c:pt>
                <c:pt idx="1105">
                  <c:v>2.9195502524015924E-4</c:v>
                </c:pt>
                <c:pt idx="1106">
                  <c:v>2.8991213671598285E-4</c:v>
                </c:pt>
                <c:pt idx="1107">
                  <c:v>2.8791072612147642E-4</c:v>
                </c:pt>
                <c:pt idx="1108">
                  <c:v>2.8595004609263599E-4</c:v>
                </c:pt>
                <c:pt idx="1109">
                  <c:v>2.8402936054768355E-4</c:v>
                </c:pt>
                <c:pt idx="1110">
                  <c:v>2.8214794456483087E-4</c:v>
                </c:pt>
                <c:pt idx="1111">
                  <c:v>2.8030508426032122E-4</c:v>
                </c:pt>
                <c:pt idx="1112">
                  <c:v>2.7850007666677589E-4</c:v>
                </c:pt>
                <c:pt idx="1113">
                  <c:v>2.7673222961186388E-4</c:v>
                </c:pt>
                <c:pt idx="1114">
                  <c:v>2.7500086159732925E-4</c:v>
                </c:pt>
                <c:pt idx="1115">
                  <c:v>2.7330530167839185E-4</c:v>
                </c:pt>
                <c:pt idx="1116">
                  <c:v>2.716448893435493E-4</c:v>
                </c:pt>
                <c:pt idx="1117">
                  <c:v>2.7001897439480265E-4</c:v>
                </c:pt>
                <c:pt idx="1118">
                  <c:v>2.6842691682832229E-4</c:v>
                </c:pt>
                <c:pt idx="1119">
                  <c:v>2.6686808671558504E-4</c:v>
                </c:pt>
                <c:pt idx="1120">
                  <c:v>2.6534186408499485E-4</c:v>
                </c:pt>
                <c:pt idx="1121">
                  <c:v>2.6384763880401055E-4</c:v>
                </c:pt>
                <c:pt idx="1122">
                  <c:v>2.6238481046180298E-4</c:v>
                </c:pt>
                <c:pt idx="1123">
                  <c:v>2.6095278825245198E-4</c:v>
                </c:pt>
                <c:pt idx="1124">
                  <c:v>2.5955099085871213E-4</c:v>
                </c:pt>
                <c:pt idx="1125">
                  <c:v>2.5817884633635697E-4</c:v>
                </c:pt>
                <c:pt idx="1126">
                  <c:v>2.5683579199912277E-4</c:v>
                </c:pt>
                <c:pt idx="1127">
                  <c:v>2.5552127430426814E-4</c:v>
                </c:pt>
                <c:pt idx="1128">
                  <c:v>2.5423474873876179E-4</c:v>
                </c:pt>
                <c:pt idx="1129">
                  <c:v>2.5297567970611974E-4</c:v>
                </c:pt>
                <c:pt idx="1130">
                  <c:v>2.5174354041390299E-4</c:v>
                </c:pt>
                <c:pt idx="1131">
                  <c:v>2.5053781276189007E-4</c:v>
                </c:pt>
                <c:pt idx="1132">
                  <c:v>2.4935798723094084E-4</c:v>
                </c:pt>
                <c:pt idx="1133">
                  <c:v>2.4820356277256028E-4</c:v>
                </c:pt>
                <c:pt idx="1134">
                  <c:v>2.4707404669918018E-4</c:v>
                </c:pt>
                <c:pt idx="1135">
                  <c:v>2.4596895457516734E-4</c:v>
                </c:pt>
                <c:pt idx="1136">
                  <c:v>2.4488781010857143E-4</c:v>
                </c:pt>
                <c:pt idx="1137">
                  <c:v>2.4383014504362411E-4</c:v>
                </c:pt>
                <c:pt idx="1138">
                  <c:v>2.4279549905399715E-4</c:v>
                </c:pt>
                <c:pt idx="1139">
                  <c:v>2.4178341963683472E-4</c:v>
                </c:pt>
                <c:pt idx="1140">
                  <c:v>2.4079346200756539E-4</c:v>
                </c:pt>
                <c:pt idx="1141">
                  <c:v>2.3982518899550459E-4</c:v>
                </c:pt>
                <c:pt idx="1142">
                  <c:v>2.3887817094025862E-4</c:v>
                </c:pt>
                <c:pt idx="1143">
                  <c:v>2.3795198558893189E-4</c:v>
                </c:pt>
                <c:pt idx="1144">
                  <c:v>2.3704621799415423E-4</c:v>
                </c:pt>
                <c:pt idx="1145">
                  <c:v>2.3616046041292912E-4</c:v>
                </c:pt>
                <c:pt idx="1146">
                  <c:v>2.3529431220631173E-4</c:v>
                </c:pt>
                <c:pt idx="1147">
                  <c:v>2.3444737973992582E-4</c:v>
                </c:pt>
                <c:pt idx="1148">
                  <c:v>2.3361927628532021E-4</c:v>
                </c:pt>
                <c:pt idx="1149">
                  <c:v>2.3280962192217695E-4</c:v>
                </c:pt>
                <c:pt idx="1150">
                  <c:v>2.3201804344137247E-4</c:v>
                </c:pt>
                <c:pt idx="1151">
                  <c:v>2.3124417424889751E-4</c:v>
                </c:pt>
                <c:pt idx="1152">
                  <c:v>2.3048765427064212E-4</c:v>
                </c:pt>
                <c:pt idx="1153">
                  <c:v>2.2974812985804654E-4</c:v>
                </c:pt>
                <c:pt idx="1154">
                  <c:v>2.2902525369462596E-4</c:v>
                </c:pt>
                <c:pt idx="1155">
                  <c:v>2.2831868470336958E-4</c:v>
                </c:pt>
                <c:pt idx="1156">
                  <c:v>2.276280879550185E-4</c:v>
                </c:pt>
                <c:pt idx="1157">
                  <c:v>2.2695313457722554E-4</c:v>
                </c:pt>
                <c:pt idx="1158">
                  <c:v>2.2629350166459739E-4</c:v>
                </c:pt>
                <c:pt idx="1159">
                  <c:v>2.2564887218962421E-4</c:v>
                </c:pt>
                <c:pt idx="1160">
                  <c:v>2.2501893491449628E-4</c:v>
                </c:pt>
                <c:pt idx="1161">
                  <c:v>2.2440338430381013E-4</c:v>
                </c:pt>
                <c:pt idx="1162">
                  <c:v>2.2380192043816555E-4</c:v>
                </c:pt>
                <c:pt idx="1163">
                  <c:v>2.232142489286526E-4</c:v>
                </c:pt>
                <c:pt idx="1164">
                  <c:v>2.2264008083223232E-4</c:v>
                </c:pt>
                <c:pt idx="1165">
                  <c:v>2.2207913256800846E-4</c:v>
                </c:pt>
                <c:pt idx="1166">
                  <c:v>2.2153112583439189E-4</c:v>
                </c:pt>
                <c:pt idx="1167">
                  <c:v>2.2099578752715751E-4</c:v>
                </c:pt>
                <c:pt idx="1168">
                  <c:v>2.2047284965839137E-4</c:v>
                </c:pt>
                <c:pt idx="1169">
                  <c:v>2.1996204927632977E-4</c:v>
                </c:pt>
                <c:pt idx="1170">
                  <c:v>2.1946312838608755E-4</c:v>
                </c:pt>
                <c:pt idx="1171">
                  <c:v>2.1897583387127454E-4</c:v>
                </c:pt>
                <c:pt idx="1172">
                  <c:v>2.1849991741649971E-4</c:v>
                </c:pt>
                <c:pt idx="1173">
                  <c:v>2.1803513543075889E-4</c:v>
                </c:pt>
                <c:pt idx="1174">
                  <c:v>2.1758124897170724E-4</c:v>
                </c:pt>
                <c:pt idx="1175">
                  <c:v>2.1713802367081175E-4</c:v>
                </c:pt>
                <c:pt idx="1176">
                  <c:v>2.1670522965938215E-4</c:v>
                </c:pt>
                <c:pt idx="1177">
                  <c:v>2.1628264149547852E-4</c:v>
                </c:pt>
                <c:pt idx="1178">
                  <c:v>2.1587003809169059E-4</c:v>
                </c:pt>
                <c:pt idx="1179">
                  <c:v>2.154672026437882E-4</c:v>
                </c:pt>
                <c:pt idx="1180">
                  <c:v>2.1507392256023793E-4</c:v>
                </c:pt>
                <c:pt idx="1181">
                  <c:v>2.1468998939258298E-4</c:v>
                </c:pt>
                <c:pt idx="1182">
                  <c:v>2.1431519876668372E-4</c:v>
                </c:pt>
                <c:pt idx="1183">
                  <c:v>2.1394935031481267E-4</c:v>
                </c:pt>
                <c:pt idx="1184">
                  <c:v>2.1359224760860311E-4</c:v>
                </c:pt>
                <c:pt idx="1185">
                  <c:v>2.1324369809284466E-4</c:v>
                </c:pt>
                <c:pt idx="1186">
                  <c:v>2.1290351302012309E-4</c:v>
                </c:pt>
                <c:pt idx="1187">
                  <c:v>2.1257150738629958E-4</c:v>
                </c:pt>
                <c:pt idx="1188">
                  <c:v>2.1224749986682406E-4</c:v>
                </c:pt>
                <c:pt idx="1189">
                  <c:v>2.1193131275387963E-4</c:v>
                </c:pt>
                <c:pt idx="1190">
                  <c:v>2.1162277189435151E-4</c:v>
                </c:pt>
                <c:pt idx="1191">
                  <c:v>2.1132170662861694E-4</c:v>
                </c:pt>
                <c:pt idx="1192">
                  <c:v>2.1102794973015023E-4</c:v>
                </c:pt>
                <c:pt idx="1193">
                  <c:v>2.1074133734593745E-4</c:v>
                </c:pt>
                <c:pt idx="1194">
                  <c:v>2.1046170893769664E-4</c:v>
                </c:pt>
                <c:pt idx="1195">
                  <c:v>2.1018890722389699E-4</c:v>
                </c:pt>
                <c:pt idx="1196">
                  <c:v>2.0992277812257194E-4</c:v>
                </c:pt>
                <c:pt idx="1197">
                  <c:v>2.0966317069492094E-4</c:v>
                </c:pt>
                <c:pt idx="1198">
                  <c:v>2.0940993708969309E-4</c:v>
                </c:pt>
                <c:pt idx="1199">
                  <c:v>2.0916293248834805E-4</c:v>
                </c:pt>
                <c:pt idx="1200">
                  <c:v>2.0892201505098764E-4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6CD-4FB6-B3EC-2366FC1ED568}"/>
            </c:ext>
          </c:extLst>
        </c:ser>
        <c:ser>
          <c:idx val="10"/>
          <c:order val="10"/>
          <c:tx>
            <c:strRef>
              <c:f>ChartCalculations!$L$1</c:f>
              <c:strCache>
                <c:ptCount val="1"/>
                <c:pt idx="0">
                  <c:v>Ind Norml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ChartCalculations!$L$2:$L$1214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2.3805851748911605E-8</c:v>
                </c:pt>
                <c:pt idx="204">
                  <c:v>3.4819876811639309E-8</c:v>
                </c:pt>
                <c:pt idx="205">
                  <c:v>5.0626906481441262E-8</c:v>
                </c:pt>
                <c:pt idx="206">
                  <c:v>7.3172215824488676E-8</c:v>
                </c:pt>
                <c:pt idx="207">
                  <c:v>1.0512879280731645E-7</c:v>
                </c:pt>
                <c:pt idx="208">
                  <c:v>1.5014393828948943E-7</c:v>
                </c:pt>
                <c:pt idx="209">
                  <c:v>2.1315944663648844E-7</c:v>
                </c:pt>
                <c:pt idx="210">
                  <c:v>3.0082368024412636E-7</c:v>
                </c:pt>
                <c:pt idx="211">
                  <c:v>4.2201716049416298E-7</c:v>
                </c:pt>
                <c:pt idx="212">
                  <c:v>5.8851678944261736E-7</c:v>
                </c:pt>
                <c:pt idx="213">
                  <c:v>8.1582734539761121E-7</c:v>
                </c:pt>
                <c:pt idx="214">
                  <c:v>1.1242122526756279E-6</c:v>
                </c:pt>
                <c:pt idx="215">
                  <c:v>1.5399585291541923E-6</c:v>
                </c:pt>
                <c:pt idx="216">
                  <c:v>2.0969129015438107E-6</c:v>
                </c:pt>
                <c:pt idx="217">
                  <c:v>2.8383268990376932E-6</c:v>
                </c:pt>
                <c:pt idx="218">
                  <c:v>3.8190477586092945E-6</c:v>
                </c:pt>
                <c:pt idx="219">
                  <c:v>5.1080885920013328E-6</c:v>
                </c:pt>
                <c:pt idx="220">
                  <c:v>6.7916048109190187E-6</c:v>
                </c:pt>
                <c:pt idx="221">
                  <c:v>8.9762935917751013E-6</c:v>
                </c:pt>
                <c:pt idx="222">
                  <c:v>1.1793218509197585E-5</c:v>
                </c:pt>
                <c:pt idx="223">
                  <c:v>1.5402041775597036E-5</c:v>
                </c:pt>
                <c:pt idx="224">
                  <c:v>1.9995621332188422E-5</c:v>
                </c:pt>
                <c:pt idx="225">
                  <c:v>2.5804899109125499E-5</c:v>
                </c:pt>
                <c:pt idx="226">
                  <c:v>3.3103970187618331E-5</c:v>
                </c:pt>
                <c:pt idx="227">
                  <c:v>4.2215180842001023E-5</c:v>
                </c:pt>
                <c:pt idx="228">
                  <c:v>5.351405749914055E-5</c:v>
                </c:pt>
                <c:pt idx="229">
                  <c:v>6.7433820084845711E-5</c:v>
                </c:pt>
                <c:pt idx="230">
                  <c:v>8.4469184217201125E-5</c:v>
                </c:pt>
                <c:pt idx="231">
                  <c:v>1.0517911008440596E-4</c:v>
                </c:pt>
                <c:pt idx="232">
                  <c:v>1.3018811505425036E-4</c:v>
                </c:pt>
                <c:pt idx="233">
                  <c:v>1.6018573607680595E-4</c:v>
                </c:pt>
                <c:pt idx="234">
                  <c:v>1.9592371111168776E-4</c:v>
                </c:pt>
                <c:pt idx="235">
                  <c:v>2.382104506433363E-4</c:v>
                </c:pt>
                <c:pt idx="236">
                  <c:v>2.8790239521750595E-4</c:v>
                </c:pt>
                <c:pt idx="237">
                  <c:v>3.4589190673540125E-4</c:v>
                </c:pt>
                <c:pt idx="238">
                  <c:v>4.1309142300169029E-4</c:v>
                </c:pt>
                <c:pt idx="239">
                  <c:v>4.9041371847626219E-4</c:v>
                </c:pt>
                <c:pt idx="240">
                  <c:v>5.7874825937245995E-4</c:v>
                </c:pt>
                <c:pt idx="241">
                  <c:v>6.7893381617059481E-4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7.4006986275011234E-4</c:v>
                </c:pt>
                <c:pt idx="294">
                  <c:v>6.3295841723354598E-4</c:v>
                </c:pt>
                <c:pt idx="295">
                  <c:v>5.381313519060687E-4</c:v>
                </c:pt>
                <c:pt idx="296">
                  <c:v>4.5479121353565537E-4</c:v>
                </c:pt>
                <c:pt idx="297">
                  <c:v>3.8207312562088449E-4</c:v>
                </c:pt>
                <c:pt idx="298">
                  <c:v>3.190741139289987E-4</c:v>
                </c:pt>
                <c:pt idx="299">
                  <c:v>2.6487886546974174E-4</c:v>
                </c:pt>
                <c:pt idx="300">
                  <c:v>2.1858164917039927E-4</c:v>
                </c:pt>
                <c:pt idx="301">
                  <c:v>1.7930431626326864E-4</c:v>
                </c:pt>
                <c:pt idx="302">
                  <c:v>1.4621046051911915E-4</c:v>
                </c:pt>
                <c:pt idx="303">
                  <c:v>1.1851594968509882E-4</c:v>
                </c:pt>
                <c:pt idx="304">
                  <c:v>9.549613875883413E-5</c:v>
                </c:pt>
                <c:pt idx="305">
                  <c:v>7.649014389502397E-5</c:v>
                </c:pt>
                <c:pt idx="306">
                  <c:v>6.0902595156706409E-5</c:v>
                </c:pt>
                <c:pt idx="307">
                  <c:v>4.8203300451240783E-5</c:v>
                </c:pt>
                <c:pt idx="308">
                  <c:v>3.7925245985446422E-5</c:v>
                </c:pt>
                <c:pt idx="309">
                  <c:v>2.9661334909312955E-5</c:v>
                </c:pt>
                <c:pt idx="310">
                  <c:v>2.3060229961852582E-5</c:v>
                </c:pt>
                <c:pt idx="311">
                  <c:v>1.7821622092364005E-5</c:v>
                </c:pt>
                <c:pt idx="312">
                  <c:v>1.3691198958668459E-5</c:v>
                </c:pt>
                <c:pt idx="313">
                  <c:v>1.0455538079210512E-5</c:v>
                </c:pt>
                <c:pt idx="314">
                  <c:v>7.9371017825469822E-6</c:v>
                </c:pt>
                <c:pt idx="315">
                  <c:v>5.9894668580118515E-6</c:v>
                </c:pt>
                <c:pt idx="316">
                  <c:v>4.4928822609379994E-6</c:v>
                </c:pt>
                <c:pt idx="317">
                  <c:v>3.3502141179167022E-6</c:v>
                </c:pt>
                <c:pt idx="318">
                  <c:v>2.483308906489092E-6</c:v>
                </c:pt>
                <c:pt idx="319">
                  <c:v>1.8297829770762559E-6</c:v>
                </c:pt>
                <c:pt idx="320">
                  <c:v>1.3402291967432497E-6</c:v>
                </c:pt>
                <c:pt idx="321">
                  <c:v>9.7581889150698867E-7</c:v>
                </c:pt>
                <c:pt idx="322">
                  <c:v>7.0626880361158143E-7</c:v>
                </c:pt>
                <c:pt idx="323">
                  <c:v>5.0813777380724926E-7</c:v>
                </c:pt>
                <c:pt idx="324">
                  <c:v>3.6341562234038581E-7</c:v>
                </c:pt>
                <c:pt idx="325">
                  <c:v>2.5836659382043159E-7</c:v>
                </c:pt>
                <c:pt idx="326">
                  <c:v>1.8259117436798837E-7</c:v>
                </c:pt>
                <c:pt idx="327">
                  <c:v>1.2827258859712613E-7</c:v>
                </c:pt>
                <c:pt idx="328">
                  <c:v>8.9577428571878595E-8</c:v>
                </c:pt>
                <c:pt idx="329">
                  <c:v>6.2183330469348898E-8</c:v>
                </c:pt>
                <c:pt idx="330">
                  <c:v>4.2910148847382063E-8</c:v>
                </c:pt>
                <c:pt idx="331">
                  <c:v>2.9434503764029862E-8</c:v>
                </c:pt>
                <c:pt idx="332">
                  <c:v>2.0070771697504793E-8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6CD-4FB6-B3EC-2366FC1ED568}"/>
            </c:ext>
          </c:extLst>
        </c:ser>
        <c:ser>
          <c:idx val="11"/>
          <c:order val="11"/>
          <c:tx>
            <c:strRef>
              <c:f>ChartCalculations!$M$1</c:f>
              <c:strCache>
                <c:ptCount val="1"/>
                <c:pt idx="0">
                  <c:v>Ind Norm Tails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ChartCalculations!$M$2:$M$1214</c:f>
              <c:numCache>
                <c:formatCode>General</c:formatCode>
                <c:ptCount val="12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7.9172769694253644E-4</c:v>
                </c:pt>
                <c:pt idx="243">
                  <c:v>9.1777218380173704E-4</c:v>
                </c:pt>
                <c:pt idx="244">
                  <c:v>1.0575589830298931E-3</c:v>
                </c:pt>
                <c:pt idx="245">
                  <c:v>1.2113927254555144E-3</c:v>
                </c:pt>
                <c:pt idx="246">
                  <c:v>1.3793547640942028E-3</c:v>
                </c:pt>
                <c:pt idx="247">
                  <c:v>1.5612686963123695E-3</c:v>
                </c:pt>
                <c:pt idx="248">
                  <c:v>1.7566691728617926E-3</c:v>
                </c:pt>
                <c:pt idx="249">
                  <c:v>1.9647756316613775E-3</c:v>
                </c:pt>
                <c:pt idx="250">
                  <c:v>2.1844725974510728E-3</c:v>
                </c:pt>
                <c:pt idx="251">
                  <c:v>2.4142981095178939E-3</c:v>
                </c:pt>
                <c:pt idx="252">
                  <c:v>2.6524416725186425E-3</c:v>
                </c:pt>
                <c:pt idx="253">
                  <c:v>2.896752868734663E-3</c:v>
                </c:pt>
                <c:pt idx="254">
                  <c:v>3.1447614280321326E-3</c:v>
                </c:pt>
                <c:pt idx="255">
                  <c:v>3.393709134303043E-3</c:v>
                </c:pt>
                <c:pt idx="256">
                  <c:v>3.6405934698709739E-3</c:v>
                </c:pt>
                <c:pt idx="257">
                  <c:v>3.8822223831432943E-3</c:v>
                </c:pt>
                <c:pt idx="258">
                  <c:v>4.1152790348766843E-3</c:v>
                </c:pt>
                <c:pt idx="259">
                  <c:v>4.3363948629725367E-3</c:v>
                </c:pt>
                <c:pt idx="260">
                  <c:v>4.5422288342564969E-3</c:v>
                </c:pt>
                <c:pt idx="261">
                  <c:v>4.729550353182177E-3</c:v>
                </c:pt>
                <c:pt idx="262">
                  <c:v>4.8953229982655732E-3</c:v>
                </c:pt>
                <c:pt idx="263">
                  <c:v>5.0367860792809738E-3</c:v>
                </c:pt>
                <c:pt idx="264">
                  <c:v>5.1515309676232433E-3</c:v>
                </c:pt>
                <c:pt idx="265">
                  <c:v>5.2375692570326149E-3</c:v>
                </c:pt>
                <c:pt idx="266">
                  <c:v>5.293390061928277E-3</c:v>
                </c:pt>
                <c:pt idx="267">
                  <c:v>5.3180041470277757E-3</c:v>
                </c:pt>
                <c:pt idx="268">
                  <c:v>5.3109730874447729E-3</c:v>
                </c:pt>
                <c:pt idx="269">
                  <c:v>5.272422258260712E-3</c:v>
                </c:pt>
                <c:pt idx="270">
                  <c:v>5.20303711584228E-3</c:v>
                </c:pt>
                <c:pt idx="271">
                  <c:v>5.1040429250158647E-3</c:v>
                </c:pt>
                <c:pt idx="272">
                  <c:v>4.9771687698550319E-3</c:v>
                </c:pt>
                <c:pt idx="273">
                  <c:v>4.8245973250579978E-3</c:v>
                </c:pt>
                <c:pt idx="274">
                  <c:v>4.6489024263371235E-3</c:v>
                </c:pt>
                <c:pt idx="275">
                  <c:v>4.4529769335510741E-3</c:v>
                </c:pt>
                <c:pt idx="276">
                  <c:v>4.2399537078651756E-3</c:v>
                </c:pt>
                <c:pt idx="277">
                  <c:v>4.013122710388675E-3</c:v>
                </c:pt>
                <c:pt idx="278">
                  <c:v>3.7758472694971214E-3</c:v>
                </c:pt>
                <c:pt idx="279">
                  <c:v>3.5314824610636684E-3</c:v>
                </c:pt>
                <c:pt idx="280">
                  <c:v>3.2832983118351085E-3</c:v>
                </c:pt>
                <c:pt idx="281">
                  <c:v>3.0344101899309971E-3</c:v>
                </c:pt>
                <c:pt idx="282">
                  <c:v>2.7877183120981327E-3</c:v>
                </c:pt>
                <c:pt idx="283">
                  <c:v>2.5458578027138081E-3</c:v>
                </c:pt>
                <c:pt idx="284">
                  <c:v>2.3111602140585322E-3</c:v>
                </c:pt>
                <c:pt idx="285">
                  <c:v>2.0856268902119885E-3</c:v>
                </c:pt>
                <c:pt idx="286">
                  <c:v>1.870914055113344E-3</c:v>
                </c:pt>
                <c:pt idx="287">
                  <c:v>1.6683290522896078E-3</c:v>
                </c:pt>
                <c:pt idx="288">
                  <c:v>1.4788367781365149E-3</c:v>
                </c:pt>
                <c:pt idx="289">
                  <c:v>1.3030750455851647E-3</c:v>
                </c:pt>
                <c:pt idx="290">
                  <c:v>1.1413773978458542E-3</c:v>
                </c:pt>
                <c:pt idx="291">
                  <c:v>9.9380176437058603E-4</c:v>
                </c:pt>
                <c:pt idx="292">
                  <c:v>8.6016330971840213E-4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6CD-4FB6-B3EC-2366FC1ED568}"/>
            </c:ext>
          </c:extLst>
        </c:ser>
        <c:ser>
          <c:idx val="12"/>
          <c:order val="12"/>
          <c:tx>
            <c:strRef>
              <c:f>ChartCalculations!$N$1</c:f>
              <c:strCache>
                <c:ptCount val="1"/>
                <c:pt idx="0">
                  <c:v>CI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Pt>
            <c:idx val="12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66CD-4FB6-B3EC-2366FC1ED568}"/>
              </c:ext>
            </c:extLst>
          </c:dPt>
          <c:dPt>
            <c:idx val="120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66CD-4FB6-B3EC-2366FC1ED568}"/>
              </c:ext>
            </c:extLst>
          </c:dPt>
          <c:dLbls>
            <c:dLbl>
              <c:idx val="1201"/>
              <c:dLblPos val="l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6CD-4FB6-B3EC-2366FC1ED568}"/>
                </c:ext>
              </c:extLst>
            </c:dLbl>
            <c:dLbl>
              <c:idx val="1202"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6CD-4FB6-B3EC-2366FC1ED568}"/>
                </c:ext>
              </c:extLst>
            </c:dLbl>
            <c:dLbl>
              <c:idx val="1203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0" tIns="0" rIns="0" bIns="0" anchor="b" anchorCtr="0">
                  <a:spAutoFit/>
                </a:bodyPr>
                <a:lstStyle/>
                <a:p>
                  <a:pPr algn="ctr"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E-66CD-4FB6-B3EC-2366FC1ED56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b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ChartCalculations!$N$2:$N$1214</c:f>
              <c:numCache>
                <c:formatCode>General</c:formatCode>
                <c:ptCount val="1213"/>
                <c:pt idx="1201">
                  <c:v>7.7926759740047852E-4</c:v>
                </c:pt>
                <c:pt idx="1202">
                  <c:v>7.7926759740047852E-4</c:v>
                </c:pt>
                <c:pt idx="1203">
                  <c:v>7.7926759740047852E-4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6CD-4FB6-B3EC-2366FC1ED568}"/>
            </c:ext>
          </c:extLst>
        </c:ser>
        <c:ser>
          <c:idx val="13"/>
          <c:order val="13"/>
          <c:tx>
            <c:strRef>
              <c:f>ChartCalculations!$O$1</c:f>
              <c:strCache>
                <c:ptCount val="1"/>
                <c:pt idx="0">
                  <c:v>Ranges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1204"/>
              <c:tx>
                <c:rich>
                  <a:bodyPr/>
                  <a:lstStyle/>
                  <a:p>
                    <a:r>
                      <a:rPr lang="en-US"/>
                      <a:t>Extremely</a:t>
                    </a:r>
                  </a:p>
                  <a:p>
                    <a:r>
                      <a:rPr lang="en-US"/>
                      <a:t>Low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66CD-4FB6-B3EC-2366FC1ED568}"/>
                </c:ext>
              </c:extLst>
            </c:dLbl>
            <c:dLbl>
              <c:idx val="1205"/>
              <c:tx>
                <c:rich>
                  <a:bodyPr/>
                  <a:lstStyle/>
                  <a:p>
                    <a:r>
                      <a:rPr lang="en-US"/>
                      <a:t>Very</a:t>
                    </a:r>
                  </a:p>
                  <a:p>
                    <a:r>
                      <a:rPr lang="en-US"/>
                      <a:t>Low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66CD-4FB6-B3EC-2366FC1ED568}"/>
                </c:ext>
              </c:extLst>
            </c:dLbl>
            <c:dLbl>
              <c:idx val="1206"/>
              <c:tx>
                <c:rich>
                  <a:bodyPr/>
                  <a:lstStyle/>
                  <a:p>
                    <a:r>
                      <a:rPr lang="en-US"/>
                      <a:t>Low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66CD-4FB6-B3EC-2366FC1ED568}"/>
                </c:ext>
              </c:extLst>
            </c:dLbl>
            <c:dLbl>
              <c:idx val="1207"/>
              <c:tx>
                <c:rich>
                  <a:bodyPr/>
                  <a:lstStyle/>
                  <a:p>
                    <a:r>
                      <a:rPr lang="en-US"/>
                      <a:t>Low</a:t>
                    </a:r>
                  </a:p>
                  <a:p>
                    <a:r>
                      <a:rPr lang="en-US"/>
                      <a:t>Average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66CD-4FB6-B3EC-2366FC1ED568}"/>
                </c:ext>
              </c:extLst>
            </c:dLbl>
            <c:dLbl>
              <c:idx val="1208"/>
              <c:tx>
                <c:rich>
                  <a:bodyPr/>
                  <a:lstStyle/>
                  <a:p>
                    <a:r>
                      <a:rPr lang="en-US"/>
                      <a:t>Average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66CD-4FB6-B3EC-2366FC1ED568}"/>
                </c:ext>
              </c:extLst>
            </c:dLbl>
            <c:dLbl>
              <c:idx val="1209"/>
              <c:tx>
                <c:rich>
                  <a:bodyPr/>
                  <a:lstStyle/>
                  <a:p>
                    <a:r>
                      <a:rPr lang="en-US"/>
                      <a:t>High Average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66CD-4FB6-B3EC-2366FC1ED568}"/>
                </c:ext>
              </c:extLst>
            </c:dLbl>
            <c:dLbl>
              <c:idx val="1210"/>
              <c:tx>
                <c:rich>
                  <a:bodyPr/>
                  <a:lstStyle/>
                  <a:p>
                    <a:r>
                      <a:rPr lang="en-US"/>
                      <a:t>High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66CD-4FB6-B3EC-2366FC1ED568}"/>
                </c:ext>
              </c:extLst>
            </c:dLbl>
            <c:dLbl>
              <c:idx val="1211"/>
              <c:tx>
                <c:rich>
                  <a:bodyPr/>
                  <a:lstStyle/>
                  <a:p>
                    <a:r>
                      <a:rPr lang="en-US"/>
                      <a:t>Very</a:t>
                    </a:r>
                  </a:p>
                  <a:p>
                    <a:r>
                      <a:rPr lang="en-US"/>
                      <a:t>High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66CD-4FB6-B3EC-2366FC1ED568}"/>
                </c:ext>
              </c:extLst>
            </c:dLbl>
            <c:dLbl>
              <c:idx val="1212"/>
              <c:tx>
                <c:rich>
                  <a:bodyPr/>
                  <a:lstStyle/>
                  <a:p>
                    <a:r>
                      <a:rPr lang="en-US"/>
                      <a:t>Extremely</a:t>
                    </a:r>
                    <a:endParaRPr lang="en-US" baseline="0"/>
                  </a:p>
                  <a:p>
                    <a:r>
                      <a:rPr lang="en-US" baseline="0"/>
                      <a:t>High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66CD-4FB6-B3EC-2366FC1ED5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ChartCalculations!$A$2:$A$1214</c:f>
              <c:numCache>
                <c:formatCode>General</c:formatCode>
                <c:ptCount val="1213"/>
                <c:pt idx="0">
                  <c:v>40</c:v>
                </c:pt>
                <c:pt idx="1">
                  <c:v>40.1</c:v>
                </c:pt>
                <c:pt idx="2">
                  <c:v>40.200000000000003</c:v>
                </c:pt>
                <c:pt idx="3">
                  <c:v>40.299999999999997</c:v>
                </c:pt>
                <c:pt idx="4">
                  <c:v>40.4</c:v>
                </c:pt>
                <c:pt idx="5">
                  <c:v>40.5</c:v>
                </c:pt>
                <c:pt idx="6">
                  <c:v>40.6</c:v>
                </c:pt>
                <c:pt idx="7">
                  <c:v>40.700000000000003</c:v>
                </c:pt>
                <c:pt idx="8">
                  <c:v>40.799999999999997</c:v>
                </c:pt>
                <c:pt idx="9">
                  <c:v>40.9</c:v>
                </c:pt>
                <c:pt idx="10">
                  <c:v>41</c:v>
                </c:pt>
                <c:pt idx="11">
                  <c:v>41.1</c:v>
                </c:pt>
                <c:pt idx="12">
                  <c:v>41.2</c:v>
                </c:pt>
                <c:pt idx="13">
                  <c:v>41.3</c:v>
                </c:pt>
                <c:pt idx="14">
                  <c:v>41.4</c:v>
                </c:pt>
                <c:pt idx="15">
                  <c:v>41.5</c:v>
                </c:pt>
                <c:pt idx="16">
                  <c:v>41.6</c:v>
                </c:pt>
                <c:pt idx="17">
                  <c:v>41.7</c:v>
                </c:pt>
                <c:pt idx="18">
                  <c:v>41.8</c:v>
                </c:pt>
                <c:pt idx="19">
                  <c:v>41.9</c:v>
                </c:pt>
                <c:pt idx="20">
                  <c:v>42</c:v>
                </c:pt>
                <c:pt idx="21">
                  <c:v>42.1</c:v>
                </c:pt>
                <c:pt idx="22">
                  <c:v>42.2</c:v>
                </c:pt>
                <c:pt idx="23">
                  <c:v>42.3</c:v>
                </c:pt>
                <c:pt idx="24">
                  <c:v>42.4</c:v>
                </c:pt>
                <c:pt idx="25">
                  <c:v>42.5</c:v>
                </c:pt>
                <c:pt idx="26">
                  <c:v>42.6</c:v>
                </c:pt>
                <c:pt idx="27">
                  <c:v>42.7</c:v>
                </c:pt>
                <c:pt idx="28">
                  <c:v>42.8</c:v>
                </c:pt>
                <c:pt idx="29">
                  <c:v>42.9</c:v>
                </c:pt>
                <c:pt idx="30">
                  <c:v>43</c:v>
                </c:pt>
                <c:pt idx="31">
                  <c:v>43.1</c:v>
                </c:pt>
                <c:pt idx="32">
                  <c:v>43.200000000000102</c:v>
                </c:pt>
                <c:pt idx="33">
                  <c:v>43.3</c:v>
                </c:pt>
                <c:pt idx="34">
                  <c:v>43.4</c:v>
                </c:pt>
                <c:pt idx="35">
                  <c:v>43.5</c:v>
                </c:pt>
                <c:pt idx="36">
                  <c:v>43.600000000000101</c:v>
                </c:pt>
                <c:pt idx="37">
                  <c:v>43.700000000000102</c:v>
                </c:pt>
                <c:pt idx="38">
                  <c:v>43.8</c:v>
                </c:pt>
                <c:pt idx="39">
                  <c:v>43.900000000000098</c:v>
                </c:pt>
                <c:pt idx="40">
                  <c:v>44.000000000000099</c:v>
                </c:pt>
                <c:pt idx="41">
                  <c:v>44.100000000000101</c:v>
                </c:pt>
                <c:pt idx="42">
                  <c:v>44.200000000000102</c:v>
                </c:pt>
                <c:pt idx="43">
                  <c:v>44.300000000000097</c:v>
                </c:pt>
                <c:pt idx="44">
                  <c:v>44.400000000000098</c:v>
                </c:pt>
                <c:pt idx="45">
                  <c:v>44.500000000000099</c:v>
                </c:pt>
                <c:pt idx="46">
                  <c:v>44.600000000000101</c:v>
                </c:pt>
                <c:pt idx="47">
                  <c:v>44.700000000000102</c:v>
                </c:pt>
                <c:pt idx="48">
                  <c:v>44.800000000000097</c:v>
                </c:pt>
                <c:pt idx="49">
                  <c:v>44.900000000000098</c:v>
                </c:pt>
                <c:pt idx="50">
                  <c:v>45.000000000000099</c:v>
                </c:pt>
                <c:pt idx="51">
                  <c:v>45.100000000000101</c:v>
                </c:pt>
                <c:pt idx="52">
                  <c:v>45.200000000000102</c:v>
                </c:pt>
                <c:pt idx="53">
                  <c:v>45.300000000000097</c:v>
                </c:pt>
                <c:pt idx="54">
                  <c:v>45.400000000000098</c:v>
                </c:pt>
                <c:pt idx="55">
                  <c:v>45.500000000000099</c:v>
                </c:pt>
                <c:pt idx="56">
                  <c:v>45.600000000000101</c:v>
                </c:pt>
                <c:pt idx="57">
                  <c:v>45.700000000000102</c:v>
                </c:pt>
                <c:pt idx="58">
                  <c:v>45.800000000000097</c:v>
                </c:pt>
                <c:pt idx="59">
                  <c:v>45.900000000000098</c:v>
                </c:pt>
                <c:pt idx="60">
                  <c:v>46.000000000000099</c:v>
                </c:pt>
                <c:pt idx="61">
                  <c:v>46.100000000000101</c:v>
                </c:pt>
                <c:pt idx="62">
                  <c:v>46.200000000000102</c:v>
                </c:pt>
                <c:pt idx="63">
                  <c:v>46.300000000000097</c:v>
                </c:pt>
                <c:pt idx="64">
                  <c:v>46.400000000000098</c:v>
                </c:pt>
                <c:pt idx="65">
                  <c:v>46.500000000000099</c:v>
                </c:pt>
                <c:pt idx="66">
                  <c:v>46.600000000000101</c:v>
                </c:pt>
                <c:pt idx="67">
                  <c:v>46.700000000000102</c:v>
                </c:pt>
                <c:pt idx="68">
                  <c:v>46.800000000000097</c:v>
                </c:pt>
                <c:pt idx="69">
                  <c:v>46.900000000000098</c:v>
                </c:pt>
                <c:pt idx="70">
                  <c:v>47.000000000000099</c:v>
                </c:pt>
                <c:pt idx="71">
                  <c:v>47.100000000000101</c:v>
                </c:pt>
                <c:pt idx="72">
                  <c:v>47.200000000000102</c:v>
                </c:pt>
                <c:pt idx="73">
                  <c:v>47.300000000000097</c:v>
                </c:pt>
                <c:pt idx="74">
                  <c:v>47.400000000000098</c:v>
                </c:pt>
                <c:pt idx="75">
                  <c:v>47.500000000000099</c:v>
                </c:pt>
                <c:pt idx="76">
                  <c:v>47.600000000000101</c:v>
                </c:pt>
                <c:pt idx="77">
                  <c:v>47.700000000000102</c:v>
                </c:pt>
                <c:pt idx="78">
                  <c:v>47.800000000000097</c:v>
                </c:pt>
                <c:pt idx="79">
                  <c:v>47.900000000000098</c:v>
                </c:pt>
                <c:pt idx="80">
                  <c:v>48.000000000000099</c:v>
                </c:pt>
                <c:pt idx="81">
                  <c:v>48.100000000000101</c:v>
                </c:pt>
                <c:pt idx="82">
                  <c:v>48.200000000000102</c:v>
                </c:pt>
                <c:pt idx="83">
                  <c:v>48.300000000000097</c:v>
                </c:pt>
                <c:pt idx="84">
                  <c:v>48.400000000000098</c:v>
                </c:pt>
                <c:pt idx="85">
                  <c:v>48.500000000000099</c:v>
                </c:pt>
                <c:pt idx="86">
                  <c:v>48.600000000000101</c:v>
                </c:pt>
                <c:pt idx="87">
                  <c:v>48.700000000000102</c:v>
                </c:pt>
                <c:pt idx="88">
                  <c:v>48.800000000000097</c:v>
                </c:pt>
                <c:pt idx="89">
                  <c:v>48.900000000000098</c:v>
                </c:pt>
                <c:pt idx="90">
                  <c:v>49.000000000000099</c:v>
                </c:pt>
                <c:pt idx="91">
                  <c:v>49.100000000000101</c:v>
                </c:pt>
                <c:pt idx="92">
                  <c:v>49.200000000000102</c:v>
                </c:pt>
                <c:pt idx="93">
                  <c:v>49.300000000000097</c:v>
                </c:pt>
                <c:pt idx="94">
                  <c:v>49.400000000000098</c:v>
                </c:pt>
                <c:pt idx="95">
                  <c:v>49.500000000000099</c:v>
                </c:pt>
                <c:pt idx="96">
                  <c:v>49.600000000000101</c:v>
                </c:pt>
                <c:pt idx="97">
                  <c:v>49.700000000000102</c:v>
                </c:pt>
                <c:pt idx="98">
                  <c:v>49.800000000000097</c:v>
                </c:pt>
                <c:pt idx="99">
                  <c:v>49.900000000000098</c:v>
                </c:pt>
                <c:pt idx="100">
                  <c:v>50.000000000000099</c:v>
                </c:pt>
                <c:pt idx="101">
                  <c:v>50.100000000000101</c:v>
                </c:pt>
                <c:pt idx="102">
                  <c:v>50.200000000000102</c:v>
                </c:pt>
                <c:pt idx="103">
                  <c:v>50.300000000000097</c:v>
                </c:pt>
                <c:pt idx="104">
                  <c:v>50.400000000000098</c:v>
                </c:pt>
                <c:pt idx="105">
                  <c:v>50.500000000000099</c:v>
                </c:pt>
                <c:pt idx="106">
                  <c:v>50.6000000000002</c:v>
                </c:pt>
                <c:pt idx="107">
                  <c:v>50.700000000000202</c:v>
                </c:pt>
                <c:pt idx="108">
                  <c:v>50.800000000000203</c:v>
                </c:pt>
                <c:pt idx="109">
                  <c:v>50.900000000000198</c:v>
                </c:pt>
                <c:pt idx="110">
                  <c:v>51.000000000000199</c:v>
                </c:pt>
                <c:pt idx="111">
                  <c:v>51.1000000000002</c:v>
                </c:pt>
                <c:pt idx="112">
                  <c:v>51.200000000000202</c:v>
                </c:pt>
                <c:pt idx="113">
                  <c:v>51.300000000000203</c:v>
                </c:pt>
                <c:pt idx="114">
                  <c:v>51.400000000000198</c:v>
                </c:pt>
                <c:pt idx="115">
                  <c:v>51.500000000000199</c:v>
                </c:pt>
                <c:pt idx="116">
                  <c:v>51.6000000000002</c:v>
                </c:pt>
                <c:pt idx="117">
                  <c:v>51.700000000000202</c:v>
                </c:pt>
                <c:pt idx="118">
                  <c:v>51.800000000000203</c:v>
                </c:pt>
                <c:pt idx="119">
                  <c:v>51.900000000000198</c:v>
                </c:pt>
                <c:pt idx="120">
                  <c:v>52.000000000000199</c:v>
                </c:pt>
                <c:pt idx="121">
                  <c:v>52.1000000000002</c:v>
                </c:pt>
                <c:pt idx="122">
                  <c:v>52.200000000000202</c:v>
                </c:pt>
                <c:pt idx="123">
                  <c:v>52.300000000000203</c:v>
                </c:pt>
                <c:pt idx="124">
                  <c:v>52.400000000000198</c:v>
                </c:pt>
                <c:pt idx="125">
                  <c:v>52.500000000000199</c:v>
                </c:pt>
                <c:pt idx="126">
                  <c:v>52.6000000000002</c:v>
                </c:pt>
                <c:pt idx="127">
                  <c:v>52.700000000000202</c:v>
                </c:pt>
                <c:pt idx="128">
                  <c:v>52.800000000000203</c:v>
                </c:pt>
                <c:pt idx="129">
                  <c:v>52.900000000000198</c:v>
                </c:pt>
                <c:pt idx="130">
                  <c:v>53.000000000000199</c:v>
                </c:pt>
                <c:pt idx="131">
                  <c:v>53.1000000000002</c:v>
                </c:pt>
                <c:pt idx="132">
                  <c:v>53.200000000000202</c:v>
                </c:pt>
                <c:pt idx="133">
                  <c:v>53.300000000000203</c:v>
                </c:pt>
                <c:pt idx="134">
                  <c:v>53.400000000000198</c:v>
                </c:pt>
                <c:pt idx="135">
                  <c:v>53.500000000000199</c:v>
                </c:pt>
                <c:pt idx="136">
                  <c:v>53.6000000000002</c:v>
                </c:pt>
                <c:pt idx="137">
                  <c:v>53.700000000000202</c:v>
                </c:pt>
                <c:pt idx="138">
                  <c:v>53.800000000000203</c:v>
                </c:pt>
                <c:pt idx="139">
                  <c:v>53.900000000000198</c:v>
                </c:pt>
                <c:pt idx="140">
                  <c:v>54.000000000000199</c:v>
                </c:pt>
                <c:pt idx="141">
                  <c:v>54.1000000000002</c:v>
                </c:pt>
                <c:pt idx="142">
                  <c:v>54.200000000000202</c:v>
                </c:pt>
                <c:pt idx="143">
                  <c:v>54.300000000000203</c:v>
                </c:pt>
                <c:pt idx="144">
                  <c:v>54.400000000000198</c:v>
                </c:pt>
                <c:pt idx="145">
                  <c:v>54.500000000000199</c:v>
                </c:pt>
                <c:pt idx="146">
                  <c:v>54.6000000000002</c:v>
                </c:pt>
                <c:pt idx="147">
                  <c:v>54.700000000000202</c:v>
                </c:pt>
                <c:pt idx="148">
                  <c:v>54.800000000000203</c:v>
                </c:pt>
                <c:pt idx="149">
                  <c:v>54.900000000000198</c:v>
                </c:pt>
                <c:pt idx="150">
                  <c:v>55.000000000000199</c:v>
                </c:pt>
                <c:pt idx="151">
                  <c:v>55.1000000000002</c:v>
                </c:pt>
                <c:pt idx="152">
                  <c:v>55.200000000000202</c:v>
                </c:pt>
                <c:pt idx="153">
                  <c:v>55.300000000000203</c:v>
                </c:pt>
                <c:pt idx="154">
                  <c:v>55.400000000000198</c:v>
                </c:pt>
                <c:pt idx="155">
                  <c:v>55.500000000000199</c:v>
                </c:pt>
                <c:pt idx="156">
                  <c:v>55.6000000000002</c:v>
                </c:pt>
                <c:pt idx="157">
                  <c:v>55.700000000000202</c:v>
                </c:pt>
                <c:pt idx="158">
                  <c:v>55.800000000000203</c:v>
                </c:pt>
                <c:pt idx="159">
                  <c:v>55.900000000000198</c:v>
                </c:pt>
                <c:pt idx="160">
                  <c:v>56.000000000000199</c:v>
                </c:pt>
                <c:pt idx="161">
                  <c:v>56.1000000000002</c:v>
                </c:pt>
                <c:pt idx="162">
                  <c:v>56.200000000000202</c:v>
                </c:pt>
                <c:pt idx="163">
                  <c:v>56.300000000000203</c:v>
                </c:pt>
                <c:pt idx="164">
                  <c:v>56.400000000000198</c:v>
                </c:pt>
                <c:pt idx="165">
                  <c:v>56.500000000000199</c:v>
                </c:pt>
                <c:pt idx="166">
                  <c:v>56.6000000000002</c:v>
                </c:pt>
                <c:pt idx="167">
                  <c:v>56.700000000000202</c:v>
                </c:pt>
                <c:pt idx="168">
                  <c:v>56.800000000000203</c:v>
                </c:pt>
                <c:pt idx="169">
                  <c:v>56.900000000000198</c:v>
                </c:pt>
                <c:pt idx="170">
                  <c:v>57.000000000000199</c:v>
                </c:pt>
                <c:pt idx="171">
                  <c:v>57.1000000000002</c:v>
                </c:pt>
                <c:pt idx="172">
                  <c:v>57.200000000000202</c:v>
                </c:pt>
                <c:pt idx="173">
                  <c:v>57.300000000000203</c:v>
                </c:pt>
                <c:pt idx="174">
                  <c:v>57.400000000000198</c:v>
                </c:pt>
                <c:pt idx="175">
                  <c:v>57.500000000000199</c:v>
                </c:pt>
                <c:pt idx="176">
                  <c:v>57.6000000000003</c:v>
                </c:pt>
                <c:pt idx="177">
                  <c:v>57.700000000000301</c:v>
                </c:pt>
                <c:pt idx="178">
                  <c:v>57.800000000000303</c:v>
                </c:pt>
                <c:pt idx="179">
                  <c:v>57.900000000000297</c:v>
                </c:pt>
                <c:pt idx="180">
                  <c:v>58.000000000000298</c:v>
                </c:pt>
                <c:pt idx="181">
                  <c:v>58.1000000000003</c:v>
                </c:pt>
                <c:pt idx="182">
                  <c:v>58.200000000000301</c:v>
                </c:pt>
                <c:pt idx="183">
                  <c:v>58.300000000000303</c:v>
                </c:pt>
                <c:pt idx="184">
                  <c:v>58.400000000000297</c:v>
                </c:pt>
                <c:pt idx="185">
                  <c:v>58.500000000000298</c:v>
                </c:pt>
                <c:pt idx="186">
                  <c:v>58.6000000000003</c:v>
                </c:pt>
                <c:pt idx="187">
                  <c:v>58.700000000000301</c:v>
                </c:pt>
                <c:pt idx="188">
                  <c:v>58.800000000000303</c:v>
                </c:pt>
                <c:pt idx="189">
                  <c:v>58.900000000000297</c:v>
                </c:pt>
                <c:pt idx="190">
                  <c:v>59.000000000000298</c:v>
                </c:pt>
                <c:pt idx="191">
                  <c:v>59.1000000000003</c:v>
                </c:pt>
                <c:pt idx="192">
                  <c:v>59.200000000000301</c:v>
                </c:pt>
                <c:pt idx="193">
                  <c:v>59.300000000000303</c:v>
                </c:pt>
                <c:pt idx="194">
                  <c:v>59.400000000000297</c:v>
                </c:pt>
                <c:pt idx="195">
                  <c:v>59.500000000000298</c:v>
                </c:pt>
                <c:pt idx="196">
                  <c:v>59.6000000000003</c:v>
                </c:pt>
                <c:pt idx="197">
                  <c:v>59.700000000000301</c:v>
                </c:pt>
                <c:pt idx="198">
                  <c:v>59.800000000000303</c:v>
                </c:pt>
                <c:pt idx="199">
                  <c:v>59.900000000000297</c:v>
                </c:pt>
                <c:pt idx="200">
                  <c:v>60.000000000000298</c:v>
                </c:pt>
                <c:pt idx="201">
                  <c:v>60.1000000000003</c:v>
                </c:pt>
                <c:pt idx="202">
                  <c:v>60.200000000000301</c:v>
                </c:pt>
                <c:pt idx="203">
                  <c:v>60.300000000000303</c:v>
                </c:pt>
                <c:pt idx="204">
                  <c:v>60.400000000000297</c:v>
                </c:pt>
                <c:pt idx="205">
                  <c:v>60.500000000000298</c:v>
                </c:pt>
                <c:pt idx="206">
                  <c:v>60.6000000000003</c:v>
                </c:pt>
                <c:pt idx="207">
                  <c:v>60.700000000000301</c:v>
                </c:pt>
                <c:pt idx="208">
                  <c:v>60.800000000000303</c:v>
                </c:pt>
                <c:pt idx="209">
                  <c:v>60.900000000000297</c:v>
                </c:pt>
                <c:pt idx="210">
                  <c:v>61.000000000000298</c:v>
                </c:pt>
                <c:pt idx="211">
                  <c:v>61.1000000000003</c:v>
                </c:pt>
                <c:pt idx="212">
                  <c:v>61.200000000000301</c:v>
                </c:pt>
                <c:pt idx="213">
                  <c:v>61.300000000000303</c:v>
                </c:pt>
                <c:pt idx="214">
                  <c:v>61.400000000000297</c:v>
                </c:pt>
                <c:pt idx="215">
                  <c:v>61.500000000000298</c:v>
                </c:pt>
                <c:pt idx="216">
                  <c:v>61.6000000000003</c:v>
                </c:pt>
                <c:pt idx="217">
                  <c:v>61.700000000000301</c:v>
                </c:pt>
                <c:pt idx="218">
                  <c:v>61.800000000000303</c:v>
                </c:pt>
                <c:pt idx="219">
                  <c:v>61.900000000000297</c:v>
                </c:pt>
                <c:pt idx="220">
                  <c:v>62.000000000000298</c:v>
                </c:pt>
                <c:pt idx="221">
                  <c:v>62.1000000000003</c:v>
                </c:pt>
                <c:pt idx="222">
                  <c:v>62.200000000000301</c:v>
                </c:pt>
                <c:pt idx="223">
                  <c:v>62.300000000000303</c:v>
                </c:pt>
                <c:pt idx="224">
                  <c:v>62.400000000000297</c:v>
                </c:pt>
                <c:pt idx="225">
                  <c:v>62.500000000000298</c:v>
                </c:pt>
                <c:pt idx="226">
                  <c:v>62.6000000000003</c:v>
                </c:pt>
                <c:pt idx="227">
                  <c:v>62.700000000000301</c:v>
                </c:pt>
                <c:pt idx="228">
                  <c:v>62.800000000000303</c:v>
                </c:pt>
                <c:pt idx="229">
                  <c:v>62.900000000000297</c:v>
                </c:pt>
                <c:pt idx="230">
                  <c:v>63.000000000000298</c:v>
                </c:pt>
                <c:pt idx="231">
                  <c:v>63.1000000000003</c:v>
                </c:pt>
                <c:pt idx="232">
                  <c:v>63.200000000000301</c:v>
                </c:pt>
                <c:pt idx="233">
                  <c:v>63.300000000000303</c:v>
                </c:pt>
                <c:pt idx="234">
                  <c:v>63.400000000000297</c:v>
                </c:pt>
                <c:pt idx="235">
                  <c:v>63.500000000000298</c:v>
                </c:pt>
                <c:pt idx="236">
                  <c:v>63.6000000000003</c:v>
                </c:pt>
                <c:pt idx="237">
                  <c:v>63.700000000000301</c:v>
                </c:pt>
                <c:pt idx="238">
                  <c:v>63.800000000000303</c:v>
                </c:pt>
                <c:pt idx="239">
                  <c:v>63.900000000000297</c:v>
                </c:pt>
                <c:pt idx="240">
                  <c:v>64.000000000000298</c:v>
                </c:pt>
                <c:pt idx="241">
                  <c:v>64.100000000000307</c:v>
                </c:pt>
                <c:pt idx="242">
                  <c:v>64.200000000000301</c:v>
                </c:pt>
                <c:pt idx="243">
                  <c:v>64.300000000000296</c:v>
                </c:pt>
                <c:pt idx="244">
                  <c:v>64.400000000000304</c:v>
                </c:pt>
                <c:pt idx="245">
                  <c:v>64.500000000000298</c:v>
                </c:pt>
                <c:pt idx="246">
                  <c:v>64.600000000000307</c:v>
                </c:pt>
                <c:pt idx="247">
                  <c:v>64.700000000000401</c:v>
                </c:pt>
                <c:pt idx="248">
                  <c:v>64.800000000000395</c:v>
                </c:pt>
                <c:pt idx="249">
                  <c:v>64.900000000000404</c:v>
                </c:pt>
                <c:pt idx="250">
                  <c:v>65.000000000000398</c:v>
                </c:pt>
                <c:pt idx="251">
                  <c:v>65.100000000000406</c:v>
                </c:pt>
                <c:pt idx="252">
                  <c:v>65.200000000000401</c:v>
                </c:pt>
                <c:pt idx="253">
                  <c:v>65.300000000000395</c:v>
                </c:pt>
                <c:pt idx="254">
                  <c:v>65.400000000000404</c:v>
                </c:pt>
                <c:pt idx="255">
                  <c:v>65.500000000000398</c:v>
                </c:pt>
                <c:pt idx="256">
                  <c:v>65.600000000000406</c:v>
                </c:pt>
                <c:pt idx="257">
                  <c:v>65.700000000000401</c:v>
                </c:pt>
                <c:pt idx="258">
                  <c:v>65.800000000000395</c:v>
                </c:pt>
                <c:pt idx="259">
                  <c:v>65.900000000000404</c:v>
                </c:pt>
                <c:pt idx="260">
                  <c:v>66.000000000000398</c:v>
                </c:pt>
                <c:pt idx="261">
                  <c:v>66.100000000000406</c:v>
                </c:pt>
                <c:pt idx="262">
                  <c:v>66.200000000000401</c:v>
                </c:pt>
                <c:pt idx="263">
                  <c:v>66.300000000000395</c:v>
                </c:pt>
                <c:pt idx="264">
                  <c:v>66.400000000000404</c:v>
                </c:pt>
                <c:pt idx="265">
                  <c:v>66.500000000000398</c:v>
                </c:pt>
                <c:pt idx="266">
                  <c:v>66.600000000000406</c:v>
                </c:pt>
                <c:pt idx="267">
                  <c:v>66.700000000000401</c:v>
                </c:pt>
                <c:pt idx="268">
                  <c:v>66.800000000000395</c:v>
                </c:pt>
                <c:pt idx="269">
                  <c:v>66.900000000000404</c:v>
                </c:pt>
                <c:pt idx="270">
                  <c:v>67.000000000000398</c:v>
                </c:pt>
                <c:pt idx="271">
                  <c:v>67.100000000000406</c:v>
                </c:pt>
                <c:pt idx="272">
                  <c:v>67.200000000000401</c:v>
                </c:pt>
                <c:pt idx="273">
                  <c:v>67.300000000000395</c:v>
                </c:pt>
                <c:pt idx="274">
                  <c:v>67.400000000000404</c:v>
                </c:pt>
                <c:pt idx="275">
                  <c:v>67.500000000000398</c:v>
                </c:pt>
                <c:pt idx="276">
                  <c:v>67.600000000000406</c:v>
                </c:pt>
                <c:pt idx="277">
                  <c:v>67.700000000000401</c:v>
                </c:pt>
                <c:pt idx="278">
                  <c:v>67.800000000000395</c:v>
                </c:pt>
                <c:pt idx="279">
                  <c:v>67.900000000000404</c:v>
                </c:pt>
                <c:pt idx="280">
                  <c:v>68.000000000000398</c:v>
                </c:pt>
                <c:pt idx="281">
                  <c:v>68.100000000000406</c:v>
                </c:pt>
                <c:pt idx="282">
                  <c:v>68.200000000000401</c:v>
                </c:pt>
                <c:pt idx="283">
                  <c:v>68.300000000000395</c:v>
                </c:pt>
                <c:pt idx="284">
                  <c:v>68.400000000000404</c:v>
                </c:pt>
                <c:pt idx="285">
                  <c:v>68.500000000000398</c:v>
                </c:pt>
                <c:pt idx="286">
                  <c:v>68.600000000000406</c:v>
                </c:pt>
                <c:pt idx="287">
                  <c:v>68.700000000000401</c:v>
                </c:pt>
                <c:pt idx="288">
                  <c:v>68.800000000000395</c:v>
                </c:pt>
                <c:pt idx="289">
                  <c:v>68.900000000000404</c:v>
                </c:pt>
                <c:pt idx="290">
                  <c:v>69.000000000000398</c:v>
                </c:pt>
                <c:pt idx="291">
                  <c:v>69.100000000000406</c:v>
                </c:pt>
                <c:pt idx="292">
                  <c:v>69.200000000000401</c:v>
                </c:pt>
                <c:pt idx="293">
                  <c:v>69.300000000000395</c:v>
                </c:pt>
                <c:pt idx="294">
                  <c:v>69.400000000000404</c:v>
                </c:pt>
                <c:pt idx="295">
                  <c:v>69.500000000000398</c:v>
                </c:pt>
                <c:pt idx="296">
                  <c:v>69.600000000000406</c:v>
                </c:pt>
                <c:pt idx="297">
                  <c:v>69.700000000000401</c:v>
                </c:pt>
                <c:pt idx="298">
                  <c:v>69.800000000000395</c:v>
                </c:pt>
                <c:pt idx="299">
                  <c:v>69.900000000000404</c:v>
                </c:pt>
                <c:pt idx="300">
                  <c:v>70.000000000000398</c:v>
                </c:pt>
                <c:pt idx="301">
                  <c:v>70.100000000000406</c:v>
                </c:pt>
                <c:pt idx="302">
                  <c:v>70.200000000000401</c:v>
                </c:pt>
                <c:pt idx="303">
                  <c:v>70.300000000000395</c:v>
                </c:pt>
                <c:pt idx="304">
                  <c:v>70.400000000000404</c:v>
                </c:pt>
                <c:pt idx="305">
                  <c:v>70.500000000000398</c:v>
                </c:pt>
                <c:pt idx="306">
                  <c:v>70.600000000000406</c:v>
                </c:pt>
                <c:pt idx="307">
                  <c:v>70.700000000000401</c:v>
                </c:pt>
                <c:pt idx="308">
                  <c:v>70.800000000000395</c:v>
                </c:pt>
                <c:pt idx="309">
                  <c:v>70.900000000000404</c:v>
                </c:pt>
                <c:pt idx="310">
                  <c:v>71.000000000000398</c:v>
                </c:pt>
                <c:pt idx="311">
                  <c:v>71.100000000000406</c:v>
                </c:pt>
                <c:pt idx="312">
                  <c:v>71.200000000000401</c:v>
                </c:pt>
                <c:pt idx="313">
                  <c:v>71.300000000000395</c:v>
                </c:pt>
                <c:pt idx="314">
                  <c:v>71.400000000000404</c:v>
                </c:pt>
                <c:pt idx="315">
                  <c:v>71.500000000000398</c:v>
                </c:pt>
                <c:pt idx="316">
                  <c:v>71.600000000000406</c:v>
                </c:pt>
                <c:pt idx="317">
                  <c:v>71.7000000000005</c:v>
                </c:pt>
                <c:pt idx="318">
                  <c:v>71.800000000000495</c:v>
                </c:pt>
                <c:pt idx="319">
                  <c:v>71.900000000000503</c:v>
                </c:pt>
                <c:pt idx="320">
                  <c:v>72.000000000000497</c:v>
                </c:pt>
                <c:pt idx="321">
                  <c:v>72.100000000000506</c:v>
                </c:pt>
                <c:pt idx="322">
                  <c:v>72.2000000000005</c:v>
                </c:pt>
                <c:pt idx="323">
                  <c:v>72.300000000000495</c:v>
                </c:pt>
                <c:pt idx="324">
                  <c:v>72.400000000000503</c:v>
                </c:pt>
                <c:pt idx="325">
                  <c:v>72.500000000000497</c:v>
                </c:pt>
                <c:pt idx="326">
                  <c:v>72.600000000000506</c:v>
                </c:pt>
                <c:pt idx="327">
                  <c:v>72.7000000000005</c:v>
                </c:pt>
                <c:pt idx="328">
                  <c:v>72.800000000000495</c:v>
                </c:pt>
                <c:pt idx="329">
                  <c:v>72.900000000000503</c:v>
                </c:pt>
                <c:pt idx="330">
                  <c:v>73.000000000000497</c:v>
                </c:pt>
                <c:pt idx="331">
                  <c:v>73.100000000000506</c:v>
                </c:pt>
                <c:pt idx="332">
                  <c:v>73.2000000000005</c:v>
                </c:pt>
                <c:pt idx="333">
                  <c:v>73.300000000000495</c:v>
                </c:pt>
                <c:pt idx="334">
                  <c:v>73.400000000000503</c:v>
                </c:pt>
                <c:pt idx="335">
                  <c:v>73.500000000000497</c:v>
                </c:pt>
                <c:pt idx="336">
                  <c:v>73.600000000000506</c:v>
                </c:pt>
                <c:pt idx="337">
                  <c:v>73.7000000000005</c:v>
                </c:pt>
                <c:pt idx="338">
                  <c:v>73.800000000000495</c:v>
                </c:pt>
                <c:pt idx="339">
                  <c:v>73.900000000000503</c:v>
                </c:pt>
                <c:pt idx="340">
                  <c:v>74.000000000000497</c:v>
                </c:pt>
                <c:pt idx="341">
                  <c:v>74.100000000000506</c:v>
                </c:pt>
                <c:pt idx="342">
                  <c:v>74.2000000000005</c:v>
                </c:pt>
                <c:pt idx="343">
                  <c:v>74.300000000000495</c:v>
                </c:pt>
                <c:pt idx="344">
                  <c:v>74.400000000000503</c:v>
                </c:pt>
                <c:pt idx="345">
                  <c:v>74.500000000000497</c:v>
                </c:pt>
                <c:pt idx="346">
                  <c:v>74.600000000000506</c:v>
                </c:pt>
                <c:pt idx="347">
                  <c:v>74.7000000000005</c:v>
                </c:pt>
                <c:pt idx="348">
                  <c:v>74.800000000000495</c:v>
                </c:pt>
                <c:pt idx="349">
                  <c:v>74.900000000000503</c:v>
                </c:pt>
                <c:pt idx="350">
                  <c:v>75.000000000000497</c:v>
                </c:pt>
                <c:pt idx="351">
                  <c:v>75.100000000000506</c:v>
                </c:pt>
                <c:pt idx="352">
                  <c:v>75.2000000000005</c:v>
                </c:pt>
                <c:pt idx="353">
                  <c:v>75.300000000000495</c:v>
                </c:pt>
                <c:pt idx="354">
                  <c:v>75.400000000000503</c:v>
                </c:pt>
                <c:pt idx="355">
                  <c:v>75.500000000000497</c:v>
                </c:pt>
                <c:pt idx="356">
                  <c:v>75.600000000000506</c:v>
                </c:pt>
                <c:pt idx="357">
                  <c:v>75.7000000000005</c:v>
                </c:pt>
                <c:pt idx="358">
                  <c:v>75.800000000000495</c:v>
                </c:pt>
                <c:pt idx="359">
                  <c:v>75.900000000000503</c:v>
                </c:pt>
                <c:pt idx="360">
                  <c:v>76.000000000000497</c:v>
                </c:pt>
                <c:pt idx="361">
                  <c:v>76.100000000000506</c:v>
                </c:pt>
                <c:pt idx="362">
                  <c:v>76.2000000000005</c:v>
                </c:pt>
                <c:pt idx="363">
                  <c:v>76.300000000000495</c:v>
                </c:pt>
                <c:pt idx="364">
                  <c:v>76.400000000000503</c:v>
                </c:pt>
                <c:pt idx="365">
                  <c:v>76.500000000000497</c:v>
                </c:pt>
                <c:pt idx="366">
                  <c:v>76.600000000000506</c:v>
                </c:pt>
                <c:pt idx="367">
                  <c:v>76.7000000000005</c:v>
                </c:pt>
                <c:pt idx="368">
                  <c:v>76.800000000000495</c:v>
                </c:pt>
                <c:pt idx="369">
                  <c:v>76.900000000000503</c:v>
                </c:pt>
                <c:pt idx="370">
                  <c:v>77.000000000000497</c:v>
                </c:pt>
                <c:pt idx="371">
                  <c:v>77.100000000000506</c:v>
                </c:pt>
                <c:pt idx="372">
                  <c:v>77.2000000000005</c:v>
                </c:pt>
                <c:pt idx="373">
                  <c:v>77.300000000000495</c:v>
                </c:pt>
                <c:pt idx="374">
                  <c:v>77.400000000000503</c:v>
                </c:pt>
                <c:pt idx="375">
                  <c:v>77.500000000000497</c:v>
                </c:pt>
                <c:pt idx="376">
                  <c:v>77.600000000000506</c:v>
                </c:pt>
                <c:pt idx="377">
                  <c:v>77.7000000000005</c:v>
                </c:pt>
                <c:pt idx="378">
                  <c:v>77.800000000000495</c:v>
                </c:pt>
                <c:pt idx="379">
                  <c:v>77.900000000000503</c:v>
                </c:pt>
                <c:pt idx="380">
                  <c:v>78.000000000000497</c:v>
                </c:pt>
                <c:pt idx="381">
                  <c:v>78.100000000000506</c:v>
                </c:pt>
                <c:pt idx="382">
                  <c:v>78.2000000000005</c:v>
                </c:pt>
                <c:pt idx="383">
                  <c:v>78.300000000000495</c:v>
                </c:pt>
                <c:pt idx="384">
                  <c:v>78.400000000000503</c:v>
                </c:pt>
                <c:pt idx="385">
                  <c:v>78.500000000000497</c:v>
                </c:pt>
                <c:pt idx="386">
                  <c:v>78.600000000000506</c:v>
                </c:pt>
                <c:pt idx="387">
                  <c:v>78.7000000000005</c:v>
                </c:pt>
                <c:pt idx="388">
                  <c:v>78.800000000000594</c:v>
                </c:pt>
                <c:pt idx="389">
                  <c:v>78.900000000000603</c:v>
                </c:pt>
                <c:pt idx="390">
                  <c:v>79.000000000000597</c:v>
                </c:pt>
                <c:pt idx="391">
                  <c:v>79.100000000000605</c:v>
                </c:pt>
                <c:pt idx="392">
                  <c:v>79.2000000000006</c:v>
                </c:pt>
                <c:pt idx="393">
                  <c:v>79.300000000000594</c:v>
                </c:pt>
                <c:pt idx="394">
                  <c:v>79.400000000000603</c:v>
                </c:pt>
                <c:pt idx="395">
                  <c:v>79.500000000000597</c:v>
                </c:pt>
                <c:pt idx="396">
                  <c:v>79.600000000000605</c:v>
                </c:pt>
                <c:pt idx="397">
                  <c:v>79.7000000000006</c:v>
                </c:pt>
                <c:pt idx="398">
                  <c:v>79.800000000000594</c:v>
                </c:pt>
                <c:pt idx="399">
                  <c:v>79.900000000000603</c:v>
                </c:pt>
                <c:pt idx="400">
                  <c:v>80.000000000000597</c:v>
                </c:pt>
                <c:pt idx="401">
                  <c:v>80.100000000000605</c:v>
                </c:pt>
                <c:pt idx="402">
                  <c:v>80.2000000000006</c:v>
                </c:pt>
                <c:pt idx="403">
                  <c:v>80.300000000000594</c:v>
                </c:pt>
                <c:pt idx="404">
                  <c:v>80.400000000000603</c:v>
                </c:pt>
                <c:pt idx="405">
                  <c:v>80.500000000000597</c:v>
                </c:pt>
                <c:pt idx="406">
                  <c:v>80.600000000000605</c:v>
                </c:pt>
                <c:pt idx="407">
                  <c:v>80.7000000000006</c:v>
                </c:pt>
                <c:pt idx="408">
                  <c:v>80.800000000000594</c:v>
                </c:pt>
                <c:pt idx="409">
                  <c:v>80.900000000000603</c:v>
                </c:pt>
                <c:pt idx="410">
                  <c:v>81.000000000000597</c:v>
                </c:pt>
                <c:pt idx="411">
                  <c:v>81.100000000000605</c:v>
                </c:pt>
                <c:pt idx="412">
                  <c:v>81.2000000000006</c:v>
                </c:pt>
                <c:pt idx="413">
                  <c:v>81.300000000000594</c:v>
                </c:pt>
                <c:pt idx="414">
                  <c:v>81.400000000000603</c:v>
                </c:pt>
                <c:pt idx="415">
                  <c:v>81.500000000000597</c:v>
                </c:pt>
                <c:pt idx="416">
                  <c:v>81.600000000000605</c:v>
                </c:pt>
                <c:pt idx="417">
                  <c:v>81.7000000000006</c:v>
                </c:pt>
                <c:pt idx="418">
                  <c:v>81.800000000000594</c:v>
                </c:pt>
                <c:pt idx="419">
                  <c:v>81.900000000000603</c:v>
                </c:pt>
                <c:pt idx="420">
                  <c:v>82.000000000000597</c:v>
                </c:pt>
                <c:pt idx="421">
                  <c:v>82.100000000000605</c:v>
                </c:pt>
                <c:pt idx="422">
                  <c:v>82.2000000000006</c:v>
                </c:pt>
                <c:pt idx="423">
                  <c:v>82.300000000000594</c:v>
                </c:pt>
                <c:pt idx="424">
                  <c:v>82.400000000000603</c:v>
                </c:pt>
                <c:pt idx="425">
                  <c:v>82.500000000000597</c:v>
                </c:pt>
                <c:pt idx="426">
                  <c:v>82.600000000000605</c:v>
                </c:pt>
                <c:pt idx="427">
                  <c:v>82.7000000000006</c:v>
                </c:pt>
                <c:pt idx="428">
                  <c:v>82.800000000000594</c:v>
                </c:pt>
                <c:pt idx="429">
                  <c:v>82.900000000000603</c:v>
                </c:pt>
                <c:pt idx="430">
                  <c:v>83.000000000000597</c:v>
                </c:pt>
                <c:pt idx="431">
                  <c:v>83.100000000000605</c:v>
                </c:pt>
                <c:pt idx="432">
                  <c:v>83.2000000000006</c:v>
                </c:pt>
                <c:pt idx="433">
                  <c:v>83.300000000000594</c:v>
                </c:pt>
                <c:pt idx="434">
                  <c:v>83.400000000000603</c:v>
                </c:pt>
                <c:pt idx="435">
                  <c:v>83.500000000000597</c:v>
                </c:pt>
                <c:pt idx="436">
                  <c:v>83.600000000000605</c:v>
                </c:pt>
                <c:pt idx="437">
                  <c:v>83.7000000000006</c:v>
                </c:pt>
                <c:pt idx="438">
                  <c:v>83.800000000000594</c:v>
                </c:pt>
                <c:pt idx="439">
                  <c:v>83.900000000000603</c:v>
                </c:pt>
                <c:pt idx="440">
                  <c:v>84.000000000000597</c:v>
                </c:pt>
                <c:pt idx="441">
                  <c:v>84.100000000000605</c:v>
                </c:pt>
                <c:pt idx="442">
                  <c:v>84.2000000000006</c:v>
                </c:pt>
                <c:pt idx="443">
                  <c:v>84.300000000000594</c:v>
                </c:pt>
                <c:pt idx="444">
                  <c:v>84.400000000000603</c:v>
                </c:pt>
                <c:pt idx="445">
                  <c:v>84.500000000000597</c:v>
                </c:pt>
                <c:pt idx="446">
                  <c:v>84.600000000000605</c:v>
                </c:pt>
                <c:pt idx="447">
                  <c:v>84.7000000000006</c:v>
                </c:pt>
                <c:pt idx="448">
                  <c:v>84.800000000000594</c:v>
                </c:pt>
                <c:pt idx="449">
                  <c:v>84.900000000000603</c:v>
                </c:pt>
                <c:pt idx="450">
                  <c:v>85.000000000000597</c:v>
                </c:pt>
                <c:pt idx="451">
                  <c:v>85.100000000000605</c:v>
                </c:pt>
                <c:pt idx="452">
                  <c:v>85.2000000000006</c:v>
                </c:pt>
                <c:pt idx="453">
                  <c:v>85.300000000000594</c:v>
                </c:pt>
                <c:pt idx="454">
                  <c:v>85.400000000000603</c:v>
                </c:pt>
                <c:pt idx="455">
                  <c:v>85.500000000000597</c:v>
                </c:pt>
                <c:pt idx="456">
                  <c:v>85.600000000000605</c:v>
                </c:pt>
                <c:pt idx="457">
                  <c:v>85.7000000000006</c:v>
                </c:pt>
                <c:pt idx="458">
                  <c:v>85.800000000000693</c:v>
                </c:pt>
                <c:pt idx="459">
                  <c:v>85.900000000000702</c:v>
                </c:pt>
                <c:pt idx="460">
                  <c:v>86.000000000000696</c:v>
                </c:pt>
                <c:pt idx="461">
                  <c:v>86.100000000000705</c:v>
                </c:pt>
                <c:pt idx="462">
                  <c:v>86.200000000000699</c:v>
                </c:pt>
                <c:pt idx="463">
                  <c:v>86.300000000000693</c:v>
                </c:pt>
                <c:pt idx="464">
                  <c:v>86.400000000000702</c:v>
                </c:pt>
                <c:pt idx="465">
                  <c:v>86.500000000000696</c:v>
                </c:pt>
                <c:pt idx="466">
                  <c:v>86.600000000000705</c:v>
                </c:pt>
                <c:pt idx="467">
                  <c:v>86.700000000000699</c:v>
                </c:pt>
                <c:pt idx="468">
                  <c:v>86.800000000000693</c:v>
                </c:pt>
                <c:pt idx="469">
                  <c:v>86.900000000000702</c:v>
                </c:pt>
                <c:pt idx="470">
                  <c:v>87.000000000000696</c:v>
                </c:pt>
                <c:pt idx="471">
                  <c:v>87.100000000000705</c:v>
                </c:pt>
                <c:pt idx="472">
                  <c:v>87.200000000000699</c:v>
                </c:pt>
                <c:pt idx="473">
                  <c:v>87.300000000000693</c:v>
                </c:pt>
                <c:pt idx="474">
                  <c:v>87.400000000000702</c:v>
                </c:pt>
                <c:pt idx="475">
                  <c:v>87.500000000000696</c:v>
                </c:pt>
                <c:pt idx="476">
                  <c:v>87.600000000000705</c:v>
                </c:pt>
                <c:pt idx="477">
                  <c:v>87.700000000000699</c:v>
                </c:pt>
                <c:pt idx="478">
                  <c:v>87.800000000000693</c:v>
                </c:pt>
                <c:pt idx="479">
                  <c:v>87.900000000000702</c:v>
                </c:pt>
                <c:pt idx="480">
                  <c:v>88.000000000000696</c:v>
                </c:pt>
                <c:pt idx="481">
                  <c:v>88.100000000000705</c:v>
                </c:pt>
                <c:pt idx="482">
                  <c:v>88.200000000000699</c:v>
                </c:pt>
                <c:pt idx="483">
                  <c:v>88.300000000000693</c:v>
                </c:pt>
                <c:pt idx="484">
                  <c:v>88.400000000000702</c:v>
                </c:pt>
                <c:pt idx="485">
                  <c:v>88.500000000000696</c:v>
                </c:pt>
                <c:pt idx="486">
                  <c:v>88.600000000000705</c:v>
                </c:pt>
                <c:pt idx="487">
                  <c:v>88.700000000000699</c:v>
                </c:pt>
                <c:pt idx="488">
                  <c:v>88.800000000000693</c:v>
                </c:pt>
                <c:pt idx="489">
                  <c:v>88.900000000000702</c:v>
                </c:pt>
                <c:pt idx="490">
                  <c:v>89.000000000000696</c:v>
                </c:pt>
                <c:pt idx="491">
                  <c:v>89.100000000000705</c:v>
                </c:pt>
                <c:pt idx="492">
                  <c:v>89.200000000000699</c:v>
                </c:pt>
                <c:pt idx="493">
                  <c:v>89.300000000000693</c:v>
                </c:pt>
                <c:pt idx="494">
                  <c:v>89.400000000000702</c:v>
                </c:pt>
                <c:pt idx="495">
                  <c:v>89.500000000000696</c:v>
                </c:pt>
                <c:pt idx="496">
                  <c:v>89.600000000000705</c:v>
                </c:pt>
                <c:pt idx="497">
                  <c:v>89.700000000000699</c:v>
                </c:pt>
                <c:pt idx="498">
                  <c:v>89.800000000000693</c:v>
                </c:pt>
                <c:pt idx="499">
                  <c:v>89.900000000000702</c:v>
                </c:pt>
                <c:pt idx="500">
                  <c:v>90.000000000000696</c:v>
                </c:pt>
                <c:pt idx="501">
                  <c:v>90.100000000000705</c:v>
                </c:pt>
                <c:pt idx="502">
                  <c:v>90.200000000000699</c:v>
                </c:pt>
                <c:pt idx="503">
                  <c:v>90.300000000000693</c:v>
                </c:pt>
                <c:pt idx="504">
                  <c:v>90.400000000000702</c:v>
                </c:pt>
                <c:pt idx="505">
                  <c:v>90.500000000000696</c:v>
                </c:pt>
                <c:pt idx="506">
                  <c:v>90.600000000000705</c:v>
                </c:pt>
                <c:pt idx="507">
                  <c:v>90.700000000000699</c:v>
                </c:pt>
                <c:pt idx="508">
                  <c:v>90.800000000000693</c:v>
                </c:pt>
                <c:pt idx="509">
                  <c:v>90.900000000000702</c:v>
                </c:pt>
                <c:pt idx="510">
                  <c:v>91.000000000000696</c:v>
                </c:pt>
                <c:pt idx="511">
                  <c:v>91.100000000000705</c:v>
                </c:pt>
                <c:pt idx="512">
                  <c:v>91.200000000000699</c:v>
                </c:pt>
                <c:pt idx="513">
                  <c:v>91.300000000000693</c:v>
                </c:pt>
                <c:pt idx="514">
                  <c:v>91.400000000000702</c:v>
                </c:pt>
                <c:pt idx="515">
                  <c:v>91.500000000000696</c:v>
                </c:pt>
                <c:pt idx="516">
                  <c:v>91.600000000000705</c:v>
                </c:pt>
                <c:pt idx="517">
                  <c:v>91.700000000000699</c:v>
                </c:pt>
                <c:pt idx="518">
                  <c:v>91.800000000000693</c:v>
                </c:pt>
                <c:pt idx="519">
                  <c:v>91.900000000000702</c:v>
                </c:pt>
                <c:pt idx="520">
                  <c:v>92.000000000000696</c:v>
                </c:pt>
                <c:pt idx="521">
                  <c:v>92.100000000000705</c:v>
                </c:pt>
                <c:pt idx="522">
                  <c:v>92.200000000000699</c:v>
                </c:pt>
                <c:pt idx="523">
                  <c:v>92.300000000000693</c:v>
                </c:pt>
                <c:pt idx="524">
                  <c:v>92.400000000000702</c:v>
                </c:pt>
                <c:pt idx="525">
                  <c:v>92.500000000000696</c:v>
                </c:pt>
                <c:pt idx="526">
                  <c:v>92.600000000000705</c:v>
                </c:pt>
                <c:pt idx="527">
                  <c:v>92.700000000000699</c:v>
                </c:pt>
                <c:pt idx="528">
                  <c:v>92.800000000000793</c:v>
                </c:pt>
                <c:pt idx="529">
                  <c:v>92.900000000000801</c:v>
                </c:pt>
                <c:pt idx="530">
                  <c:v>93.000000000000796</c:v>
                </c:pt>
                <c:pt idx="531">
                  <c:v>93.100000000000804</c:v>
                </c:pt>
                <c:pt idx="532">
                  <c:v>93.200000000000799</c:v>
                </c:pt>
                <c:pt idx="533">
                  <c:v>93.300000000000793</c:v>
                </c:pt>
                <c:pt idx="534">
                  <c:v>93.400000000000801</c:v>
                </c:pt>
                <c:pt idx="535">
                  <c:v>93.500000000000796</c:v>
                </c:pt>
                <c:pt idx="536">
                  <c:v>93.600000000000804</c:v>
                </c:pt>
                <c:pt idx="537">
                  <c:v>93.700000000000799</c:v>
                </c:pt>
                <c:pt idx="538">
                  <c:v>93.800000000000793</c:v>
                </c:pt>
                <c:pt idx="539">
                  <c:v>93.900000000000801</c:v>
                </c:pt>
                <c:pt idx="540">
                  <c:v>94.000000000000796</c:v>
                </c:pt>
                <c:pt idx="541">
                  <c:v>94.100000000000804</c:v>
                </c:pt>
                <c:pt idx="542">
                  <c:v>94.200000000000799</c:v>
                </c:pt>
                <c:pt idx="543">
                  <c:v>94.300000000000793</c:v>
                </c:pt>
                <c:pt idx="544">
                  <c:v>94.400000000000801</c:v>
                </c:pt>
                <c:pt idx="545">
                  <c:v>94.500000000000796</c:v>
                </c:pt>
                <c:pt idx="546">
                  <c:v>94.600000000000804</c:v>
                </c:pt>
                <c:pt idx="547">
                  <c:v>94.700000000000799</c:v>
                </c:pt>
                <c:pt idx="548">
                  <c:v>94.800000000000793</c:v>
                </c:pt>
                <c:pt idx="549">
                  <c:v>94.900000000000801</c:v>
                </c:pt>
                <c:pt idx="550">
                  <c:v>95.000000000000796</c:v>
                </c:pt>
                <c:pt idx="551">
                  <c:v>95.100000000000804</c:v>
                </c:pt>
                <c:pt idx="552">
                  <c:v>95.200000000000799</c:v>
                </c:pt>
                <c:pt idx="553">
                  <c:v>95.300000000000793</c:v>
                </c:pt>
                <c:pt idx="554">
                  <c:v>95.400000000000801</c:v>
                </c:pt>
                <c:pt idx="555">
                  <c:v>95.500000000000796</c:v>
                </c:pt>
                <c:pt idx="556">
                  <c:v>95.600000000000804</c:v>
                </c:pt>
                <c:pt idx="557">
                  <c:v>95.700000000000799</c:v>
                </c:pt>
                <c:pt idx="558">
                  <c:v>95.800000000000793</c:v>
                </c:pt>
                <c:pt idx="559">
                  <c:v>95.900000000000801</c:v>
                </c:pt>
                <c:pt idx="560">
                  <c:v>96.000000000000796</c:v>
                </c:pt>
                <c:pt idx="561">
                  <c:v>96.100000000000804</c:v>
                </c:pt>
                <c:pt idx="562">
                  <c:v>96.200000000000799</c:v>
                </c:pt>
                <c:pt idx="563">
                  <c:v>96.300000000000793</c:v>
                </c:pt>
                <c:pt idx="564">
                  <c:v>96.400000000000801</c:v>
                </c:pt>
                <c:pt idx="565">
                  <c:v>96.500000000000796</c:v>
                </c:pt>
                <c:pt idx="566">
                  <c:v>96.600000000000804</c:v>
                </c:pt>
                <c:pt idx="567">
                  <c:v>96.700000000000799</c:v>
                </c:pt>
                <c:pt idx="568">
                  <c:v>96.800000000000793</c:v>
                </c:pt>
                <c:pt idx="569">
                  <c:v>96.900000000000801</c:v>
                </c:pt>
                <c:pt idx="570">
                  <c:v>97.000000000000796</c:v>
                </c:pt>
                <c:pt idx="571">
                  <c:v>97.100000000000804</c:v>
                </c:pt>
                <c:pt idx="572">
                  <c:v>97.200000000000799</c:v>
                </c:pt>
                <c:pt idx="573">
                  <c:v>97.300000000000793</c:v>
                </c:pt>
                <c:pt idx="574">
                  <c:v>97.400000000000801</c:v>
                </c:pt>
                <c:pt idx="575">
                  <c:v>97.500000000000796</c:v>
                </c:pt>
                <c:pt idx="576">
                  <c:v>97.600000000000804</c:v>
                </c:pt>
                <c:pt idx="577">
                  <c:v>97.700000000000799</c:v>
                </c:pt>
                <c:pt idx="578">
                  <c:v>97.800000000000793</c:v>
                </c:pt>
                <c:pt idx="579">
                  <c:v>97.900000000000801</c:v>
                </c:pt>
                <c:pt idx="580">
                  <c:v>98.000000000000796</c:v>
                </c:pt>
                <c:pt idx="581">
                  <c:v>98.100000000000804</c:v>
                </c:pt>
                <c:pt idx="582">
                  <c:v>98.200000000000799</c:v>
                </c:pt>
                <c:pt idx="583">
                  <c:v>98.300000000000793</c:v>
                </c:pt>
                <c:pt idx="584">
                  <c:v>98.400000000000801</c:v>
                </c:pt>
                <c:pt idx="585">
                  <c:v>98.500000000000796</c:v>
                </c:pt>
                <c:pt idx="586">
                  <c:v>98.600000000000804</c:v>
                </c:pt>
                <c:pt idx="587">
                  <c:v>98.700000000000799</c:v>
                </c:pt>
                <c:pt idx="588">
                  <c:v>98.800000000000793</c:v>
                </c:pt>
                <c:pt idx="589">
                  <c:v>98.900000000000801</c:v>
                </c:pt>
                <c:pt idx="590">
                  <c:v>99.000000000000796</c:v>
                </c:pt>
                <c:pt idx="591">
                  <c:v>99.100000000000804</c:v>
                </c:pt>
                <c:pt idx="592">
                  <c:v>99.200000000000799</c:v>
                </c:pt>
                <c:pt idx="593">
                  <c:v>99.300000000000793</c:v>
                </c:pt>
                <c:pt idx="594">
                  <c:v>99.400000000000801</c:v>
                </c:pt>
                <c:pt idx="595">
                  <c:v>99.500000000000796</c:v>
                </c:pt>
                <c:pt idx="596">
                  <c:v>99.600000000000804</c:v>
                </c:pt>
                <c:pt idx="597">
                  <c:v>99.700000000000799</c:v>
                </c:pt>
                <c:pt idx="598">
                  <c:v>99.800000000000793</c:v>
                </c:pt>
                <c:pt idx="599">
                  <c:v>99.900000000000901</c:v>
                </c:pt>
                <c:pt idx="600">
                  <c:v>100.00000000000099</c:v>
                </c:pt>
                <c:pt idx="601">
                  <c:v>100.100000000001</c:v>
                </c:pt>
                <c:pt idx="602">
                  <c:v>100.200000000001</c:v>
                </c:pt>
                <c:pt idx="603">
                  <c:v>100.30000000000101</c:v>
                </c:pt>
                <c:pt idx="604">
                  <c:v>100.400000000001</c:v>
                </c:pt>
                <c:pt idx="605">
                  <c:v>100.50000000000099</c:v>
                </c:pt>
                <c:pt idx="606">
                  <c:v>100.600000000001</c:v>
                </c:pt>
                <c:pt idx="607">
                  <c:v>100.700000000001</c:v>
                </c:pt>
                <c:pt idx="608">
                  <c:v>100.80000000000101</c:v>
                </c:pt>
                <c:pt idx="609">
                  <c:v>100.900000000001</c:v>
                </c:pt>
                <c:pt idx="610">
                  <c:v>101.00000000000099</c:v>
                </c:pt>
                <c:pt idx="611">
                  <c:v>101.100000000001</c:v>
                </c:pt>
                <c:pt idx="612">
                  <c:v>101.200000000001</c:v>
                </c:pt>
                <c:pt idx="613">
                  <c:v>101.30000000000101</c:v>
                </c:pt>
                <c:pt idx="614">
                  <c:v>101.400000000001</c:v>
                </c:pt>
                <c:pt idx="615">
                  <c:v>101.50000000000099</c:v>
                </c:pt>
                <c:pt idx="616">
                  <c:v>101.600000000001</c:v>
                </c:pt>
                <c:pt idx="617">
                  <c:v>101.700000000001</c:v>
                </c:pt>
                <c:pt idx="618">
                  <c:v>101.80000000000101</c:v>
                </c:pt>
                <c:pt idx="619">
                  <c:v>101.900000000001</c:v>
                </c:pt>
                <c:pt idx="620">
                  <c:v>102.00000000000099</c:v>
                </c:pt>
                <c:pt idx="621">
                  <c:v>102.100000000001</c:v>
                </c:pt>
                <c:pt idx="622">
                  <c:v>102.200000000001</c:v>
                </c:pt>
                <c:pt idx="623">
                  <c:v>102.30000000000101</c:v>
                </c:pt>
                <c:pt idx="624">
                  <c:v>102.400000000001</c:v>
                </c:pt>
                <c:pt idx="625">
                  <c:v>102.50000000000099</c:v>
                </c:pt>
                <c:pt idx="626">
                  <c:v>102.600000000001</c:v>
                </c:pt>
                <c:pt idx="627">
                  <c:v>102.700000000001</c:v>
                </c:pt>
                <c:pt idx="628">
                  <c:v>102.80000000000101</c:v>
                </c:pt>
                <c:pt idx="629">
                  <c:v>102.900000000001</c:v>
                </c:pt>
                <c:pt idx="630">
                  <c:v>103.00000000000099</c:v>
                </c:pt>
                <c:pt idx="631">
                  <c:v>103.100000000001</c:v>
                </c:pt>
                <c:pt idx="632">
                  <c:v>103.200000000001</c:v>
                </c:pt>
                <c:pt idx="633">
                  <c:v>103.30000000000101</c:v>
                </c:pt>
                <c:pt idx="634">
                  <c:v>103.400000000001</c:v>
                </c:pt>
                <c:pt idx="635">
                  <c:v>103.50000000000099</c:v>
                </c:pt>
                <c:pt idx="636">
                  <c:v>103.600000000001</c:v>
                </c:pt>
                <c:pt idx="637">
                  <c:v>103.700000000001</c:v>
                </c:pt>
                <c:pt idx="638">
                  <c:v>103.80000000000101</c:v>
                </c:pt>
                <c:pt idx="639">
                  <c:v>103.900000000001</c:v>
                </c:pt>
                <c:pt idx="640">
                  <c:v>104.00000000000099</c:v>
                </c:pt>
                <c:pt idx="641">
                  <c:v>104.100000000001</c:v>
                </c:pt>
                <c:pt idx="642">
                  <c:v>104.200000000001</c:v>
                </c:pt>
                <c:pt idx="643">
                  <c:v>104.30000000000101</c:v>
                </c:pt>
                <c:pt idx="644">
                  <c:v>104.400000000001</c:v>
                </c:pt>
                <c:pt idx="645">
                  <c:v>104.50000000000099</c:v>
                </c:pt>
                <c:pt idx="646">
                  <c:v>104.600000000001</c:v>
                </c:pt>
                <c:pt idx="647">
                  <c:v>104.700000000001</c:v>
                </c:pt>
                <c:pt idx="648">
                  <c:v>104.80000000000101</c:v>
                </c:pt>
                <c:pt idx="649">
                  <c:v>104.900000000001</c:v>
                </c:pt>
                <c:pt idx="650">
                  <c:v>105.00000000000099</c:v>
                </c:pt>
                <c:pt idx="651">
                  <c:v>105.100000000001</c:v>
                </c:pt>
                <c:pt idx="652">
                  <c:v>105.200000000001</c:v>
                </c:pt>
                <c:pt idx="653">
                  <c:v>105.30000000000101</c:v>
                </c:pt>
                <c:pt idx="654">
                  <c:v>105.400000000001</c:v>
                </c:pt>
                <c:pt idx="655">
                  <c:v>105.50000000000099</c:v>
                </c:pt>
                <c:pt idx="656">
                  <c:v>105.600000000001</c:v>
                </c:pt>
                <c:pt idx="657">
                  <c:v>105.700000000001</c:v>
                </c:pt>
                <c:pt idx="658">
                  <c:v>105.80000000000101</c:v>
                </c:pt>
                <c:pt idx="659">
                  <c:v>105.900000000001</c:v>
                </c:pt>
                <c:pt idx="660">
                  <c:v>106.00000000000099</c:v>
                </c:pt>
                <c:pt idx="661">
                  <c:v>106.100000000001</c:v>
                </c:pt>
                <c:pt idx="662">
                  <c:v>106.200000000001</c:v>
                </c:pt>
                <c:pt idx="663">
                  <c:v>106.30000000000101</c:v>
                </c:pt>
                <c:pt idx="664">
                  <c:v>106.400000000001</c:v>
                </c:pt>
                <c:pt idx="665">
                  <c:v>106.50000000000099</c:v>
                </c:pt>
                <c:pt idx="666">
                  <c:v>106.600000000001</c:v>
                </c:pt>
                <c:pt idx="667">
                  <c:v>106.700000000001</c:v>
                </c:pt>
                <c:pt idx="668">
                  <c:v>106.80000000000101</c:v>
                </c:pt>
                <c:pt idx="669">
                  <c:v>106.900000000001</c:v>
                </c:pt>
                <c:pt idx="670">
                  <c:v>107.00000000000099</c:v>
                </c:pt>
                <c:pt idx="671">
                  <c:v>107.100000000001</c:v>
                </c:pt>
                <c:pt idx="672">
                  <c:v>107.200000000001</c:v>
                </c:pt>
                <c:pt idx="673">
                  <c:v>107.30000000000101</c:v>
                </c:pt>
                <c:pt idx="674">
                  <c:v>107.400000000001</c:v>
                </c:pt>
                <c:pt idx="675">
                  <c:v>107.50000000000099</c:v>
                </c:pt>
                <c:pt idx="676">
                  <c:v>107.600000000001</c:v>
                </c:pt>
                <c:pt idx="677">
                  <c:v>107.700000000001</c:v>
                </c:pt>
                <c:pt idx="678">
                  <c:v>107.80000000000101</c:v>
                </c:pt>
                <c:pt idx="679">
                  <c:v>107.900000000001</c:v>
                </c:pt>
                <c:pt idx="680">
                  <c:v>108.00000000000099</c:v>
                </c:pt>
                <c:pt idx="681">
                  <c:v>108.100000000001</c:v>
                </c:pt>
                <c:pt idx="682">
                  <c:v>108.200000000001</c:v>
                </c:pt>
                <c:pt idx="683">
                  <c:v>108.30000000000101</c:v>
                </c:pt>
                <c:pt idx="684">
                  <c:v>108.400000000001</c:v>
                </c:pt>
                <c:pt idx="685">
                  <c:v>108.50000000000099</c:v>
                </c:pt>
                <c:pt idx="686">
                  <c:v>108.600000000001</c:v>
                </c:pt>
                <c:pt idx="687">
                  <c:v>108.700000000001</c:v>
                </c:pt>
                <c:pt idx="688">
                  <c:v>108.80000000000101</c:v>
                </c:pt>
                <c:pt idx="689">
                  <c:v>108.900000000001</c:v>
                </c:pt>
                <c:pt idx="690">
                  <c:v>109.00000000000099</c:v>
                </c:pt>
                <c:pt idx="691">
                  <c:v>109.100000000001</c:v>
                </c:pt>
                <c:pt idx="692">
                  <c:v>109.200000000001</c:v>
                </c:pt>
                <c:pt idx="693">
                  <c:v>109.30000000000101</c:v>
                </c:pt>
                <c:pt idx="694">
                  <c:v>109.400000000001</c:v>
                </c:pt>
                <c:pt idx="695">
                  <c:v>109.50000000000099</c:v>
                </c:pt>
                <c:pt idx="696">
                  <c:v>109.600000000001</c:v>
                </c:pt>
                <c:pt idx="697">
                  <c:v>109.700000000001</c:v>
                </c:pt>
                <c:pt idx="698">
                  <c:v>109.80000000000101</c:v>
                </c:pt>
                <c:pt idx="699">
                  <c:v>109.900000000001</c:v>
                </c:pt>
                <c:pt idx="700">
                  <c:v>110.00000000000099</c:v>
                </c:pt>
                <c:pt idx="701">
                  <c:v>110.100000000001</c:v>
                </c:pt>
                <c:pt idx="702">
                  <c:v>110.200000000001</c:v>
                </c:pt>
                <c:pt idx="703">
                  <c:v>110.30000000000101</c:v>
                </c:pt>
                <c:pt idx="704">
                  <c:v>110.400000000001</c:v>
                </c:pt>
                <c:pt idx="705">
                  <c:v>110.50000000000099</c:v>
                </c:pt>
                <c:pt idx="706">
                  <c:v>110.600000000001</c:v>
                </c:pt>
                <c:pt idx="707">
                  <c:v>110.700000000001</c:v>
                </c:pt>
                <c:pt idx="708">
                  <c:v>110.80000000000101</c:v>
                </c:pt>
                <c:pt idx="709">
                  <c:v>110.900000000001</c:v>
                </c:pt>
                <c:pt idx="710">
                  <c:v>111.00000000000099</c:v>
                </c:pt>
                <c:pt idx="711">
                  <c:v>111.100000000001</c:v>
                </c:pt>
                <c:pt idx="712">
                  <c:v>111.200000000001</c:v>
                </c:pt>
                <c:pt idx="713">
                  <c:v>111.30000000000101</c:v>
                </c:pt>
                <c:pt idx="714">
                  <c:v>111.400000000001</c:v>
                </c:pt>
                <c:pt idx="715">
                  <c:v>111.50000000000099</c:v>
                </c:pt>
                <c:pt idx="716">
                  <c:v>111.600000000001</c:v>
                </c:pt>
                <c:pt idx="717">
                  <c:v>111.700000000001</c:v>
                </c:pt>
                <c:pt idx="718">
                  <c:v>111.80000000000101</c:v>
                </c:pt>
                <c:pt idx="719">
                  <c:v>111.900000000001</c:v>
                </c:pt>
                <c:pt idx="720">
                  <c:v>112.00000000000099</c:v>
                </c:pt>
                <c:pt idx="721">
                  <c:v>112.100000000001</c:v>
                </c:pt>
                <c:pt idx="722">
                  <c:v>112.200000000001</c:v>
                </c:pt>
                <c:pt idx="723">
                  <c:v>112.30000000000101</c:v>
                </c:pt>
                <c:pt idx="724">
                  <c:v>112.400000000001</c:v>
                </c:pt>
                <c:pt idx="725">
                  <c:v>112.50000000000099</c:v>
                </c:pt>
                <c:pt idx="726">
                  <c:v>112.600000000001</c:v>
                </c:pt>
                <c:pt idx="727">
                  <c:v>112.700000000001</c:v>
                </c:pt>
                <c:pt idx="728">
                  <c:v>112.80000000000101</c:v>
                </c:pt>
                <c:pt idx="729">
                  <c:v>112.900000000001</c:v>
                </c:pt>
                <c:pt idx="730">
                  <c:v>113.00000000000099</c:v>
                </c:pt>
                <c:pt idx="731">
                  <c:v>113.100000000001</c:v>
                </c:pt>
                <c:pt idx="732">
                  <c:v>113.200000000001</c:v>
                </c:pt>
                <c:pt idx="733">
                  <c:v>113.30000000000101</c:v>
                </c:pt>
                <c:pt idx="734">
                  <c:v>113.400000000001</c:v>
                </c:pt>
                <c:pt idx="735">
                  <c:v>113.50000000000099</c:v>
                </c:pt>
                <c:pt idx="736">
                  <c:v>113.600000000001</c:v>
                </c:pt>
                <c:pt idx="737">
                  <c:v>113.700000000001</c:v>
                </c:pt>
                <c:pt idx="738">
                  <c:v>113.80000000000101</c:v>
                </c:pt>
                <c:pt idx="739">
                  <c:v>113.900000000001</c:v>
                </c:pt>
                <c:pt idx="740">
                  <c:v>114.00000000000099</c:v>
                </c:pt>
                <c:pt idx="741">
                  <c:v>114.100000000001</c:v>
                </c:pt>
                <c:pt idx="742">
                  <c:v>114.200000000001</c:v>
                </c:pt>
                <c:pt idx="743">
                  <c:v>114.30000000000101</c:v>
                </c:pt>
                <c:pt idx="744">
                  <c:v>114.400000000001</c:v>
                </c:pt>
                <c:pt idx="745">
                  <c:v>114.50000000000099</c:v>
                </c:pt>
                <c:pt idx="746">
                  <c:v>114.600000000001</c:v>
                </c:pt>
                <c:pt idx="747">
                  <c:v>114.700000000001</c:v>
                </c:pt>
                <c:pt idx="748">
                  <c:v>114.80000000000101</c:v>
                </c:pt>
                <c:pt idx="749">
                  <c:v>114.900000000001</c:v>
                </c:pt>
                <c:pt idx="750">
                  <c:v>115.00000000000099</c:v>
                </c:pt>
                <c:pt idx="751">
                  <c:v>115.100000000001</c:v>
                </c:pt>
                <c:pt idx="752">
                  <c:v>115.200000000001</c:v>
                </c:pt>
                <c:pt idx="753">
                  <c:v>115.30000000000101</c:v>
                </c:pt>
                <c:pt idx="754">
                  <c:v>115.400000000001</c:v>
                </c:pt>
                <c:pt idx="755">
                  <c:v>115.50000000000099</c:v>
                </c:pt>
                <c:pt idx="756">
                  <c:v>115.600000000001</c:v>
                </c:pt>
                <c:pt idx="757">
                  <c:v>115.700000000001</c:v>
                </c:pt>
                <c:pt idx="758">
                  <c:v>115.80000000000101</c:v>
                </c:pt>
                <c:pt idx="759">
                  <c:v>115.900000000001</c:v>
                </c:pt>
                <c:pt idx="760">
                  <c:v>116.00000000000099</c:v>
                </c:pt>
                <c:pt idx="761">
                  <c:v>116.100000000001</c:v>
                </c:pt>
                <c:pt idx="762">
                  <c:v>116.200000000001</c:v>
                </c:pt>
                <c:pt idx="763">
                  <c:v>116.30000000000101</c:v>
                </c:pt>
                <c:pt idx="764">
                  <c:v>116.400000000001</c:v>
                </c:pt>
                <c:pt idx="765">
                  <c:v>116.50000000000099</c:v>
                </c:pt>
                <c:pt idx="766">
                  <c:v>116.600000000001</c:v>
                </c:pt>
                <c:pt idx="767">
                  <c:v>116.700000000001</c:v>
                </c:pt>
                <c:pt idx="768">
                  <c:v>116.80000000000101</c:v>
                </c:pt>
                <c:pt idx="769">
                  <c:v>116.900000000001</c:v>
                </c:pt>
                <c:pt idx="770">
                  <c:v>117.00000000000099</c:v>
                </c:pt>
                <c:pt idx="771">
                  <c:v>117.100000000001</c:v>
                </c:pt>
                <c:pt idx="772">
                  <c:v>117.200000000001</c:v>
                </c:pt>
                <c:pt idx="773">
                  <c:v>117.30000000000101</c:v>
                </c:pt>
                <c:pt idx="774">
                  <c:v>117.400000000001</c:v>
                </c:pt>
                <c:pt idx="775">
                  <c:v>117.50000000000099</c:v>
                </c:pt>
                <c:pt idx="776">
                  <c:v>117.600000000001</c:v>
                </c:pt>
                <c:pt idx="777">
                  <c:v>117.700000000001</c:v>
                </c:pt>
                <c:pt idx="778">
                  <c:v>117.80000000000101</c:v>
                </c:pt>
                <c:pt idx="779">
                  <c:v>117.900000000001</c:v>
                </c:pt>
                <c:pt idx="780">
                  <c:v>118.00000000000099</c:v>
                </c:pt>
                <c:pt idx="781">
                  <c:v>118.100000000001</c:v>
                </c:pt>
                <c:pt idx="782">
                  <c:v>118.200000000001</c:v>
                </c:pt>
                <c:pt idx="783">
                  <c:v>118.30000000000101</c:v>
                </c:pt>
                <c:pt idx="784">
                  <c:v>118.400000000001</c:v>
                </c:pt>
                <c:pt idx="785">
                  <c:v>118.50000000000099</c:v>
                </c:pt>
                <c:pt idx="786">
                  <c:v>118.600000000001</c:v>
                </c:pt>
                <c:pt idx="787">
                  <c:v>118.700000000001</c:v>
                </c:pt>
                <c:pt idx="788">
                  <c:v>118.80000000000101</c:v>
                </c:pt>
                <c:pt idx="789">
                  <c:v>118.900000000001</c:v>
                </c:pt>
                <c:pt idx="790">
                  <c:v>119.00000000000099</c:v>
                </c:pt>
                <c:pt idx="791">
                  <c:v>119.100000000001</c:v>
                </c:pt>
                <c:pt idx="792">
                  <c:v>119.200000000001</c:v>
                </c:pt>
                <c:pt idx="793">
                  <c:v>119.30000000000101</c:v>
                </c:pt>
                <c:pt idx="794">
                  <c:v>119.400000000001</c:v>
                </c:pt>
                <c:pt idx="795">
                  <c:v>119.50000000000099</c:v>
                </c:pt>
                <c:pt idx="796">
                  <c:v>119.600000000001</c:v>
                </c:pt>
                <c:pt idx="797">
                  <c:v>119.700000000001</c:v>
                </c:pt>
                <c:pt idx="798">
                  <c:v>119.80000000000101</c:v>
                </c:pt>
                <c:pt idx="799">
                  <c:v>119.900000000001</c:v>
                </c:pt>
                <c:pt idx="800">
                  <c:v>120.00000000000099</c:v>
                </c:pt>
                <c:pt idx="801">
                  <c:v>120.100000000001</c:v>
                </c:pt>
                <c:pt idx="802">
                  <c:v>120.200000000001</c:v>
                </c:pt>
                <c:pt idx="803">
                  <c:v>120.30000000000101</c:v>
                </c:pt>
                <c:pt idx="804">
                  <c:v>120.400000000001</c:v>
                </c:pt>
                <c:pt idx="805">
                  <c:v>120.50000000000099</c:v>
                </c:pt>
                <c:pt idx="806">
                  <c:v>120.600000000001</c:v>
                </c:pt>
                <c:pt idx="807">
                  <c:v>120.700000000001</c:v>
                </c:pt>
                <c:pt idx="808">
                  <c:v>120.80000000000101</c:v>
                </c:pt>
                <c:pt idx="809">
                  <c:v>120.900000000001</c:v>
                </c:pt>
                <c:pt idx="810">
                  <c:v>121.00000000000099</c:v>
                </c:pt>
                <c:pt idx="811">
                  <c:v>121.100000000001</c:v>
                </c:pt>
                <c:pt idx="812">
                  <c:v>121.200000000001</c:v>
                </c:pt>
                <c:pt idx="813">
                  <c:v>121.30000000000101</c:v>
                </c:pt>
                <c:pt idx="814">
                  <c:v>121.400000000001</c:v>
                </c:pt>
                <c:pt idx="815">
                  <c:v>121.50000000000099</c:v>
                </c:pt>
                <c:pt idx="816">
                  <c:v>121.600000000001</c:v>
                </c:pt>
                <c:pt idx="817">
                  <c:v>121.700000000001</c:v>
                </c:pt>
                <c:pt idx="818">
                  <c:v>121.80000000000101</c:v>
                </c:pt>
                <c:pt idx="819">
                  <c:v>121.900000000001</c:v>
                </c:pt>
                <c:pt idx="820">
                  <c:v>122.00000000000099</c:v>
                </c:pt>
                <c:pt idx="821">
                  <c:v>122.100000000001</c:v>
                </c:pt>
                <c:pt idx="822">
                  <c:v>122.200000000001</c:v>
                </c:pt>
                <c:pt idx="823">
                  <c:v>122.30000000000101</c:v>
                </c:pt>
                <c:pt idx="824">
                  <c:v>122.400000000001</c:v>
                </c:pt>
                <c:pt idx="825">
                  <c:v>122.50000000000099</c:v>
                </c:pt>
                <c:pt idx="826">
                  <c:v>122.600000000001</c:v>
                </c:pt>
                <c:pt idx="827">
                  <c:v>122.700000000001</c:v>
                </c:pt>
                <c:pt idx="828">
                  <c:v>122.80000000000101</c:v>
                </c:pt>
                <c:pt idx="829">
                  <c:v>122.900000000001</c:v>
                </c:pt>
                <c:pt idx="830">
                  <c:v>123.00000000000099</c:v>
                </c:pt>
                <c:pt idx="831">
                  <c:v>123.100000000001</c:v>
                </c:pt>
                <c:pt idx="832">
                  <c:v>123.200000000001</c:v>
                </c:pt>
                <c:pt idx="833">
                  <c:v>123.30000000000101</c:v>
                </c:pt>
                <c:pt idx="834">
                  <c:v>123.400000000001</c:v>
                </c:pt>
                <c:pt idx="835">
                  <c:v>123.50000000000099</c:v>
                </c:pt>
                <c:pt idx="836">
                  <c:v>123.600000000001</c:v>
                </c:pt>
                <c:pt idx="837">
                  <c:v>123.700000000001</c:v>
                </c:pt>
                <c:pt idx="838">
                  <c:v>123.80000000000101</c:v>
                </c:pt>
                <c:pt idx="839">
                  <c:v>123.900000000001</c:v>
                </c:pt>
                <c:pt idx="840">
                  <c:v>124.00000000000099</c:v>
                </c:pt>
                <c:pt idx="841">
                  <c:v>124.100000000001</c:v>
                </c:pt>
                <c:pt idx="842">
                  <c:v>124.200000000001</c:v>
                </c:pt>
                <c:pt idx="843">
                  <c:v>124.30000000000101</c:v>
                </c:pt>
                <c:pt idx="844">
                  <c:v>124.400000000001</c:v>
                </c:pt>
                <c:pt idx="845">
                  <c:v>124.50000000000099</c:v>
                </c:pt>
                <c:pt idx="846">
                  <c:v>124.600000000001</c:v>
                </c:pt>
                <c:pt idx="847">
                  <c:v>124.700000000001</c:v>
                </c:pt>
                <c:pt idx="848">
                  <c:v>124.80000000000101</c:v>
                </c:pt>
                <c:pt idx="849">
                  <c:v>124.900000000001</c:v>
                </c:pt>
                <c:pt idx="850">
                  <c:v>125.00000000000099</c:v>
                </c:pt>
                <c:pt idx="851">
                  <c:v>125.100000000001</c:v>
                </c:pt>
                <c:pt idx="852">
                  <c:v>125.200000000001</c:v>
                </c:pt>
                <c:pt idx="853">
                  <c:v>125.30000000000101</c:v>
                </c:pt>
                <c:pt idx="854">
                  <c:v>125.400000000001</c:v>
                </c:pt>
                <c:pt idx="855">
                  <c:v>125.50000000000099</c:v>
                </c:pt>
                <c:pt idx="856">
                  <c:v>125.600000000001</c:v>
                </c:pt>
                <c:pt idx="857">
                  <c:v>125.700000000001</c:v>
                </c:pt>
                <c:pt idx="858">
                  <c:v>125.80000000000101</c:v>
                </c:pt>
                <c:pt idx="859">
                  <c:v>125.900000000001</c:v>
                </c:pt>
                <c:pt idx="860">
                  <c:v>126.00000000000099</c:v>
                </c:pt>
                <c:pt idx="861">
                  <c:v>126.100000000001</c:v>
                </c:pt>
                <c:pt idx="862">
                  <c:v>126.200000000001</c:v>
                </c:pt>
                <c:pt idx="863">
                  <c:v>126.30000000000101</c:v>
                </c:pt>
                <c:pt idx="864">
                  <c:v>126.400000000001</c:v>
                </c:pt>
                <c:pt idx="865">
                  <c:v>126.50000000000099</c:v>
                </c:pt>
                <c:pt idx="866">
                  <c:v>126.600000000001</c:v>
                </c:pt>
                <c:pt idx="867">
                  <c:v>126.700000000001</c:v>
                </c:pt>
                <c:pt idx="868">
                  <c:v>126.80000000000101</c:v>
                </c:pt>
                <c:pt idx="869">
                  <c:v>126.900000000001</c:v>
                </c:pt>
                <c:pt idx="870">
                  <c:v>127.00000000000099</c:v>
                </c:pt>
                <c:pt idx="871">
                  <c:v>127.100000000001</c:v>
                </c:pt>
                <c:pt idx="872">
                  <c:v>127.200000000001</c:v>
                </c:pt>
                <c:pt idx="873">
                  <c:v>127.30000000000101</c:v>
                </c:pt>
                <c:pt idx="874">
                  <c:v>127.400000000001</c:v>
                </c:pt>
                <c:pt idx="875">
                  <c:v>127.50000000000099</c:v>
                </c:pt>
                <c:pt idx="876">
                  <c:v>127.600000000001</c:v>
                </c:pt>
                <c:pt idx="877">
                  <c:v>127.700000000001</c:v>
                </c:pt>
                <c:pt idx="878">
                  <c:v>127.80000000000101</c:v>
                </c:pt>
                <c:pt idx="879">
                  <c:v>127.900000000001</c:v>
                </c:pt>
                <c:pt idx="880">
                  <c:v>128.00000000000099</c:v>
                </c:pt>
                <c:pt idx="881">
                  <c:v>128.10000000000099</c:v>
                </c:pt>
                <c:pt idx="882">
                  <c:v>128.20000000000101</c:v>
                </c:pt>
                <c:pt idx="883">
                  <c:v>128.30000000000101</c:v>
                </c:pt>
                <c:pt idx="884">
                  <c:v>128.400000000001</c:v>
                </c:pt>
                <c:pt idx="885">
                  <c:v>128.50000000000099</c:v>
                </c:pt>
                <c:pt idx="886">
                  <c:v>128.60000000000099</c:v>
                </c:pt>
                <c:pt idx="887">
                  <c:v>128.70000000000101</c:v>
                </c:pt>
                <c:pt idx="888">
                  <c:v>128.80000000000101</c:v>
                </c:pt>
                <c:pt idx="889">
                  <c:v>128.900000000001</c:v>
                </c:pt>
                <c:pt idx="890">
                  <c:v>129.00000000000099</c:v>
                </c:pt>
                <c:pt idx="891">
                  <c:v>129.10000000000099</c:v>
                </c:pt>
                <c:pt idx="892">
                  <c:v>129.20000000000101</c:v>
                </c:pt>
                <c:pt idx="893">
                  <c:v>129.30000000000101</c:v>
                </c:pt>
                <c:pt idx="894">
                  <c:v>129.400000000001</c:v>
                </c:pt>
                <c:pt idx="895">
                  <c:v>129.50000000000099</c:v>
                </c:pt>
                <c:pt idx="896">
                  <c:v>129.60000000000099</c:v>
                </c:pt>
                <c:pt idx="897">
                  <c:v>129.70000000000101</c:v>
                </c:pt>
                <c:pt idx="898">
                  <c:v>129.80000000000101</c:v>
                </c:pt>
                <c:pt idx="899">
                  <c:v>129.900000000001</c:v>
                </c:pt>
                <c:pt idx="900">
                  <c:v>130.00000000000099</c:v>
                </c:pt>
                <c:pt idx="901">
                  <c:v>130.10000000000099</c:v>
                </c:pt>
                <c:pt idx="902">
                  <c:v>130.20000000000101</c:v>
                </c:pt>
                <c:pt idx="903">
                  <c:v>130.30000000000101</c:v>
                </c:pt>
                <c:pt idx="904">
                  <c:v>130.400000000001</c:v>
                </c:pt>
                <c:pt idx="905">
                  <c:v>130.50000000000099</c:v>
                </c:pt>
                <c:pt idx="906">
                  <c:v>130.60000000000099</c:v>
                </c:pt>
                <c:pt idx="907">
                  <c:v>130.70000000000101</c:v>
                </c:pt>
                <c:pt idx="908">
                  <c:v>130.80000000000101</c:v>
                </c:pt>
                <c:pt idx="909">
                  <c:v>130.900000000001</c:v>
                </c:pt>
                <c:pt idx="910">
                  <c:v>131.00000000000099</c:v>
                </c:pt>
                <c:pt idx="911">
                  <c:v>131.10000000000099</c:v>
                </c:pt>
                <c:pt idx="912">
                  <c:v>131.20000000000101</c:v>
                </c:pt>
                <c:pt idx="913">
                  <c:v>131.30000000000101</c:v>
                </c:pt>
                <c:pt idx="914">
                  <c:v>131.400000000001</c:v>
                </c:pt>
                <c:pt idx="915">
                  <c:v>131.50000000000099</c:v>
                </c:pt>
                <c:pt idx="916">
                  <c:v>131.60000000000099</c:v>
                </c:pt>
                <c:pt idx="917">
                  <c:v>131.70000000000101</c:v>
                </c:pt>
                <c:pt idx="918">
                  <c:v>131.80000000000101</c:v>
                </c:pt>
                <c:pt idx="919">
                  <c:v>131.900000000001</c:v>
                </c:pt>
                <c:pt idx="920">
                  <c:v>132.00000000000099</c:v>
                </c:pt>
                <c:pt idx="921">
                  <c:v>132.10000000000099</c:v>
                </c:pt>
                <c:pt idx="922">
                  <c:v>132.20000000000101</c:v>
                </c:pt>
                <c:pt idx="923">
                  <c:v>132.30000000000101</c:v>
                </c:pt>
                <c:pt idx="924">
                  <c:v>132.400000000001</c:v>
                </c:pt>
                <c:pt idx="925">
                  <c:v>132.50000000000099</c:v>
                </c:pt>
                <c:pt idx="926">
                  <c:v>132.60000000000099</c:v>
                </c:pt>
                <c:pt idx="927">
                  <c:v>132.70000000000101</c:v>
                </c:pt>
                <c:pt idx="928">
                  <c:v>132.80000000000101</c:v>
                </c:pt>
                <c:pt idx="929">
                  <c:v>132.900000000001</c:v>
                </c:pt>
                <c:pt idx="930">
                  <c:v>133.00000000000099</c:v>
                </c:pt>
                <c:pt idx="931">
                  <c:v>133.10000000000099</c:v>
                </c:pt>
                <c:pt idx="932">
                  <c:v>133.20000000000101</c:v>
                </c:pt>
                <c:pt idx="933">
                  <c:v>133.30000000000101</c:v>
                </c:pt>
                <c:pt idx="934">
                  <c:v>133.400000000001</c:v>
                </c:pt>
                <c:pt idx="935">
                  <c:v>133.50000000000099</c:v>
                </c:pt>
                <c:pt idx="936">
                  <c:v>133.60000000000099</c:v>
                </c:pt>
                <c:pt idx="937">
                  <c:v>133.70000000000101</c:v>
                </c:pt>
                <c:pt idx="938">
                  <c:v>133.80000000000101</c:v>
                </c:pt>
                <c:pt idx="939">
                  <c:v>133.900000000001</c:v>
                </c:pt>
                <c:pt idx="940">
                  <c:v>134.00000000000099</c:v>
                </c:pt>
                <c:pt idx="941">
                  <c:v>134.10000000000099</c:v>
                </c:pt>
                <c:pt idx="942">
                  <c:v>134.20000000000101</c:v>
                </c:pt>
                <c:pt idx="943">
                  <c:v>134.30000000000101</c:v>
                </c:pt>
                <c:pt idx="944">
                  <c:v>134.400000000001</c:v>
                </c:pt>
                <c:pt idx="945">
                  <c:v>134.50000000000099</c:v>
                </c:pt>
                <c:pt idx="946">
                  <c:v>134.60000000000099</c:v>
                </c:pt>
                <c:pt idx="947">
                  <c:v>134.70000000000101</c:v>
                </c:pt>
                <c:pt idx="948">
                  <c:v>134.80000000000101</c:v>
                </c:pt>
                <c:pt idx="949">
                  <c:v>134.900000000001</c:v>
                </c:pt>
                <c:pt idx="950">
                  <c:v>135.00000000000099</c:v>
                </c:pt>
                <c:pt idx="951">
                  <c:v>135.10000000000099</c:v>
                </c:pt>
                <c:pt idx="952">
                  <c:v>135.20000000000101</c:v>
                </c:pt>
                <c:pt idx="953">
                  <c:v>135.30000000000101</c:v>
                </c:pt>
                <c:pt idx="954">
                  <c:v>135.400000000001</c:v>
                </c:pt>
                <c:pt idx="955">
                  <c:v>135.50000000000099</c:v>
                </c:pt>
                <c:pt idx="956">
                  <c:v>135.60000000000099</c:v>
                </c:pt>
                <c:pt idx="957">
                  <c:v>135.70000000000101</c:v>
                </c:pt>
                <c:pt idx="958">
                  <c:v>135.80000000000101</c:v>
                </c:pt>
                <c:pt idx="959">
                  <c:v>135.900000000001</c:v>
                </c:pt>
                <c:pt idx="960">
                  <c:v>136.00000000000099</c:v>
                </c:pt>
                <c:pt idx="961">
                  <c:v>136.10000000000099</c:v>
                </c:pt>
                <c:pt idx="962">
                  <c:v>136.20000000000101</c:v>
                </c:pt>
                <c:pt idx="963">
                  <c:v>136.30000000000101</c:v>
                </c:pt>
                <c:pt idx="964">
                  <c:v>136.400000000001</c:v>
                </c:pt>
                <c:pt idx="965">
                  <c:v>136.50000000000099</c:v>
                </c:pt>
                <c:pt idx="966">
                  <c:v>136.60000000000099</c:v>
                </c:pt>
                <c:pt idx="967">
                  <c:v>136.70000000000101</c:v>
                </c:pt>
                <c:pt idx="968">
                  <c:v>136.80000000000101</c:v>
                </c:pt>
                <c:pt idx="969">
                  <c:v>136.900000000001</c:v>
                </c:pt>
                <c:pt idx="970">
                  <c:v>137.00000000000099</c:v>
                </c:pt>
                <c:pt idx="971">
                  <c:v>137.10000000000099</c:v>
                </c:pt>
                <c:pt idx="972">
                  <c:v>137.20000000000101</c:v>
                </c:pt>
                <c:pt idx="973">
                  <c:v>137.30000000000101</c:v>
                </c:pt>
                <c:pt idx="974">
                  <c:v>137.400000000001</c:v>
                </c:pt>
                <c:pt idx="975">
                  <c:v>137.50000000000099</c:v>
                </c:pt>
                <c:pt idx="976">
                  <c:v>137.60000000000099</c:v>
                </c:pt>
                <c:pt idx="977">
                  <c:v>137.70000000000101</c:v>
                </c:pt>
                <c:pt idx="978">
                  <c:v>137.80000000000101</c:v>
                </c:pt>
                <c:pt idx="979">
                  <c:v>137.900000000001</c:v>
                </c:pt>
                <c:pt idx="980">
                  <c:v>138.00000000000099</c:v>
                </c:pt>
                <c:pt idx="981">
                  <c:v>138.10000000000099</c:v>
                </c:pt>
                <c:pt idx="982">
                  <c:v>138.20000000000101</c:v>
                </c:pt>
                <c:pt idx="983">
                  <c:v>138.30000000000101</c:v>
                </c:pt>
                <c:pt idx="984">
                  <c:v>138.400000000001</c:v>
                </c:pt>
                <c:pt idx="985">
                  <c:v>138.50000000000099</c:v>
                </c:pt>
                <c:pt idx="986">
                  <c:v>138.60000000000099</c:v>
                </c:pt>
                <c:pt idx="987">
                  <c:v>138.70000000000101</c:v>
                </c:pt>
                <c:pt idx="988">
                  <c:v>138.80000000000101</c:v>
                </c:pt>
                <c:pt idx="989">
                  <c:v>138.900000000001</c:v>
                </c:pt>
                <c:pt idx="990">
                  <c:v>139.00000000000099</c:v>
                </c:pt>
                <c:pt idx="991">
                  <c:v>139.10000000000099</c:v>
                </c:pt>
                <c:pt idx="992">
                  <c:v>139.20000000000101</c:v>
                </c:pt>
                <c:pt idx="993">
                  <c:v>139.30000000000101</c:v>
                </c:pt>
                <c:pt idx="994">
                  <c:v>139.400000000001</c:v>
                </c:pt>
                <c:pt idx="995">
                  <c:v>139.50000000000099</c:v>
                </c:pt>
                <c:pt idx="996">
                  <c:v>139.60000000000099</c:v>
                </c:pt>
                <c:pt idx="997">
                  <c:v>139.70000000000101</c:v>
                </c:pt>
                <c:pt idx="998">
                  <c:v>139.80000000000101</c:v>
                </c:pt>
                <c:pt idx="999">
                  <c:v>139.900000000001</c:v>
                </c:pt>
                <c:pt idx="1000">
                  <c:v>140.00000000000099</c:v>
                </c:pt>
                <c:pt idx="1001">
                  <c:v>140.10000000000099</c:v>
                </c:pt>
                <c:pt idx="1002">
                  <c:v>140.20000000000101</c:v>
                </c:pt>
                <c:pt idx="1003">
                  <c:v>140.30000000000101</c:v>
                </c:pt>
                <c:pt idx="1004">
                  <c:v>140.400000000001</c:v>
                </c:pt>
                <c:pt idx="1005">
                  <c:v>140.50000000000099</c:v>
                </c:pt>
                <c:pt idx="1006">
                  <c:v>140.60000000000099</c:v>
                </c:pt>
                <c:pt idx="1007">
                  <c:v>140.70000000000101</c:v>
                </c:pt>
                <c:pt idx="1008">
                  <c:v>140.80000000000101</c:v>
                </c:pt>
                <c:pt idx="1009">
                  <c:v>140.900000000001</c:v>
                </c:pt>
                <c:pt idx="1010">
                  <c:v>141.00000000000099</c:v>
                </c:pt>
                <c:pt idx="1011">
                  <c:v>141.10000000000099</c:v>
                </c:pt>
                <c:pt idx="1012">
                  <c:v>141.20000000000101</c:v>
                </c:pt>
                <c:pt idx="1013">
                  <c:v>141.30000000000101</c:v>
                </c:pt>
                <c:pt idx="1014">
                  <c:v>141.400000000001</c:v>
                </c:pt>
                <c:pt idx="1015">
                  <c:v>141.50000000000099</c:v>
                </c:pt>
                <c:pt idx="1016">
                  <c:v>141.60000000000099</c:v>
                </c:pt>
                <c:pt idx="1017">
                  <c:v>141.70000000000101</c:v>
                </c:pt>
                <c:pt idx="1018">
                  <c:v>141.80000000000101</c:v>
                </c:pt>
                <c:pt idx="1019">
                  <c:v>141.900000000001</c:v>
                </c:pt>
                <c:pt idx="1020">
                  <c:v>142.00000000000099</c:v>
                </c:pt>
                <c:pt idx="1021">
                  <c:v>142.10000000000099</c:v>
                </c:pt>
                <c:pt idx="1022">
                  <c:v>142.20000000000101</c:v>
                </c:pt>
                <c:pt idx="1023">
                  <c:v>142.30000000000101</c:v>
                </c:pt>
                <c:pt idx="1024">
                  <c:v>142.400000000001</c:v>
                </c:pt>
                <c:pt idx="1025">
                  <c:v>142.50000000000099</c:v>
                </c:pt>
                <c:pt idx="1026">
                  <c:v>142.60000000000099</c:v>
                </c:pt>
                <c:pt idx="1027">
                  <c:v>142.70000000000101</c:v>
                </c:pt>
                <c:pt idx="1028">
                  <c:v>142.80000000000101</c:v>
                </c:pt>
                <c:pt idx="1029">
                  <c:v>142.900000000001</c:v>
                </c:pt>
                <c:pt idx="1030">
                  <c:v>143.00000000000099</c:v>
                </c:pt>
                <c:pt idx="1031">
                  <c:v>143.10000000000099</c:v>
                </c:pt>
                <c:pt idx="1032">
                  <c:v>143.20000000000101</c:v>
                </c:pt>
                <c:pt idx="1033">
                  <c:v>143.30000000000101</c:v>
                </c:pt>
                <c:pt idx="1034">
                  <c:v>143.400000000001</c:v>
                </c:pt>
                <c:pt idx="1035">
                  <c:v>143.50000000000099</c:v>
                </c:pt>
                <c:pt idx="1036">
                  <c:v>143.60000000000099</c:v>
                </c:pt>
                <c:pt idx="1037">
                  <c:v>143.70000000000101</c:v>
                </c:pt>
                <c:pt idx="1038">
                  <c:v>143.80000000000101</c:v>
                </c:pt>
                <c:pt idx="1039">
                  <c:v>143.900000000001</c:v>
                </c:pt>
                <c:pt idx="1040">
                  <c:v>144.00000000000099</c:v>
                </c:pt>
                <c:pt idx="1041">
                  <c:v>144.10000000000099</c:v>
                </c:pt>
                <c:pt idx="1042">
                  <c:v>144.20000000000101</c:v>
                </c:pt>
                <c:pt idx="1043">
                  <c:v>144.30000000000101</c:v>
                </c:pt>
                <c:pt idx="1044">
                  <c:v>144.400000000001</c:v>
                </c:pt>
                <c:pt idx="1045">
                  <c:v>144.50000000000099</c:v>
                </c:pt>
                <c:pt idx="1046">
                  <c:v>144.60000000000099</c:v>
                </c:pt>
                <c:pt idx="1047">
                  <c:v>144.70000000000101</c:v>
                </c:pt>
                <c:pt idx="1048">
                  <c:v>144.80000000000101</c:v>
                </c:pt>
                <c:pt idx="1049">
                  <c:v>144.900000000001</c:v>
                </c:pt>
                <c:pt idx="1050">
                  <c:v>145.00000000000099</c:v>
                </c:pt>
                <c:pt idx="1051">
                  <c:v>145.10000000000201</c:v>
                </c:pt>
                <c:pt idx="1052">
                  <c:v>145.20000000000101</c:v>
                </c:pt>
                <c:pt idx="1053">
                  <c:v>145.30000000000101</c:v>
                </c:pt>
                <c:pt idx="1054">
                  <c:v>145.400000000001</c:v>
                </c:pt>
                <c:pt idx="1055">
                  <c:v>145.50000000000199</c:v>
                </c:pt>
                <c:pt idx="1056">
                  <c:v>145.60000000000201</c:v>
                </c:pt>
                <c:pt idx="1057">
                  <c:v>145.70000000000101</c:v>
                </c:pt>
                <c:pt idx="1058">
                  <c:v>145.800000000002</c:v>
                </c:pt>
                <c:pt idx="1059">
                  <c:v>145.900000000002</c:v>
                </c:pt>
                <c:pt idx="1060">
                  <c:v>146.00000000000199</c:v>
                </c:pt>
                <c:pt idx="1061">
                  <c:v>146.10000000000201</c:v>
                </c:pt>
                <c:pt idx="1062">
                  <c:v>146.20000000000201</c:v>
                </c:pt>
                <c:pt idx="1063">
                  <c:v>146.300000000002</c:v>
                </c:pt>
                <c:pt idx="1064">
                  <c:v>146.400000000002</c:v>
                </c:pt>
                <c:pt idx="1065">
                  <c:v>146.50000000000199</c:v>
                </c:pt>
                <c:pt idx="1066">
                  <c:v>146.60000000000201</c:v>
                </c:pt>
                <c:pt idx="1067">
                  <c:v>146.70000000000201</c:v>
                </c:pt>
                <c:pt idx="1068">
                  <c:v>146.800000000002</c:v>
                </c:pt>
                <c:pt idx="1069">
                  <c:v>146.900000000002</c:v>
                </c:pt>
                <c:pt idx="1070">
                  <c:v>147.00000000000199</c:v>
                </c:pt>
                <c:pt idx="1071">
                  <c:v>147.10000000000201</c:v>
                </c:pt>
                <c:pt idx="1072">
                  <c:v>147.20000000000201</c:v>
                </c:pt>
                <c:pt idx="1073">
                  <c:v>147.300000000002</c:v>
                </c:pt>
                <c:pt idx="1074">
                  <c:v>147.400000000002</c:v>
                </c:pt>
                <c:pt idx="1075">
                  <c:v>147.50000000000199</c:v>
                </c:pt>
                <c:pt idx="1076">
                  <c:v>147.60000000000201</c:v>
                </c:pt>
                <c:pt idx="1077">
                  <c:v>147.70000000000201</c:v>
                </c:pt>
                <c:pt idx="1078">
                  <c:v>147.800000000002</c:v>
                </c:pt>
                <c:pt idx="1079">
                  <c:v>147.900000000002</c:v>
                </c:pt>
                <c:pt idx="1080">
                  <c:v>148.00000000000199</c:v>
                </c:pt>
                <c:pt idx="1081">
                  <c:v>148.10000000000201</c:v>
                </c:pt>
                <c:pt idx="1082">
                  <c:v>148.20000000000201</c:v>
                </c:pt>
                <c:pt idx="1083">
                  <c:v>148.300000000002</c:v>
                </c:pt>
                <c:pt idx="1084">
                  <c:v>148.400000000002</c:v>
                </c:pt>
                <c:pt idx="1085">
                  <c:v>148.50000000000199</c:v>
                </c:pt>
                <c:pt idx="1086">
                  <c:v>148.60000000000201</c:v>
                </c:pt>
                <c:pt idx="1087">
                  <c:v>148.70000000000201</c:v>
                </c:pt>
                <c:pt idx="1088">
                  <c:v>148.800000000002</c:v>
                </c:pt>
                <c:pt idx="1089">
                  <c:v>148.900000000002</c:v>
                </c:pt>
                <c:pt idx="1090">
                  <c:v>149.00000000000199</c:v>
                </c:pt>
                <c:pt idx="1091">
                  <c:v>149.10000000000201</c:v>
                </c:pt>
                <c:pt idx="1092">
                  <c:v>149.20000000000201</c:v>
                </c:pt>
                <c:pt idx="1093">
                  <c:v>149.300000000002</c:v>
                </c:pt>
                <c:pt idx="1094">
                  <c:v>149.400000000002</c:v>
                </c:pt>
                <c:pt idx="1095">
                  <c:v>149.50000000000199</c:v>
                </c:pt>
                <c:pt idx="1096">
                  <c:v>149.60000000000201</c:v>
                </c:pt>
                <c:pt idx="1097">
                  <c:v>149.70000000000201</c:v>
                </c:pt>
                <c:pt idx="1098">
                  <c:v>149.800000000002</c:v>
                </c:pt>
                <c:pt idx="1099">
                  <c:v>149.900000000002</c:v>
                </c:pt>
                <c:pt idx="1100">
                  <c:v>150.00000000000199</c:v>
                </c:pt>
                <c:pt idx="1101">
                  <c:v>150.10000000000201</c:v>
                </c:pt>
                <c:pt idx="1102">
                  <c:v>150.20000000000201</c:v>
                </c:pt>
                <c:pt idx="1103">
                  <c:v>150.300000000002</c:v>
                </c:pt>
                <c:pt idx="1104">
                  <c:v>150.400000000002</c:v>
                </c:pt>
                <c:pt idx="1105">
                  <c:v>150.50000000000199</c:v>
                </c:pt>
                <c:pt idx="1106">
                  <c:v>150.60000000000201</c:v>
                </c:pt>
                <c:pt idx="1107">
                  <c:v>150.70000000000201</c:v>
                </c:pt>
                <c:pt idx="1108">
                  <c:v>150.800000000002</c:v>
                </c:pt>
                <c:pt idx="1109">
                  <c:v>150.900000000002</c:v>
                </c:pt>
                <c:pt idx="1110">
                  <c:v>151.00000000000199</c:v>
                </c:pt>
                <c:pt idx="1111">
                  <c:v>151.10000000000201</c:v>
                </c:pt>
                <c:pt idx="1112">
                  <c:v>151.20000000000201</c:v>
                </c:pt>
                <c:pt idx="1113">
                  <c:v>151.300000000002</c:v>
                </c:pt>
                <c:pt idx="1114">
                  <c:v>151.400000000002</c:v>
                </c:pt>
                <c:pt idx="1115">
                  <c:v>151.50000000000199</c:v>
                </c:pt>
                <c:pt idx="1116">
                  <c:v>151.60000000000201</c:v>
                </c:pt>
                <c:pt idx="1117">
                  <c:v>151.70000000000201</c:v>
                </c:pt>
                <c:pt idx="1118">
                  <c:v>151.800000000002</c:v>
                </c:pt>
                <c:pt idx="1119">
                  <c:v>151.900000000002</c:v>
                </c:pt>
                <c:pt idx="1120">
                  <c:v>152.00000000000199</c:v>
                </c:pt>
                <c:pt idx="1121">
                  <c:v>152.10000000000201</c:v>
                </c:pt>
                <c:pt idx="1122">
                  <c:v>152.20000000000201</c:v>
                </c:pt>
                <c:pt idx="1123">
                  <c:v>152.300000000002</c:v>
                </c:pt>
                <c:pt idx="1124">
                  <c:v>152.400000000002</c:v>
                </c:pt>
                <c:pt idx="1125">
                  <c:v>152.50000000000199</c:v>
                </c:pt>
                <c:pt idx="1126">
                  <c:v>152.60000000000201</c:v>
                </c:pt>
                <c:pt idx="1127">
                  <c:v>152.70000000000201</c:v>
                </c:pt>
                <c:pt idx="1128">
                  <c:v>152.800000000002</c:v>
                </c:pt>
                <c:pt idx="1129">
                  <c:v>152.900000000002</c:v>
                </c:pt>
                <c:pt idx="1130">
                  <c:v>153.00000000000199</c:v>
                </c:pt>
                <c:pt idx="1131">
                  <c:v>153.10000000000201</c:v>
                </c:pt>
                <c:pt idx="1132">
                  <c:v>153.20000000000201</c:v>
                </c:pt>
                <c:pt idx="1133">
                  <c:v>153.300000000002</c:v>
                </c:pt>
                <c:pt idx="1134">
                  <c:v>153.400000000002</c:v>
                </c:pt>
                <c:pt idx="1135">
                  <c:v>153.50000000000199</c:v>
                </c:pt>
                <c:pt idx="1136">
                  <c:v>153.60000000000201</c:v>
                </c:pt>
                <c:pt idx="1137">
                  <c:v>153.70000000000201</c:v>
                </c:pt>
                <c:pt idx="1138">
                  <c:v>153.800000000002</c:v>
                </c:pt>
                <c:pt idx="1139">
                  <c:v>153.900000000002</c:v>
                </c:pt>
                <c:pt idx="1140">
                  <c:v>154.00000000000199</c:v>
                </c:pt>
                <c:pt idx="1141">
                  <c:v>154.10000000000201</c:v>
                </c:pt>
                <c:pt idx="1142">
                  <c:v>154.20000000000201</c:v>
                </c:pt>
                <c:pt idx="1143">
                  <c:v>154.300000000002</c:v>
                </c:pt>
                <c:pt idx="1144">
                  <c:v>154.400000000002</c:v>
                </c:pt>
                <c:pt idx="1145">
                  <c:v>154.50000000000199</c:v>
                </c:pt>
                <c:pt idx="1146">
                  <c:v>154.60000000000201</c:v>
                </c:pt>
                <c:pt idx="1147">
                  <c:v>154.70000000000201</c:v>
                </c:pt>
                <c:pt idx="1148">
                  <c:v>154.800000000002</c:v>
                </c:pt>
                <c:pt idx="1149">
                  <c:v>154.900000000002</c:v>
                </c:pt>
                <c:pt idx="1150">
                  <c:v>155.00000000000199</c:v>
                </c:pt>
                <c:pt idx="1151">
                  <c:v>155.10000000000201</c:v>
                </c:pt>
                <c:pt idx="1152">
                  <c:v>155.20000000000201</c:v>
                </c:pt>
                <c:pt idx="1153">
                  <c:v>155.300000000002</c:v>
                </c:pt>
                <c:pt idx="1154">
                  <c:v>155.400000000002</c:v>
                </c:pt>
                <c:pt idx="1155">
                  <c:v>155.50000000000199</c:v>
                </c:pt>
                <c:pt idx="1156">
                  <c:v>155.60000000000201</c:v>
                </c:pt>
                <c:pt idx="1157">
                  <c:v>155.70000000000201</c:v>
                </c:pt>
                <c:pt idx="1158">
                  <c:v>155.800000000002</c:v>
                </c:pt>
                <c:pt idx="1159">
                  <c:v>155.900000000002</c:v>
                </c:pt>
                <c:pt idx="1160">
                  <c:v>156.00000000000199</c:v>
                </c:pt>
                <c:pt idx="1161">
                  <c:v>156.10000000000201</c:v>
                </c:pt>
                <c:pt idx="1162">
                  <c:v>156.20000000000201</c:v>
                </c:pt>
                <c:pt idx="1163">
                  <c:v>156.300000000002</c:v>
                </c:pt>
                <c:pt idx="1164">
                  <c:v>156.400000000002</c:v>
                </c:pt>
                <c:pt idx="1165">
                  <c:v>156.50000000000199</c:v>
                </c:pt>
                <c:pt idx="1166">
                  <c:v>156.60000000000201</c:v>
                </c:pt>
                <c:pt idx="1167">
                  <c:v>156.70000000000201</c:v>
                </c:pt>
                <c:pt idx="1168">
                  <c:v>156.800000000002</c:v>
                </c:pt>
                <c:pt idx="1169">
                  <c:v>156.900000000002</c:v>
                </c:pt>
                <c:pt idx="1170">
                  <c:v>157.00000000000199</c:v>
                </c:pt>
                <c:pt idx="1171">
                  <c:v>157.10000000000201</c:v>
                </c:pt>
                <c:pt idx="1172">
                  <c:v>157.20000000000201</c:v>
                </c:pt>
                <c:pt idx="1173">
                  <c:v>157.300000000002</c:v>
                </c:pt>
                <c:pt idx="1174">
                  <c:v>157.400000000002</c:v>
                </c:pt>
                <c:pt idx="1175">
                  <c:v>157.50000000000199</c:v>
                </c:pt>
                <c:pt idx="1176">
                  <c:v>157.60000000000201</c:v>
                </c:pt>
                <c:pt idx="1177">
                  <c:v>157.70000000000201</c:v>
                </c:pt>
                <c:pt idx="1178">
                  <c:v>157.800000000002</c:v>
                </c:pt>
                <c:pt idx="1179">
                  <c:v>157.900000000002</c:v>
                </c:pt>
                <c:pt idx="1180">
                  <c:v>158.00000000000199</c:v>
                </c:pt>
                <c:pt idx="1181">
                  <c:v>158.10000000000201</c:v>
                </c:pt>
                <c:pt idx="1182">
                  <c:v>158.20000000000201</c:v>
                </c:pt>
                <c:pt idx="1183">
                  <c:v>158.300000000002</c:v>
                </c:pt>
                <c:pt idx="1184">
                  <c:v>158.400000000002</c:v>
                </c:pt>
                <c:pt idx="1185">
                  <c:v>158.50000000000199</c:v>
                </c:pt>
                <c:pt idx="1186">
                  <c:v>158.60000000000201</c:v>
                </c:pt>
                <c:pt idx="1187">
                  <c:v>158.70000000000201</c:v>
                </c:pt>
                <c:pt idx="1188">
                  <c:v>158.800000000002</c:v>
                </c:pt>
                <c:pt idx="1189">
                  <c:v>158.900000000002</c:v>
                </c:pt>
                <c:pt idx="1190">
                  <c:v>159.00000000000199</c:v>
                </c:pt>
                <c:pt idx="1191">
                  <c:v>159.10000000000201</c:v>
                </c:pt>
                <c:pt idx="1192">
                  <c:v>159.20000000000201</c:v>
                </c:pt>
                <c:pt idx="1193">
                  <c:v>159.300000000002</c:v>
                </c:pt>
                <c:pt idx="1194">
                  <c:v>159.400000000002</c:v>
                </c:pt>
                <c:pt idx="1195">
                  <c:v>159.50000000000199</c:v>
                </c:pt>
                <c:pt idx="1196">
                  <c:v>159.60000000000201</c:v>
                </c:pt>
                <c:pt idx="1197">
                  <c:v>159.70000000000201</c:v>
                </c:pt>
                <c:pt idx="1198">
                  <c:v>159.800000000002</c:v>
                </c:pt>
                <c:pt idx="1199">
                  <c:v>159.900000000002</c:v>
                </c:pt>
                <c:pt idx="1200">
                  <c:v>160.00000000000199</c:v>
                </c:pt>
                <c:pt idx="1201">
                  <c:v>64.18949649315185</c:v>
                </c:pt>
                <c:pt idx="1202">
                  <c:v>69.26612386864393</c:v>
                </c:pt>
                <c:pt idx="1203" formatCode="0">
                  <c:v>66.476018320026895</c:v>
                </c:pt>
                <c:pt idx="1204">
                  <c:v>50</c:v>
                </c:pt>
                <c:pt idx="1205">
                  <c:v>65</c:v>
                </c:pt>
                <c:pt idx="1206">
                  <c:v>75</c:v>
                </c:pt>
                <c:pt idx="1207">
                  <c:v>85</c:v>
                </c:pt>
                <c:pt idx="1208">
                  <c:v>100</c:v>
                </c:pt>
                <c:pt idx="1209">
                  <c:v>115</c:v>
                </c:pt>
                <c:pt idx="1210">
                  <c:v>125</c:v>
                </c:pt>
                <c:pt idx="1211">
                  <c:v>135</c:v>
                </c:pt>
                <c:pt idx="1212">
                  <c:v>150</c:v>
                </c:pt>
              </c:numCache>
            </c:numRef>
          </c:xVal>
          <c:yVal>
            <c:numRef>
              <c:f>ChartCalculations!$O$2:$O$1214</c:f>
              <c:numCache>
                <c:formatCode>General</c:formatCode>
                <c:ptCount val="1213"/>
                <c:pt idx="1204">
                  <c:v>7.4999999999999997E-3</c:v>
                </c:pt>
                <c:pt idx="1205">
                  <c:v>7.4999999999999997E-3</c:v>
                </c:pt>
                <c:pt idx="1206">
                  <c:v>7.4999999999999997E-3</c:v>
                </c:pt>
                <c:pt idx="1207">
                  <c:v>7.4999999999999997E-3</c:v>
                </c:pt>
                <c:pt idx="1208">
                  <c:v>7.4999999999999997E-3</c:v>
                </c:pt>
                <c:pt idx="1209">
                  <c:v>7.4999999999999997E-3</c:v>
                </c:pt>
                <c:pt idx="1210">
                  <c:v>7.4999999999999997E-3</c:v>
                </c:pt>
                <c:pt idx="1211">
                  <c:v>7.4999999999999997E-3</c:v>
                </c:pt>
                <c:pt idx="1212">
                  <c:v>7.4999999999999997E-3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6CD-4FB6-B3EC-2366FC1ED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799648"/>
        <c:axId val="513801944"/>
      </c:scatterChart>
      <c:valAx>
        <c:axId val="513799648"/>
        <c:scaling>
          <c:orientation val="minMax"/>
          <c:max val="160"/>
          <c:min val="40"/>
        </c:scaling>
        <c:delete val="0"/>
        <c:axPos val="b"/>
        <c:minorGridlines>
          <c:spPr>
            <a:ln w="9525" cap="flat" cmpd="sng" algn="ctr">
              <a:solidFill>
                <a:srgbClr val="F5F5F5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801944"/>
        <c:crosses val="autoZero"/>
        <c:crossBetween val="midCat"/>
        <c:majorUnit val="10"/>
        <c:minorUnit val="10"/>
      </c:valAx>
      <c:valAx>
        <c:axId val="5138019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379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autoTitleDeleted val="0"/>
    <c:plotArea>
      <c:layout>
        <c:manualLayout>
          <c:layoutTarget val="inner"/>
          <c:xMode val="edge"/>
          <c:yMode val="edge"/>
          <c:x val="5.1592300962379697E-2"/>
          <c:y val="3.2939632545931762E-2"/>
          <c:w val="0.93505455915232816"/>
          <c:h val="0.89273605222424124"/>
        </c:manualLayout>
      </c:layout>
      <c:barChart>
        <c:barDir val="col"/>
        <c:grouping val="clustered"/>
        <c:varyColors val="0"/>
        <c:ser>
          <c:idx val="10"/>
          <c:order val="3"/>
          <c:tx>
            <c:strRef>
              <c:f>Calculations!$AT$10</c:f>
              <c:strCache>
                <c:ptCount val="1"/>
                <c:pt idx="0">
                  <c:v>Very High1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val>
            <c:numRef>
              <c:f>[0]!Very_High</c:f>
              <c:numCache>
                <c:formatCode>General</c:formatCode>
                <c:ptCount val="5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7-48CA-8A65-3A3478038AFA}"/>
            </c:ext>
          </c:extLst>
        </c:ser>
        <c:ser>
          <c:idx val="9"/>
          <c:order val="4"/>
          <c:tx>
            <c:strRef>
              <c:f>Calculations!$AS$10</c:f>
              <c:strCache>
                <c:ptCount val="1"/>
                <c:pt idx="0">
                  <c:v>High1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[0]!High</c:f>
              <c:numCache>
                <c:formatCode>General</c:formatCode>
                <c:ptCount val="5"/>
                <c:pt idx="0">
                  <c:v>130</c:v>
                </c:pt>
                <c:pt idx="1">
                  <c:v>130</c:v>
                </c:pt>
                <c:pt idx="2">
                  <c:v>130</c:v>
                </c:pt>
                <c:pt idx="3">
                  <c:v>130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7-48CA-8A65-3A3478038AFA}"/>
            </c:ext>
          </c:extLst>
        </c:ser>
        <c:ser>
          <c:idx val="8"/>
          <c:order val="5"/>
          <c:tx>
            <c:strRef>
              <c:f>Calculations!$AR$10</c:f>
              <c:strCache>
                <c:ptCount val="1"/>
                <c:pt idx="0">
                  <c:v>High Average1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val>
            <c:numRef>
              <c:f>[0]!High_Average</c:f>
              <c:numCache>
                <c:formatCode>General</c:formatCode>
                <c:ptCount val="5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7-48CA-8A65-3A3478038AFA}"/>
            </c:ext>
          </c:extLst>
        </c:ser>
        <c:ser>
          <c:idx val="7"/>
          <c:order val="6"/>
          <c:tx>
            <c:strRef>
              <c:f>Calculations!$AQ$10</c:f>
              <c:strCache>
                <c:ptCount val="1"/>
                <c:pt idx="0">
                  <c:v>Average1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val>
            <c:numRef>
              <c:f>[0]!Average</c:f>
              <c:numCache>
                <c:formatCode>General</c:formatCode>
                <c:ptCount val="5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57-48CA-8A65-3A3478038AFA}"/>
            </c:ext>
          </c:extLst>
        </c:ser>
        <c:ser>
          <c:idx val="6"/>
          <c:order val="7"/>
          <c:tx>
            <c:strRef>
              <c:f>Calculations!$AP$10</c:f>
              <c:strCache>
                <c:ptCount val="1"/>
                <c:pt idx="0">
                  <c:v>Low Average1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val>
            <c:numRef>
              <c:f>[0]!Low_Average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57-48CA-8A65-3A3478038AFA}"/>
            </c:ext>
          </c:extLst>
        </c:ser>
        <c:ser>
          <c:idx val="5"/>
          <c:order val="8"/>
          <c:tx>
            <c:strRef>
              <c:f>Calculations!$AO$10</c:f>
              <c:strCache>
                <c:ptCount val="1"/>
                <c:pt idx="0">
                  <c:v>Low1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[0]!Low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57-48CA-8A65-3A3478038AFA}"/>
            </c:ext>
          </c:extLst>
        </c:ser>
        <c:ser>
          <c:idx val="4"/>
          <c:order val="9"/>
          <c:tx>
            <c:strRef>
              <c:f>Calculations!$AN$10</c:f>
              <c:strCache>
                <c:ptCount val="1"/>
                <c:pt idx="0">
                  <c:v>Very Low1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val>
            <c:numRef>
              <c:f>[0]!Very_Low</c:f>
              <c:numCache>
                <c:formatCode>General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57-48CA-8A65-3A3478038AFA}"/>
            </c:ext>
          </c:extLst>
        </c:ser>
        <c:ser>
          <c:idx val="3"/>
          <c:order val="10"/>
          <c:tx>
            <c:strRef>
              <c:f>Calculations!$AM$10</c:f>
              <c:strCache>
                <c:ptCount val="1"/>
                <c:pt idx="0">
                  <c:v>Extremely Low1</c:v>
                </c:pt>
              </c:strCache>
            </c:strRef>
          </c:tx>
          <c:spPr>
            <a:solidFill>
              <a:srgbClr val="E6E6E6"/>
            </a:solidFill>
          </c:spPr>
          <c:invertIfNegative val="0"/>
          <c:val>
            <c:numRef>
              <c:f>[0]!Extremely_Low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57-48CA-8A65-3A347803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9925120"/>
        <c:axId val="89926656"/>
      </c:barChart>
      <c:lineChart>
        <c:grouping val="standard"/>
        <c:varyColors val="0"/>
        <c:ser>
          <c:idx val="0"/>
          <c:order val="0"/>
          <c:tx>
            <c:strRef>
              <c:f>Calculations!$M$10</c:f>
              <c:strCache>
                <c:ptCount val="1"/>
                <c:pt idx="0">
                  <c:v>Observed Scores</c:v>
                </c:pt>
              </c:strCache>
            </c:strRef>
          </c:tx>
          <c:spPr>
            <a:ln>
              <a:solidFill>
                <a:schemeClr val="accent1">
                  <a:alpha val="70000"/>
                </a:schemeClr>
              </a:solidFill>
            </a:ln>
          </c:spPr>
          <c:marker>
            <c:symbol val="circle"/>
            <c:size val="18"/>
            <c:spPr>
              <a:solidFill>
                <a:schemeClr val="accent1">
                  <a:alpha val="82000"/>
                </a:schemeClr>
              </a:solidFill>
              <a:ln>
                <a:noFill/>
              </a:ln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[0]!Subtests</c:f>
              <c:strCache>
                <c:ptCount val="5"/>
                <c:pt idx="0">
                  <c:v>WISC-R (1974)</c:v>
                </c:pt>
                <c:pt idx="1">
                  <c:v>WISC-R (1974)</c:v>
                </c:pt>
                <c:pt idx="2">
                  <c:v>WAIS-III (1997)</c:v>
                </c:pt>
                <c:pt idx="3">
                  <c:v>SB5 (2003)</c:v>
                </c:pt>
                <c:pt idx="4">
                  <c:v>WAIS-IV (2008)</c:v>
                </c:pt>
              </c:strCache>
              <c:extLst xmlns:c15="http://schemas.microsoft.com/office/drawing/2012/chart"/>
            </c:strRef>
          </c:cat>
          <c:val>
            <c:numRef>
              <c:f>[0]!Observed</c:f>
              <c:numCache>
                <c:formatCode>General</c:formatCode>
                <c:ptCount val="5"/>
                <c:pt idx="0">
                  <c:v>74.06</c:v>
                </c:pt>
                <c:pt idx="1">
                  <c:v>67.766000000000005</c:v>
                </c:pt>
                <c:pt idx="2">
                  <c:v>70.942000000000007</c:v>
                </c:pt>
                <c:pt idx="3">
                  <c:v>76.296000000000006</c:v>
                </c:pt>
                <c:pt idx="4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57-48CA-8A65-3A3478038AFA}"/>
            </c:ext>
          </c:extLst>
        </c:ser>
        <c:ser>
          <c:idx val="1"/>
          <c:order val="1"/>
          <c:tx>
            <c:strRef>
              <c:f>Calculations!$N$10</c:f>
              <c:strCache>
                <c:ptCount val="1"/>
                <c:pt idx="0">
                  <c:v>Expected Scores if Composite IQ = 66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7.3126142595978062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57-48CA-8A65-3A3478038AFA}"/>
                </c:ext>
              </c:extLst>
            </c:dLbl>
            <c:dLbl>
              <c:idx val="1"/>
              <c:layout>
                <c:manualLayout>
                  <c:x val="6.0938452163314602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57-48CA-8A65-3A3478038AFA}"/>
                </c:ext>
              </c:extLst>
            </c:dLbl>
            <c:dLbl>
              <c:idx val="2"/>
              <c:layout>
                <c:manualLayout>
                  <c:x val="7.3126142595978062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57-48CA-8A65-3A3478038AFA}"/>
                </c:ext>
              </c:extLst>
            </c:dLbl>
            <c:dLbl>
              <c:idx val="3"/>
              <c:layout>
                <c:manualLayout>
                  <c:x val="7.3126142595977169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A57-48CA-8A65-3A3478038AFA}"/>
                </c:ext>
              </c:extLst>
            </c:dLbl>
            <c:dLbl>
              <c:idx val="4"/>
              <c:layout>
                <c:manualLayout>
                  <c:x val="6.0938452163315053E-3"/>
                  <c:y val="-2.53726533542148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57-48CA-8A65-3A3478038AFA}"/>
                </c:ext>
              </c:extLst>
            </c:dLbl>
            <c:numFmt formatCode="#,##0" sourceLinked="0"/>
            <c:spPr>
              <a:solidFill>
                <a:schemeClr val="accent2"/>
              </a:solidFill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Main!Errors</c:f>
                <c:numCache>
                  <c:formatCode>General</c:formatCode>
                  <c:ptCount val="5"/>
                  <c:pt idx="0">
                    <c:v>7.2419115164803403</c:v>
                  </c:pt>
                  <c:pt idx="1">
                    <c:v>7.0552861517763645</c:v>
                  </c:pt>
                  <c:pt idx="2">
                    <c:v>7.4271009891342317</c:v>
                  </c:pt>
                  <c:pt idx="3">
                    <c:v>8.7836972806935822</c:v>
                  </c:pt>
                  <c:pt idx="4">
                    <c:v>7.1316476295356512</c:v>
                  </c:pt>
                </c:numCache>
              </c:numRef>
            </c:plus>
            <c:minus>
              <c:numRef>
                <c:f>Main!Errors</c:f>
                <c:numCache>
                  <c:formatCode>General</c:formatCode>
                  <c:ptCount val="5"/>
                  <c:pt idx="0">
                    <c:v>7.2419115164803403</c:v>
                  </c:pt>
                  <c:pt idx="1">
                    <c:v>7.0552861517763645</c:v>
                  </c:pt>
                  <c:pt idx="2">
                    <c:v>7.4271009891342317</c:v>
                  </c:pt>
                  <c:pt idx="3">
                    <c:v>8.7836972806935822</c:v>
                  </c:pt>
                  <c:pt idx="4">
                    <c:v>7.1316476295356512</c:v>
                  </c:pt>
                </c:numCache>
              </c:numRef>
            </c:minus>
            <c:spPr>
              <a:ln w="25400" cap="rnd">
                <a:solidFill>
                  <a:schemeClr val="accent2"/>
                </a:solidFill>
              </a:ln>
            </c:spPr>
          </c:errBars>
          <c:cat>
            <c:strRef>
              <c:f>[0]!Subtests</c:f>
              <c:strCache>
                <c:ptCount val="5"/>
                <c:pt idx="0">
                  <c:v>WISC-R (1974)</c:v>
                </c:pt>
                <c:pt idx="1">
                  <c:v>WISC-R (1974)</c:v>
                </c:pt>
                <c:pt idx="2">
                  <c:v>WAIS-III (1997)</c:v>
                </c:pt>
                <c:pt idx="3">
                  <c:v>SB5 (2003)</c:v>
                </c:pt>
                <c:pt idx="4">
                  <c:v>WAIS-IV (2008)</c:v>
                </c:pt>
              </c:strCache>
              <c:extLst xmlns:c15="http://schemas.microsoft.com/office/drawing/2012/chart"/>
            </c:strRef>
          </c:cat>
          <c:val>
            <c:numRef>
              <c:f>Main!Expected</c:f>
              <c:numCache>
                <c:formatCode>General</c:formatCode>
                <c:ptCount val="5"/>
                <c:pt idx="0">
                  <c:v>70.641912926578712</c:v>
                </c:pt>
                <c:pt idx="1">
                  <c:v>70.415801095469547</c:v>
                </c:pt>
                <c:pt idx="2">
                  <c:v>70.873923384384341</c:v>
                </c:pt>
                <c:pt idx="3">
                  <c:v>72.824965909478649</c:v>
                </c:pt>
                <c:pt idx="4">
                  <c:v>70.507396684088789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57-48CA-8A65-3A3478038AFA}"/>
            </c:ext>
          </c:extLst>
        </c:ser>
        <c:ser>
          <c:idx val="2"/>
          <c:order val="2"/>
          <c:tx>
            <c:strRef>
              <c:f>Calculations!$O$10</c:f>
              <c:strCache>
                <c:ptCount val="1"/>
                <c:pt idx="0">
                  <c:v>e2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[0]!SEE</c:f>
                <c:numCache>
                  <c:formatCode>General</c:formatCode>
                  <c:ptCount val="5"/>
                  <c:pt idx="0">
                    <c:v>14.483823032960681</c:v>
                  </c:pt>
                  <c:pt idx="1">
                    <c:v>14.110572303552729</c:v>
                  </c:pt>
                  <c:pt idx="2">
                    <c:v>14.854201978268463</c:v>
                  </c:pt>
                  <c:pt idx="3">
                    <c:v>17.567394561387164</c:v>
                  </c:pt>
                  <c:pt idx="4">
                    <c:v>14.263295259071302</c:v>
                  </c:pt>
                </c:numCache>
              </c:numRef>
            </c:plus>
            <c:minus>
              <c:numRef>
                <c:f>[0]!SEE</c:f>
                <c:numCache>
                  <c:formatCode>General</c:formatCode>
                  <c:ptCount val="5"/>
                  <c:pt idx="0">
                    <c:v>14.483823032960681</c:v>
                  </c:pt>
                  <c:pt idx="1">
                    <c:v>14.110572303552729</c:v>
                  </c:pt>
                  <c:pt idx="2">
                    <c:v>14.854201978268463</c:v>
                  </c:pt>
                  <c:pt idx="3">
                    <c:v>17.567394561387164</c:v>
                  </c:pt>
                  <c:pt idx="4">
                    <c:v>14.263295259071302</c:v>
                  </c:pt>
                </c:numCache>
              </c:numRef>
            </c:minus>
            <c:spPr>
              <a:ln w="12700" cap="rnd">
                <a:solidFill>
                  <a:schemeClr val="accent2"/>
                </a:solidFill>
                <a:prstDash val="solid"/>
                <a:headEnd w="lg" len="lg"/>
                <a:tailEnd w="lg" len="lg"/>
              </a:ln>
            </c:spPr>
          </c:errBars>
          <c:cat>
            <c:strRef>
              <c:f>[0]!Subtests</c:f>
              <c:strCache>
                <c:ptCount val="5"/>
                <c:pt idx="0">
                  <c:v>WISC-R (1974)</c:v>
                </c:pt>
                <c:pt idx="1">
                  <c:v>WISC-R (1974)</c:v>
                </c:pt>
                <c:pt idx="2">
                  <c:v>WAIS-III (1997)</c:v>
                </c:pt>
                <c:pt idx="3">
                  <c:v>SB5 (2003)</c:v>
                </c:pt>
                <c:pt idx="4">
                  <c:v>WAIS-IV (2008)</c:v>
                </c:pt>
              </c:strCache>
              <c:extLst xmlns:c15="http://schemas.microsoft.com/office/drawing/2012/chart"/>
            </c:strRef>
          </c:cat>
          <c:val>
            <c:numRef>
              <c:f>[0]!Expect2</c:f>
              <c:numCache>
                <c:formatCode>General</c:formatCode>
                <c:ptCount val="5"/>
                <c:pt idx="0">
                  <c:v>70.641912926578712</c:v>
                </c:pt>
                <c:pt idx="1">
                  <c:v>70.415801095469547</c:v>
                </c:pt>
                <c:pt idx="2">
                  <c:v>70.873923384384341</c:v>
                </c:pt>
                <c:pt idx="3">
                  <c:v>72.824965909478649</c:v>
                </c:pt>
                <c:pt idx="4">
                  <c:v>70.507396684088789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A57-48CA-8A65-3A3478038AFA}"/>
            </c:ext>
          </c:extLst>
        </c:ser>
        <c:ser>
          <c:idx val="11"/>
          <c:order val="11"/>
          <c:tx>
            <c:v>Extremely Low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Calculations!$AV$11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A57-48CA-8A65-3A3478038AFA}"/>
            </c:ext>
          </c:extLst>
        </c:ser>
        <c:ser>
          <c:idx val="12"/>
          <c:order val="12"/>
          <c:tx>
            <c:strRef>
              <c:f>Calculations!$AW$10</c:f>
              <c:strCache>
                <c:ptCount val="1"/>
                <c:pt idx="0">
                  <c:v>Very Low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Calculations!$AW$11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A57-48CA-8A65-3A3478038AFA}"/>
            </c:ext>
          </c:extLst>
        </c:ser>
        <c:ser>
          <c:idx val="13"/>
          <c:order val="13"/>
          <c:tx>
            <c:strRef>
              <c:f>Calculations!$AX$10</c:f>
              <c:strCache>
                <c:ptCount val="1"/>
                <c:pt idx="0">
                  <c:v>Low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Calculations!$AX$11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A57-48CA-8A65-3A3478038AFA}"/>
            </c:ext>
          </c:extLst>
        </c:ser>
        <c:ser>
          <c:idx val="14"/>
          <c:order val="14"/>
          <c:tx>
            <c:strRef>
              <c:f>Calculations!$AY$10</c:f>
              <c:strCache>
                <c:ptCount val="1"/>
                <c:pt idx="0">
                  <c:v>Low Average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Calculations!$AY$11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A57-48CA-8A65-3A3478038AFA}"/>
            </c:ext>
          </c:extLst>
        </c:ser>
        <c:ser>
          <c:idx val="15"/>
          <c:order val="15"/>
          <c:tx>
            <c:strRef>
              <c:f>Calculations!$AZ$10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Calculations!$AZ$11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A57-48CA-8A65-3A3478038AFA}"/>
            </c:ext>
          </c:extLst>
        </c:ser>
        <c:ser>
          <c:idx val="16"/>
          <c:order val="16"/>
          <c:tx>
            <c:strRef>
              <c:f>Calculations!$BA$10</c:f>
              <c:strCache>
                <c:ptCount val="1"/>
                <c:pt idx="0">
                  <c:v>High Average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Calculations!$BA$11</c:f>
              <c:numCache>
                <c:formatCode>General</c:formatCode>
                <c:ptCount val="1"/>
                <c:pt idx="0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A57-48CA-8A65-3A3478038AFA}"/>
            </c:ext>
          </c:extLst>
        </c:ser>
        <c:ser>
          <c:idx val="17"/>
          <c:order val="17"/>
          <c:tx>
            <c:strRef>
              <c:f>Calculations!$BB$10</c:f>
              <c:strCache>
                <c:ptCount val="1"/>
                <c:pt idx="0">
                  <c:v>High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Calculations!$BB$11</c:f>
              <c:numCache>
                <c:formatCode>General</c:formatCode>
                <c:ptCount val="1"/>
                <c:pt idx="0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A57-48CA-8A65-3A3478038AFA}"/>
            </c:ext>
          </c:extLst>
        </c:ser>
        <c:ser>
          <c:idx val="18"/>
          <c:order val="18"/>
          <c:tx>
            <c:strRef>
              <c:f>Calculations!$BC$10</c:f>
              <c:strCache>
                <c:ptCount val="1"/>
                <c:pt idx="0">
                  <c:v>Very High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Calculations!$BC$11</c:f>
              <c:numCache>
                <c:formatCode>General</c:formatCode>
                <c:ptCount val="1"/>
                <c:pt idx="0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A57-48CA-8A65-3A3478038AFA}"/>
            </c:ext>
          </c:extLst>
        </c:ser>
        <c:ser>
          <c:idx val="19"/>
          <c:order val="19"/>
          <c:tx>
            <c:strRef>
              <c:f>Calculations!$BD$10</c:f>
              <c:strCache>
                <c:ptCount val="1"/>
                <c:pt idx="0">
                  <c:v>Extremely High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E6E6E6"/>
                      </a:solidFill>
                    </a:ln>
                  </c:spPr>
                </c15:leaderLines>
              </c:ext>
            </c:extLst>
          </c:dLbls>
          <c:val>
            <c:numRef>
              <c:f>Calculations!$BD$11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A57-48CA-8A65-3A3478038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25120"/>
        <c:axId val="89926656"/>
      </c:lineChart>
      <c:catAx>
        <c:axId val="899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/>
            </a:pPr>
            <a:endParaRPr lang="en-US"/>
          </a:p>
        </c:txPr>
        <c:crossAx val="89926656"/>
        <c:crosses val="autoZero"/>
        <c:auto val="1"/>
        <c:lblAlgn val="ctr"/>
        <c:lblOffset val="100"/>
        <c:noMultiLvlLbl val="0"/>
      </c:catAx>
      <c:valAx>
        <c:axId val="89926656"/>
        <c:scaling>
          <c:orientation val="minMax"/>
          <c:max val="160"/>
          <c:min val="4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89925120"/>
        <c:crosses val="autoZero"/>
        <c:crossBetween val="between"/>
        <c:majorUnit val="10"/>
      </c:valAx>
      <c:spPr>
        <a:solidFill>
          <a:srgbClr val="E6E6E6"/>
        </a:solidFill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ayout>
        <c:manualLayout>
          <c:xMode val="edge"/>
          <c:yMode val="edge"/>
          <c:x val="0.17092750558957909"/>
          <c:y val="3.6324786324786328E-2"/>
          <c:w val="0.82907249441042097"/>
          <c:h val="4.9288121242909155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5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713ED2-0921-44A7-9A26-2DB880276D29}">
  <sheetPr/>
  <sheetViews>
    <sheetView zoomScale="107" workbookViewId="0" zoomToFit="1"/>
  </sheetViews>
  <sheetProtection content="1"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3061FD-F337-43C7-A31D-14D5B4F41CF3}">
  <sheetPr/>
  <sheetViews>
    <sheetView zoomScale="107" workbookViewId="0" zoomToFit="1"/>
  </sheetViews>
  <sheetProtection content="1" objects="1"/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CheckBox" checked="Checked" fmlaLink="$A$26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496802</xdr:colOff>
      <xdr:row>29</xdr:row>
      <xdr:rowOff>197367</xdr:rowOff>
    </xdr:from>
    <xdr:to>
      <xdr:col>13</xdr:col>
      <xdr:colOff>1296902</xdr:colOff>
      <xdr:row>48</xdr:row>
      <xdr:rowOff>159267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6278477" y="6683892"/>
          <a:ext cx="6010275" cy="3943350"/>
          <a:chOff x="3136581" y="2052956"/>
          <a:chExt cx="5943600" cy="3087506"/>
        </a:xfrm>
      </xdr:grpSpPr>
      <xdr:sp macro="" textlink="">
        <xdr:nvSpPr>
          <xdr:cNvPr id="95" name="tx12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3240305" y="4604622"/>
            <a:ext cx="389550" cy="153888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21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050" b="1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Range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6" name="pl4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3905164" y="2052956"/>
            <a:ext cx="5096777" cy="2172958"/>
          </a:xfrm>
          <a:custGeom>
            <a:avLst/>
            <a:gdLst/>
            <a:ahLst/>
            <a:cxnLst/>
            <a:rect l="0" t="0" r="0" b="0"/>
            <a:pathLst>
              <a:path w="8175664" h="3562330">
                <a:moveTo>
                  <a:pt x="0" y="3562330"/>
                </a:moveTo>
                <a:lnTo>
                  <a:pt x="10219" y="3562281"/>
                </a:lnTo>
                <a:lnTo>
                  <a:pt x="20439" y="3562231"/>
                </a:lnTo>
                <a:lnTo>
                  <a:pt x="30658" y="3562178"/>
                </a:lnTo>
                <a:lnTo>
                  <a:pt x="40878" y="3562124"/>
                </a:lnTo>
                <a:lnTo>
                  <a:pt x="51097" y="3562067"/>
                </a:lnTo>
                <a:lnTo>
                  <a:pt x="61317" y="3562008"/>
                </a:lnTo>
                <a:lnTo>
                  <a:pt x="71537" y="3561948"/>
                </a:lnTo>
                <a:lnTo>
                  <a:pt x="81756" y="3561884"/>
                </a:lnTo>
                <a:lnTo>
                  <a:pt x="91976" y="3561819"/>
                </a:lnTo>
                <a:lnTo>
                  <a:pt x="102195" y="3561751"/>
                </a:lnTo>
                <a:lnTo>
                  <a:pt x="112415" y="3561680"/>
                </a:lnTo>
                <a:lnTo>
                  <a:pt x="122634" y="3561607"/>
                </a:lnTo>
                <a:lnTo>
                  <a:pt x="132854" y="3561532"/>
                </a:lnTo>
                <a:lnTo>
                  <a:pt x="143074" y="3561453"/>
                </a:lnTo>
                <a:lnTo>
                  <a:pt x="153293" y="3561372"/>
                </a:lnTo>
                <a:lnTo>
                  <a:pt x="163513" y="3561287"/>
                </a:lnTo>
                <a:lnTo>
                  <a:pt x="173732" y="3561200"/>
                </a:lnTo>
                <a:lnTo>
                  <a:pt x="183952" y="3561109"/>
                </a:lnTo>
                <a:lnTo>
                  <a:pt x="194172" y="3561015"/>
                </a:lnTo>
                <a:lnTo>
                  <a:pt x="204391" y="3560918"/>
                </a:lnTo>
                <a:lnTo>
                  <a:pt x="214611" y="3560817"/>
                </a:lnTo>
                <a:lnTo>
                  <a:pt x="224830" y="3560712"/>
                </a:lnTo>
                <a:lnTo>
                  <a:pt x="235050" y="3560604"/>
                </a:lnTo>
                <a:lnTo>
                  <a:pt x="245269" y="3560492"/>
                </a:lnTo>
                <a:lnTo>
                  <a:pt x="255489" y="3560376"/>
                </a:lnTo>
                <a:lnTo>
                  <a:pt x="265709" y="3560256"/>
                </a:lnTo>
                <a:lnTo>
                  <a:pt x="275928" y="3560131"/>
                </a:lnTo>
                <a:lnTo>
                  <a:pt x="286148" y="3560002"/>
                </a:lnTo>
                <a:lnTo>
                  <a:pt x="296367" y="3559869"/>
                </a:lnTo>
                <a:lnTo>
                  <a:pt x="306587" y="3559731"/>
                </a:lnTo>
                <a:lnTo>
                  <a:pt x="316806" y="3559588"/>
                </a:lnTo>
                <a:lnTo>
                  <a:pt x="327026" y="3559440"/>
                </a:lnTo>
                <a:lnTo>
                  <a:pt x="337246" y="3559288"/>
                </a:lnTo>
                <a:lnTo>
                  <a:pt x="347465" y="3559129"/>
                </a:lnTo>
                <a:lnTo>
                  <a:pt x="357685" y="3558966"/>
                </a:lnTo>
                <a:lnTo>
                  <a:pt x="367904" y="3558796"/>
                </a:lnTo>
                <a:lnTo>
                  <a:pt x="378124" y="3558621"/>
                </a:lnTo>
                <a:lnTo>
                  <a:pt x="388344" y="3558440"/>
                </a:lnTo>
                <a:lnTo>
                  <a:pt x="398563" y="3558253"/>
                </a:lnTo>
                <a:lnTo>
                  <a:pt x="408783" y="3558060"/>
                </a:lnTo>
                <a:lnTo>
                  <a:pt x="419002" y="3557860"/>
                </a:lnTo>
                <a:lnTo>
                  <a:pt x="429222" y="3557653"/>
                </a:lnTo>
                <a:lnTo>
                  <a:pt x="439441" y="3557439"/>
                </a:lnTo>
                <a:lnTo>
                  <a:pt x="449661" y="3557218"/>
                </a:lnTo>
                <a:lnTo>
                  <a:pt x="459881" y="3556990"/>
                </a:lnTo>
                <a:lnTo>
                  <a:pt x="470100" y="3556754"/>
                </a:lnTo>
                <a:lnTo>
                  <a:pt x="480320" y="3556510"/>
                </a:lnTo>
                <a:lnTo>
                  <a:pt x="490539" y="3556259"/>
                </a:lnTo>
                <a:lnTo>
                  <a:pt x="500759" y="3555999"/>
                </a:lnTo>
                <a:lnTo>
                  <a:pt x="510979" y="3555730"/>
                </a:lnTo>
                <a:lnTo>
                  <a:pt x="521198" y="3555453"/>
                </a:lnTo>
                <a:lnTo>
                  <a:pt x="531418" y="3555167"/>
                </a:lnTo>
                <a:lnTo>
                  <a:pt x="541637" y="3554871"/>
                </a:lnTo>
                <a:lnTo>
                  <a:pt x="551857" y="3554566"/>
                </a:lnTo>
                <a:lnTo>
                  <a:pt x="562076" y="3554251"/>
                </a:lnTo>
                <a:lnTo>
                  <a:pt x="572296" y="3553926"/>
                </a:lnTo>
                <a:lnTo>
                  <a:pt x="582516" y="3553591"/>
                </a:lnTo>
                <a:lnTo>
                  <a:pt x="592735" y="3553244"/>
                </a:lnTo>
                <a:lnTo>
                  <a:pt x="602955" y="3552887"/>
                </a:lnTo>
                <a:lnTo>
                  <a:pt x="613174" y="3552519"/>
                </a:lnTo>
                <a:lnTo>
                  <a:pt x="623394" y="3552139"/>
                </a:lnTo>
                <a:lnTo>
                  <a:pt x="633613" y="3551747"/>
                </a:lnTo>
                <a:lnTo>
                  <a:pt x="643833" y="3551342"/>
                </a:lnTo>
                <a:lnTo>
                  <a:pt x="654053" y="3550925"/>
                </a:lnTo>
                <a:lnTo>
                  <a:pt x="664272" y="3550495"/>
                </a:lnTo>
                <a:lnTo>
                  <a:pt x="674492" y="3550052"/>
                </a:lnTo>
                <a:lnTo>
                  <a:pt x="684711" y="3549595"/>
                </a:lnTo>
                <a:lnTo>
                  <a:pt x="694931" y="3549124"/>
                </a:lnTo>
                <a:lnTo>
                  <a:pt x="705151" y="3548639"/>
                </a:lnTo>
                <a:lnTo>
                  <a:pt x="715370" y="3548139"/>
                </a:lnTo>
                <a:lnTo>
                  <a:pt x="725590" y="3547623"/>
                </a:lnTo>
                <a:lnTo>
                  <a:pt x="735809" y="3547092"/>
                </a:lnTo>
                <a:lnTo>
                  <a:pt x="746029" y="3546545"/>
                </a:lnTo>
                <a:lnTo>
                  <a:pt x="756248" y="3545982"/>
                </a:lnTo>
                <a:lnTo>
                  <a:pt x="766468" y="3545401"/>
                </a:lnTo>
                <a:lnTo>
                  <a:pt x="776688" y="3544803"/>
                </a:lnTo>
                <a:lnTo>
                  <a:pt x="786907" y="3544188"/>
                </a:lnTo>
                <a:lnTo>
                  <a:pt x="797127" y="3543554"/>
                </a:lnTo>
                <a:lnTo>
                  <a:pt x="807346" y="3542901"/>
                </a:lnTo>
                <a:lnTo>
                  <a:pt x="817566" y="3542230"/>
                </a:lnTo>
                <a:lnTo>
                  <a:pt x="827786" y="3541538"/>
                </a:lnTo>
                <a:lnTo>
                  <a:pt x="838005" y="3540827"/>
                </a:lnTo>
                <a:lnTo>
                  <a:pt x="848225" y="3540095"/>
                </a:lnTo>
                <a:lnTo>
                  <a:pt x="858444" y="3539341"/>
                </a:lnTo>
                <a:lnTo>
                  <a:pt x="868664" y="3538566"/>
                </a:lnTo>
                <a:lnTo>
                  <a:pt x="878883" y="3537768"/>
                </a:lnTo>
                <a:lnTo>
                  <a:pt x="889103" y="3536948"/>
                </a:lnTo>
                <a:lnTo>
                  <a:pt x="899323" y="3536105"/>
                </a:lnTo>
                <a:lnTo>
                  <a:pt x="909542" y="3535237"/>
                </a:lnTo>
                <a:lnTo>
                  <a:pt x="919762" y="3534345"/>
                </a:lnTo>
                <a:lnTo>
                  <a:pt x="929981" y="3533428"/>
                </a:lnTo>
                <a:lnTo>
                  <a:pt x="940201" y="3532485"/>
                </a:lnTo>
                <a:lnTo>
                  <a:pt x="950420" y="3531515"/>
                </a:lnTo>
                <a:lnTo>
                  <a:pt x="960640" y="3530519"/>
                </a:lnTo>
                <a:lnTo>
                  <a:pt x="970860" y="3529495"/>
                </a:lnTo>
                <a:lnTo>
                  <a:pt x="981079" y="3528443"/>
                </a:lnTo>
                <a:lnTo>
                  <a:pt x="991299" y="3527362"/>
                </a:lnTo>
                <a:lnTo>
                  <a:pt x="1001518" y="3526251"/>
                </a:lnTo>
                <a:lnTo>
                  <a:pt x="1011738" y="3525110"/>
                </a:lnTo>
                <a:lnTo>
                  <a:pt x="1021958" y="3523938"/>
                </a:lnTo>
                <a:lnTo>
                  <a:pt x="1032177" y="3522735"/>
                </a:lnTo>
                <a:lnTo>
                  <a:pt x="1042397" y="3521499"/>
                </a:lnTo>
                <a:lnTo>
                  <a:pt x="1052616" y="3520230"/>
                </a:lnTo>
                <a:lnTo>
                  <a:pt x="1062836" y="3518927"/>
                </a:lnTo>
                <a:lnTo>
                  <a:pt x="1073055" y="3517589"/>
                </a:lnTo>
                <a:lnTo>
                  <a:pt x="1083275" y="3516216"/>
                </a:lnTo>
                <a:lnTo>
                  <a:pt x="1093495" y="3514807"/>
                </a:lnTo>
                <a:lnTo>
                  <a:pt x="1103714" y="3513361"/>
                </a:lnTo>
                <a:lnTo>
                  <a:pt x="1113934" y="3511877"/>
                </a:lnTo>
                <a:lnTo>
                  <a:pt x="1124153" y="3510355"/>
                </a:lnTo>
                <a:lnTo>
                  <a:pt x="1134373" y="3508793"/>
                </a:lnTo>
                <a:lnTo>
                  <a:pt x="1144592" y="3507191"/>
                </a:lnTo>
                <a:lnTo>
                  <a:pt x="1154812" y="3505548"/>
                </a:lnTo>
                <a:lnTo>
                  <a:pt x="1165032" y="3503863"/>
                </a:lnTo>
                <a:lnTo>
                  <a:pt x="1175251" y="3502135"/>
                </a:lnTo>
                <a:lnTo>
                  <a:pt x="1185471" y="3500363"/>
                </a:lnTo>
                <a:lnTo>
                  <a:pt x="1195690" y="3498547"/>
                </a:lnTo>
                <a:lnTo>
                  <a:pt x="1205910" y="3496685"/>
                </a:lnTo>
                <a:lnTo>
                  <a:pt x="1216130" y="3494777"/>
                </a:lnTo>
                <a:lnTo>
                  <a:pt x="1226349" y="3492821"/>
                </a:lnTo>
                <a:lnTo>
                  <a:pt x="1236569" y="3490817"/>
                </a:lnTo>
                <a:lnTo>
                  <a:pt x="1246788" y="3488764"/>
                </a:lnTo>
                <a:lnTo>
                  <a:pt x="1257008" y="3486660"/>
                </a:lnTo>
                <a:lnTo>
                  <a:pt x="1267227" y="3484505"/>
                </a:lnTo>
                <a:lnTo>
                  <a:pt x="1277447" y="3482298"/>
                </a:lnTo>
                <a:lnTo>
                  <a:pt x="1287667" y="3480037"/>
                </a:lnTo>
                <a:lnTo>
                  <a:pt x="1297886" y="3477722"/>
                </a:lnTo>
                <a:lnTo>
                  <a:pt x="1308106" y="3475352"/>
                </a:lnTo>
                <a:lnTo>
                  <a:pt x="1318325" y="3472925"/>
                </a:lnTo>
                <a:lnTo>
                  <a:pt x="1328545" y="3470441"/>
                </a:lnTo>
                <a:lnTo>
                  <a:pt x="1338765" y="3467898"/>
                </a:lnTo>
                <a:lnTo>
                  <a:pt x="1348984" y="3465296"/>
                </a:lnTo>
                <a:lnTo>
                  <a:pt x="1359204" y="3462633"/>
                </a:lnTo>
                <a:lnTo>
                  <a:pt x="1369423" y="3459908"/>
                </a:lnTo>
                <a:lnTo>
                  <a:pt x="1379643" y="3457120"/>
                </a:lnTo>
                <a:lnTo>
                  <a:pt x="1389862" y="3454268"/>
                </a:lnTo>
                <a:lnTo>
                  <a:pt x="1400082" y="3451351"/>
                </a:lnTo>
                <a:lnTo>
                  <a:pt x="1410302" y="3448367"/>
                </a:lnTo>
                <a:lnTo>
                  <a:pt x="1420521" y="3445316"/>
                </a:lnTo>
                <a:lnTo>
                  <a:pt x="1430741" y="3442196"/>
                </a:lnTo>
                <a:lnTo>
                  <a:pt x="1440960" y="3439007"/>
                </a:lnTo>
                <a:lnTo>
                  <a:pt x="1451180" y="3435746"/>
                </a:lnTo>
                <a:lnTo>
                  <a:pt x="1461399" y="3432413"/>
                </a:lnTo>
                <a:lnTo>
                  <a:pt x="1471619" y="3429006"/>
                </a:lnTo>
                <a:lnTo>
                  <a:pt x="1481839" y="3425525"/>
                </a:lnTo>
                <a:lnTo>
                  <a:pt x="1492058" y="3421968"/>
                </a:lnTo>
                <a:lnTo>
                  <a:pt x="1502278" y="3418334"/>
                </a:lnTo>
                <a:lnTo>
                  <a:pt x="1512497" y="3414621"/>
                </a:lnTo>
                <a:lnTo>
                  <a:pt x="1522717" y="3410828"/>
                </a:lnTo>
                <a:lnTo>
                  <a:pt x="1532937" y="3406955"/>
                </a:lnTo>
                <a:lnTo>
                  <a:pt x="1543156" y="3402999"/>
                </a:lnTo>
                <a:lnTo>
                  <a:pt x="1553376" y="3398960"/>
                </a:lnTo>
                <a:lnTo>
                  <a:pt x="1563595" y="3394837"/>
                </a:lnTo>
                <a:lnTo>
                  <a:pt x="1573815" y="3390627"/>
                </a:lnTo>
                <a:lnTo>
                  <a:pt x="1584034" y="3386330"/>
                </a:lnTo>
                <a:lnTo>
                  <a:pt x="1594254" y="3381944"/>
                </a:lnTo>
                <a:lnTo>
                  <a:pt x="1604474" y="3377468"/>
                </a:lnTo>
                <a:lnTo>
                  <a:pt x="1614693" y="3372901"/>
                </a:lnTo>
                <a:lnTo>
                  <a:pt x="1624913" y="3368241"/>
                </a:lnTo>
                <a:lnTo>
                  <a:pt x="1635132" y="3363488"/>
                </a:lnTo>
                <a:lnTo>
                  <a:pt x="1645352" y="3358639"/>
                </a:lnTo>
                <a:lnTo>
                  <a:pt x="1655572" y="3353694"/>
                </a:lnTo>
                <a:lnTo>
                  <a:pt x="1665791" y="3348651"/>
                </a:lnTo>
                <a:lnTo>
                  <a:pt x="1676011" y="3343508"/>
                </a:lnTo>
                <a:lnTo>
                  <a:pt x="1686230" y="3338265"/>
                </a:lnTo>
                <a:lnTo>
                  <a:pt x="1696450" y="3332921"/>
                </a:lnTo>
                <a:lnTo>
                  <a:pt x="1706669" y="3327473"/>
                </a:lnTo>
                <a:lnTo>
                  <a:pt x="1716889" y="3321920"/>
                </a:lnTo>
                <a:lnTo>
                  <a:pt x="1727109" y="3316262"/>
                </a:lnTo>
                <a:lnTo>
                  <a:pt x="1737328" y="3310496"/>
                </a:lnTo>
                <a:lnTo>
                  <a:pt x="1747548" y="3304622"/>
                </a:lnTo>
                <a:lnTo>
                  <a:pt x="1757767" y="3298638"/>
                </a:lnTo>
                <a:lnTo>
                  <a:pt x="1767987" y="3292543"/>
                </a:lnTo>
                <a:lnTo>
                  <a:pt x="1778206" y="3286335"/>
                </a:lnTo>
                <a:lnTo>
                  <a:pt x="1788426" y="3280013"/>
                </a:lnTo>
                <a:lnTo>
                  <a:pt x="1798646" y="3273576"/>
                </a:lnTo>
                <a:lnTo>
                  <a:pt x="1808865" y="3267023"/>
                </a:lnTo>
                <a:lnTo>
                  <a:pt x="1819085" y="3260352"/>
                </a:lnTo>
                <a:lnTo>
                  <a:pt x="1829304" y="3253562"/>
                </a:lnTo>
                <a:lnTo>
                  <a:pt x="1839524" y="3246651"/>
                </a:lnTo>
                <a:lnTo>
                  <a:pt x="1849744" y="3239619"/>
                </a:lnTo>
                <a:lnTo>
                  <a:pt x="1859963" y="3232463"/>
                </a:lnTo>
                <a:lnTo>
                  <a:pt x="1870183" y="3225184"/>
                </a:lnTo>
                <a:lnTo>
                  <a:pt x="1880402" y="3217779"/>
                </a:lnTo>
                <a:lnTo>
                  <a:pt x="1890622" y="3210247"/>
                </a:lnTo>
                <a:lnTo>
                  <a:pt x="1900841" y="3202588"/>
                </a:lnTo>
                <a:lnTo>
                  <a:pt x="1911061" y="3194799"/>
                </a:lnTo>
                <a:lnTo>
                  <a:pt x="1921281" y="3186879"/>
                </a:lnTo>
                <a:lnTo>
                  <a:pt x="1931500" y="3178829"/>
                </a:lnTo>
                <a:lnTo>
                  <a:pt x="1941720" y="3170645"/>
                </a:lnTo>
                <a:lnTo>
                  <a:pt x="1951939" y="3162327"/>
                </a:lnTo>
                <a:lnTo>
                  <a:pt x="1962159" y="3153874"/>
                </a:lnTo>
                <a:lnTo>
                  <a:pt x="1972378" y="3145285"/>
                </a:lnTo>
                <a:lnTo>
                  <a:pt x="1982598" y="3136559"/>
                </a:lnTo>
                <a:lnTo>
                  <a:pt x="1992818" y="3127694"/>
                </a:lnTo>
                <a:lnTo>
                  <a:pt x="2003037" y="3118689"/>
                </a:lnTo>
                <a:lnTo>
                  <a:pt x="2013257" y="3109544"/>
                </a:lnTo>
                <a:lnTo>
                  <a:pt x="2023476" y="3100257"/>
                </a:lnTo>
                <a:lnTo>
                  <a:pt x="2033696" y="3090828"/>
                </a:lnTo>
                <a:lnTo>
                  <a:pt x="2043916" y="3081255"/>
                </a:lnTo>
                <a:lnTo>
                  <a:pt x="2054135" y="3071537"/>
                </a:lnTo>
                <a:lnTo>
                  <a:pt x="2064355" y="3061673"/>
                </a:lnTo>
                <a:lnTo>
                  <a:pt x="2074574" y="3051663"/>
                </a:lnTo>
                <a:lnTo>
                  <a:pt x="2084794" y="3041505"/>
                </a:lnTo>
                <a:lnTo>
                  <a:pt x="2095013" y="3031200"/>
                </a:lnTo>
                <a:lnTo>
                  <a:pt x="2105233" y="3020745"/>
                </a:lnTo>
                <a:lnTo>
                  <a:pt x="2115453" y="3010139"/>
                </a:lnTo>
                <a:lnTo>
                  <a:pt x="2125672" y="2999384"/>
                </a:lnTo>
                <a:lnTo>
                  <a:pt x="2135892" y="2988476"/>
                </a:lnTo>
                <a:lnTo>
                  <a:pt x="2146111" y="2977416"/>
                </a:lnTo>
                <a:lnTo>
                  <a:pt x="2156331" y="2966204"/>
                </a:lnTo>
                <a:lnTo>
                  <a:pt x="2166551" y="2954837"/>
                </a:lnTo>
                <a:lnTo>
                  <a:pt x="2176770" y="2943317"/>
                </a:lnTo>
                <a:lnTo>
                  <a:pt x="2186990" y="2931641"/>
                </a:lnTo>
                <a:lnTo>
                  <a:pt x="2197209" y="2919811"/>
                </a:lnTo>
                <a:lnTo>
                  <a:pt x="2207429" y="2907824"/>
                </a:lnTo>
                <a:lnTo>
                  <a:pt x="2217648" y="2895681"/>
                </a:lnTo>
                <a:lnTo>
                  <a:pt x="2227868" y="2883381"/>
                </a:lnTo>
                <a:lnTo>
                  <a:pt x="2238088" y="2870923"/>
                </a:lnTo>
                <a:lnTo>
                  <a:pt x="2248307" y="2858308"/>
                </a:lnTo>
                <a:lnTo>
                  <a:pt x="2258527" y="2845535"/>
                </a:lnTo>
                <a:lnTo>
                  <a:pt x="2268746" y="2832604"/>
                </a:lnTo>
                <a:lnTo>
                  <a:pt x="2278966" y="2819514"/>
                </a:lnTo>
                <a:lnTo>
                  <a:pt x="2289185" y="2806266"/>
                </a:lnTo>
                <a:lnTo>
                  <a:pt x="2299405" y="2792859"/>
                </a:lnTo>
                <a:lnTo>
                  <a:pt x="2309625" y="2779293"/>
                </a:lnTo>
                <a:lnTo>
                  <a:pt x="2319844" y="2765568"/>
                </a:lnTo>
                <a:lnTo>
                  <a:pt x="2330064" y="2751683"/>
                </a:lnTo>
                <a:lnTo>
                  <a:pt x="2340283" y="2737640"/>
                </a:lnTo>
                <a:lnTo>
                  <a:pt x="2350503" y="2723438"/>
                </a:lnTo>
                <a:lnTo>
                  <a:pt x="2360723" y="2709077"/>
                </a:lnTo>
                <a:lnTo>
                  <a:pt x="2370942" y="2694558"/>
                </a:lnTo>
                <a:lnTo>
                  <a:pt x="2381162" y="2679880"/>
                </a:lnTo>
                <a:lnTo>
                  <a:pt x="2391381" y="2665044"/>
                </a:lnTo>
                <a:lnTo>
                  <a:pt x="2401601" y="2650051"/>
                </a:lnTo>
                <a:lnTo>
                  <a:pt x="2411820" y="2634900"/>
                </a:lnTo>
                <a:lnTo>
                  <a:pt x="2422040" y="2619592"/>
                </a:lnTo>
                <a:lnTo>
                  <a:pt x="2432260" y="2604128"/>
                </a:lnTo>
                <a:lnTo>
                  <a:pt x="2442479" y="2588508"/>
                </a:lnTo>
                <a:lnTo>
                  <a:pt x="2452699" y="2572732"/>
                </a:lnTo>
                <a:lnTo>
                  <a:pt x="2462918" y="2556802"/>
                </a:lnTo>
                <a:lnTo>
                  <a:pt x="2473138" y="2540719"/>
                </a:lnTo>
                <a:lnTo>
                  <a:pt x="2483358" y="2524482"/>
                </a:lnTo>
                <a:lnTo>
                  <a:pt x="2493577" y="2508093"/>
                </a:lnTo>
                <a:lnTo>
                  <a:pt x="2503797" y="2491553"/>
                </a:lnTo>
                <a:lnTo>
                  <a:pt x="2514016" y="2474862"/>
                </a:lnTo>
                <a:lnTo>
                  <a:pt x="2524236" y="2458022"/>
                </a:lnTo>
                <a:lnTo>
                  <a:pt x="2534455" y="2441034"/>
                </a:lnTo>
                <a:lnTo>
                  <a:pt x="2544675" y="2423899"/>
                </a:lnTo>
                <a:lnTo>
                  <a:pt x="2554895" y="2406618"/>
                </a:lnTo>
                <a:lnTo>
                  <a:pt x="2565114" y="2389192"/>
                </a:lnTo>
                <a:lnTo>
                  <a:pt x="2575334" y="2371623"/>
                </a:lnTo>
                <a:lnTo>
                  <a:pt x="2585553" y="2353912"/>
                </a:lnTo>
                <a:lnTo>
                  <a:pt x="2595773" y="2336061"/>
                </a:lnTo>
                <a:lnTo>
                  <a:pt x="2605992" y="2318071"/>
                </a:lnTo>
                <a:lnTo>
                  <a:pt x="2616212" y="2299944"/>
                </a:lnTo>
                <a:lnTo>
                  <a:pt x="2626432" y="2281680"/>
                </a:lnTo>
                <a:lnTo>
                  <a:pt x="2636651" y="2263283"/>
                </a:lnTo>
                <a:lnTo>
                  <a:pt x="2646871" y="2244754"/>
                </a:lnTo>
                <a:lnTo>
                  <a:pt x="2657090" y="2226095"/>
                </a:lnTo>
                <a:lnTo>
                  <a:pt x="2667310" y="2207307"/>
                </a:lnTo>
                <a:lnTo>
                  <a:pt x="2677530" y="2188392"/>
                </a:lnTo>
                <a:lnTo>
                  <a:pt x="2687749" y="2169354"/>
                </a:lnTo>
                <a:lnTo>
                  <a:pt x="2697969" y="2150193"/>
                </a:lnTo>
                <a:lnTo>
                  <a:pt x="2708188" y="2130912"/>
                </a:lnTo>
                <a:lnTo>
                  <a:pt x="2718408" y="2111513"/>
                </a:lnTo>
                <a:lnTo>
                  <a:pt x="2728627" y="2091999"/>
                </a:lnTo>
                <a:lnTo>
                  <a:pt x="2738847" y="2072371"/>
                </a:lnTo>
                <a:lnTo>
                  <a:pt x="2749067" y="2052633"/>
                </a:lnTo>
                <a:lnTo>
                  <a:pt x="2759286" y="2032787"/>
                </a:lnTo>
                <a:lnTo>
                  <a:pt x="2769506" y="2012835"/>
                </a:lnTo>
                <a:lnTo>
                  <a:pt x="2779725" y="1992780"/>
                </a:lnTo>
                <a:lnTo>
                  <a:pt x="2789945" y="1972624"/>
                </a:lnTo>
                <a:lnTo>
                  <a:pt x="2800164" y="1952372"/>
                </a:lnTo>
                <a:lnTo>
                  <a:pt x="2810384" y="1932024"/>
                </a:lnTo>
                <a:lnTo>
                  <a:pt x="2820604" y="1911585"/>
                </a:lnTo>
                <a:lnTo>
                  <a:pt x="2830823" y="1891057"/>
                </a:lnTo>
                <a:lnTo>
                  <a:pt x="2841043" y="1870444"/>
                </a:lnTo>
                <a:lnTo>
                  <a:pt x="2851262" y="1849747"/>
                </a:lnTo>
                <a:lnTo>
                  <a:pt x="2861482" y="1828971"/>
                </a:lnTo>
                <a:lnTo>
                  <a:pt x="2871702" y="1808119"/>
                </a:lnTo>
                <a:lnTo>
                  <a:pt x="2881921" y="1787194"/>
                </a:lnTo>
                <a:lnTo>
                  <a:pt x="2892141" y="1766199"/>
                </a:lnTo>
                <a:lnTo>
                  <a:pt x="2902360" y="1745137"/>
                </a:lnTo>
                <a:lnTo>
                  <a:pt x="2912580" y="1724013"/>
                </a:lnTo>
                <a:lnTo>
                  <a:pt x="2922799" y="1702830"/>
                </a:lnTo>
                <a:lnTo>
                  <a:pt x="2933019" y="1681590"/>
                </a:lnTo>
                <a:lnTo>
                  <a:pt x="2943239" y="1660299"/>
                </a:lnTo>
                <a:lnTo>
                  <a:pt x="2953458" y="1638959"/>
                </a:lnTo>
                <a:lnTo>
                  <a:pt x="2963678" y="1617575"/>
                </a:lnTo>
                <a:lnTo>
                  <a:pt x="2973897" y="1596150"/>
                </a:lnTo>
                <a:lnTo>
                  <a:pt x="2984117" y="1574688"/>
                </a:lnTo>
                <a:lnTo>
                  <a:pt x="2994337" y="1553192"/>
                </a:lnTo>
                <a:lnTo>
                  <a:pt x="3004556" y="1531668"/>
                </a:lnTo>
                <a:lnTo>
                  <a:pt x="3014776" y="1510118"/>
                </a:lnTo>
                <a:lnTo>
                  <a:pt x="3024995" y="1488548"/>
                </a:lnTo>
                <a:lnTo>
                  <a:pt x="3035215" y="1466960"/>
                </a:lnTo>
                <a:lnTo>
                  <a:pt x="3045434" y="1445360"/>
                </a:lnTo>
                <a:lnTo>
                  <a:pt x="3055654" y="1423751"/>
                </a:lnTo>
                <a:lnTo>
                  <a:pt x="3065874" y="1402138"/>
                </a:lnTo>
                <a:lnTo>
                  <a:pt x="3076093" y="1380525"/>
                </a:lnTo>
                <a:lnTo>
                  <a:pt x="3086313" y="1358916"/>
                </a:lnTo>
                <a:lnTo>
                  <a:pt x="3096532" y="1337316"/>
                </a:lnTo>
                <a:lnTo>
                  <a:pt x="3106752" y="1315729"/>
                </a:lnTo>
                <a:lnTo>
                  <a:pt x="3116971" y="1294159"/>
                </a:lnTo>
                <a:lnTo>
                  <a:pt x="3127191" y="1272612"/>
                </a:lnTo>
                <a:lnTo>
                  <a:pt x="3137411" y="1251092"/>
                </a:lnTo>
                <a:lnTo>
                  <a:pt x="3147630" y="1229603"/>
                </a:lnTo>
                <a:lnTo>
                  <a:pt x="3157850" y="1208149"/>
                </a:lnTo>
                <a:lnTo>
                  <a:pt x="3168069" y="1186736"/>
                </a:lnTo>
                <a:lnTo>
                  <a:pt x="3178289" y="1165369"/>
                </a:lnTo>
                <a:lnTo>
                  <a:pt x="3188509" y="1144051"/>
                </a:lnTo>
                <a:lnTo>
                  <a:pt x="3198728" y="1122787"/>
                </a:lnTo>
                <a:lnTo>
                  <a:pt x="3208948" y="1101583"/>
                </a:lnTo>
                <a:lnTo>
                  <a:pt x="3219167" y="1080444"/>
                </a:lnTo>
                <a:lnTo>
                  <a:pt x="3229387" y="1059373"/>
                </a:lnTo>
                <a:lnTo>
                  <a:pt x="3239606" y="1038375"/>
                </a:lnTo>
                <a:lnTo>
                  <a:pt x="3249826" y="1017457"/>
                </a:lnTo>
                <a:lnTo>
                  <a:pt x="3260046" y="996621"/>
                </a:lnTo>
                <a:lnTo>
                  <a:pt x="3270265" y="975875"/>
                </a:lnTo>
                <a:lnTo>
                  <a:pt x="3280485" y="955221"/>
                </a:lnTo>
                <a:lnTo>
                  <a:pt x="3290704" y="934665"/>
                </a:lnTo>
                <a:lnTo>
                  <a:pt x="3300924" y="914212"/>
                </a:lnTo>
                <a:lnTo>
                  <a:pt x="3311144" y="893867"/>
                </a:lnTo>
                <a:lnTo>
                  <a:pt x="3321363" y="873635"/>
                </a:lnTo>
                <a:lnTo>
                  <a:pt x="3331583" y="853520"/>
                </a:lnTo>
                <a:lnTo>
                  <a:pt x="3341802" y="833528"/>
                </a:lnTo>
                <a:lnTo>
                  <a:pt x="3352022" y="813664"/>
                </a:lnTo>
                <a:lnTo>
                  <a:pt x="3362241" y="793932"/>
                </a:lnTo>
                <a:lnTo>
                  <a:pt x="3372461" y="774338"/>
                </a:lnTo>
                <a:lnTo>
                  <a:pt x="3382681" y="754885"/>
                </a:lnTo>
                <a:lnTo>
                  <a:pt x="3392900" y="735580"/>
                </a:lnTo>
                <a:lnTo>
                  <a:pt x="3403120" y="716427"/>
                </a:lnTo>
                <a:lnTo>
                  <a:pt x="3413339" y="697430"/>
                </a:lnTo>
                <a:lnTo>
                  <a:pt x="3423559" y="678596"/>
                </a:lnTo>
                <a:lnTo>
                  <a:pt x="3433778" y="659928"/>
                </a:lnTo>
                <a:lnTo>
                  <a:pt x="3443998" y="641431"/>
                </a:lnTo>
                <a:lnTo>
                  <a:pt x="3454218" y="623111"/>
                </a:lnTo>
                <a:lnTo>
                  <a:pt x="3464437" y="604972"/>
                </a:lnTo>
                <a:lnTo>
                  <a:pt x="3474657" y="587018"/>
                </a:lnTo>
                <a:lnTo>
                  <a:pt x="3484876" y="569255"/>
                </a:lnTo>
                <a:lnTo>
                  <a:pt x="3495096" y="551688"/>
                </a:lnTo>
                <a:lnTo>
                  <a:pt x="3505316" y="534320"/>
                </a:lnTo>
                <a:lnTo>
                  <a:pt x="3515535" y="517156"/>
                </a:lnTo>
                <a:lnTo>
                  <a:pt x="3525755" y="500202"/>
                </a:lnTo>
                <a:lnTo>
                  <a:pt x="3535974" y="483461"/>
                </a:lnTo>
                <a:lnTo>
                  <a:pt x="3546194" y="466939"/>
                </a:lnTo>
                <a:lnTo>
                  <a:pt x="3556413" y="450639"/>
                </a:lnTo>
                <a:lnTo>
                  <a:pt x="3566633" y="434566"/>
                </a:lnTo>
                <a:lnTo>
                  <a:pt x="3576853" y="418725"/>
                </a:lnTo>
                <a:lnTo>
                  <a:pt x="3587072" y="403119"/>
                </a:lnTo>
                <a:lnTo>
                  <a:pt x="3597292" y="387754"/>
                </a:lnTo>
                <a:lnTo>
                  <a:pt x="3607511" y="372633"/>
                </a:lnTo>
                <a:lnTo>
                  <a:pt x="3617731" y="357761"/>
                </a:lnTo>
                <a:lnTo>
                  <a:pt x="3627950" y="343142"/>
                </a:lnTo>
                <a:lnTo>
                  <a:pt x="3638170" y="328779"/>
                </a:lnTo>
                <a:lnTo>
                  <a:pt x="3648390" y="314677"/>
                </a:lnTo>
                <a:lnTo>
                  <a:pt x="3658609" y="300840"/>
                </a:lnTo>
                <a:lnTo>
                  <a:pt x="3668829" y="287272"/>
                </a:lnTo>
                <a:lnTo>
                  <a:pt x="3679048" y="273976"/>
                </a:lnTo>
                <a:lnTo>
                  <a:pt x="3689268" y="260957"/>
                </a:lnTo>
                <a:lnTo>
                  <a:pt x="3699488" y="248218"/>
                </a:lnTo>
                <a:lnTo>
                  <a:pt x="3709707" y="235762"/>
                </a:lnTo>
                <a:lnTo>
                  <a:pt x="3719927" y="223593"/>
                </a:lnTo>
                <a:lnTo>
                  <a:pt x="3730146" y="211715"/>
                </a:lnTo>
                <a:lnTo>
                  <a:pt x="3740366" y="200132"/>
                </a:lnTo>
                <a:lnTo>
                  <a:pt x="3750585" y="188845"/>
                </a:lnTo>
                <a:lnTo>
                  <a:pt x="3760805" y="177860"/>
                </a:lnTo>
                <a:lnTo>
                  <a:pt x="3771025" y="167178"/>
                </a:lnTo>
                <a:lnTo>
                  <a:pt x="3781244" y="156804"/>
                </a:lnTo>
                <a:lnTo>
                  <a:pt x="3791464" y="146739"/>
                </a:lnTo>
                <a:lnTo>
                  <a:pt x="3801683" y="136987"/>
                </a:lnTo>
                <a:lnTo>
                  <a:pt x="3811903" y="127551"/>
                </a:lnTo>
                <a:lnTo>
                  <a:pt x="3822123" y="118434"/>
                </a:lnTo>
                <a:lnTo>
                  <a:pt x="3832342" y="109638"/>
                </a:lnTo>
                <a:lnTo>
                  <a:pt x="3842562" y="101165"/>
                </a:lnTo>
                <a:lnTo>
                  <a:pt x="3852781" y="93019"/>
                </a:lnTo>
                <a:lnTo>
                  <a:pt x="3863001" y="85202"/>
                </a:lnTo>
                <a:lnTo>
                  <a:pt x="3873220" y="77715"/>
                </a:lnTo>
                <a:lnTo>
                  <a:pt x="3883440" y="70562"/>
                </a:lnTo>
                <a:lnTo>
                  <a:pt x="3893660" y="63744"/>
                </a:lnTo>
                <a:lnTo>
                  <a:pt x="3903879" y="57264"/>
                </a:lnTo>
                <a:lnTo>
                  <a:pt x="3914099" y="51122"/>
                </a:lnTo>
                <a:lnTo>
                  <a:pt x="3924318" y="45322"/>
                </a:lnTo>
                <a:lnTo>
                  <a:pt x="3934538" y="39865"/>
                </a:lnTo>
                <a:lnTo>
                  <a:pt x="3944757" y="34751"/>
                </a:lnTo>
                <a:lnTo>
                  <a:pt x="3954977" y="29984"/>
                </a:lnTo>
                <a:lnTo>
                  <a:pt x="3965197" y="25565"/>
                </a:lnTo>
                <a:lnTo>
                  <a:pt x="3975416" y="21494"/>
                </a:lnTo>
                <a:lnTo>
                  <a:pt x="3985636" y="17773"/>
                </a:lnTo>
                <a:lnTo>
                  <a:pt x="3995855" y="14403"/>
                </a:lnTo>
                <a:lnTo>
                  <a:pt x="4006075" y="11385"/>
                </a:lnTo>
                <a:lnTo>
                  <a:pt x="4016295" y="8719"/>
                </a:lnTo>
                <a:lnTo>
                  <a:pt x="4026514" y="6408"/>
                </a:lnTo>
                <a:lnTo>
                  <a:pt x="4036734" y="4451"/>
                </a:lnTo>
                <a:lnTo>
                  <a:pt x="4046953" y="2849"/>
                </a:lnTo>
                <a:lnTo>
                  <a:pt x="4057173" y="1603"/>
                </a:lnTo>
                <a:lnTo>
                  <a:pt x="4067392" y="712"/>
                </a:lnTo>
                <a:lnTo>
                  <a:pt x="4077612" y="178"/>
                </a:lnTo>
                <a:lnTo>
                  <a:pt x="4087832" y="0"/>
                </a:lnTo>
                <a:lnTo>
                  <a:pt x="4098051" y="178"/>
                </a:lnTo>
                <a:lnTo>
                  <a:pt x="4108271" y="712"/>
                </a:lnTo>
                <a:lnTo>
                  <a:pt x="4118490" y="1603"/>
                </a:lnTo>
                <a:lnTo>
                  <a:pt x="4128710" y="2849"/>
                </a:lnTo>
                <a:lnTo>
                  <a:pt x="4138930" y="4451"/>
                </a:lnTo>
                <a:lnTo>
                  <a:pt x="4149149" y="6408"/>
                </a:lnTo>
                <a:lnTo>
                  <a:pt x="4159369" y="8719"/>
                </a:lnTo>
                <a:lnTo>
                  <a:pt x="4169588" y="11385"/>
                </a:lnTo>
                <a:lnTo>
                  <a:pt x="4179808" y="14403"/>
                </a:lnTo>
                <a:lnTo>
                  <a:pt x="4190027" y="17773"/>
                </a:lnTo>
                <a:lnTo>
                  <a:pt x="4200247" y="21494"/>
                </a:lnTo>
                <a:lnTo>
                  <a:pt x="4210467" y="25565"/>
                </a:lnTo>
                <a:lnTo>
                  <a:pt x="4220686" y="29984"/>
                </a:lnTo>
                <a:lnTo>
                  <a:pt x="4230906" y="34751"/>
                </a:lnTo>
                <a:lnTo>
                  <a:pt x="4241125" y="39865"/>
                </a:lnTo>
                <a:lnTo>
                  <a:pt x="4251345" y="45322"/>
                </a:lnTo>
                <a:lnTo>
                  <a:pt x="4261564" y="51122"/>
                </a:lnTo>
                <a:lnTo>
                  <a:pt x="4271784" y="57264"/>
                </a:lnTo>
                <a:lnTo>
                  <a:pt x="4282004" y="63744"/>
                </a:lnTo>
                <a:lnTo>
                  <a:pt x="4292223" y="70562"/>
                </a:lnTo>
                <a:lnTo>
                  <a:pt x="4302443" y="77715"/>
                </a:lnTo>
                <a:lnTo>
                  <a:pt x="4312662" y="85202"/>
                </a:lnTo>
                <a:lnTo>
                  <a:pt x="4322882" y="93019"/>
                </a:lnTo>
                <a:lnTo>
                  <a:pt x="4333102" y="101165"/>
                </a:lnTo>
                <a:lnTo>
                  <a:pt x="4343321" y="109638"/>
                </a:lnTo>
                <a:lnTo>
                  <a:pt x="4353541" y="118434"/>
                </a:lnTo>
                <a:lnTo>
                  <a:pt x="4363760" y="127551"/>
                </a:lnTo>
                <a:lnTo>
                  <a:pt x="4373980" y="136987"/>
                </a:lnTo>
                <a:lnTo>
                  <a:pt x="4384199" y="146739"/>
                </a:lnTo>
                <a:lnTo>
                  <a:pt x="4394419" y="156804"/>
                </a:lnTo>
                <a:lnTo>
                  <a:pt x="4404639" y="167178"/>
                </a:lnTo>
                <a:lnTo>
                  <a:pt x="4414858" y="177860"/>
                </a:lnTo>
                <a:lnTo>
                  <a:pt x="4425078" y="188845"/>
                </a:lnTo>
                <a:lnTo>
                  <a:pt x="4435297" y="200132"/>
                </a:lnTo>
                <a:lnTo>
                  <a:pt x="4445517" y="211715"/>
                </a:lnTo>
                <a:lnTo>
                  <a:pt x="4455736" y="223593"/>
                </a:lnTo>
                <a:lnTo>
                  <a:pt x="4465956" y="235762"/>
                </a:lnTo>
                <a:lnTo>
                  <a:pt x="4476176" y="248218"/>
                </a:lnTo>
                <a:lnTo>
                  <a:pt x="4486395" y="260957"/>
                </a:lnTo>
                <a:lnTo>
                  <a:pt x="4496615" y="273976"/>
                </a:lnTo>
                <a:lnTo>
                  <a:pt x="4506834" y="287272"/>
                </a:lnTo>
                <a:lnTo>
                  <a:pt x="4517054" y="300840"/>
                </a:lnTo>
                <a:lnTo>
                  <a:pt x="4527274" y="314677"/>
                </a:lnTo>
                <a:lnTo>
                  <a:pt x="4537493" y="328779"/>
                </a:lnTo>
                <a:lnTo>
                  <a:pt x="4547713" y="343142"/>
                </a:lnTo>
                <a:lnTo>
                  <a:pt x="4557932" y="357761"/>
                </a:lnTo>
                <a:lnTo>
                  <a:pt x="4568152" y="372633"/>
                </a:lnTo>
                <a:lnTo>
                  <a:pt x="4578371" y="387754"/>
                </a:lnTo>
                <a:lnTo>
                  <a:pt x="4588591" y="403119"/>
                </a:lnTo>
                <a:lnTo>
                  <a:pt x="4598811" y="418725"/>
                </a:lnTo>
                <a:lnTo>
                  <a:pt x="4609030" y="434566"/>
                </a:lnTo>
                <a:lnTo>
                  <a:pt x="4619250" y="450639"/>
                </a:lnTo>
                <a:lnTo>
                  <a:pt x="4629469" y="466939"/>
                </a:lnTo>
                <a:lnTo>
                  <a:pt x="4639689" y="483461"/>
                </a:lnTo>
                <a:lnTo>
                  <a:pt x="4649909" y="500202"/>
                </a:lnTo>
                <a:lnTo>
                  <a:pt x="4660128" y="517156"/>
                </a:lnTo>
                <a:lnTo>
                  <a:pt x="4670348" y="534320"/>
                </a:lnTo>
                <a:lnTo>
                  <a:pt x="4680567" y="551688"/>
                </a:lnTo>
                <a:lnTo>
                  <a:pt x="4690787" y="569255"/>
                </a:lnTo>
                <a:lnTo>
                  <a:pt x="4701006" y="587018"/>
                </a:lnTo>
                <a:lnTo>
                  <a:pt x="4711226" y="604972"/>
                </a:lnTo>
                <a:lnTo>
                  <a:pt x="4721446" y="623111"/>
                </a:lnTo>
                <a:lnTo>
                  <a:pt x="4731665" y="641431"/>
                </a:lnTo>
                <a:lnTo>
                  <a:pt x="4741885" y="659928"/>
                </a:lnTo>
                <a:lnTo>
                  <a:pt x="4752104" y="678596"/>
                </a:lnTo>
                <a:lnTo>
                  <a:pt x="4762324" y="697430"/>
                </a:lnTo>
                <a:lnTo>
                  <a:pt x="4772543" y="716427"/>
                </a:lnTo>
                <a:lnTo>
                  <a:pt x="4782763" y="735580"/>
                </a:lnTo>
                <a:lnTo>
                  <a:pt x="4792983" y="754885"/>
                </a:lnTo>
                <a:lnTo>
                  <a:pt x="4803202" y="774338"/>
                </a:lnTo>
                <a:lnTo>
                  <a:pt x="4813422" y="793932"/>
                </a:lnTo>
                <a:lnTo>
                  <a:pt x="4823641" y="813664"/>
                </a:lnTo>
                <a:lnTo>
                  <a:pt x="4833861" y="833528"/>
                </a:lnTo>
                <a:lnTo>
                  <a:pt x="4844081" y="853520"/>
                </a:lnTo>
                <a:lnTo>
                  <a:pt x="4854300" y="873635"/>
                </a:lnTo>
                <a:lnTo>
                  <a:pt x="4864520" y="893867"/>
                </a:lnTo>
                <a:lnTo>
                  <a:pt x="4874739" y="914212"/>
                </a:lnTo>
                <a:lnTo>
                  <a:pt x="4884959" y="934665"/>
                </a:lnTo>
                <a:lnTo>
                  <a:pt x="4895178" y="955221"/>
                </a:lnTo>
                <a:lnTo>
                  <a:pt x="4905398" y="975875"/>
                </a:lnTo>
                <a:lnTo>
                  <a:pt x="4915618" y="996621"/>
                </a:lnTo>
                <a:lnTo>
                  <a:pt x="4925837" y="1017457"/>
                </a:lnTo>
                <a:lnTo>
                  <a:pt x="4936057" y="1038375"/>
                </a:lnTo>
                <a:lnTo>
                  <a:pt x="4946276" y="1059373"/>
                </a:lnTo>
                <a:lnTo>
                  <a:pt x="4956496" y="1080444"/>
                </a:lnTo>
                <a:lnTo>
                  <a:pt x="4966715" y="1101583"/>
                </a:lnTo>
                <a:lnTo>
                  <a:pt x="4976935" y="1122787"/>
                </a:lnTo>
                <a:lnTo>
                  <a:pt x="4987155" y="1144051"/>
                </a:lnTo>
                <a:lnTo>
                  <a:pt x="4997374" y="1165369"/>
                </a:lnTo>
                <a:lnTo>
                  <a:pt x="5007594" y="1186736"/>
                </a:lnTo>
                <a:lnTo>
                  <a:pt x="5017813" y="1208149"/>
                </a:lnTo>
                <a:lnTo>
                  <a:pt x="5028033" y="1229603"/>
                </a:lnTo>
                <a:lnTo>
                  <a:pt x="5038253" y="1251092"/>
                </a:lnTo>
                <a:lnTo>
                  <a:pt x="5048472" y="1272612"/>
                </a:lnTo>
                <a:lnTo>
                  <a:pt x="5058692" y="1294159"/>
                </a:lnTo>
                <a:lnTo>
                  <a:pt x="5068911" y="1315729"/>
                </a:lnTo>
                <a:lnTo>
                  <a:pt x="5079131" y="1337316"/>
                </a:lnTo>
                <a:lnTo>
                  <a:pt x="5089350" y="1358916"/>
                </a:lnTo>
                <a:lnTo>
                  <a:pt x="5099570" y="1380525"/>
                </a:lnTo>
                <a:lnTo>
                  <a:pt x="5109790" y="1402138"/>
                </a:lnTo>
                <a:lnTo>
                  <a:pt x="5120009" y="1423751"/>
                </a:lnTo>
                <a:lnTo>
                  <a:pt x="5130229" y="1445360"/>
                </a:lnTo>
                <a:lnTo>
                  <a:pt x="5140448" y="1466960"/>
                </a:lnTo>
                <a:lnTo>
                  <a:pt x="5150668" y="1488548"/>
                </a:lnTo>
                <a:lnTo>
                  <a:pt x="5160888" y="1510118"/>
                </a:lnTo>
                <a:lnTo>
                  <a:pt x="5171107" y="1531668"/>
                </a:lnTo>
                <a:lnTo>
                  <a:pt x="5181327" y="1553192"/>
                </a:lnTo>
                <a:lnTo>
                  <a:pt x="5191546" y="1574688"/>
                </a:lnTo>
                <a:lnTo>
                  <a:pt x="5201766" y="1596150"/>
                </a:lnTo>
                <a:lnTo>
                  <a:pt x="5211985" y="1617575"/>
                </a:lnTo>
                <a:lnTo>
                  <a:pt x="5222205" y="1638959"/>
                </a:lnTo>
                <a:lnTo>
                  <a:pt x="5232425" y="1660299"/>
                </a:lnTo>
                <a:lnTo>
                  <a:pt x="5242644" y="1681590"/>
                </a:lnTo>
                <a:lnTo>
                  <a:pt x="5252864" y="1702830"/>
                </a:lnTo>
                <a:lnTo>
                  <a:pt x="5263083" y="1724013"/>
                </a:lnTo>
                <a:lnTo>
                  <a:pt x="5273303" y="1745137"/>
                </a:lnTo>
                <a:lnTo>
                  <a:pt x="5283522" y="1766199"/>
                </a:lnTo>
                <a:lnTo>
                  <a:pt x="5293742" y="1787194"/>
                </a:lnTo>
                <a:lnTo>
                  <a:pt x="5303962" y="1808119"/>
                </a:lnTo>
                <a:lnTo>
                  <a:pt x="5314181" y="1828971"/>
                </a:lnTo>
                <a:lnTo>
                  <a:pt x="5324401" y="1849747"/>
                </a:lnTo>
                <a:lnTo>
                  <a:pt x="5334620" y="1870444"/>
                </a:lnTo>
                <a:lnTo>
                  <a:pt x="5344840" y="1891057"/>
                </a:lnTo>
                <a:lnTo>
                  <a:pt x="5355060" y="1911585"/>
                </a:lnTo>
                <a:lnTo>
                  <a:pt x="5365279" y="1932024"/>
                </a:lnTo>
                <a:lnTo>
                  <a:pt x="5375499" y="1952372"/>
                </a:lnTo>
                <a:lnTo>
                  <a:pt x="5385718" y="1972624"/>
                </a:lnTo>
                <a:lnTo>
                  <a:pt x="5395938" y="1992780"/>
                </a:lnTo>
                <a:lnTo>
                  <a:pt x="5406157" y="2012835"/>
                </a:lnTo>
                <a:lnTo>
                  <a:pt x="5416377" y="2032787"/>
                </a:lnTo>
                <a:lnTo>
                  <a:pt x="5426597" y="2052633"/>
                </a:lnTo>
                <a:lnTo>
                  <a:pt x="5436816" y="2072371"/>
                </a:lnTo>
                <a:lnTo>
                  <a:pt x="5447036" y="2091999"/>
                </a:lnTo>
                <a:lnTo>
                  <a:pt x="5457255" y="2111513"/>
                </a:lnTo>
                <a:lnTo>
                  <a:pt x="5467475" y="2130912"/>
                </a:lnTo>
                <a:lnTo>
                  <a:pt x="5477695" y="2150193"/>
                </a:lnTo>
                <a:lnTo>
                  <a:pt x="5487914" y="2169354"/>
                </a:lnTo>
                <a:lnTo>
                  <a:pt x="5498134" y="2188392"/>
                </a:lnTo>
                <a:lnTo>
                  <a:pt x="5508353" y="2207307"/>
                </a:lnTo>
                <a:lnTo>
                  <a:pt x="5518573" y="2226095"/>
                </a:lnTo>
                <a:lnTo>
                  <a:pt x="5528792" y="2244754"/>
                </a:lnTo>
                <a:lnTo>
                  <a:pt x="5539012" y="2263283"/>
                </a:lnTo>
                <a:lnTo>
                  <a:pt x="5549232" y="2281680"/>
                </a:lnTo>
                <a:lnTo>
                  <a:pt x="5559451" y="2299944"/>
                </a:lnTo>
                <a:lnTo>
                  <a:pt x="5569671" y="2318071"/>
                </a:lnTo>
                <a:lnTo>
                  <a:pt x="5579890" y="2336061"/>
                </a:lnTo>
                <a:lnTo>
                  <a:pt x="5590110" y="2353912"/>
                </a:lnTo>
                <a:lnTo>
                  <a:pt x="5600329" y="2371623"/>
                </a:lnTo>
                <a:lnTo>
                  <a:pt x="5610549" y="2389192"/>
                </a:lnTo>
                <a:lnTo>
                  <a:pt x="5620769" y="2406618"/>
                </a:lnTo>
                <a:lnTo>
                  <a:pt x="5630988" y="2423899"/>
                </a:lnTo>
                <a:lnTo>
                  <a:pt x="5641208" y="2441034"/>
                </a:lnTo>
                <a:lnTo>
                  <a:pt x="5651427" y="2458022"/>
                </a:lnTo>
                <a:lnTo>
                  <a:pt x="5661647" y="2474862"/>
                </a:lnTo>
                <a:lnTo>
                  <a:pt x="5671867" y="2491553"/>
                </a:lnTo>
                <a:lnTo>
                  <a:pt x="5682086" y="2508093"/>
                </a:lnTo>
                <a:lnTo>
                  <a:pt x="5692306" y="2524482"/>
                </a:lnTo>
                <a:lnTo>
                  <a:pt x="5702525" y="2540719"/>
                </a:lnTo>
                <a:lnTo>
                  <a:pt x="5712745" y="2556802"/>
                </a:lnTo>
                <a:lnTo>
                  <a:pt x="5722964" y="2572732"/>
                </a:lnTo>
                <a:lnTo>
                  <a:pt x="5733184" y="2588508"/>
                </a:lnTo>
                <a:lnTo>
                  <a:pt x="5743404" y="2604128"/>
                </a:lnTo>
                <a:lnTo>
                  <a:pt x="5753623" y="2619592"/>
                </a:lnTo>
                <a:lnTo>
                  <a:pt x="5763843" y="2634900"/>
                </a:lnTo>
                <a:lnTo>
                  <a:pt x="5774062" y="2650051"/>
                </a:lnTo>
                <a:lnTo>
                  <a:pt x="5784282" y="2665044"/>
                </a:lnTo>
                <a:lnTo>
                  <a:pt x="5794502" y="2679880"/>
                </a:lnTo>
                <a:lnTo>
                  <a:pt x="5804721" y="2694558"/>
                </a:lnTo>
                <a:lnTo>
                  <a:pt x="5814941" y="2709077"/>
                </a:lnTo>
                <a:lnTo>
                  <a:pt x="5825160" y="2723438"/>
                </a:lnTo>
                <a:lnTo>
                  <a:pt x="5835380" y="2737640"/>
                </a:lnTo>
                <a:lnTo>
                  <a:pt x="5845599" y="2751683"/>
                </a:lnTo>
                <a:lnTo>
                  <a:pt x="5855819" y="2765568"/>
                </a:lnTo>
                <a:lnTo>
                  <a:pt x="5866039" y="2779293"/>
                </a:lnTo>
                <a:lnTo>
                  <a:pt x="5876258" y="2792859"/>
                </a:lnTo>
                <a:lnTo>
                  <a:pt x="5886478" y="2806266"/>
                </a:lnTo>
                <a:lnTo>
                  <a:pt x="5896697" y="2819514"/>
                </a:lnTo>
                <a:lnTo>
                  <a:pt x="5906917" y="2832604"/>
                </a:lnTo>
                <a:lnTo>
                  <a:pt x="5917136" y="2845535"/>
                </a:lnTo>
                <a:lnTo>
                  <a:pt x="5927356" y="2858308"/>
                </a:lnTo>
                <a:lnTo>
                  <a:pt x="5937576" y="2870923"/>
                </a:lnTo>
                <a:lnTo>
                  <a:pt x="5947795" y="2883381"/>
                </a:lnTo>
                <a:lnTo>
                  <a:pt x="5958015" y="2895681"/>
                </a:lnTo>
                <a:lnTo>
                  <a:pt x="5968234" y="2907824"/>
                </a:lnTo>
                <a:lnTo>
                  <a:pt x="5978454" y="2919811"/>
                </a:lnTo>
                <a:lnTo>
                  <a:pt x="5988674" y="2931641"/>
                </a:lnTo>
                <a:lnTo>
                  <a:pt x="5998893" y="2943317"/>
                </a:lnTo>
                <a:lnTo>
                  <a:pt x="6009113" y="2954837"/>
                </a:lnTo>
                <a:lnTo>
                  <a:pt x="6019332" y="2966204"/>
                </a:lnTo>
                <a:lnTo>
                  <a:pt x="6029552" y="2977416"/>
                </a:lnTo>
                <a:lnTo>
                  <a:pt x="6039771" y="2988476"/>
                </a:lnTo>
                <a:lnTo>
                  <a:pt x="6049991" y="2999384"/>
                </a:lnTo>
                <a:lnTo>
                  <a:pt x="6060211" y="3010139"/>
                </a:lnTo>
                <a:lnTo>
                  <a:pt x="6070430" y="3020745"/>
                </a:lnTo>
                <a:lnTo>
                  <a:pt x="6080650" y="3031200"/>
                </a:lnTo>
                <a:lnTo>
                  <a:pt x="6090869" y="3041505"/>
                </a:lnTo>
                <a:lnTo>
                  <a:pt x="6101089" y="3051663"/>
                </a:lnTo>
                <a:lnTo>
                  <a:pt x="6111308" y="3061673"/>
                </a:lnTo>
                <a:lnTo>
                  <a:pt x="6121528" y="3071537"/>
                </a:lnTo>
                <a:lnTo>
                  <a:pt x="6131748" y="3081255"/>
                </a:lnTo>
                <a:lnTo>
                  <a:pt x="6141967" y="3090828"/>
                </a:lnTo>
                <a:lnTo>
                  <a:pt x="6152187" y="3100257"/>
                </a:lnTo>
                <a:lnTo>
                  <a:pt x="6162406" y="3109544"/>
                </a:lnTo>
                <a:lnTo>
                  <a:pt x="6172626" y="3118689"/>
                </a:lnTo>
                <a:lnTo>
                  <a:pt x="6182846" y="3127694"/>
                </a:lnTo>
                <a:lnTo>
                  <a:pt x="6193065" y="3136559"/>
                </a:lnTo>
                <a:lnTo>
                  <a:pt x="6203285" y="3145285"/>
                </a:lnTo>
                <a:lnTo>
                  <a:pt x="6213504" y="3153874"/>
                </a:lnTo>
                <a:lnTo>
                  <a:pt x="6223724" y="3162327"/>
                </a:lnTo>
                <a:lnTo>
                  <a:pt x="6233943" y="3170645"/>
                </a:lnTo>
                <a:lnTo>
                  <a:pt x="6244163" y="3178829"/>
                </a:lnTo>
                <a:lnTo>
                  <a:pt x="6254383" y="3186879"/>
                </a:lnTo>
                <a:lnTo>
                  <a:pt x="6264602" y="3194799"/>
                </a:lnTo>
                <a:lnTo>
                  <a:pt x="6274822" y="3202588"/>
                </a:lnTo>
                <a:lnTo>
                  <a:pt x="6285041" y="3210247"/>
                </a:lnTo>
                <a:lnTo>
                  <a:pt x="6295261" y="3217779"/>
                </a:lnTo>
                <a:lnTo>
                  <a:pt x="6305481" y="3225184"/>
                </a:lnTo>
                <a:lnTo>
                  <a:pt x="6315700" y="3232463"/>
                </a:lnTo>
                <a:lnTo>
                  <a:pt x="6325920" y="3239619"/>
                </a:lnTo>
                <a:lnTo>
                  <a:pt x="6336139" y="3246651"/>
                </a:lnTo>
                <a:lnTo>
                  <a:pt x="6346359" y="3253562"/>
                </a:lnTo>
                <a:lnTo>
                  <a:pt x="6356578" y="3260352"/>
                </a:lnTo>
                <a:lnTo>
                  <a:pt x="6366798" y="3267023"/>
                </a:lnTo>
                <a:lnTo>
                  <a:pt x="6377018" y="3273576"/>
                </a:lnTo>
                <a:lnTo>
                  <a:pt x="6387237" y="3280013"/>
                </a:lnTo>
                <a:lnTo>
                  <a:pt x="6397457" y="3286335"/>
                </a:lnTo>
                <a:lnTo>
                  <a:pt x="6407676" y="3292543"/>
                </a:lnTo>
                <a:lnTo>
                  <a:pt x="6417896" y="3298638"/>
                </a:lnTo>
                <a:lnTo>
                  <a:pt x="6428115" y="3304622"/>
                </a:lnTo>
                <a:lnTo>
                  <a:pt x="6438335" y="3310496"/>
                </a:lnTo>
                <a:lnTo>
                  <a:pt x="6448555" y="3316262"/>
                </a:lnTo>
                <a:lnTo>
                  <a:pt x="6458774" y="3321920"/>
                </a:lnTo>
                <a:lnTo>
                  <a:pt x="6468994" y="3327473"/>
                </a:lnTo>
                <a:lnTo>
                  <a:pt x="6479213" y="3332921"/>
                </a:lnTo>
                <a:lnTo>
                  <a:pt x="6489433" y="3338265"/>
                </a:lnTo>
                <a:lnTo>
                  <a:pt x="6499653" y="3343508"/>
                </a:lnTo>
                <a:lnTo>
                  <a:pt x="6509872" y="3348651"/>
                </a:lnTo>
                <a:lnTo>
                  <a:pt x="6520092" y="3353694"/>
                </a:lnTo>
                <a:lnTo>
                  <a:pt x="6530311" y="3358639"/>
                </a:lnTo>
                <a:lnTo>
                  <a:pt x="6540531" y="3363488"/>
                </a:lnTo>
                <a:lnTo>
                  <a:pt x="6550750" y="3368241"/>
                </a:lnTo>
                <a:lnTo>
                  <a:pt x="6560970" y="3372901"/>
                </a:lnTo>
                <a:lnTo>
                  <a:pt x="6571190" y="3377468"/>
                </a:lnTo>
                <a:lnTo>
                  <a:pt x="6581409" y="3381944"/>
                </a:lnTo>
                <a:lnTo>
                  <a:pt x="6591629" y="3386330"/>
                </a:lnTo>
                <a:lnTo>
                  <a:pt x="6601848" y="3390627"/>
                </a:lnTo>
                <a:lnTo>
                  <a:pt x="6612068" y="3394837"/>
                </a:lnTo>
                <a:lnTo>
                  <a:pt x="6622287" y="3398960"/>
                </a:lnTo>
                <a:lnTo>
                  <a:pt x="6632507" y="3402999"/>
                </a:lnTo>
                <a:lnTo>
                  <a:pt x="6642727" y="3406955"/>
                </a:lnTo>
                <a:lnTo>
                  <a:pt x="6652946" y="3410828"/>
                </a:lnTo>
                <a:lnTo>
                  <a:pt x="6663166" y="3414621"/>
                </a:lnTo>
                <a:lnTo>
                  <a:pt x="6673385" y="3418334"/>
                </a:lnTo>
                <a:lnTo>
                  <a:pt x="6683605" y="3421968"/>
                </a:lnTo>
                <a:lnTo>
                  <a:pt x="6693825" y="3425525"/>
                </a:lnTo>
                <a:lnTo>
                  <a:pt x="6704044" y="3429006"/>
                </a:lnTo>
                <a:lnTo>
                  <a:pt x="6714264" y="3432413"/>
                </a:lnTo>
                <a:lnTo>
                  <a:pt x="6724483" y="3435746"/>
                </a:lnTo>
                <a:lnTo>
                  <a:pt x="6734703" y="3439007"/>
                </a:lnTo>
                <a:lnTo>
                  <a:pt x="6744922" y="3442196"/>
                </a:lnTo>
                <a:lnTo>
                  <a:pt x="6755142" y="3445316"/>
                </a:lnTo>
                <a:lnTo>
                  <a:pt x="6765362" y="3448367"/>
                </a:lnTo>
                <a:lnTo>
                  <a:pt x="6775581" y="3451351"/>
                </a:lnTo>
                <a:lnTo>
                  <a:pt x="6785801" y="3454268"/>
                </a:lnTo>
                <a:lnTo>
                  <a:pt x="6796020" y="3457120"/>
                </a:lnTo>
                <a:lnTo>
                  <a:pt x="6806240" y="3459908"/>
                </a:lnTo>
                <a:lnTo>
                  <a:pt x="6816460" y="3462633"/>
                </a:lnTo>
                <a:lnTo>
                  <a:pt x="6826679" y="3465296"/>
                </a:lnTo>
                <a:lnTo>
                  <a:pt x="6836899" y="3467898"/>
                </a:lnTo>
                <a:lnTo>
                  <a:pt x="6847118" y="3470441"/>
                </a:lnTo>
                <a:lnTo>
                  <a:pt x="6857338" y="3472925"/>
                </a:lnTo>
                <a:lnTo>
                  <a:pt x="6867557" y="3475352"/>
                </a:lnTo>
                <a:lnTo>
                  <a:pt x="6877777" y="3477722"/>
                </a:lnTo>
                <a:lnTo>
                  <a:pt x="6887997" y="3480037"/>
                </a:lnTo>
                <a:lnTo>
                  <a:pt x="6898216" y="3482298"/>
                </a:lnTo>
                <a:lnTo>
                  <a:pt x="6908436" y="3484505"/>
                </a:lnTo>
                <a:lnTo>
                  <a:pt x="6918655" y="3486660"/>
                </a:lnTo>
                <a:lnTo>
                  <a:pt x="6928875" y="3488764"/>
                </a:lnTo>
                <a:lnTo>
                  <a:pt x="6939094" y="3490817"/>
                </a:lnTo>
                <a:lnTo>
                  <a:pt x="6949314" y="3492821"/>
                </a:lnTo>
                <a:lnTo>
                  <a:pt x="6959534" y="3494777"/>
                </a:lnTo>
                <a:lnTo>
                  <a:pt x="6969753" y="3496685"/>
                </a:lnTo>
                <a:lnTo>
                  <a:pt x="6979973" y="3498547"/>
                </a:lnTo>
                <a:lnTo>
                  <a:pt x="6990192" y="3500363"/>
                </a:lnTo>
                <a:lnTo>
                  <a:pt x="7000412" y="3502135"/>
                </a:lnTo>
                <a:lnTo>
                  <a:pt x="7010632" y="3503863"/>
                </a:lnTo>
                <a:lnTo>
                  <a:pt x="7020851" y="3505548"/>
                </a:lnTo>
                <a:lnTo>
                  <a:pt x="7031071" y="3507191"/>
                </a:lnTo>
                <a:lnTo>
                  <a:pt x="7041290" y="3508793"/>
                </a:lnTo>
                <a:lnTo>
                  <a:pt x="7051510" y="3510355"/>
                </a:lnTo>
                <a:lnTo>
                  <a:pt x="7061729" y="3511877"/>
                </a:lnTo>
                <a:lnTo>
                  <a:pt x="7071949" y="3513361"/>
                </a:lnTo>
                <a:lnTo>
                  <a:pt x="7082169" y="3514807"/>
                </a:lnTo>
                <a:lnTo>
                  <a:pt x="7092388" y="3516216"/>
                </a:lnTo>
                <a:lnTo>
                  <a:pt x="7102608" y="3517589"/>
                </a:lnTo>
                <a:lnTo>
                  <a:pt x="7112827" y="3518927"/>
                </a:lnTo>
                <a:lnTo>
                  <a:pt x="7123047" y="3520230"/>
                </a:lnTo>
                <a:lnTo>
                  <a:pt x="7133267" y="3521499"/>
                </a:lnTo>
                <a:lnTo>
                  <a:pt x="7143486" y="3522735"/>
                </a:lnTo>
                <a:lnTo>
                  <a:pt x="7153706" y="3523938"/>
                </a:lnTo>
                <a:lnTo>
                  <a:pt x="7163925" y="3525110"/>
                </a:lnTo>
                <a:lnTo>
                  <a:pt x="7174145" y="3526251"/>
                </a:lnTo>
                <a:lnTo>
                  <a:pt x="7184364" y="3527362"/>
                </a:lnTo>
                <a:lnTo>
                  <a:pt x="7194584" y="3528443"/>
                </a:lnTo>
                <a:lnTo>
                  <a:pt x="7204804" y="3529495"/>
                </a:lnTo>
                <a:lnTo>
                  <a:pt x="7215023" y="3530519"/>
                </a:lnTo>
                <a:lnTo>
                  <a:pt x="7225243" y="3531515"/>
                </a:lnTo>
                <a:lnTo>
                  <a:pt x="7235462" y="3532485"/>
                </a:lnTo>
                <a:lnTo>
                  <a:pt x="7245682" y="3533428"/>
                </a:lnTo>
                <a:lnTo>
                  <a:pt x="7255901" y="3534345"/>
                </a:lnTo>
                <a:lnTo>
                  <a:pt x="7266121" y="3535237"/>
                </a:lnTo>
                <a:lnTo>
                  <a:pt x="7276341" y="3536105"/>
                </a:lnTo>
                <a:lnTo>
                  <a:pt x="7286560" y="3536948"/>
                </a:lnTo>
                <a:lnTo>
                  <a:pt x="7296780" y="3537768"/>
                </a:lnTo>
                <a:lnTo>
                  <a:pt x="7306999" y="3538566"/>
                </a:lnTo>
                <a:lnTo>
                  <a:pt x="7317219" y="3539341"/>
                </a:lnTo>
                <a:lnTo>
                  <a:pt x="7327439" y="3540095"/>
                </a:lnTo>
                <a:lnTo>
                  <a:pt x="7337658" y="3540827"/>
                </a:lnTo>
                <a:lnTo>
                  <a:pt x="7347878" y="3541538"/>
                </a:lnTo>
                <a:lnTo>
                  <a:pt x="7358097" y="3542230"/>
                </a:lnTo>
                <a:lnTo>
                  <a:pt x="7368317" y="3542901"/>
                </a:lnTo>
                <a:lnTo>
                  <a:pt x="7378536" y="3543554"/>
                </a:lnTo>
                <a:lnTo>
                  <a:pt x="7388756" y="3544188"/>
                </a:lnTo>
                <a:lnTo>
                  <a:pt x="7398976" y="3544803"/>
                </a:lnTo>
                <a:lnTo>
                  <a:pt x="7409195" y="3545401"/>
                </a:lnTo>
                <a:lnTo>
                  <a:pt x="7419415" y="3545982"/>
                </a:lnTo>
                <a:lnTo>
                  <a:pt x="7429634" y="3546545"/>
                </a:lnTo>
                <a:lnTo>
                  <a:pt x="7439854" y="3547092"/>
                </a:lnTo>
                <a:lnTo>
                  <a:pt x="7450073" y="3547623"/>
                </a:lnTo>
                <a:lnTo>
                  <a:pt x="7460293" y="3548139"/>
                </a:lnTo>
                <a:lnTo>
                  <a:pt x="7470513" y="3548639"/>
                </a:lnTo>
                <a:lnTo>
                  <a:pt x="7480732" y="3549124"/>
                </a:lnTo>
                <a:lnTo>
                  <a:pt x="7490952" y="3549595"/>
                </a:lnTo>
                <a:lnTo>
                  <a:pt x="7501171" y="3550052"/>
                </a:lnTo>
                <a:lnTo>
                  <a:pt x="7511391" y="3550495"/>
                </a:lnTo>
                <a:lnTo>
                  <a:pt x="7521611" y="3550925"/>
                </a:lnTo>
                <a:lnTo>
                  <a:pt x="7531830" y="3551342"/>
                </a:lnTo>
                <a:lnTo>
                  <a:pt x="7542050" y="3551747"/>
                </a:lnTo>
                <a:lnTo>
                  <a:pt x="7552269" y="3552139"/>
                </a:lnTo>
                <a:lnTo>
                  <a:pt x="7562489" y="3552519"/>
                </a:lnTo>
                <a:lnTo>
                  <a:pt x="7572708" y="3552887"/>
                </a:lnTo>
                <a:lnTo>
                  <a:pt x="7582928" y="3553244"/>
                </a:lnTo>
                <a:lnTo>
                  <a:pt x="7593148" y="3553591"/>
                </a:lnTo>
                <a:lnTo>
                  <a:pt x="7603367" y="3553926"/>
                </a:lnTo>
                <a:lnTo>
                  <a:pt x="7613587" y="3554251"/>
                </a:lnTo>
                <a:lnTo>
                  <a:pt x="7623806" y="3554566"/>
                </a:lnTo>
                <a:lnTo>
                  <a:pt x="7634026" y="3554871"/>
                </a:lnTo>
                <a:lnTo>
                  <a:pt x="7644246" y="3555167"/>
                </a:lnTo>
                <a:lnTo>
                  <a:pt x="7654465" y="3555453"/>
                </a:lnTo>
                <a:lnTo>
                  <a:pt x="7664685" y="3555730"/>
                </a:lnTo>
                <a:lnTo>
                  <a:pt x="7674904" y="3555999"/>
                </a:lnTo>
                <a:lnTo>
                  <a:pt x="7685124" y="3556259"/>
                </a:lnTo>
                <a:lnTo>
                  <a:pt x="7695343" y="3556510"/>
                </a:lnTo>
                <a:lnTo>
                  <a:pt x="7705563" y="3556754"/>
                </a:lnTo>
                <a:lnTo>
                  <a:pt x="7715783" y="3556990"/>
                </a:lnTo>
                <a:lnTo>
                  <a:pt x="7726002" y="3557218"/>
                </a:lnTo>
                <a:lnTo>
                  <a:pt x="7736222" y="3557439"/>
                </a:lnTo>
                <a:lnTo>
                  <a:pt x="7746441" y="3557653"/>
                </a:lnTo>
                <a:lnTo>
                  <a:pt x="7756661" y="3557860"/>
                </a:lnTo>
                <a:lnTo>
                  <a:pt x="7766880" y="3558060"/>
                </a:lnTo>
                <a:lnTo>
                  <a:pt x="7777100" y="3558253"/>
                </a:lnTo>
                <a:lnTo>
                  <a:pt x="7787320" y="3558440"/>
                </a:lnTo>
                <a:lnTo>
                  <a:pt x="7797539" y="3558621"/>
                </a:lnTo>
                <a:lnTo>
                  <a:pt x="7807759" y="3558796"/>
                </a:lnTo>
                <a:lnTo>
                  <a:pt x="7817978" y="3558966"/>
                </a:lnTo>
                <a:lnTo>
                  <a:pt x="7828198" y="3559129"/>
                </a:lnTo>
                <a:lnTo>
                  <a:pt x="7838418" y="3559288"/>
                </a:lnTo>
                <a:lnTo>
                  <a:pt x="7848637" y="3559440"/>
                </a:lnTo>
                <a:lnTo>
                  <a:pt x="7858857" y="3559588"/>
                </a:lnTo>
                <a:lnTo>
                  <a:pt x="7869076" y="3559731"/>
                </a:lnTo>
                <a:lnTo>
                  <a:pt x="7879296" y="3559869"/>
                </a:lnTo>
                <a:lnTo>
                  <a:pt x="7889515" y="3560002"/>
                </a:lnTo>
                <a:lnTo>
                  <a:pt x="7899735" y="3560131"/>
                </a:lnTo>
                <a:lnTo>
                  <a:pt x="7909955" y="3560256"/>
                </a:lnTo>
                <a:lnTo>
                  <a:pt x="7920174" y="3560376"/>
                </a:lnTo>
                <a:lnTo>
                  <a:pt x="7930394" y="3560492"/>
                </a:lnTo>
                <a:lnTo>
                  <a:pt x="7940613" y="3560604"/>
                </a:lnTo>
                <a:lnTo>
                  <a:pt x="7950833" y="3560712"/>
                </a:lnTo>
                <a:lnTo>
                  <a:pt x="7961053" y="3560817"/>
                </a:lnTo>
                <a:lnTo>
                  <a:pt x="7971272" y="3560918"/>
                </a:lnTo>
                <a:lnTo>
                  <a:pt x="7981492" y="3561015"/>
                </a:lnTo>
                <a:lnTo>
                  <a:pt x="7991711" y="3561109"/>
                </a:lnTo>
                <a:lnTo>
                  <a:pt x="8001931" y="3561200"/>
                </a:lnTo>
                <a:lnTo>
                  <a:pt x="8012150" y="3561287"/>
                </a:lnTo>
                <a:lnTo>
                  <a:pt x="8022370" y="3561372"/>
                </a:lnTo>
                <a:lnTo>
                  <a:pt x="8032590" y="3561453"/>
                </a:lnTo>
                <a:lnTo>
                  <a:pt x="8042809" y="3561532"/>
                </a:lnTo>
                <a:lnTo>
                  <a:pt x="8053029" y="3561607"/>
                </a:lnTo>
                <a:lnTo>
                  <a:pt x="8063248" y="3561680"/>
                </a:lnTo>
                <a:lnTo>
                  <a:pt x="8073468" y="3561751"/>
                </a:lnTo>
                <a:lnTo>
                  <a:pt x="8083687" y="3561819"/>
                </a:lnTo>
                <a:lnTo>
                  <a:pt x="8093907" y="3561884"/>
                </a:lnTo>
                <a:lnTo>
                  <a:pt x="8104127" y="3561948"/>
                </a:lnTo>
                <a:lnTo>
                  <a:pt x="8114346" y="3562008"/>
                </a:lnTo>
                <a:lnTo>
                  <a:pt x="8124566" y="3562067"/>
                </a:lnTo>
                <a:lnTo>
                  <a:pt x="8134785" y="3562124"/>
                </a:lnTo>
                <a:lnTo>
                  <a:pt x="8145005" y="3562178"/>
                </a:lnTo>
                <a:lnTo>
                  <a:pt x="8155225" y="3562231"/>
                </a:lnTo>
                <a:lnTo>
                  <a:pt x="8165444" y="3562281"/>
                </a:lnTo>
                <a:lnTo>
                  <a:pt x="8175664" y="3562330"/>
                </a:lnTo>
              </a:path>
            </a:pathLst>
          </a:custGeom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97" name="tx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3152228" y="4232813"/>
            <a:ext cx="561790" cy="153888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21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050" b="1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Standard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8" name="tx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3236369" y="4361384"/>
            <a:ext cx="394682" cy="153654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21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050" b="1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Scores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9" name="pl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3905164" y="4270117"/>
            <a:ext cx="5096777" cy="0"/>
          </a:xfrm>
          <a:custGeom>
            <a:avLst/>
            <a:gdLst/>
            <a:ahLst/>
            <a:cxnLst/>
            <a:rect l="0" t="0" r="0" b="0"/>
            <a:pathLst>
              <a:path w="8175664">
                <a:moveTo>
                  <a:pt x="0" y="0"/>
                </a:moveTo>
                <a:lnTo>
                  <a:pt x="8175664" y="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0" name="pl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3905164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1" name="pl10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4329897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2" name="pl1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4754628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3" name="pl1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5179359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4" name="pl1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5604091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5" name="pl1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6028822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6" name="pl1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6453554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7" name="pl1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6878285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8" name="pl1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7303016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09" name="pl1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7727748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0" name="pl1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8152480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1" name="pl2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8577210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2" name="pl2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9001942" y="4270117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13" name="tx22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3844525" y="4354364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40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4" name="tx2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4269256" y="4354364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50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5" name="tx2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4693988" y="4354364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60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6" name="tx2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5118719" y="4354281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70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7" name="tx2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5543451" y="4354364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80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8" name="tx2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5968182" y="4354281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19" name="tx2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6357956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100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0" name="tx2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6782687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110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1" name="tx3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7207419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120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2" name="tx3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7632151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130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3" name="tx3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8056881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140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4" name="tx3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8481613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150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5" name="tx3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8906345" y="4354364"/>
            <a:ext cx="173836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160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6" name="pl97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4084179" y="4902843"/>
            <a:ext cx="4738749" cy="0"/>
          </a:xfrm>
          <a:custGeom>
            <a:avLst/>
            <a:gdLst/>
            <a:ahLst/>
            <a:cxnLst/>
            <a:rect l="0" t="0" r="0" b="0"/>
            <a:pathLst>
              <a:path w="7601357">
                <a:moveTo>
                  <a:pt x="0" y="0"/>
                </a:moveTo>
                <a:lnTo>
                  <a:pt x="7601357" y="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7" name="pl98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4084179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8" name="pl99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>
            <a:off x="4484775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9" name="pl100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4971444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0" name="pl101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5405622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1" name="pl102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5637081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2" name="pl103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>
            <a:off x="6023837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3" name="pl104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6453554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4" name="pl105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>
            <a:off x="6883268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5" name="pl106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7270026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6" name="pl107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7501485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7" name="pl108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7935663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8" name="pl109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8422331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39" name="pl110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8822928" y="4902843"/>
            <a:ext cx="0" cy="51129"/>
          </a:xfrm>
          <a:custGeom>
            <a:avLst/>
            <a:gdLst/>
            <a:ahLst/>
            <a:cxnLst/>
            <a:rect l="0" t="0" r="0" b="0"/>
            <a:pathLst>
              <a:path h="83820">
                <a:moveTo>
                  <a:pt x="0" y="0"/>
                </a:moveTo>
                <a:lnTo>
                  <a:pt x="0" y="83820"/>
                </a:lnTo>
              </a:path>
            </a:pathLst>
          </a:custGeom>
          <a:ln w="9525" cap="rnd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40" name="tx111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3971103" y="4987003"/>
            <a:ext cx="202809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0.01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1" name="tx112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4406656" y="4987003"/>
            <a:ext cx="144864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0.1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2" name="tx113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4945761" y="4987586"/>
            <a:ext cx="57945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3" name="tx114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5379938" y="4987669"/>
            <a:ext cx="57945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5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4" name="tx115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/>
        </xdr:nvSpPr>
        <xdr:spPr>
          <a:xfrm>
            <a:off x="5576442" y="4987086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10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5" name="tx116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5963198" y="4987086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25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6" name="tx117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/>
        </xdr:nvSpPr>
        <xdr:spPr>
          <a:xfrm>
            <a:off x="6392915" y="4987086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50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7" name="tx118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6822630" y="4987586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75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8" name="tx119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/>
        </xdr:nvSpPr>
        <xdr:spPr>
          <a:xfrm>
            <a:off x="7209386" y="4987003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90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49" name="tx120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/>
        </xdr:nvSpPr>
        <xdr:spPr>
          <a:xfrm>
            <a:off x="7440844" y="4987003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95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0" name="tx121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7875023" y="4987003"/>
            <a:ext cx="115891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99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1" name="tx122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8309257" y="4987003"/>
            <a:ext cx="202809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99.9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2" name="tx123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/>
        </xdr:nvSpPr>
        <xdr:spPr>
          <a:xfrm>
            <a:off x="8674895" y="4987003"/>
            <a:ext cx="260754" cy="141049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99.99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3" name="tx124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3136581" y="4864872"/>
            <a:ext cx="610194" cy="153654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21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050" b="1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Percentile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4" name="tx125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/>
        </xdr:nvSpPr>
        <xdr:spPr>
          <a:xfrm>
            <a:off x="3265340" y="4986808"/>
            <a:ext cx="326457" cy="153654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21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050" b="1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Rank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55" name="pg126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/>
        </xdr:nvSpPr>
        <xdr:spPr>
          <a:xfrm>
            <a:off x="6028822" y="2052956"/>
            <a:ext cx="849462" cy="2173687"/>
          </a:xfrm>
          <a:custGeom>
            <a:avLst/>
            <a:gdLst/>
            <a:ahLst/>
            <a:cxnLst/>
            <a:rect l="0" t="0" r="0" b="0"/>
            <a:pathLst>
              <a:path w="1362610" h="3563525">
                <a:moveTo>
                  <a:pt x="0" y="3563525"/>
                </a:moveTo>
                <a:lnTo>
                  <a:pt x="0" y="710077"/>
                </a:lnTo>
                <a:lnTo>
                  <a:pt x="681" y="708809"/>
                </a:lnTo>
                <a:lnTo>
                  <a:pt x="1362" y="707542"/>
                </a:lnTo>
                <a:lnTo>
                  <a:pt x="2043" y="706276"/>
                </a:lnTo>
                <a:lnTo>
                  <a:pt x="2725" y="705010"/>
                </a:lnTo>
                <a:lnTo>
                  <a:pt x="3406" y="703745"/>
                </a:lnTo>
                <a:lnTo>
                  <a:pt x="4087" y="702480"/>
                </a:lnTo>
                <a:lnTo>
                  <a:pt x="4769" y="701217"/>
                </a:lnTo>
                <a:lnTo>
                  <a:pt x="5450" y="699954"/>
                </a:lnTo>
                <a:lnTo>
                  <a:pt x="6131" y="698692"/>
                </a:lnTo>
                <a:lnTo>
                  <a:pt x="6813" y="697430"/>
                </a:lnTo>
                <a:lnTo>
                  <a:pt x="7494" y="696170"/>
                </a:lnTo>
                <a:lnTo>
                  <a:pt x="8175" y="694910"/>
                </a:lnTo>
                <a:lnTo>
                  <a:pt x="8856" y="693650"/>
                </a:lnTo>
                <a:lnTo>
                  <a:pt x="9538" y="692392"/>
                </a:lnTo>
                <a:lnTo>
                  <a:pt x="10219" y="691134"/>
                </a:lnTo>
                <a:lnTo>
                  <a:pt x="10900" y="689877"/>
                </a:lnTo>
                <a:lnTo>
                  <a:pt x="11582" y="688621"/>
                </a:lnTo>
                <a:lnTo>
                  <a:pt x="12263" y="687365"/>
                </a:lnTo>
                <a:lnTo>
                  <a:pt x="12944" y="686110"/>
                </a:lnTo>
                <a:lnTo>
                  <a:pt x="13626" y="684856"/>
                </a:lnTo>
                <a:lnTo>
                  <a:pt x="14307" y="683602"/>
                </a:lnTo>
                <a:lnTo>
                  <a:pt x="14988" y="682350"/>
                </a:lnTo>
                <a:lnTo>
                  <a:pt x="15670" y="681098"/>
                </a:lnTo>
                <a:lnTo>
                  <a:pt x="16351" y="679846"/>
                </a:lnTo>
                <a:lnTo>
                  <a:pt x="17032" y="678596"/>
                </a:lnTo>
                <a:lnTo>
                  <a:pt x="17713" y="677346"/>
                </a:lnTo>
                <a:lnTo>
                  <a:pt x="18395" y="676097"/>
                </a:lnTo>
                <a:lnTo>
                  <a:pt x="19076" y="674849"/>
                </a:lnTo>
                <a:lnTo>
                  <a:pt x="19757" y="673601"/>
                </a:lnTo>
                <a:lnTo>
                  <a:pt x="20439" y="672354"/>
                </a:lnTo>
                <a:lnTo>
                  <a:pt x="21120" y="671108"/>
                </a:lnTo>
                <a:lnTo>
                  <a:pt x="21801" y="669863"/>
                </a:lnTo>
                <a:lnTo>
                  <a:pt x="22483" y="668619"/>
                </a:lnTo>
                <a:lnTo>
                  <a:pt x="23164" y="667375"/>
                </a:lnTo>
                <a:lnTo>
                  <a:pt x="23845" y="666132"/>
                </a:lnTo>
                <a:lnTo>
                  <a:pt x="24526" y="664889"/>
                </a:lnTo>
                <a:lnTo>
                  <a:pt x="25208" y="663648"/>
                </a:lnTo>
                <a:lnTo>
                  <a:pt x="25889" y="662407"/>
                </a:lnTo>
                <a:lnTo>
                  <a:pt x="26570" y="661167"/>
                </a:lnTo>
                <a:lnTo>
                  <a:pt x="27252" y="659928"/>
                </a:lnTo>
                <a:lnTo>
                  <a:pt x="27933" y="658689"/>
                </a:lnTo>
                <a:lnTo>
                  <a:pt x="28614" y="657452"/>
                </a:lnTo>
                <a:lnTo>
                  <a:pt x="29296" y="656215"/>
                </a:lnTo>
                <a:lnTo>
                  <a:pt x="29977" y="654979"/>
                </a:lnTo>
                <a:lnTo>
                  <a:pt x="30658" y="653743"/>
                </a:lnTo>
                <a:lnTo>
                  <a:pt x="31340" y="652508"/>
                </a:lnTo>
                <a:lnTo>
                  <a:pt x="32021" y="651275"/>
                </a:lnTo>
                <a:lnTo>
                  <a:pt x="32702" y="650041"/>
                </a:lnTo>
                <a:lnTo>
                  <a:pt x="33383" y="648809"/>
                </a:lnTo>
                <a:lnTo>
                  <a:pt x="34065" y="647578"/>
                </a:lnTo>
                <a:lnTo>
                  <a:pt x="34746" y="646347"/>
                </a:lnTo>
                <a:lnTo>
                  <a:pt x="35427" y="645117"/>
                </a:lnTo>
                <a:lnTo>
                  <a:pt x="36109" y="643888"/>
                </a:lnTo>
                <a:lnTo>
                  <a:pt x="36790" y="642659"/>
                </a:lnTo>
                <a:lnTo>
                  <a:pt x="37471" y="641431"/>
                </a:lnTo>
                <a:lnTo>
                  <a:pt x="38153" y="640205"/>
                </a:lnTo>
                <a:lnTo>
                  <a:pt x="38834" y="638978"/>
                </a:lnTo>
                <a:lnTo>
                  <a:pt x="39515" y="637753"/>
                </a:lnTo>
                <a:lnTo>
                  <a:pt x="40197" y="636529"/>
                </a:lnTo>
                <a:lnTo>
                  <a:pt x="40878" y="635305"/>
                </a:lnTo>
                <a:lnTo>
                  <a:pt x="41559" y="634082"/>
                </a:lnTo>
                <a:lnTo>
                  <a:pt x="42240" y="632860"/>
                </a:lnTo>
                <a:lnTo>
                  <a:pt x="42922" y="631638"/>
                </a:lnTo>
                <a:lnTo>
                  <a:pt x="43603" y="630418"/>
                </a:lnTo>
                <a:lnTo>
                  <a:pt x="44284" y="629198"/>
                </a:lnTo>
                <a:lnTo>
                  <a:pt x="44966" y="627979"/>
                </a:lnTo>
                <a:lnTo>
                  <a:pt x="45647" y="626761"/>
                </a:lnTo>
                <a:lnTo>
                  <a:pt x="46328" y="625543"/>
                </a:lnTo>
                <a:lnTo>
                  <a:pt x="47010" y="624327"/>
                </a:lnTo>
                <a:lnTo>
                  <a:pt x="47691" y="623111"/>
                </a:lnTo>
                <a:lnTo>
                  <a:pt x="48372" y="621896"/>
                </a:lnTo>
                <a:lnTo>
                  <a:pt x="49053" y="620682"/>
                </a:lnTo>
                <a:lnTo>
                  <a:pt x="49735" y="619469"/>
                </a:lnTo>
                <a:lnTo>
                  <a:pt x="50416" y="618256"/>
                </a:lnTo>
                <a:lnTo>
                  <a:pt x="51097" y="617044"/>
                </a:lnTo>
                <a:lnTo>
                  <a:pt x="51779" y="615833"/>
                </a:lnTo>
                <a:lnTo>
                  <a:pt x="52460" y="614623"/>
                </a:lnTo>
                <a:lnTo>
                  <a:pt x="53141" y="613414"/>
                </a:lnTo>
                <a:lnTo>
                  <a:pt x="53823" y="612206"/>
                </a:lnTo>
                <a:lnTo>
                  <a:pt x="54504" y="610998"/>
                </a:lnTo>
                <a:lnTo>
                  <a:pt x="55185" y="609791"/>
                </a:lnTo>
                <a:lnTo>
                  <a:pt x="55867" y="608585"/>
                </a:lnTo>
                <a:lnTo>
                  <a:pt x="56548" y="607380"/>
                </a:lnTo>
                <a:lnTo>
                  <a:pt x="57229" y="606175"/>
                </a:lnTo>
                <a:lnTo>
                  <a:pt x="57910" y="604972"/>
                </a:lnTo>
                <a:lnTo>
                  <a:pt x="58592" y="603769"/>
                </a:lnTo>
                <a:lnTo>
                  <a:pt x="59273" y="602567"/>
                </a:lnTo>
                <a:lnTo>
                  <a:pt x="59954" y="601366"/>
                </a:lnTo>
                <a:lnTo>
                  <a:pt x="60636" y="600166"/>
                </a:lnTo>
                <a:lnTo>
                  <a:pt x="61317" y="598967"/>
                </a:lnTo>
                <a:lnTo>
                  <a:pt x="61998" y="597768"/>
                </a:lnTo>
                <a:lnTo>
                  <a:pt x="62680" y="596570"/>
                </a:lnTo>
                <a:lnTo>
                  <a:pt x="63361" y="595373"/>
                </a:lnTo>
                <a:lnTo>
                  <a:pt x="64042" y="594177"/>
                </a:lnTo>
                <a:lnTo>
                  <a:pt x="64724" y="592982"/>
                </a:lnTo>
                <a:lnTo>
                  <a:pt x="65405" y="591788"/>
                </a:lnTo>
                <a:lnTo>
                  <a:pt x="66086" y="590594"/>
                </a:lnTo>
                <a:lnTo>
                  <a:pt x="66767" y="589401"/>
                </a:lnTo>
                <a:lnTo>
                  <a:pt x="67449" y="588209"/>
                </a:lnTo>
                <a:lnTo>
                  <a:pt x="68130" y="587018"/>
                </a:lnTo>
                <a:lnTo>
                  <a:pt x="68811" y="585828"/>
                </a:lnTo>
                <a:lnTo>
                  <a:pt x="69493" y="584639"/>
                </a:lnTo>
                <a:lnTo>
                  <a:pt x="70174" y="583450"/>
                </a:lnTo>
                <a:lnTo>
                  <a:pt x="70855" y="582263"/>
                </a:lnTo>
                <a:lnTo>
                  <a:pt x="71537" y="581076"/>
                </a:lnTo>
                <a:lnTo>
                  <a:pt x="72218" y="579890"/>
                </a:lnTo>
                <a:lnTo>
                  <a:pt x="72899" y="578705"/>
                </a:lnTo>
                <a:lnTo>
                  <a:pt x="73580" y="577521"/>
                </a:lnTo>
                <a:lnTo>
                  <a:pt x="74262" y="576337"/>
                </a:lnTo>
                <a:lnTo>
                  <a:pt x="74943" y="575155"/>
                </a:lnTo>
                <a:lnTo>
                  <a:pt x="75624" y="573973"/>
                </a:lnTo>
                <a:lnTo>
                  <a:pt x="76306" y="572792"/>
                </a:lnTo>
                <a:lnTo>
                  <a:pt x="76987" y="571613"/>
                </a:lnTo>
                <a:lnTo>
                  <a:pt x="77668" y="570434"/>
                </a:lnTo>
                <a:lnTo>
                  <a:pt x="78350" y="569255"/>
                </a:lnTo>
                <a:lnTo>
                  <a:pt x="79031" y="568078"/>
                </a:lnTo>
                <a:lnTo>
                  <a:pt x="79712" y="566902"/>
                </a:lnTo>
                <a:lnTo>
                  <a:pt x="80394" y="565726"/>
                </a:lnTo>
                <a:lnTo>
                  <a:pt x="81075" y="564551"/>
                </a:lnTo>
                <a:lnTo>
                  <a:pt x="81756" y="563378"/>
                </a:lnTo>
                <a:lnTo>
                  <a:pt x="82437" y="562205"/>
                </a:lnTo>
                <a:lnTo>
                  <a:pt x="83119" y="561032"/>
                </a:lnTo>
                <a:lnTo>
                  <a:pt x="83800" y="559861"/>
                </a:lnTo>
                <a:lnTo>
                  <a:pt x="84481" y="558691"/>
                </a:lnTo>
                <a:lnTo>
                  <a:pt x="85163" y="557522"/>
                </a:lnTo>
                <a:lnTo>
                  <a:pt x="85844" y="556353"/>
                </a:lnTo>
                <a:lnTo>
                  <a:pt x="86525" y="555185"/>
                </a:lnTo>
                <a:lnTo>
                  <a:pt x="87207" y="554018"/>
                </a:lnTo>
                <a:lnTo>
                  <a:pt x="87888" y="552853"/>
                </a:lnTo>
                <a:lnTo>
                  <a:pt x="88569" y="551688"/>
                </a:lnTo>
                <a:lnTo>
                  <a:pt x="89251" y="550523"/>
                </a:lnTo>
                <a:lnTo>
                  <a:pt x="89932" y="549360"/>
                </a:lnTo>
                <a:lnTo>
                  <a:pt x="90613" y="548198"/>
                </a:lnTo>
                <a:lnTo>
                  <a:pt x="91294" y="547036"/>
                </a:lnTo>
                <a:lnTo>
                  <a:pt x="91976" y="545876"/>
                </a:lnTo>
                <a:lnTo>
                  <a:pt x="92657" y="544716"/>
                </a:lnTo>
                <a:lnTo>
                  <a:pt x="93338" y="543557"/>
                </a:lnTo>
                <a:lnTo>
                  <a:pt x="94020" y="542399"/>
                </a:lnTo>
                <a:lnTo>
                  <a:pt x="94701" y="541242"/>
                </a:lnTo>
                <a:lnTo>
                  <a:pt x="95382" y="540086"/>
                </a:lnTo>
                <a:lnTo>
                  <a:pt x="96064" y="538931"/>
                </a:lnTo>
                <a:lnTo>
                  <a:pt x="96745" y="537777"/>
                </a:lnTo>
                <a:lnTo>
                  <a:pt x="97426" y="536624"/>
                </a:lnTo>
                <a:lnTo>
                  <a:pt x="98107" y="535471"/>
                </a:lnTo>
                <a:lnTo>
                  <a:pt x="98789" y="534320"/>
                </a:lnTo>
                <a:lnTo>
                  <a:pt x="99470" y="533169"/>
                </a:lnTo>
                <a:lnTo>
                  <a:pt x="100151" y="532019"/>
                </a:lnTo>
                <a:lnTo>
                  <a:pt x="100833" y="530870"/>
                </a:lnTo>
                <a:lnTo>
                  <a:pt x="101514" y="529722"/>
                </a:lnTo>
                <a:lnTo>
                  <a:pt x="102195" y="528575"/>
                </a:lnTo>
                <a:lnTo>
                  <a:pt x="102877" y="527429"/>
                </a:lnTo>
                <a:lnTo>
                  <a:pt x="103558" y="526284"/>
                </a:lnTo>
                <a:lnTo>
                  <a:pt x="104239" y="525140"/>
                </a:lnTo>
                <a:lnTo>
                  <a:pt x="104921" y="523997"/>
                </a:lnTo>
                <a:lnTo>
                  <a:pt x="105602" y="522854"/>
                </a:lnTo>
                <a:lnTo>
                  <a:pt x="106283" y="521713"/>
                </a:lnTo>
                <a:lnTo>
                  <a:pt x="106964" y="520572"/>
                </a:lnTo>
                <a:lnTo>
                  <a:pt x="107646" y="519433"/>
                </a:lnTo>
                <a:lnTo>
                  <a:pt x="108327" y="518294"/>
                </a:lnTo>
                <a:lnTo>
                  <a:pt x="109008" y="517156"/>
                </a:lnTo>
                <a:lnTo>
                  <a:pt x="109690" y="516019"/>
                </a:lnTo>
                <a:lnTo>
                  <a:pt x="110371" y="514883"/>
                </a:lnTo>
                <a:lnTo>
                  <a:pt x="111052" y="513748"/>
                </a:lnTo>
                <a:lnTo>
                  <a:pt x="111734" y="512614"/>
                </a:lnTo>
                <a:lnTo>
                  <a:pt x="112415" y="511481"/>
                </a:lnTo>
                <a:lnTo>
                  <a:pt x="113096" y="510349"/>
                </a:lnTo>
                <a:lnTo>
                  <a:pt x="113777" y="509218"/>
                </a:lnTo>
                <a:lnTo>
                  <a:pt x="114459" y="508088"/>
                </a:lnTo>
                <a:lnTo>
                  <a:pt x="115140" y="506958"/>
                </a:lnTo>
                <a:lnTo>
                  <a:pt x="115821" y="505830"/>
                </a:lnTo>
                <a:lnTo>
                  <a:pt x="116503" y="504702"/>
                </a:lnTo>
                <a:lnTo>
                  <a:pt x="117184" y="503576"/>
                </a:lnTo>
                <a:lnTo>
                  <a:pt x="117865" y="502450"/>
                </a:lnTo>
                <a:lnTo>
                  <a:pt x="118547" y="501325"/>
                </a:lnTo>
                <a:lnTo>
                  <a:pt x="119228" y="500202"/>
                </a:lnTo>
                <a:lnTo>
                  <a:pt x="119909" y="499079"/>
                </a:lnTo>
                <a:lnTo>
                  <a:pt x="120591" y="497957"/>
                </a:lnTo>
                <a:lnTo>
                  <a:pt x="121272" y="496836"/>
                </a:lnTo>
                <a:lnTo>
                  <a:pt x="121953" y="495717"/>
                </a:lnTo>
                <a:lnTo>
                  <a:pt x="122634" y="494598"/>
                </a:lnTo>
                <a:lnTo>
                  <a:pt x="123316" y="493480"/>
                </a:lnTo>
                <a:lnTo>
                  <a:pt x="123997" y="492363"/>
                </a:lnTo>
                <a:lnTo>
                  <a:pt x="124678" y="491247"/>
                </a:lnTo>
                <a:lnTo>
                  <a:pt x="125360" y="490131"/>
                </a:lnTo>
                <a:lnTo>
                  <a:pt x="126041" y="489017"/>
                </a:lnTo>
                <a:lnTo>
                  <a:pt x="126722" y="487904"/>
                </a:lnTo>
                <a:lnTo>
                  <a:pt x="127404" y="486792"/>
                </a:lnTo>
                <a:lnTo>
                  <a:pt x="128085" y="485681"/>
                </a:lnTo>
                <a:lnTo>
                  <a:pt x="128766" y="484570"/>
                </a:lnTo>
                <a:lnTo>
                  <a:pt x="129448" y="483461"/>
                </a:lnTo>
                <a:lnTo>
                  <a:pt x="130129" y="482353"/>
                </a:lnTo>
                <a:lnTo>
                  <a:pt x="130810" y="481245"/>
                </a:lnTo>
                <a:lnTo>
                  <a:pt x="131491" y="480139"/>
                </a:lnTo>
                <a:lnTo>
                  <a:pt x="132173" y="479034"/>
                </a:lnTo>
                <a:lnTo>
                  <a:pt x="132854" y="477929"/>
                </a:lnTo>
                <a:lnTo>
                  <a:pt x="133535" y="476826"/>
                </a:lnTo>
                <a:lnTo>
                  <a:pt x="134217" y="475723"/>
                </a:lnTo>
                <a:lnTo>
                  <a:pt x="134898" y="474622"/>
                </a:lnTo>
                <a:lnTo>
                  <a:pt x="135579" y="473521"/>
                </a:lnTo>
                <a:lnTo>
                  <a:pt x="136261" y="472422"/>
                </a:lnTo>
                <a:lnTo>
                  <a:pt x="136942" y="471323"/>
                </a:lnTo>
                <a:lnTo>
                  <a:pt x="137623" y="470225"/>
                </a:lnTo>
                <a:lnTo>
                  <a:pt x="138304" y="469129"/>
                </a:lnTo>
                <a:lnTo>
                  <a:pt x="138986" y="468033"/>
                </a:lnTo>
                <a:lnTo>
                  <a:pt x="139667" y="466939"/>
                </a:lnTo>
                <a:lnTo>
                  <a:pt x="140348" y="465845"/>
                </a:lnTo>
                <a:lnTo>
                  <a:pt x="141030" y="464752"/>
                </a:lnTo>
                <a:lnTo>
                  <a:pt x="141711" y="463661"/>
                </a:lnTo>
                <a:lnTo>
                  <a:pt x="142392" y="462570"/>
                </a:lnTo>
                <a:lnTo>
                  <a:pt x="143074" y="461480"/>
                </a:lnTo>
                <a:lnTo>
                  <a:pt x="143755" y="460392"/>
                </a:lnTo>
                <a:lnTo>
                  <a:pt x="144436" y="459304"/>
                </a:lnTo>
                <a:lnTo>
                  <a:pt x="145118" y="458217"/>
                </a:lnTo>
                <a:lnTo>
                  <a:pt x="145799" y="457132"/>
                </a:lnTo>
                <a:lnTo>
                  <a:pt x="146480" y="456047"/>
                </a:lnTo>
                <a:lnTo>
                  <a:pt x="147161" y="454963"/>
                </a:lnTo>
                <a:lnTo>
                  <a:pt x="147843" y="453881"/>
                </a:lnTo>
                <a:lnTo>
                  <a:pt x="148524" y="452799"/>
                </a:lnTo>
                <a:lnTo>
                  <a:pt x="149205" y="451718"/>
                </a:lnTo>
                <a:lnTo>
                  <a:pt x="149887" y="450639"/>
                </a:lnTo>
                <a:lnTo>
                  <a:pt x="150568" y="449560"/>
                </a:lnTo>
                <a:lnTo>
                  <a:pt x="151249" y="448483"/>
                </a:lnTo>
                <a:lnTo>
                  <a:pt x="151931" y="447406"/>
                </a:lnTo>
                <a:lnTo>
                  <a:pt x="152612" y="446330"/>
                </a:lnTo>
                <a:lnTo>
                  <a:pt x="153293" y="445256"/>
                </a:lnTo>
                <a:lnTo>
                  <a:pt x="153975" y="444182"/>
                </a:lnTo>
                <a:lnTo>
                  <a:pt x="154656" y="443110"/>
                </a:lnTo>
                <a:lnTo>
                  <a:pt x="155337" y="442038"/>
                </a:lnTo>
                <a:lnTo>
                  <a:pt x="156018" y="440968"/>
                </a:lnTo>
                <a:lnTo>
                  <a:pt x="156700" y="439898"/>
                </a:lnTo>
                <a:lnTo>
                  <a:pt x="157381" y="438830"/>
                </a:lnTo>
                <a:lnTo>
                  <a:pt x="158062" y="437762"/>
                </a:lnTo>
                <a:lnTo>
                  <a:pt x="158744" y="436696"/>
                </a:lnTo>
                <a:lnTo>
                  <a:pt x="159425" y="435630"/>
                </a:lnTo>
                <a:lnTo>
                  <a:pt x="160106" y="434566"/>
                </a:lnTo>
                <a:lnTo>
                  <a:pt x="160788" y="433503"/>
                </a:lnTo>
                <a:lnTo>
                  <a:pt x="161469" y="432440"/>
                </a:lnTo>
                <a:lnTo>
                  <a:pt x="162150" y="431379"/>
                </a:lnTo>
                <a:lnTo>
                  <a:pt x="162831" y="430319"/>
                </a:lnTo>
                <a:lnTo>
                  <a:pt x="163513" y="429260"/>
                </a:lnTo>
                <a:lnTo>
                  <a:pt x="164194" y="428202"/>
                </a:lnTo>
                <a:lnTo>
                  <a:pt x="164875" y="427144"/>
                </a:lnTo>
                <a:lnTo>
                  <a:pt x="165557" y="426088"/>
                </a:lnTo>
                <a:lnTo>
                  <a:pt x="166238" y="425033"/>
                </a:lnTo>
                <a:lnTo>
                  <a:pt x="166919" y="423979"/>
                </a:lnTo>
                <a:lnTo>
                  <a:pt x="167601" y="422926"/>
                </a:lnTo>
                <a:lnTo>
                  <a:pt x="168282" y="421874"/>
                </a:lnTo>
                <a:lnTo>
                  <a:pt x="168963" y="420823"/>
                </a:lnTo>
                <a:lnTo>
                  <a:pt x="169645" y="419774"/>
                </a:lnTo>
                <a:lnTo>
                  <a:pt x="170326" y="418725"/>
                </a:lnTo>
                <a:lnTo>
                  <a:pt x="171007" y="417677"/>
                </a:lnTo>
                <a:lnTo>
                  <a:pt x="171688" y="416630"/>
                </a:lnTo>
                <a:lnTo>
                  <a:pt x="172370" y="415585"/>
                </a:lnTo>
                <a:lnTo>
                  <a:pt x="173051" y="414540"/>
                </a:lnTo>
                <a:lnTo>
                  <a:pt x="173732" y="413497"/>
                </a:lnTo>
                <a:lnTo>
                  <a:pt x="174414" y="412454"/>
                </a:lnTo>
                <a:lnTo>
                  <a:pt x="175095" y="411413"/>
                </a:lnTo>
                <a:lnTo>
                  <a:pt x="175776" y="410372"/>
                </a:lnTo>
                <a:lnTo>
                  <a:pt x="176458" y="409333"/>
                </a:lnTo>
                <a:lnTo>
                  <a:pt x="177139" y="408295"/>
                </a:lnTo>
                <a:lnTo>
                  <a:pt x="177820" y="407258"/>
                </a:lnTo>
                <a:lnTo>
                  <a:pt x="178502" y="406221"/>
                </a:lnTo>
                <a:lnTo>
                  <a:pt x="179183" y="405186"/>
                </a:lnTo>
                <a:lnTo>
                  <a:pt x="179864" y="404152"/>
                </a:lnTo>
                <a:lnTo>
                  <a:pt x="180545" y="403119"/>
                </a:lnTo>
                <a:lnTo>
                  <a:pt x="181227" y="402088"/>
                </a:lnTo>
                <a:lnTo>
                  <a:pt x="181908" y="401057"/>
                </a:lnTo>
                <a:lnTo>
                  <a:pt x="182589" y="400027"/>
                </a:lnTo>
                <a:lnTo>
                  <a:pt x="183271" y="398998"/>
                </a:lnTo>
                <a:lnTo>
                  <a:pt x="183952" y="397971"/>
                </a:lnTo>
                <a:lnTo>
                  <a:pt x="184633" y="396944"/>
                </a:lnTo>
                <a:lnTo>
                  <a:pt x="185315" y="395919"/>
                </a:lnTo>
                <a:lnTo>
                  <a:pt x="185996" y="394895"/>
                </a:lnTo>
                <a:lnTo>
                  <a:pt x="186677" y="393871"/>
                </a:lnTo>
                <a:lnTo>
                  <a:pt x="187358" y="392849"/>
                </a:lnTo>
                <a:lnTo>
                  <a:pt x="188040" y="391828"/>
                </a:lnTo>
                <a:lnTo>
                  <a:pt x="188721" y="390808"/>
                </a:lnTo>
                <a:lnTo>
                  <a:pt x="189402" y="389789"/>
                </a:lnTo>
                <a:lnTo>
                  <a:pt x="190084" y="388771"/>
                </a:lnTo>
                <a:lnTo>
                  <a:pt x="190765" y="387754"/>
                </a:lnTo>
                <a:lnTo>
                  <a:pt x="191446" y="386739"/>
                </a:lnTo>
                <a:lnTo>
                  <a:pt x="192128" y="385724"/>
                </a:lnTo>
                <a:lnTo>
                  <a:pt x="192809" y="384710"/>
                </a:lnTo>
                <a:lnTo>
                  <a:pt x="193490" y="383698"/>
                </a:lnTo>
                <a:lnTo>
                  <a:pt x="194172" y="382687"/>
                </a:lnTo>
                <a:lnTo>
                  <a:pt x="194853" y="381676"/>
                </a:lnTo>
                <a:lnTo>
                  <a:pt x="195534" y="380667"/>
                </a:lnTo>
                <a:lnTo>
                  <a:pt x="196215" y="379659"/>
                </a:lnTo>
                <a:lnTo>
                  <a:pt x="196897" y="378652"/>
                </a:lnTo>
                <a:lnTo>
                  <a:pt x="197578" y="377646"/>
                </a:lnTo>
                <a:lnTo>
                  <a:pt x="198259" y="376642"/>
                </a:lnTo>
                <a:lnTo>
                  <a:pt x="198941" y="375638"/>
                </a:lnTo>
                <a:lnTo>
                  <a:pt x="199622" y="374635"/>
                </a:lnTo>
                <a:lnTo>
                  <a:pt x="200303" y="373634"/>
                </a:lnTo>
                <a:lnTo>
                  <a:pt x="200985" y="372633"/>
                </a:lnTo>
                <a:lnTo>
                  <a:pt x="201666" y="371634"/>
                </a:lnTo>
                <a:lnTo>
                  <a:pt x="202347" y="370636"/>
                </a:lnTo>
                <a:lnTo>
                  <a:pt x="203028" y="369639"/>
                </a:lnTo>
                <a:lnTo>
                  <a:pt x="203710" y="368643"/>
                </a:lnTo>
                <a:lnTo>
                  <a:pt x="204391" y="367648"/>
                </a:lnTo>
                <a:lnTo>
                  <a:pt x="205072" y="366655"/>
                </a:lnTo>
                <a:lnTo>
                  <a:pt x="205754" y="365662"/>
                </a:lnTo>
                <a:lnTo>
                  <a:pt x="206435" y="364670"/>
                </a:lnTo>
                <a:lnTo>
                  <a:pt x="207116" y="363680"/>
                </a:lnTo>
                <a:lnTo>
                  <a:pt x="207798" y="362691"/>
                </a:lnTo>
                <a:lnTo>
                  <a:pt x="208479" y="361703"/>
                </a:lnTo>
                <a:lnTo>
                  <a:pt x="209160" y="360716"/>
                </a:lnTo>
                <a:lnTo>
                  <a:pt x="209842" y="359730"/>
                </a:lnTo>
                <a:lnTo>
                  <a:pt x="210523" y="358745"/>
                </a:lnTo>
                <a:lnTo>
                  <a:pt x="211204" y="357761"/>
                </a:lnTo>
                <a:lnTo>
                  <a:pt x="211885" y="356779"/>
                </a:lnTo>
                <a:lnTo>
                  <a:pt x="212567" y="355797"/>
                </a:lnTo>
                <a:lnTo>
                  <a:pt x="213248" y="354817"/>
                </a:lnTo>
                <a:lnTo>
                  <a:pt x="213929" y="353838"/>
                </a:lnTo>
                <a:lnTo>
                  <a:pt x="214611" y="352860"/>
                </a:lnTo>
                <a:lnTo>
                  <a:pt x="215292" y="351883"/>
                </a:lnTo>
                <a:lnTo>
                  <a:pt x="215973" y="350907"/>
                </a:lnTo>
                <a:lnTo>
                  <a:pt x="216655" y="349933"/>
                </a:lnTo>
                <a:lnTo>
                  <a:pt x="217336" y="348959"/>
                </a:lnTo>
                <a:lnTo>
                  <a:pt x="218017" y="347987"/>
                </a:lnTo>
                <a:lnTo>
                  <a:pt x="218699" y="347015"/>
                </a:lnTo>
                <a:lnTo>
                  <a:pt x="219380" y="346045"/>
                </a:lnTo>
                <a:lnTo>
                  <a:pt x="220061" y="345076"/>
                </a:lnTo>
                <a:lnTo>
                  <a:pt x="220742" y="344109"/>
                </a:lnTo>
                <a:lnTo>
                  <a:pt x="221424" y="343142"/>
                </a:lnTo>
                <a:lnTo>
                  <a:pt x="222105" y="342176"/>
                </a:lnTo>
                <a:lnTo>
                  <a:pt x="222786" y="341212"/>
                </a:lnTo>
                <a:lnTo>
                  <a:pt x="223468" y="340249"/>
                </a:lnTo>
                <a:lnTo>
                  <a:pt x="224149" y="339287"/>
                </a:lnTo>
                <a:lnTo>
                  <a:pt x="224830" y="338326"/>
                </a:lnTo>
                <a:lnTo>
                  <a:pt x="225512" y="337366"/>
                </a:lnTo>
                <a:lnTo>
                  <a:pt x="226193" y="336407"/>
                </a:lnTo>
                <a:lnTo>
                  <a:pt x="226874" y="335450"/>
                </a:lnTo>
                <a:lnTo>
                  <a:pt x="227555" y="334493"/>
                </a:lnTo>
                <a:lnTo>
                  <a:pt x="228237" y="333538"/>
                </a:lnTo>
                <a:lnTo>
                  <a:pt x="228918" y="332584"/>
                </a:lnTo>
                <a:lnTo>
                  <a:pt x="229599" y="331631"/>
                </a:lnTo>
                <a:lnTo>
                  <a:pt x="230281" y="330679"/>
                </a:lnTo>
                <a:lnTo>
                  <a:pt x="230962" y="329729"/>
                </a:lnTo>
                <a:lnTo>
                  <a:pt x="231643" y="328779"/>
                </a:lnTo>
                <a:lnTo>
                  <a:pt x="232325" y="327831"/>
                </a:lnTo>
                <a:lnTo>
                  <a:pt x="233006" y="326884"/>
                </a:lnTo>
                <a:lnTo>
                  <a:pt x="233687" y="325938"/>
                </a:lnTo>
                <a:lnTo>
                  <a:pt x="234369" y="324993"/>
                </a:lnTo>
                <a:lnTo>
                  <a:pt x="235050" y="324049"/>
                </a:lnTo>
                <a:lnTo>
                  <a:pt x="235731" y="323107"/>
                </a:lnTo>
                <a:lnTo>
                  <a:pt x="236412" y="322166"/>
                </a:lnTo>
                <a:lnTo>
                  <a:pt x="237094" y="321226"/>
                </a:lnTo>
                <a:lnTo>
                  <a:pt x="237775" y="320287"/>
                </a:lnTo>
                <a:lnTo>
                  <a:pt x="238456" y="319349"/>
                </a:lnTo>
                <a:lnTo>
                  <a:pt x="239138" y="318412"/>
                </a:lnTo>
                <a:lnTo>
                  <a:pt x="239819" y="317477"/>
                </a:lnTo>
                <a:lnTo>
                  <a:pt x="240500" y="316542"/>
                </a:lnTo>
                <a:lnTo>
                  <a:pt x="241182" y="315609"/>
                </a:lnTo>
                <a:lnTo>
                  <a:pt x="241863" y="314677"/>
                </a:lnTo>
                <a:lnTo>
                  <a:pt x="242544" y="313747"/>
                </a:lnTo>
                <a:lnTo>
                  <a:pt x="243226" y="312817"/>
                </a:lnTo>
                <a:lnTo>
                  <a:pt x="243907" y="311889"/>
                </a:lnTo>
                <a:lnTo>
                  <a:pt x="244588" y="310961"/>
                </a:lnTo>
                <a:lnTo>
                  <a:pt x="245269" y="310035"/>
                </a:lnTo>
                <a:lnTo>
                  <a:pt x="245951" y="309111"/>
                </a:lnTo>
                <a:lnTo>
                  <a:pt x="246632" y="308187"/>
                </a:lnTo>
                <a:lnTo>
                  <a:pt x="247313" y="307264"/>
                </a:lnTo>
                <a:lnTo>
                  <a:pt x="247995" y="306343"/>
                </a:lnTo>
                <a:lnTo>
                  <a:pt x="248676" y="305423"/>
                </a:lnTo>
                <a:lnTo>
                  <a:pt x="249357" y="304504"/>
                </a:lnTo>
                <a:lnTo>
                  <a:pt x="250039" y="303586"/>
                </a:lnTo>
                <a:lnTo>
                  <a:pt x="250720" y="302670"/>
                </a:lnTo>
                <a:lnTo>
                  <a:pt x="251401" y="301755"/>
                </a:lnTo>
                <a:lnTo>
                  <a:pt x="252082" y="300840"/>
                </a:lnTo>
                <a:lnTo>
                  <a:pt x="252764" y="299927"/>
                </a:lnTo>
                <a:lnTo>
                  <a:pt x="253445" y="299016"/>
                </a:lnTo>
                <a:lnTo>
                  <a:pt x="254126" y="298105"/>
                </a:lnTo>
                <a:lnTo>
                  <a:pt x="254808" y="297196"/>
                </a:lnTo>
                <a:lnTo>
                  <a:pt x="255489" y="296288"/>
                </a:lnTo>
                <a:lnTo>
                  <a:pt x="256170" y="295381"/>
                </a:lnTo>
                <a:lnTo>
                  <a:pt x="256852" y="294475"/>
                </a:lnTo>
                <a:lnTo>
                  <a:pt x="257533" y="293570"/>
                </a:lnTo>
                <a:lnTo>
                  <a:pt x="258214" y="292667"/>
                </a:lnTo>
                <a:lnTo>
                  <a:pt x="258896" y="291765"/>
                </a:lnTo>
                <a:lnTo>
                  <a:pt x="259577" y="290864"/>
                </a:lnTo>
                <a:lnTo>
                  <a:pt x="260258" y="289964"/>
                </a:lnTo>
                <a:lnTo>
                  <a:pt x="260939" y="289066"/>
                </a:lnTo>
                <a:lnTo>
                  <a:pt x="261621" y="288168"/>
                </a:lnTo>
                <a:lnTo>
                  <a:pt x="262302" y="287272"/>
                </a:lnTo>
                <a:lnTo>
                  <a:pt x="262983" y="286377"/>
                </a:lnTo>
                <a:lnTo>
                  <a:pt x="263665" y="285484"/>
                </a:lnTo>
                <a:lnTo>
                  <a:pt x="264346" y="284591"/>
                </a:lnTo>
                <a:lnTo>
                  <a:pt x="265027" y="283700"/>
                </a:lnTo>
                <a:lnTo>
                  <a:pt x="265709" y="282810"/>
                </a:lnTo>
                <a:lnTo>
                  <a:pt x="266390" y="281921"/>
                </a:lnTo>
                <a:lnTo>
                  <a:pt x="267071" y="281033"/>
                </a:lnTo>
                <a:lnTo>
                  <a:pt x="267753" y="280147"/>
                </a:lnTo>
                <a:lnTo>
                  <a:pt x="268434" y="279262"/>
                </a:lnTo>
                <a:lnTo>
                  <a:pt x="269115" y="278378"/>
                </a:lnTo>
                <a:lnTo>
                  <a:pt x="269796" y="277495"/>
                </a:lnTo>
                <a:lnTo>
                  <a:pt x="270478" y="276614"/>
                </a:lnTo>
                <a:lnTo>
                  <a:pt x="271159" y="275733"/>
                </a:lnTo>
                <a:lnTo>
                  <a:pt x="271840" y="274854"/>
                </a:lnTo>
                <a:lnTo>
                  <a:pt x="272522" y="273976"/>
                </a:lnTo>
                <a:lnTo>
                  <a:pt x="273203" y="273100"/>
                </a:lnTo>
                <a:lnTo>
                  <a:pt x="273884" y="272224"/>
                </a:lnTo>
                <a:lnTo>
                  <a:pt x="274566" y="271350"/>
                </a:lnTo>
                <a:lnTo>
                  <a:pt x="275247" y="270477"/>
                </a:lnTo>
                <a:lnTo>
                  <a:pt x="275928" y="269606"/>
                </a:lnTo>
                <a:lnTo>
                  <a:pt x="276609" y="268735"/>
                </a:lnTo>
                <a:lnTo>
                  <a:pt x="277291" y="267866"/>
                </a:lnTo>
                <a:lnTo>
                  <a:pt x="277972" y="266998"/>
                </a:lnTo>
                <a:lnTo>
                  <a:pt x="278653" y="266131"/>
                </a:lnTo>
                <a:lnTo>
                  <a:pt x="279335" y="265266"/>
                </a:lnTo>
                <a:lnTo>
                  <a:pt x="280016" y="264402"/>
                </a:lnTo>
                <a:lnTo>
                  <a:pt x="280697" y="263539"/>
                </a:lnTo>
                <a:lnTo>
                  <a:pt x="281379" y="262677"/>
                </a:lnTo>
                <a:lnTo>
                  <a:pt x="282060" y="261816"/>
                </a:lnTo>
                <a:lnTo>
                  <a:pt x="282741" y="260957"/>
                </a:lnTo>
                <a:lnTo>
                  <a:pt x="283423" y="260099"/>
                </a:lnTo>
                <a:lnTo>
                  <a:pt x="284104" y="259242"/>
                </a:lnTo>
                <a:lnTo>
                  <a:pt x="284785" y="258387"/>
                </a:lnTo>
                <a:lnTo>
                  <a:pt x="285466" y="257532"/>
                </a:lnTo>
                <a:lnTo>
                  <a:pt x="286148" y="256679"/>
                </a:lnTo>
                <a:lnTo>
                  <a:pt x="286829" y="255827"/>
                </a:lnTo>
                <a:lnTo>
                  <a:pt x="287510" y="254977"/>
                </a:lnTo>
                <a:lnTo>
                  <a:pt x="288192" y="254128"/>
                </a:lnTo>
                <a:lnTo>
                  <a:pt x="288873" y="253280"/>
                </a:lnTo>
                <a:lnTo>
                  <a:pt x="289554" y="252433"/>
                </a:lnTo>
                <a:lnTo>
                  <a:pt x="290236" y="251587"/>
                </a:lnTo>
                <a:lnTo>
                  <a:pt x="290917" y="250743"/>
                </a:lnTo>
                <a:lnTo>
                  <a:pt x="291598" y="249900"/>
                </a:lnTo>
                <a:lnTo>
                  <a:pt x="292279" y="249058"/>
                </a:lnTo>
                <a:lnTo>
                  <a:pt x="292961" y="248218"/>
                </a:lnTo>
                <a:lnTo>
                  <a:pt x="293642" y="247378"/>
                </a:lnTo>
                <a:lnTo>
                  <a:pt x="294323" y="246540"/>
                </a:lnTo>
                <a:lnTo>
                  <a:pt x="295005" y="245704"/>
                </a:lnTo>
                <a:lnTo>
                  <a:pt x="295686" y="244868"/>
                </a:lnTo>
                <a:lnTo>
                  <a:pt x="296367" y="244034"/>
                </a:lnTo>
                <a:lnTo>
                  <a:pt x="297049" y="243201"/>
                </a:lnTo>
                <a:lnTo>
                  <a:pt x="297730" y="242369"/>
                </a:lnTo>
                <a:lnTo>
                  <a:pt x="298411" y="241539"/>
                </a:lnTo>
                <a:lnTo>
                  <a:pt x="299093" y="240710"/>
                </a:lnTo>
                <a:lnTo>
                  <a:pt x="299774" y="239882"/>
                </a:lnTo>
                <a:lnTo>
                  <a:pt x="300455" y="239055"/>
                </a:lnTo>
                <a:lnTo>
                  <a:pt x="301136" y="238230"/>
                </a:lnTo>
                <a:lnTo>
                  <a:pt x="301818" y="237406"/>
                </a:lnTo>
                <a:lnTo>
                  <a:pt x="302499" y="236583"/>
                </a:lnTo>
                <a:lnTo>
                  <a:pt x="303180" y="235762"/>
                </a:lnTo>
                <a:lnTo>
                  <a:pt x="303862" y="234942"/>
                </a:lnTo>
                <a:lnTo>
                  <a:pt x="304543" y="234123"/>
                </a:lnTo>
                <a:lnTo>
                  <a:pt x="305224" y="233305"/>
                </a:lnTo>
                <a:lnTo>
                  <a:pt x="305906" y="232489"/>
                </a:lnTo>
                <a:lnTo>
                  <a:pt x="306587" y="231674"/>
                </a:lnTo>
                <a:lnTo>
                  <a:pt x="307268" y="230860"/>
                </a:lnTo>
                <a:lnTo>
                  <a:pt x="307950" y="230047"/>
                </a:lnTo>
                <a:lnTo>
                  <a:pt x="308631" y="229236"/>
                </a:lnTo>
                <a:lnTo>
                  <a:pt x="309312" y="228426"/>
                </a:lnTo>
                <a:lnTo>
                  <a:pt x="309993" y="227617"/>
                </a:lnTo>
                <a:lnTo>
                  <a:pt x="310675" y="226810"/>
                </a:lnTo>
                <a:lnTo>
                  <a:pt x="311356" y="226004"/>
                </a:lnTo>
                <a:lnTo>
                  <a:pt x="312037" y="225199"/>
                </a:lnTo>
                <a:lnTo>
                  <a:pt x="312719" y="224396"/>
                </a:lnTo>
                <a:lnTo>
                  <a:pt x="313400" y="223593"/>
                </a:lnTo>
                <a:lnTo>
                  <a:pt x="314081" y="222792"/>
                </a:lnTo>
                <a:lnTo>
                  <a:pt x="314763" y="221993"/>
                </a:lnTo>
                <a:lnTo>
                  <a:pt x="315444" y="221194"/>
                </a:lnTo>
                <a:lnTo>
                  <a:pt x="316125" y="220397"/>
                </a:lnTo>
                <a:lnTo>
                  <a:pt x="316806" y="219602"/>
                </a:lnTo>
                <a:lnTo>
                  <a:pt x="317488" y="218807"/>
                </a:lnTo>
                <a:lnTo>
                  <a:pt x="318169" y="218014"/>
                </a:lnTo>
                <a:lnTo>
                  <a:pt x="318850" y="217222"/>
                </a:lnTo>
                <a:lnTo>
                  <a:pt x="319532" y="216432"/>
                </a:lnTo>
                <a:lnTo>
                  <a:pt x="320213" y="215642"/>
                </a:lnTo>
                <a:lnTo>
                  <a:pt x="320894" y="214854"/>
                </a:lnTo>
                <a:lnTo>
                  <a:pt x="321576" y="214068"/>
                </a:lnTo>
                <a:lnTo>
                  <a:pt x="322257" y="213282"/>
                </a:lnTo>
                <a:lnTo>
                  <a:pt x="322938" y="212498"/>
                </a:lnTo>
                <a:lnTo>
                  <a:pt x="323620" y="211715"/>
                </a:lnTo>
                <a:lnTo>
                  <a:pt x="324301" y="210934"/>
                </a:lnTo>
                <a:lnTo>
                  <a:pt x="324982" y="210154"/>
                </a:lnTo>
                <a:lnTo>
                  <a:pt x="325663" y="209375"/>
                </a:lnTo>
                <a:lnTo>
                  <a:pt x="326345" y="208598"/>
                </a:lnTo>
                <a:lnTo>
                  <a:pt x="327026" y="207821"/>
                </a:lnTo>
                <a:lnTo>
                  <a:pt x="327707" y="207047"/>
                </a:lnTo>
                <a:lnTo>
                  <a:pt x="328389" y="206273"/>
                </a:lnTo>
                <a:lnTo>
                  <a:pt x="329070" y="205501"/>
                </a:lnTo>
                <a:lnTo>
                  <a:pt x="329751" y="204730"/>
                </a:lnTo>
                <a:lnTo>
                  <a:pt x="330433" y="203960"/>
                </a:lnTo>
                <a:lnTo>
                  <a:pt x="331114" y="203192"/>
                </a:lnTo>
                <a:lnTo>
                  <a:pt x="331795" y="202425"/>
                </a:lnTo>
                <a:lnTo>
                  <a:pt x="332477" y="201659"/>
                </a:lnTo>
                <a:lnTo>
                  <a:pt x="333158" y="200895"/>
                </a:lnTo>
                <a:lnTo>
                  <a:pt x="333839" y="200132"/>
                </a:lnTo>
                <a:lnTo>
                  <a:pt x="334520" y="199370"/>
                </a:lnTo>
                <a:lnTo>
                  <a:pt x="335202" y="198610"/>
                </a:lnTo>
                <a:lnTo>
                  <a:pt x="335883" y="197851"/>
                </a:lnTo>
                <a:lnTo>
                  <a:pt x="336564" y="197093"/>
                </a:lnTo>
                <a:lnTo>
                  <a:pt x="337246" y="196336"/>
                </a:lnTo>
                <a:lnTo>
                  <a:pt x="337927" y="195581"/>
                </a:lnTo>
                <a:lnTo>
                  <a:pt x="338608" y="194828"/>
                </a:lnTo>
                <a:lnTo>
                  <a:pt x="339290" y="194075"/>
                </a:lnTo>
                <a:lnTo>
                  <a:pt x="339971" y="193324"/>
                </a:lnTo>
                <a:lnTo>
                  <a:pt x="340652" y="192574"/>
                </a:lnTo>
                <a:lnTo>
                  <a:pt x="341333" y="191826"/>
                </a:lnTo>
                <a:lnTo>
                  <a:pt x="342015" y="191079"/>
                </a:lnTo>
                <a:lnTo>
                  <a:pt x="342696" y="190333"/>
                </a:lnTo>
                <a:lnTo>
                  <a:pt x="343377" y="189589"/>
                </a:lnTo>
                <a:lnTo>
                  <a:pt x="344059" y="188845"/>
                </a:lnTo>
                <a:lnTo>
                  <a:pt x="344740" y="188104"/>
                </a:lnTo>
                <a:lnTo>
                  <a:pt x="345421" y="187363"/>
                </a:lnTo>
                <a:lnTo>
                  <a:pt x="346103" y="186624"/>
                </a:lnTo>
                <a:lnTo>
                  <a:pt x="346784" y="185886"/>
                </a:lnTo>
                <a:lnTo>
                  <a:pt x="347465" y="185150"/>
                </a:lnTo>
                <a:lnTo>
                  <a:pt x="348147" y="184415"/>
                </a:lnTo>
                <a:lnTo>
                  <a:pt x="348828" y="183681"/>
                </a:lnTo>
                <a:lnTo>
                  <a:pt x="349509" y="182949"/>
                </a:lnTo>
                <a:lnTo>
                  <a:pt x="350190" y="182218"/>
                </a:lnTo>
                <a:lnTo>
                  <a:pt x="350872" y="181488"/>
                </a:lnTo>
                <a:lnTo>
                  <a:pt x="351553" y="180760"/>
                </a:lnTo>
                <a:lnTo>
                  <a:pt x="352234" y="180033"/>
                </a:lnTo>
                <a:lnTo>
                  <a:pt x="352916" y="179307"/>
                </a:lnTo>
                <a:lnTo>
                  <a:pt x="353597" y="178583"/>
                </a:lnTo>
                <a:lnTo>
                  <a:pt x="354278" y="177860"/>
                </a:lnTo>
                <a:lnTo>
                  <a:pt x="354960" y="177138"/>
                </a:lnTo>
                <a:lnTo>
                  <a:pt x="355641" y="176418"/>
                </a:lnTo>
                <a:lnTo>
                  <a:pt x="356322" y="175699"/>
                </a:lnTo>
                <a:lnTo>
                  <a:pt x="357004" y="174982"/>
                </a:lnTo>
                <a:lnTo>
                  <a:pt x="357685" y="174265"/>
                </a:lnTo>
                <a:lnTo>
                  <a:pt x="358366" y="173551"/>
                </a:lnTo>
                <a:lnTo>
                  <a:pt x="359047" y="172837"/>
                </a:lnTo>
                <a:lnTo>
                  <a:pt x="359729" y="172125"/>
                </a:lnTo>
                <a:lnTo>
                  <a:pt x="360410" y="171414"/>
                </a:lnTo>
                <a:lnTo>
                  <a:pt x="361091" y="170705"/>
                </a:lnTo>
                <a:lnTo>
                  <a:pt x="361773" y="169997"/>
                </a:lnTo>
                <a:lnTo>
                  <a:pt x="362454" y="169290"/>
                </a:lnTo>
                <a:lnTo>
                  <a:pt x="363135" y="168585"/>
                </a:lnTo>
                <a:lnTo>
                  <a:pt x="363817" y="167881"/>
                </a:lnTo>
                <a:lnTo>
                  <a:pt x="364498" y="167178"/>
                </a:lnTo>
                <a:lnTo>
                  <a:pt x="365179" y="166477"/>
                </a:lnTo>
                <a:lnTo>
                  <a:pt x="365860" y="165777"/>
                </a:lnTo>
                <a:lnTo>
                  <a:pt x="366542" y="165079"/>
                </a:lnTo>
                <a:lnTo>
                  <a:pt x="367223" y="164382"/>
                </a:lnTo>
                <a:lnTo>
                  <a:pt x="367904" y="163686"/>
                </a:lnTo>
                <a:lnTo>
                  <a:pt x="368586" y="162991"/>
                </a:lnTo>
                <a:lnTo>
                  <a:pt x="369267" y="162298"/>
                </a:lnTo>
                <a:lnTo>
                  <a:pt x="369948" y="161607"/>
                </a:lnTo>
                <a:lnTo>
                  <a:pt x="370630" y="160916"/>
                </a:lnTo>
                <a:lnTo>
                  <a:pt x="371311" y="160228"/>
                </a:lnTo>
                <a:lnTo>
                  <a:pt x="371992" y="159540"/>
                </a:lnTo>
                <a:lnTo>
                  <a:pt x="372674" y="158854"/>
                </a:lnTo>
                <a:lnTo>
                  <a:pt x="373355" y="158169"/>
                </a:lnTo>
                <a:lnTo>
                  <a:pt x="374036" y="157486"/>
                </a:lnTo>
                <a:lnTo>
                  <a:pt x="374717" y="156804"/>
                </a:lnTo>
                <a:lnTo>
                  <a:pt x="375399" y="156123"/>
                </a:lnTo>
                <a:lnTo>
                  <a:pt x="376080" y="155444"/>
                </a:lnTo>
                <a:lnTo>
                  <a:pt x="376761" y="154766"/>
                </a:lnTo>
                <a:lnTo>
                  <a:pt x="377443" y="154089"/>
                </a:lnTo>
                <a:lnTo>
                  <a:pt x="378124" y="153414"/>
                </a:lnTo>
                <a:lnTo>
                  <a:pt x="378805" y="152740"/>
                </a:lnTo>
                <a:lnTo>
                  <a:pt x="379487" y="152068"/>
                </a:lnTo>
                <a:lnTo>
                  <a:pt x="380168" y="151397"/>
                </a:lnTo>
                <a:lnTo>
                  <a:pt x="380849" y="150727"/>
                </a:lnTo>
                <a:lnTo>
                  <a:pt x="381530" y="150059"/>
                </a:lnTo>
                <a:lnTo>
                  <a:pt x="382212" y="149392"/>
                </a:lnTo>
                <a:lnTo>
                  <a:pt x="382893" y="148727"/>
                </a:lnTo>
                <a:lnTo>
                  <a:pt x="383574" y="148063"/>
                </a:lnTo>
                <a:lnTo>
                  <a:pt x="384256" y="147400"/>
                </a:lnTo>
                <a:lnTo>
                  <a:pt x="384937" y="146739"/>
                </a:lnTo>
                <a:lnTo>
                  <a:pt x="385618" y="146079"/>
                </a:lnTo>
                <a:lnTo>
                  <a:pt x="386300" y="145421"/>
                </a:lnTo>
                <a:lnTo>
                  <a:pt x="386981" y="144763"/>
                </a:lnTo>
                <a:lnTo>
                  <a:pt x="387662" y="144108"/>
                </a:lnTo>
                <a:lnTo>
                  <a:pt x="388344" y="143453"/>
                </a:lnTo>
                <a:lnTo>
                  <a:pt x="389025" y="142801"/>
                </a:lnTo>
                <a:lnTo>
                  <a:pt x="389706" y="142149"/>
                </a:lnTo>
                <a:lnTo>
                  <a:pt x="390387" y="141499"/>
                </a:lnTo>
                <a:lnTo>
                  <a:pt x="391069" y="140850"/>
                </a:lnTo>
                <a:lnTo>
                  <a:pt x="391750" y="140203"/>
                </a:lnTo>
                <a:lnTo>
                  <a:pt x="392431" y="139557"/>
                </a:lnTo>
                <a:lnTo>
                  <a:pt x="393113" y="138912"/>
                </a:lnTo>
                <a:lnTo>
                  <a:pt x="393794" y="138269"/>
                </a:lnTo>
                <a:lnTo>
                  <a:pt x="394475" y="137628"/>
                </a:lnTo>
                <a:lnTo>
                  <a:pt x="395157" y="136987"/>
                </a:lnTo>
                <a:lnTo>
                  <a:pt x="395838" y="136348"/>
                </a:lnTo>
                <a:lnTo>
                  <a:pt x="396519" y="135711"/>
                </a:lnTo>
                <a:lnTo>
                  <a:pt x="397201" y="135075"/>
                </a:lnTo>
                <a:lnTo>
                  <a:pt x="397882" y="134440"/>
                </a:lnTo>
                <a:lnTo>
                  <a:pt x="398563" y="133807"/>
                </a:lnTo>
                <a:lnTo>
                  <a:pt x="399244" y="133175"/>
                </a:lnTo>
                <a:lnTo>
                  <a:pt x="399926" y="132544"/>
                </a:lnTo>
                <a:lnTo>
                  <a:pt x="400607" y="131915"/>
                </a:lnTo>
                <a:lnTo>
                  <a:pt x="401288" y="131288"/>
                </a:lnTo>
                <a:lnTo>
                  <a:pt x="401970" y="130661"/>
                </a:lnTo>
                <a:lnTo>
                  <a:pt x="402651" y="130036"/>
                </a:lnTo>
                <a:lnTo>
                  <a:pt x="403332" y="129413"/>
                </a:lnTo>
                <a:lnTo>
                  <a:pt x="404014" y="128791"/>
                </a:lnTo>
                <a:lnTo>
                  <a:pt x="404695" y="128170"/>
                </a:lnTo>
                <a:lnTo>
                  <a:pt x="405376" y="127551"/>
                </a:lnTo>
                <a:lnTo>
                  <a:pt x="406057" y="126933"/>
                </a:lnTo>
                <a:lnTo>
                  <a:pt x="406739" y="126317"/>
                </a:lnTo>
                <a:lnTo>
                  <a:pt x="407420" y="125702"/>
                </a:lnTo>
                <a:lnTo>
                  <a:pt x="408101" y="125089"/>
                </a:lnTo>
                <a:lnTo>
                  <a:pt x="408783" y="124477"/>
                </a:lnTo>
                <a:lnTo>
                  <a:pt x="409464" y="123866"/>
                </a:lnTo>
                <a:lnTo>
                  <a:pt x="410145" y="123257"/>
                </a:lnTo>
                <a:lnTo>
                  <a:pt x="410827" y="122649"/>
                </a:lnTo>
                <a:lnTo>
                  <a:pt x="411508" y="122042"/>
                </a:lnTo>
                <a:lnTo>
                  <a:pt x="412189" y="121437"/>
                </a:lnTo>
                <a:lnTo>
                  <a:pt x="412871" y="120834"/>
                </a:lnTo>
                <a:lnTo>
                  <a:pt x="413552" y="120232"/>
                </a:lnTo>
                <a:lnTo>
                  <a:pt x="414233" y="119631"/>
                </a:lnTo>
                <a:lnTo>
                  <a:pt x="414914" y="119032"/>
                </a:lnTo>
                <a:lnTo>
                  <a:pt x="415596" y="118434"/>
                </a:lnTo>
                <a:lnTo>
                  <a:pt x="416277" y="117837"/>
                </a:lnTo>
                <a:lnTo>
                  <a:pt x="416958" y="117242"/>
                </a:lnTo>
                <a:lnTo>
                  <a:pt x="417640" y="116649"/>
                </a:lnTo>
                <a:lnTo>
                  <a:pt x="418321" y="116057"/>
                </a:lnTo>
                <a:lnTo>
                  <a:pt x="419002" y="115466"/>
                </a:lnTo>
                <a:lnTo>
                  <a:pt x="419684" y="114877"/>
                </a:lnTo>
                <a:lnTo>
                  <a:pt x="420365" y="114289"/>
                </a:lnTo>
                <a:lnTo>
                  <a:pt x="421046" y="113702"/>
                </a:lnTo>
                <a:lnTo>
                  <a:pt x="421728" y="113117"/>
                </a:lnTo>
                <a:lnTo>
                  <a:pt x="422409" y="112534"/>
                </a:lnTo>
                <a:lnTo>
                  <a:pt x="423090" y="111952"/>
                </a:lnTo>
                <a:lnTo>
                  <a:pt x="423771" y="111371"/>
                </a:lnTo>
                <a:lnTo>
                  <a:pt x="424453" y="110792"/>
                </a:lnTo>
                <a:lnTo>
                  <a:pt x="425134" y="110214"/>
                </a:lnTo>
                <a:lnTo>
                  <a:pt x="425815" y="109638"/>
                </a:lnTo>
                <a:lnTo>
                  <a:pt x="426497" y="109063"/>
                </a:lnTo>
                <a:lnTo>
                  <a:pt x="427178" y="108489"/>
                </a:lnTo>
                <a:lnTo>
                  <a:pt x="427859" y="107917"/>
                </a:lnTo>
                <a:lnTo>
                  <a:pt x="428541" y="107347"/>
                </a:lnTo>
                <a:lnTo>
                  <a:pt x="429222" y="106777"/>
                </a:lnTo>
                <a:lnTo>
                  <a:pt x="429903" y="106210"/>
                </a:lnTo>
                <a:lnTo>
                  <a:pt x="430584" y="105643"/>
                </a:lnTo>
                <a:lnTo>
                  <a:pt x="431266" y="105079"/>
                </a:lnTo>
                <a:lnTo>
                  <a:pt x="431947" y="104515"/>
                </a:lnTo>
                <a:lnTo>
                  <a:pt x="432628" y="103953"/>
                </a:lnTo>
                <a:lnTo>
                  <a:pt x="433310" y="103393"/>
                </a:lnTo>
                <a:lnTo>
                  <a:pt x="433991" y="102834"/>
                </a:lnTo>
                <a:lnTo>
                  <a:pt x="434672" y="102276"/>
                </a:lnTo>
                <a:lnTo>
                  <a:pt x="435354" y="101720"/>
                </a:lnTo>
                <a:lnTo>
                  <a:pt x="436035" y="101165"/>
                </a:lnTo>
                <a:lnTo>
                  <a:pt x="436716" y="100612"/>
                </a:lnTo>
                <a:lnTo>
                  <a:pt x="437398" y="100060"/>
                </a:lnTo>
                <a:lnTo>
                  <a:pt x="438079" y="99510"/>
                </a:lnTo>
                <a:lnTo>
                  <a:pt x="438760" y="98961"/>
                </a:lnTo>
                <a:lnTo>
                  <a:pt x="439441" y="98414"/>
                </a:lnTo>
                <a:lnTo>
                  <a:pt x="440123" y="97868"/>
                </a:lnTo>
                <a:lnTo>
                  <a:pt x="440804" y="97323"/>
                </a:lnTo>
                <a:lnTo>
                  <a:pt x="441485" y="96780"/>
                </a:lnTo>
                <a:lnTo>
                  <a:pt x="442167" y="96238"/>
                </a:lnTo>
                <a:lnTo>
                  <a:pt x="442848" y="95698"/>
                </a:lnTo>
                <a:lnTo>
                  <a:pt x="443529" y="95159"/>
                </a:lnTo>
                <a:lnTo>
                  <a:pt x="444211" y="94622"/>
                </a:lnTo>
                <a:lnTo>
                  <a:pt x="444892" y="94086"/>
                </a:lnTo>
                <a:lnTo>
                  <a:pt x="445573" y="93552"/>
                </a:lnTo>
                <a:lnTo>
                  <a:pt x="446255" y="93019"/>
                </a:lnTo>
                <a:lnTo>
                  <a:pt x="446936" y="92488"/>
                </a:lnTo>
                <a:lnTo>
                  <a:pt x="447617" y="91958"/>
                </a:lnTo>
                <a:lnTo>
                  <a:pt x="448298" y="91429"/>
                </a:lnTo>
                <a:lnTo>
                  <a:pt x="448980" y="90902"/>
                </a:lnTo>
                <a:lnTo>
                  <a:pt x="449661" y="90377"/>
                </a:lnTo>
                <a:lnTo>
                  <a:pt x="450342" y="89853"/>
                </a:lnTo>
                <a:lnTo>
                  <a:pt x="451024" y="89330"/>
                </a:lnTo>
                <a:lnTo>
                  <a:pt x="451705" y="88809"/>
                </a:lnTo>
                <a:lnTo>
                  <a:pt x="452386" y="88289"/>
                </a:lnTo>
                <a:lnTo>
                  <a:pt x="453068" y="87771"/>
                </a:lnTo>
                <a:lnTo>
                  <a:pt x="453749" y="87254"/>
                </a:lnTo>
                <a:lnTo>
                  <a:pt x="454430" y="86739"/>
                </a:lnTo>
                <a:lnTo>
                  <a:pt x="455111" y="86225"/>
                </a:lnTo>
                <a:lnTo>
                  <a:pt x="455793" y="85713"/>
                </a:lnTo>
                <a:lnTo>
                  <a:pt x="456474" y="85202"/>
                </a:lnTo>
                <a:lnTo>
                  <a:pt x="457155" y="84692"/>
                </a:lnTo>
                <a:lnTo>
                  <a:pt x="457837" y="84184"/>
                </a:lnTo>
                <a:lnTo>
                  <a:pt x="458518" y="83678"/>
                </a:lnTo>
                <a:lnTo>
                  <a:pt x="459199" y="83173"/>
                </a:lnTo>
                <a:lnTo>
                  <a:pt x="459881" y="82669"/>
                </a:lnTo>
                <a:lnTo>
                  <a:pt x="460562" y="82167"/>
                </a:lnTo>
                <a:lnTo>
                  <a:pt x="461243" y="81667"/>
                </a:lnTo>
                <a:lnTo>
                  <a:pt x="461925" y="81168"/>
                </a:lnTo>
                <a:lnTo>
                  <a:pt x="462606" y="80670"/>
                </a:lnTo>
                <a:lnTo>
                  <a:pt x="463287" y="80174"/>
                </a:lnTo>
                <a:lnTo>
                  <a:pt x="463968" y="79679"/>
                </a:lnTo>
                <a:lnTo>
                  <a:pt x="464650" y="79186"/>
                </a:lnTo>
                <a:lnTo>
                  <a:pt x="465331" y="78694"/>
                </a:lnTo>
                <a:lnTo>
                  <a:pt x="466012" y="78204"/>
                </a:lnTo>
                <a:lnTo>
                  <a:pt x="466694" y="77715"/>
                </a:lnTo>
                <a:lnTo>
                  <a:pt x="467375" y="77228"/>
                </a:lnTo>
                <a:lnTo>
                  <a:pt x="468056" y="76742"/>
                </a:lnTo>
                <a:lnTo>
                  <a:pt x="468738" y="76258"/>
                </a:lnTo>
                <a:lnTo>
                  <a:pt x="469419" y="75775"/>
                </a:lnTo>
                <a:lnTo>
                  <a:pt x="470100" y="75294"/>
                </a:lnTo>
                <a:lnTo>
                  <a:pt x="470781" y="74814"/>
                </a:lnTo>
                <a:lnTo>
                  <a:pt x="471463" y="74336"/>
                </a:lnTo>
                <a:lnTo>
                  <a:pt x="472144" y="73859"/>
                </a:lnTo>
                <a:lnTo>
                  <a:pt x="472825" y="73383"/>
                </a:lnTo>
                <a:lnTo>
                  <a:pt x="473507" y="72909"/>
                </a:lnTo>
                <a:lnTo>
                  <a:pt x="474188" y="72437"/>
                </a:lnTo>
                <a:lnTo>
                  <a:pt x="474869" y="71966"/>
                </a:lnTo>
                <a:lnTo>
                  <a:pt x="475551" y="71496"/>
                </a:lnTo>
                <a:lnTo>
                  <a:pt x="476232" y="71029"/>
                </a:lnTo>
                <a:lnTo>
                  <a:pt x="476913" y="70562"/>
                </a:lnTo>
                <a:lnTo>
                  <a:pt x="477595" y="70097"/>
                </a:lnTo>
                <a:lnTo>
                  <a:pt x="478276" y="69634"/>
                </a:lnTo>
                <a:lnTo>
                  <a:pt x="478957" y="69172"/>
                </a:lnTo>
                <a:lnTo>
                  <a:pt x="479638" y="68711"/>
                </a:lnTo>
                <a:lnTo>
                  <a:pt x="480320" y="68252"/>
                </a:lnTo>
                <a:lnTo>
                  <a:pt x="481001" y="67795"/>
                </a:lnTo>
                <a:lnTo>
                  <a:pt x="481682" y="67338"/>
                </a:lnTo>
                <a:lnTo>
                  <a:pt x="482364" y="66884"/>
                </a:lnTo>
                <a:lnTo>
                  <a:pt x="483045" y="66431"/>
                </a:lnTo>
                <a:lnTo>
                  <a:pt x="483726" y="65979"/>
                </a:lnTo>
                <a:lnTo>
                  <a:pt x="484408" y="65529"/>
                </a:lnTo>
                <a:lnTo>
                  <a:pt x="485089" y="65081"/>
                </a:lnTo>
                <a:lnTo>
                  <a:pt x="485770" y="64634"/>
                </a:lnTo>
                <a:lnTo>
                  <a:pt x="486452" y="64188"/>
                </a:lnTo>
                <a:lnTo>
                  <a:pt x="487133" y="63744"/>
                </a:lnTo>
                <a:lnTo>
                  <a:pt x="487814" y="63302"/>
                </a:lnTo>
                <a:lnTo>
                  <a:pt x="488495" y="62861"/>
                </a:lnTo>
                <a:lnTo>
                  <a:pt x="489177" y="62421"/>
                </a:lnTo>
                <a:lnTo>
                  <a:pt x="489858" y="61983"/>
                </a:lnTo>
                <a:lnTo>
                  <a:pt x="490539" y="61546"/>
                </a:lnTo>
                <a:lnTo>
                  <a:pt x="491221" y="61111"/>
                </a:lnTo>
                <a:lnTo>
                  <a:pt x="491902" y="60678"/>
                </a:lnTo>
                <a:lnTo>
                  <a:pt x="492583" y="60246"/>
                </a:lnTo>
                <a:lnTo>
                  <a:pt x="493265" y="59815"/>
                </a:lnTo>
                <a:lnTo>
                  <a:pt x="493946" y="59386"/>
                </a:lnTo>
                <a:lnTo>
                  <a:pt x="494627" y="58959"/>
                </a:lnTo>
                <a:lnTo>
                  <a:pt x="495308" y="58533"/>
                </a:lnTo>
                <a:lnTo>
                  <a:pt x="495990" y="58108"/>
                </a:lnTo>
                <a:lnTo>
                  <a:pt x="496671" y="57685"/>
                </a:lnTo>
                <a:lnTo>
                  <a:pt x="497352" y="57264"/>
                </a:lnTo>
                <a:lnTo>
                  <a:pt x="498034" y="56844"/>
                </a:lnTo>
                <a:lnTo>
                  <a:pt x="498715" y="56425"/>
                </a:lnTo>
                <a:lnTo>
                  <a:pt x="499396" y="56008"/>
                </a:lnTo>
                <a:lnTo>
                  <a:pt x="500078" y="55593"/>
                </a:lnTo>
                <a:lnTo>
                  <a:pt x="500759" y="55179"/>
                </a:lnTo>
                <a:lnTo>
                  <a:pt x="501440" y="54766"/>
                </a:lnTo>
                <a:lnTo>
                  <a:pt x="502122" y="54355"/>
                </a:lnTo>
                <a:lnTo>
                  <a:pt x="502803" y="53946"/>
                </a:lnTo>
                <a:lnTo>
                  <a:pt x="503484" y="53538"/>
                </a:lnTo>
                <a:lnTo>
                  <a:pt x="504165" y="53131"/>
                </a:lnTo>
                <a:lnTo>
                  <a:pt x="504847" y="52727"/>
                </a:lnTo>
                <a:lnTo>
                  <a:pt x="505528" y="52323"/>
                </a:lnTo>
                <a:lnTo>
                  <a:pt x="506209" y="51921"/>
                </a:lnTo>
                <a:lnTo>
                  <a:pt x="506891" y="51521"/>
                </a:lnTo>
                <a:lnTo>
                  <a:pt x="507572" y="51122"/>
                </a:lnTo>
                <a:lnTo>
                  <a:pt x="508253" y="50725"/>
                </a:lnTo>
                <a:lnTo>
                  <a:pt x="508935" y="50329"/>
                </a:lnTo>
                <a:lnTo>
                  <a:pt x="509616" y="49935"/>
                </a:lnTo>
                <a:lnTo>
                  <a:pt x="510297" y="49542"/>
                </a:lnTo>
                <a:lnTo>
                  <a:pt x="510979" y="49151"/>
                </a:lnTo>
                <a:lnTo>
                  <a:pt x="511660" y="48761"/>
                </a:lnTo>
                <a:lnTo>
                  <a:pt x="512341" y="48373"/>
                </a:lnTo>
                <a:lnTo>
                  <a:pt x="513022" y="47986"/>
                </a:lnTo>
                <a:lnTo>
                  <a:pt x="513704" y="47601"/>
                </a:lnTo>
                <a:lnTo>
                  <a:pt x="514385" y="47217"/>
                </a:lnTo>
                <a:lnTo>
                  <a:pt x="515066" y="46835"/>
                </a:lnTo>
                <a:lnTo>
                  <a:pt x="515748" y="46455"/>
                </a:lnTo>
                <a:lnTo>
                  <a:pt x="516429" y="46076"/>
                </a:lnTo>
                <a:lnTo>
                  <a:pt x="517110" y="45698"/>
                </a:lnTo>
                <a:lnTo>
                  <a:pt x="517792" y="45322"/>
                </a:lnTo>
                <a:lnTo>
                  <a:pt x="518473" y="44947"/>
                </a:lnTo>
                <a:lnTo>
                  <a:pt x="519154" y="44574"/>
                </a:lnTo>
                <a:lnTo>
                  <a:pt x="519835" y="44203"/>
                </a:lnTo>
                <a:lnTo>
                  <a:pt x="520517" y="43833"/>
                </a:lnTo>
                <a:lnTo>
                  <a:pt x="521198" y="43465"/>
                </a:lnTo>
                <a:lnTo>
                  <a:pt x="521879" y="43098"/>
                </a:lnTo>
                <a:lnTo>
                  <a:pt x="522561" y="42732"/>
                </a:lnTo>
                <a:lnTo>
                  <a:pt x="523242" y="42369"/>
                </a:lnTo>
                <a:lnTo>
                  <a:pt x="523923" y="42006"/>
                </a:lnTo>
                <a:lnTo>
                  <a:pt x="524605" y="41645"/>
                </a:lnTo>
                <a:lnTo>
                  <a:pt x="525286" y="41286"/>
                </a:lnTo>
                <a:lnTo>
                  <a:pt x="525967" y="40928"/>
                </a:lnTo>
                <a:lnTo>
                  <a:pt x="526649" y="40572"/>
                </a:lnTo>
                <a:lnTo>
                  <a:pt x="527330" y="40218"/>
                </a:lnTo>
                <a:lnTo>
                  <a:pt x="528011" y="39865"/>
                </a:lnTo>
                <a:lnTo>
                  <a:pt x="528692" y="39513"/>
                </a:lnTo>
                <a:lnTo>
                  <a:pt x="529374" y="39163"/>
                </a:lnTo>
                <a:lnTo>
                  <a:pt x="530055" y="38814"/>
                </a:lnTo>
                <a:lnTo>
                  <a:pt x="530736" y="38467"/>
                </a:lnTo>
                <a:lnTo>
                  <a:pt x="531418" y="38122"/>
                </a:lnTo>
                <a:lnTo>
                  <a:pt x="532099" y="37778"/>
                </a:lnTo>
                <a:lnTo>
                  <a:pt x="532780" y="37435"/>
                </a:lnTo>
                <a:lnTo>
                  <a:pt x="533462" y="37095"/>
                </a:lnTo>
                <a:lnTo>
                  <a:pt x="534143" y="36755"/>
                </a:lnTo>
                <a:lnTo>
                  <a:pt x="534824" y="36417"/>
                </a:lnTo>
                <a:lnTo>
                  <a:pt x="535506" y="36081"/>
                </a:lnTo>
                <a:lnTo>
                  <a:pt x="536187" y="35746"/>
                </a:lnTo>
                <a:lnTo>
                  <a:pt x="536868" y="35413"/>
                </a:lnTo>
                <a:lnTo>
                  <a:pt x="537549" y="35082"/>
                </a:lnTo>
                <a:lnTo>
                  <a:pt x="538231" y="34751"/>
                </a:lnTo>
                <a:lnTo>
                  <a:pt x="538912" y="34423"/>
                </a:lnTo>
                <a:lnTo>
                  <a:pt x="539593" y="34096"/>
                </a:lnTo>
                <a:lnTo>
                  <a:pt x="540275" y="33770"/>
                </a:lnTo>
                <a:lnTo>
                  <a:pt x="540956" y="33446"/>
                </a:lnTo>
                <a:lnTo>
                  <a:pt x="541637" y="33124"/>
                </a:lnTo>
                <a:lnTo>
                  <a:pt x="542319" y="32803"/>
                </a:lnTo>
                <a:lnTo>
                  <a:pt x="543000" y="32484"/>
                </a:lnTo>
                <a:lnTo>
                  <a:pt x="543681" y="32166"/>
                </a:lnTo>
                <a:lnTo>
                  <a:pt x="544362" y="31850"/>
                </a:lnTo>
                <a:lnTo>
                  <a:pt x="545044" y="31535"/>
                </a:lnTo>
                <a:lnTo>
                  <a:pt x="545725" y="31222"/>
                </a:lnTo>
                <a:lnTo>
                  <a:pt x="546406" y="30910"/>
                </a:lnTo>
                <a:lnTo>
                  <a:pt x="547088" y="30600"/>
                </a:lnTo>
                <a:lnTo>
                  <a:pt x="547769" y="30291"/>
                </a:lnTo>
                <a:lnTo>
                  <a:pt x="548450" y="29984"/>
                </a:lnTo>
                <a:lnTo>
                  <a:pt x="549132" y="29679"/>
                </a:lnTo>
                <a:lnTo>
                  <a:pt x="549813" y="29375"/>
                </a:lnTo>
                <a:lnTo>
                  <a:pt x="550494" y="29073"/>
                </a:lnTo>
                <a:lnTo>
                  <a:pt x="551176" y="28772"/>
                </a:lnTo>
                <a:lnTo>
                  <a:pt x="551857" y="28473"/>
                </a:lnTo>
                <a:lnTo>
                  <a:pt x="552538" y="28175"/>
                </a:lnTo>
                <a:lnTo>
                  <a:pt x="553219" y="27879"/>
                </a:lnTo>
                <a:lnTo>
                  <a:pt x="553901" y="27584"/>
                </a:lnTo>
                <a:lnTo>
                  <a:pt x="554582" y="27291"/>
                </a:lnTo>
                <a:lnTo>
                  <a:pt x="555263" y="26999"/>
                </a:lnTo>
                <a:lnTo>
                  <a:pt x="555945" y="26709"/>
                </a:lnTo>
                <a:lnTo>
                  <a:pt x="556626" y="26421"/>
                </a:lnTo>
                <a:lnTo>
                  <a:pt x="557307" y="26134"/>
                </a:lnTo>
                <a:lnTo>
                  <a:pt x="557989" y="25849"/>
                </a:lnTo>
                <a:lnTo>
                  <a:pt x="558670" y="25565"/>
                </a:lnTo>
                <a:lnTo>
                  <a:pt x="559351" y="25282"/>
                </a:lnTo>
                <a:lnTo>
                  <a:pt x="560032" y="25002"/>
                </a:lnTo>
                <a:lnTo>
                  <a:pt x="560714" y="24723"/>
                </a:lnTo>
                <a:lnTo>
                  <a:pt x="561395" y="24445"/>
                </a:lnTo>
                <a:lnTo>
                  <a:pt x="562076" y="24169"/>
                </a:lnTo>
                <a:lnTo>
                  <a:pt x="562758" y="23894"/>
                </a:lnTo>
                <a:lnTo>
                  <a:pt x="563439" y="23621"/>
                </a:lnTo>
                <a:lnTo>
                  <a:pt x="564120" y="23350"/>
                </a:lnTo>
                <a:lnTo>
                  <a:pt x="564802" y="23080"/>
                </a:lnTo>
                <a:lnTo>
                  <a:pt x="565483" y="22812"/>
                </a:lnTo>
                <a:lnTo>
                  <a:pt x="566164" y="22545"/>
                </a:lnTo>
                <a:lnTo>
                  <a:pt x="566846" y="22280"/>
                </a:lnTo>
                <a:lnTo>
                  <a:pt x="567527" y="22016"/>
                </a:lnTo>
                <a:lnTo>
                  <a:pt x="568208" y="21754"/>
                </a:lnTo>
                <a:lnTo>
                  <a:pt x="568889" y="21494"/>
                </a:lnTo>
                <a:lnTo>
                  <a:pt x="569571" y="21235"/>
                </a:lnTo>
                <a:lnTo>
                  <a:pt x="570252" y="20977"/>
                </a:lnTo>
                <a:lnTo>
                  <a:pt x="570933" y="20721"/>
                </a:lnTo>
                <a:lnTo>
                  <a:pt x="571615" y="20467"/>
                </a:lnTo>
                <a:lnTo>
                  <a:pt x="572296" y="20214"/>
                </a:lnTo>
                <a:lnTo>
                  <a:pt x="572977" y="19963"/>
                </a:lnTo>
                <a:lnTo>
                  <a:pt x="573659" y="19714"/>
                </a:lnTo>
                <a:lnTo>
                  <a:pt x="574340" y="19466"/>
                </a:lnTo>
                <a:lnTo>
                  <a:pt x="575021" y="19219"/>
                </a:lnTo>
                <a:lnTo>
                  <a:pt x="575703" y="18974"/>
                </a:lnTo>
                <a:lnTo>
                  <a:pt x="576384" y="18731"/>
                </a:lnTo>
                <a:lnTo>
                  <a:pt x="577065" y="18489"/>
                </a:lnTo>
                <a:lnTo>
                  <a:pt x="577746" y="18249"/>
                </a:lnTo>
                <a:lnTo>
                  <a:pt x="578428" y="18010"/>
                </a:lnTo>
                <a:lnTo>
                  <a:pt x="579109" y="17773"/>
                </a:lnTo>
                <a:lnTo>
                  <a:pt x="579790" y="17537"/>
                </a:lnTo>
                <a:lnTo>
                  <a:pt x="580472" y="17303"/>
                </a:lnTo>
                <a:lnTo>
                  <a:pt x="581153" y="17071"/>
                </a:lnTo>
                <a:lnTo>
                  <a:pt x="581834" y="16840"/>
                </a:lnTo>
                <a:lnTo>
                  <a:pt x="582516" y="16610"/>
                </a:lnTo>
                <a:lnTo>
                  <a:pt x="583197" y="16382"/>
                </a:lnTo>
                <a:lnTo>
                  <a:pt x="583878" y="16156"/>
                </a:lnTo>
                <a:lnTo>
                  <a:pt x="584559" y="15932"/>
                </a:lnTo>
                <a:lnTo>
                  <a:pt x="585241" y="15708"/>
                </a:lnTo>
                <a:lnTo>
                  <a:pt x="585922" y="15487"/>
                </a:lnTo>
                <a:lnTo>
                  <a:pt x="586603" y="15267"/>
                </a:lnTo>
                <a:lnTo>
                  <a:pt x="587285" y="15048"/>
                </a:lnTo>
                <a:lnTo>
                  <a:pt x="587966" y="14832"/>
                </a:lnTo>
                <a:lnTo>
                  <a:pt x="588647" y="14616"/>
                </a:lnTo>
                <a:lnTo>
                  <a:pt x="589329" y="14403"/>
                </a:lnTo>
                <a:lnTo>
                  <a:pt x="590010" y="14190"/>
                </a:lnTo>
                <a:lnTo>
                  <a:pt x="590691" y="13980"/>
                </a:lnTo>
                <a:lnTo>
                  <a:pt x="591373" y="13771"/>
                </a:lnTo>
                <a:lnTo>
                  <a:pt x="592054" y="13563"/>
                </a:lnTo>
                <a:lnTo>
                  <a:pt x="592735" y="13357"/>
                </a:lnTo>
                <a:lnTo>
                  <a:pt x="593416" y="13153"/>
                </a:lnTo>
                <a:lnTo>
                  <a:pt x="594098" y="12950"/>
                </a:lnTo>
                <a:lnTo>
                  <a:pt x="594779" y="12749"/>
                </a:lnTo>
                <a:lnTo>
                  <a:pt x="595460" y="12549"/>
                </a:lnTo>
                <a:lnTo>
                  <a:pt x="596142" y="12351"/>
                </a:lnTo>
                <a:lnTo>
                  <a:pt x="596823" y="12155"/>
                </a:lnTo>
                <a:lnTo>
                  <a:pt x="597504" y="11960"/>
                </a:lnTo>
                <a:lnTo>
                  <a:pt x="598186" y="11767"/>
                </a:lnTo>
                <a:lnTo>
                  <a:pt x="598867" y="11575"/>
                </a:lnTo>
                <a:lnTo>
                  <a:pt x="599548" y="11385"/>
                </a:lnTo>
                <a:lnTo>
                  <a:pt x="600230" y="11196"/>
                </a:lnTo>
                <a:lnTo>
                  <a:pt x="600911" y="11009"/>
                </a:lnTo>
                <a:lnTo>
                  <a:pt x="601592" y="10823"/>
                </a:lnTo>
                <a:lnTo>
                  <a:pt x="602273" y="10639"/>
                </a:lnTo>
                <a:lnTo>
                  <a:pt x="602955" y="10457"/>
                </a:lnTo>
                <a:lnTo>
                  <a:pt x="603636" y="10276"/>
                </a:lnTo>
                <a:lnTo>
                  <a:pt x="604317" y="10097"/>
                </a:lnTo>
                <a:lnTo>
                  <a:pt x="604999" y="9919"/>
                </a:lnTo>
                <a:lnTo>
                  <a:pt x="605680" y="9743"/>
                </a:lnTo>
                <a:lnTo>
                  <a:pt x="606361" y="9569"/>
                </a:lnTo>
                <a:lnTo>
                  <a:pt x="607043" y="9396"/>
                </a:lnTo>
                <a:lnTo>
                  <a:pt x="607724" y="9224"/>
                </a:lnTo>
                <a:lnTo>
                  <a:pt x="608405" y="9054"/>
                </a:lnTo>
                <a:lnTo>
                  <a:pt x="609086" y="8886"/>
                </a:lnTo>
                <a:lnTo>
                  <a:pt x="609768" y="8719"/>
                </a:lnTo>
                <a:lnTo>
                  <a:pt x="610449" y="8554"/>
                </a:lnTo>
                <a:lnTo>
                  <a:pt x="611130" y="8391"/>
                </a:lnTo>
                <a:lnTo>
                  <a:pt x="611812" y="8229"/>
                </a:lnTo>
                <a:lnTo>
                  <a:pt x="612493" y="8068"/>
                </a:lnTo>
                <a:lnTo>
                  <a:pt x="613174" y="7910"/>
                </a:lnTo>
                <a:lnTo>
                  <a:pt x="613856" y="7752"/>
                </a:lnTo>
                <a:lnTo>
                  <a:pt x="614537" y="7597"/>
                </a:lnTo>
                <a:lnTo>
                  <a:pt x="615218" y="7443"/>
                </a:lnTo>
                <a:lnTo>
                  <a:pt x="615900" y="7290"/>
                </a:lnTo>
                <a:lnTo>
                  <a:pt x="616581" y="7139"/>
                </a:lnTo>
                <a:lnTo>
                  <a:pt x="617262" y="6990"/>
                </a:lnTo>
                <a:lnTo>
                  <a:pt x="617943" y="6842"/>
                </a:lnTo>
                <a:lnTo>
                  <a:pt x="618625" y="6696"/>
                </a:lnTo>
                <a:lnTo>
                  <a:pt x="619306" y="6551"/>
                </a:lnTo>
                <a:lnTo>
                  <a:pt x="619987" y="6408"/>
                </a:lnTo>
                <a:lnTo>
                  <a:pt x="620669" y="6267"/>
                </a:lnTo>
                <a:lnTo>
                  <a:pt x="621350" y="6127"/>
                </a:lnTo>
                <a:lnTo>
                  <a:pt x="622031" y="5988"/>
                </a:lnTo>
                <a:lnTo>
                  <a:pt x="622713" y="5852"/>
                </a:lnTo>
                <a:lnTo>
                  <a:pt x="623394" y="5716"/>
                </a:lnTo>
                <a:lnTo>
                  <a:pt x="624075" y="5583"/>
                </a:lnTo>
                <a:lnTo>
                  <a:pt x="624757" y="5451"/>
                </a:lnTo>
                <a:lnTo>
                  <a:pt x="625438" y="5320"/>
                </a:lnTo>
                <a:lnTo>
                  <a:pt x="626119" y="5191"/>
                </a:lnTo>
                <a:lnTo>
                  <a:pt x="626800" y="5064"/>
                </a:lnTo>
                <a:lnTo>
                  <a:pt x="627482" y="4938"/>
                </a:lnTo>
                <a:lnTo>
                  <a:pt x="628163" y="4814"/>
                </a:lnTo>
                <a:lnTo>
                  <a:pt x="628844" y="4692"/>
                </a:lnTo>
                <a:lnTo>
                  <a:pt x="629526" y="4571"/>
                </a:lnTo>
                <a:lnTo>
                  <a:pt x="630207" y="4451"/>
                </a:lnTo>
                <a:lnTo>
                  <a:pt x="630888" y="4333"/>
                </a:lnTo>
                <a:lnTo>
                  <a:pt x="631570" y="4217"/>
                </a:lnTo>
                <a:lnTo>
                  <a:pt x="632251" y="4102"/>
                </a:lnTo>
                <a:lnTo>
                  <a:pt x="632932" y="3989"/>
                </a:lnTo>
                <a:lnTo>
                  <a:pt x="633613" y="3878"/>
                </a:lnTo>
                <a:lnTo>
                  <a:pt x="634295" y="3768"/>
                </a:lnTo>
                <a:lnTo>
                  <a:pt x="634976" y="3659"/>
                </a:lnTo>
                <a:lnTo>
                  <a:pt x="635657" y="3553"/>
                </a:lnTo>
                <a:lnTo>
                  <a:pt x="636339" y="3447"/>
                </a:lnTo>
                <a:lnTo>
                  <a:pt x="637020" y="3344"/>
                </a:lnTo>
                <a:lnTo>
                  <a:pt x="637701" y="3242"/>
                </a:lnTo>
                <a:lnTo>
                  <a:pt x="638383" y="3141"/>
                </a:lnTo>
                <a:lnTo>
                  <a:pt x="639064" y="3042"/>
                </a:lnTo>
                <a:lnTo>
                  <a:pt x="639745" y="2945"/>
                </a:lnTo>
                <a:lnTo>
                  <a:pt x="640427" y="2849"/>
                </a:lnTo>
                <a:lnTo>
                  <a:pt x="641108" y="2755"/>
                </a:lnTo>
                <a:lnTo>
                  <a:pt x="641789" y="2662"/>
                </a:lnTo>
                <a:lnTo>
                  <a:pt x="642470" y="2571"/>
                </a:lnTo>
                <a:lnTo>
                  <a:pt x="643152" y="2482"/>
                </a:lnTo>
                <a:lnTo>
                  <a:pt x="643833" y="2394"/>
                </a:lnTo>
                <a:lnTo>
                  <a:pt x="644514" y="2308"/>
                </a:lnTo>
                <a:lnTo>
                  <a:pt x="645196" y="2223"/>
                </a:lnTo>
                <a:lnTo>
                  <a:pt x="645877" y="2140"/>
                </a:lnTo>
                <a:lnTo>
                  <a:pt x="646558" y="2059"/>
                </a:lnTo>
                <a:lnTo>
                  <a:pt x="647240" y="1979"/>
                </a:lnTo>
                <a:lnTo>
                  <a:pt x="647921" y="1900"/>
                </a:lnTo>
                <a:lnTo>
                  <a:pt x="648602" y="1824"/>
                </a:lnTo>
                <a:lnTo>
                  <a:pt x="649283" y="1748"/>
                </a:lnTo>
                <a:lnTo>
                  <a:pt x="649965" y="1675"/>
                </a:lnTo>
                <a:lnTo>
                  <a:pt x="650646" y="1603"/>
                </a:lnTo>
                <a:lnTo>
                  <a:pt x="651327" y="1532"/>
                </a:lnTo>
                <a:lnTo>
                  <a:pt x="652009" y="1463"/>
                </a:lnTo>
                <a:lnTo>
                  <a:pt x="652690" y="1396"/>
                </a:lnTo>
                <a:lnTo>
                  <a:pt x="653371" y="1330"/>
                </a:lnTo>
                <a:lnTo>
                  <a:pt x="654053" y="1266"/>
                </a:lnTo>
                <a:lnTo>
                  <a:pt x="654734" y="1204"/>
                </a:lnTo>
                <a:lnTo>
                  <a:pt x="655415" y="1143"/>
                </a:lnTo>
                <a:lnTo>
                  <a:pt x="656097" y="1083"/>
                </a:lnTo>
                <a:lnTo>
                  <a:pt x="656778" y="1026"/>
                </a:lnTo>
                <a:lnTo>
                  <a:pt x="657459" y="969"/>
                </a:lnTo>
                <a:lnTo>
                  <a:pt x="658140" y="915"/>
                </a:lnTo>
                <a:lnTo>
                  <a:pt x="658822" y="862"/>
                </a:lnTo>
                <a:lnTo>
                  <a:pt x="659503" y="810"/>
                </a:lnTo>
                <a:lnTo>
                  <a:pt x="660184" y="760"/>
                </a:lnTo>
                <a:lnTo>
                  <a:pt x="660866" y="712"/>
                </a:lnTo>
                <a:lnTo>
                  <a:pt x="661547" y="665"/>
                </a:lnTo>
                <a:lnTo>
                  <a:pt x="662228" y="620"/>
                </a:lnTo>
                <a:lnTo>
                  <a:pt x="662910" y="577"/>
                </a:lnTo>
                <a:lnTo>
                  <a:pt x="663591" y="535"/>
                </a:lnTo>
                <a:lnTo>
                  <a:pt x="664272" y="494"/>
                </a:lnTo>
                <a:lnTo>
                  <a:pt x="664954" y="456"/>
                </a:lnTo>
                <a:lnTo>
                  <a:pt x="665635" y="418"/>
                </a:lnTo>
                <a:lnTo>
                  <a:pt x="666316" y="383"/>
                </a:lnTo>
                <a:lnTo>
                  <a:pt x="666997" y="349"/>
                </a:lnTo>
                <a:lnTo>
                  <a:pt x="667679" y="316"/>
                </a:lnTo>
                <a:lnTo>
                  <a:pt x="668360" y="285"/>
                </a:lnTo>
                <a:lnTo>
                  <a:pt x="669041" y="256"/>
                </a:lnTo>
                <a:lnTo>
                  <a:pt x="669723" y="228"/>
                </a:lnTo>
                <a:lnTo>
                  <a:pt x="670404" y="202"/>
                </a:lnTo>
                <a:lnTo>
                  <a:pt x="671085" y="178"/>
                </a:lnTo>
                <a:lnTo>
                  <a:pt x="671767" y="155"/>
                </a:lnTo>
                <a:lnTo>
                  <a:pt x="672448" y="133"/>
                </a:lnTo>
                <a:lnTo>
                  <a:pt x="673129" y="114"/>
                </a:lnTo>
                <a:lnTo>
                  <a:pt x="673810" y="95"/>
                </a:lnTo>
                <a:lnTo>
                  <a:pt x="674492" y="79"/>
                </a:lnTo>
                <a:lnTo>
                  <a:pt x="675173" y="64"/>
                </a:lnTo>
                <a:lnTo>
                  <a:pt x="675854" y="50"/>
                </a:lnTo>
                <a:lnTo>
                  <a:pt x="676536" y="38"/>
                </a:lnTo>
                <a:lnTo>
                  <a:pt x="677217" y="28"/>
                </a:lnTo>
                <a:lnTo>
                  <a:pt x="677898" y="19"/>
                </a:lnTo>
                <a:lnTo>
                  <a:pt x="678580" y="12"/>
                </a:lnTo>
                <a:lnTo>
                  <a:pt x="679261" y="7"/>
                </a:lnTo>
                <a:lnTo>
                  <a:pt x="679942" y="3"/>
                </a:lnTo>
                <a:lnTo>
                  <a:pt x="680624" y="0"/>
                </a:lnTo>
                <a:lnTo>
                  <a:pt x="681305" y="0"/>
                </a:lnTo>
                <a:lnTo>
                  <a:pt x="681986" y="0"/>
                </a:lnTo>
                <a:lnTo>
                  <a:pt x="682667" y="3"/>
                </a:lnTo>
                <a:lnTo>
                  <a:pt x="683349" y="7"/>
                </a:lnTo>
                <a:lnTo>
                  <a:pt x="684030" y="12"/>
                </a:lnTo>
                <a:lnTo>
                  <a:pt x="684711" y="19"/>
                </a:lnTo>
                <a:lnTo>
                  <a:pt x="685393" y="28"/>
                </a:lnTo>
                <a:lnTo>
                  <a:pt x="686074" y="38"/>
                </a:lnTo>
                <a:lnTo>
                  <a:pt x="686755" y="50"/>
                </a:lnTo>
                <a:lnTo>
                  <a:pt x="687437" y="64"/>
                </a:lnTo>
                <a:lnTo>
                  <a:pt x="688118" y="79"/>
                </a:lnTo>
                <a:lnTo>
                  <a:pt x="688799" y="95"/>
                </a:lnTo>
                <a:lnTo>
                  <a:pt x="689481" y="114"/>
                </a:lnTo>
                <a:lnTo>
                  <a:pt x="690162" y="133"/>
                </a:lnTo>
                <a:lnTo>
                  <a:pt x="690843" y="155"/>
                </a:lnTo>
                <a:lnTo>
                  <a:pt x="691524" y="178"/>
                </a:lnTo>
                <a:lnTo>
                  <a:pt x="692206" y="202"/>
                </a:lnTo>
                <a:lnTo>
                  <a:pt x="692887" y="228"/>
                </a:lnTo>
                <a:lnTo>
                  <a:pt x="693568" y="256"/>
                </a:lnTo>
                <a:lnTo>
                  <a:pt x="694250" y="285"/>
                </a:lnTo>
                <a:lnTo>
                  <a:pt x="694931" y="316"/>
                </a:lnTo>
                <a:lnTo>
                  <a:pt x="695612" y="349"/>
                </a:lnTo>
                <a:lnTo>
                  <a:pt x="696294" y="383"/>
                </a:lnTo>
                <a:lnTo>
                  <a:pt x="696975" y="418"/>
                </a:lnTo>
                <a:lnTo>
                  <a:pt x="697656" y="456"/>
                </a:lnTo>
                <a:lnTo>
                  <a:pt x="698337" y="494"/>
                </a:lnTo>
                <a:lnTo>
                  <a:pt x="699019" y="535"/>
                </a:lnTo>
                <a:lnTo>
                  <a:pt x="699700" y="577"/>
                </a:lnTo>
                <a:lnTo>
                  <a:pt x="700381" y="620"/>
                </a:lnTo>
                <a:lnTo>
                  <a:pt x="701063" y="665"/>
                </a:lnTo>
                <a:lnTo>
                  <a:pt x="701744" y="712"/>
                </a:lnTo>
                <a:lnTo>
                  <a:pt x="702425" y="760"/>
                </a:lnTo>
                <a:lnTo>
                  <a:pt x="703107" y="810"/>
                </a:lnTo>
                <a:lnTo>
                  <a:pt x="703788" y="862"/>
                </a:lnTo>
                <a:lnTo>
                  <a:pt x="704469" y="915"/>
                </a:lnTo>
                <a:lnTo>
                  <a:pt x="705151" y="969"/>
                </a:lnTo>
                <a:lnTo>
                  <a:pt x="705832" y="1026"/>
                </a:lnTo>
                <a:lnTo>
                  <a:pt x="706513" y="1083"/>
                </a:lnTo>
                <a:lnTo>
                  <a:pt x="707194" y="1143"/>
                </a:lnTo>
                <a:lnTo>
                  <a:pt x="707876" y="1204"/>
                </a:lnTo>
                <a:lnTo>
                  <a:pt x="708557" y="1266"/>
                </a:lnTo>
                <a:lnTo>
                  <a:pt x="709238" y="1330"/>
                </a:lnTo>
                <a:lnTo>
                  <a:pt x="709920" y="1396"/>
                </a:lnTo>
                <a:lnTo>
                  <a:pt x="710601" y="1463"/>
                </a:lnTo>
                <a:lnTo>
                  <a:pt x="711282" y="1532"/>
                </a:lnTo>
                <a:lnTo>
                  <a:pt x="711964" y="1603"/>
                </a:lnTo>
                <a:lnTo>
                  <a:pt x="712645" y="1675"/>
                </a:lnTo>
                <a:lnTo>
                  <a:pt x="713326" y="1748"/>
                </a:lnTo>
                <a:lnTo>
                  <a:pt x="714008" y="1824"/>
                </a:lnTo>
                <a:lnTo>
                  <a:pt x="714689" y="1900"/>
                </a:lnTo>
                <a:lnTo>
                  <a:pt x="715370" y="1979"/>
                </a:lnTo>
                <a:lnTo>
                  <a:pt x="716051" y="2059"/>
                </a:lnTo>
                <a:lnTo>
                  <a:pt x="716733" y="2140"/>
                </a:lnTo>
                <a:lnTo>
                  <a:pt x="717414" y="2223"/>
                </a:lnTo>
                <a:lnTo>
                  <a:pt x="718095" y="2308"/>
                </a:lnTo>
                <a:lnTo>
                  <a:pt x="718777" y="2394"/>
                </a:lnTo>
                <a:lnTo>
                  <a:pt x="719458" y="2482"/>
                </a:lnTo>
                <a:lnTo>
                  <a:pt x="720139" y="2571"/>
                </a:lnTo>
                <a:lnTo>
                  <a:pt x="720821" y="2662"/>
                </a:lnTo>
                <a:lnTo>
                  <a:pt x="721502" y="2755"/>
                </a:lnTo>
                <a:lnTo>
                  <a:pt x="722183" y="2849"/>
                </a:lnTo>
                <a:lnTo>
                  <a:pt x="722864" y="2945"/>
                </a:lnTo>
                <a:lnTo>
                  <a:pt x="723546" y="3042"/>
                </a:lnTo>
                <a:lnTo>
                  <a:pt x="724227" y="3141"/>
                </a:lnTo>
                <a:lnTo>
                  <a:pt x="724908" y="3242"/>
                </a:lnTo>
                <a:lnTo>
                  <a:pt x="725590" y="3344"/>
                </a:lnTo>
                <a:lnTo>
                  <a:pt x="726271" y="3447"/>
                </a:lnTo>
                <a:lnTo>
                  <a:pt x="726952" y="3553"/>
                </a:lnTo>
                <a:lnTo>
                  <a:pt x="727634" y="3659"/>
                </a:lnTo>
                <a:lnTo>
                  <a:pt x="728315" y="3768"/>
                </a:lnTo>
                <a:lnTo>
                  <a:pt x="728996" y="3878"/>
                </a:lnTo>
                <a:lnTo>
                  <a:pt x="729678" y="3989"/>
                </a:lnTo>
                <a:lnTo>
                  <a:pt x="730359" y="4102"/>
                </a:lnTo>
                <a:lnTo>
                  <a:pt x="731040" y="4217"/>
                </a:lnTo>
                <a:lnTo>
                  <a:pt x="731721" y="4333"/>
                </a:lnTo>
                <a:lnTo>
                  <a:pt x="732403" y="4451"/>
                </a:lnTo>
                <a:lnTo>
                  <a:pt x="733084" y="4571"/>
                </a:lnTo>
                <a:lnTo>
                  <a:pt x="733765" y="4692"/>
                </a:lnTo>
                <a:lnTo>
                  <a:pt x="734447" y="4814"/>
                </a:lnTo>
                <a:lnTo>
                  <a:pt x="735128" y="4938"/>
                </a:lnTo>
                <a:lnTo>
                  <a:pt x="735809" y="5064"/>
                </a:lnTo>
                <a:lnTo>
                  <a:pt x="736491" y="5191"/>
                </a:lnTo>
                <a:lnTo>
                  <a:pt x="737172" y="5320"/>
                </a:lnTo>
                <a:lnTo>
                  <a:pt x="737853" y="5451"/>
                </a:lnTo>
                <a:lnTo>
                  <a:pt x="738534" y="5583"/>
                </a:lnTo>
                <a:lnTo>
                  <a:pt x="739216" y="5716"/>
                </a:lnTo>
                <a:lnTo>
                  <a:pt x="739897" y="5852"/>
                </a:lnTo>
                <a:lnTo>
                  <a:pt x="740578" y="5988"/>
                </a:lnTo>
                <a:lnTo>
                  <a:pt x="741260" y="6127"/>
                </a:lnTo>
                <a:lnTo>
                  <a:pt x="741941" y="6267"/>
                </a:lnTo>
                <a:lnTo>
                  <a:pt x="742622" y="6408"/>
                </a:lnTo>
                <a:lnTo>
                  <a:pt x="743304" y="6551"/>
                </a:lnTo>
                <a:lnTo>
                  <a:pt x="743985" y="6696"/>
                </a:lnTo>
                <a:lnTo>
                  <a:pt x="744666" y="6842"/>
                </a:lnTo>
                <a:lnTo>
                  <a:pt x="745348" y="6990"/>
                </a:lnTo>
                <a:lnTo>
                  <a:pt x="746029" y="7139"/>
                </a:lnTo>
                <a:lnTo>
                  <a:pt x="746710" y="7290"/>
                </a:lnTo>
                <a:lnTo>
                  <a:pt x="747391" y="7443"/>
                </a:lnTo>
                <a:lnTo>
                  <a:pt x="748073" y="7597"/>
                </a:lnTo>
                <a:lnTo>
                  <a:pt x="748754" y="7752"/>
                </a:lnTo>
                <a:lnTo>
                  <a:pt x="749435" y="7910"/>
                </a:lnTo>
                <a:lnTo>
                  <a:pt x="750117" y="8068"/>
                </a:lnTo>
                <a:lnTo>
                  <a:pt x="750798" y="8229"/>
                </a:lnTo>
                <a:lnTo>
                  <a:pt x="751479" y="8391"/>
                </a:lnTo>
                <a:lnTo>
                  <a:pt x="752161" y="8554"/>
                </a:lnTo>
                <a:lnTo>
                  <a:pt x="752842" y="8719"/>
                </a:lnTo>
                <a:lnTo>
                  <a:pt x="753523" y="8886"/>
                </a:lnTo>
                <a:lnTo>
                  <a:pt x="754205" y="9054"/>
                </a:lnTo>
                <a:lnTo>
                  <a:pt x="754886" y="9224"/>
                </a:lnTo>
                <a:lnTo>
                  <a:pt x="755567" y="9396"/>
                </a:lnTo>
                <a:lnTo>
                  <a:pt x="756248" y="9569"/>
                </a:lnTo>
                <a:lnTo>
                  <a:pt x="756930" y="9743"/>
                </a:lnTo>
                <a:lnTo>
                  <a:pt x="757611" y="9919"/>
                </a:lnTo>
                <a:lnTo>
                  <a:pt x="758292" y="10097"/>
                </a:lnTo>
                <a:lnTo>
                  <a:pt x="758974" y="10276"/>
                </a:lnTo>
                <a:lnTo>
                  <a:pt x="759655" y="10457"/>
                </a:lnTo>
                <a:lnTo>
                  <a:pt x="760336" y="10639"/>
                </a:lnTo>
                <a:lnTo>
                  <a:pt x="761018" y="10823"/>
                </a:lnTo>
                <a:lnTo>
                  <a:pt x="761699" y="11009"/>
                </a:lnTo>
                <a:lnTo>
                  <a:pt x="762380" y="11196"/>
                </a:lnTo>
                <a:lnTo>
                  <a:pt x="763061" y="11385"/>
                </a:lnTo>
                <a:lnTo>
                  <a:pt x="763743" y="11575"/>
                </a:lnTo>
                <a:lnTo>
                  <a:pt x="764424" y="11767"/>
                </a:lnTo>
                <a:lnTo>
                  <a:pt x="765105" y="11960"/>
                </a:lnTo>
                <a:lnTo>
                  <a:pt x="765787" y="12155"/>
                </a:lnTo>
                <a:lnTo>
                  <a:pt x="766468" y="12351"/>
                </a:lnTo>
                <a:lnTo>
                  <a:pt x="767149" y="12549"/>
                </a:lnTo>
                <a:lnTo>
                  <a:pt x="767831" y="12749"/>
                </a:lnTo>
                <a:lnTo>
                  <a:pt x="768512" y="12950"/>
                </a:lnTo>
                <a:lnTo>
                  <a:pt x="769193" y="13153"/>
                </a:lnTo>
                <a:lnTo>
                  <a:pt x="769875" y="13357"/>
                </a:lnTo>
                <a:lnTo>
                  <a:pt x="770556" y="13563"/>
                </a:lnTo>
                <a:lnTo>
                  <a:pt x="771237" y="13771"/>
                </a:lnTo>
                <a:lnTo>
                  <a:pt x="771918" y="13980"/>
                </a:lnTo>
                <a:lnTo>
                  <a:pt x="772600" y="14190"/>
                </a:lnTo>
                <a:lnTo>
                  <a:pt x="773281" y="14403"/>
                </a:lnTo>
                <a:lnTo>
                  <a:pt x="773962" y="14616"/>
                </a:lnTo>
                <a:lnTo>
                  <a:pt x="774644" y="14832"/>
                </a:lnTo>
                <a:lnTo>
                  <a:pt x="775325" y="15048"/>
                </a:lnTo>
                <a:lnTo>
                  <a:pt x="776006" y="15267"/>
                </a:lnTo>
                <a:lnTo>
                  <a:pt x="776688" y="15487"/>
                </a:lnTo>
                <a:lnTo>
                  <a:pt x="777369" y="15708"/>
                </a:lnTo>
                <a:lnTo>
                  <a:pt x="778050" y="15932"/>
                </a:lnTo>
                <a:lnTo>
                  <a:pt x="778732" y="16156"/>
                </a:lnTo>
                <a:lnTo>
                  <a:pt x="779413" y="16382"/>
                </a:lnTo>
                <a:lnTo>
                  <a:pt x="780094" y="16610"/>
                </a:lnTo>
                <a:lnTo>
                  <a:pt x="780775" y="16840"/>
                </a:lnTo>
                <a:lnTo>
                  <a:pt x="781457" y="17071"/>
                </a:lnTo>
                <a:lnTo>
                  <a:pt x="782138" y="17303"/>
                </a:lnTo>
                <a:lnTo>
                  <a:pt x="782819" y="17537"/>
                </a:lnTo>
                <a:lnTo>
                  <a:pt x="783501" y="17773"/>
                </a:lnTo>
                <a:lnTo>
                  <a:pt x="784182" y="18010"/>
                </a:lnTo>
                <a:lnTo>
                  <a:pt x="784863" y="18249"/>
                </a:lnTo>
                <a:lnTo>
                  <a:pt x="785545" y="18489"/>
                </a:lnTo>
                <a:lnTo>
                  <a:pt x="786226" y="18731"/>
                </a:lnTo>
                <a:lnTo>
                  <a:pt x="786907" y="18974"/>
                </a:lnTo>
                <a:lnTo>
                  <a:pt x="787588" y="19219"/>
                </a:lnTo>
                <a:lnTo>
                  <a:pt x="788270" y="19466"/>
                </a:lnTo>
                <a:lnTo>
                  <a:pt x="788951" y="19714"/>
                </a:lnTo>
                <a:lnTo>
                  <a:pt x="789632" y="19963"/>
                </a:lnTo>
                <a:lnTo>
                  <a:pt x="790314" y="20214"/>
                </a:lnTo>
                <a:lnTo>
                  <a:pt x="790995" y="20467"/>
                </a:lnTo>
                <a:lnTo>
                  <a:pt x="791676" y="20721"/>
                </a:lnTo>
                <a:lnTo>
                  <a:pt x="792358" y="20977"/>
                </a:lnTo>
                <a:lnTo>
                  <a:pt x="793039" y="21235"/>
                </a:lnTo>
                <a:lnTo>
                  <a:pt x="793720" y="21494"/>
                </a:lnTo>
                <a:lnTo>
                  <a:pt x="794402" y="21754"/>
                </a:lnTo>
                <a:lnTo>
                  <a:pt x="795083" y="22016"/>
                </a:lnTo>
                <a:lnTo>
                  <a:pt x="795764" y="22280"/>
                </a:lnTo>
                <a:lnTo>
                  <a:pt x="796445" y="22545"/>
                </a:lnTo>
                <a:lnTo>
                  <a:pt x="797127" y="22812"/>
                </a:lnTo>
                <a:lnTo>
                  <a:pt x="797808" y="23080"/>
                </a:lnTo>
                <a:lnTo>
                  <a:pt x="798489" y="23350"/>
                </a:lnTo>
                <a:lnTo>
                  <a:pt x="799171" y="23621"/>
                </a:lnTo>
                <a:lnTo>
                  <a:pt x="799852" y="23894"/>
                </a:lnTo>
                <a:lnTo>
                  <a:pt x="800533" y="24169"/>
                </a:lnTo>
                <a:lnTo>
                  <a:pt x="801215" y="24445"/>
                </a:lnTo>
                <a:lnTo>
                  <a:pt x="801896" y="24723"/>
                </a:lnTo>
                <a:lnTo>
                  <a:pt x="802577" y="25002"/>
                </a:lnTo>
                <a:lnTo>
                  <a:pt x="803259" y="25282"/>
                </a:lnTo>
                <a:lnTo>
                  <a:pt x="803940" y="25565"/>
                </a:lnTo>
                <a:lnTo>
                  <a:pt x="804621" y="25849"/>
                </a:lnTo>
                <a:lnTo>
                  <a:pt x="805302" y="26134"/>
                </a:lnTo>
                <a:lnTo>
                  <a:pt x="805984" y="26421"/>
                </a:lnTo>
                <a:lnTo>
                  <a:pt x="806665" y="26709"/>
                </a:lnTo>
                <a:lnTo>
                  <a:pt x="807346" y="26999"/>
                </a:lnTo>
                <a:lnTo>
                  <a:pt x="808028" y="27291"/>
                </a:lnTo>
                <a:lnTo>
                  <a:pt x="808709" y="27584"/>
                </a:lnTo>
                <a:lnTo>
                  <a:pt x="809390" y="27879"/>
                </a:lnTo>
                <a:lnTo>
                  <a:pt x="810072" y="28175"/>
                </a:lnTo>
                <a:lnTo>
                  <a:pt x="810753" y="28473"/>
                </a:lnTo>
                <a:lnTo>
                  <a:pt x="811434" y="28772"/>
                </a:lnTo>
                <a:lnTo>
                  <a:pt x="812115" y="29073"/>
                </a:lnTo>
                <a:lnTo>
                  <a:pt x="812797" y="29375"/>
                </a:lnTo>
                <a:lnTo>
                  <a:pt x="813478" y="29679"/>
                </a:lnTo>
                <a:lnTo>
                  <a:pt x="814159" y="29984"/>
                </a:lnTo>
                <a:lnTo>
                  <a:pt x="814841" y="30291"/>
                </a:lnTo>
                <a:lnTo>
                  <a:pt x="815522" y="30600"/>
                </a:lnTo>
                <a:lnTo>
                  <a:pt x="816203" y="30910"/>
                </a:lnTo>
                <a:lnTo>
                  <a:pt x="816885" y="31222"/>
                </a:lnTo>
                <a:lnTo>
                  <a:pt x="817566" y="31535"/>
                </a:lnTo>
                <a:lnTo>
                  <a:pt x="818247" y="31850"/>
                </a:lnTo>
                <a:lnTo>
                  <a:pt x="818929" y="32166"/>
                </a:lnTo>
                <a:lnTo>
                  <a:pt x="819610" y="32484"/>
                </a:lnTo>
                <a:lnTo>
                  <a:pt x="820291" y="32803"/>
                </a:lnTo>
                <a:lnTo>
                  <a:pt x="820972" y="33124"/>
                </a:lnTo>
                <a:lnTo>
                  <a:pt x="821654" y="33446"/>
                </a:lnTo>
                <a:lnTo>
                  <a:pt x="822335" y="33770"/>
                </a:lnTo>
                <a:lnTo>
                  <a:pt x="823016" y="34096"/>
                </a:lnTo>
                <a:lnTo>
                  <a:pt x="823698" y="34423"/>
                </a:lnTo>
                <a:lnTo>
                  <a:pt x="824379" y="34751"/>
                </a:lnTo>
                <a:lnTo>
                  <a:pt x="825060" y="35082"/>
                </a:lnTo>
                <a:lnTo>
                  <a:pt x="825742" y="35413"/>
                </a:lnTo>
                <a:lnTo>
                  <a:pt x="826423" y="35746"/>
                </a:lnTo>
                <a:lnTo>
                  <a:pt x="827104" y="36081"/>
                </a:lnTo>
                <a:lnTo>
                  <a:pt x="827786" y="36417"/>
                </a:lnTo>
                <a:lnTo>
                  <a:pt x="828467" y="36755"/>
                </a:lnTo>
                <a:lnTo>
                  <a:pt x="829148" y="37095"/>
                </a:lnTo>
                <a:lnTo>
                  <a:pt x="829829" y="37435"/>
                </a:lnTo>
                <a:lnTo>
                  <a:pt x="830511" y="37778"/>
                </a:lnTo>
                <a:lnTo>
                  <a:pt x="831192" y="38122"/>
                </a:lnTo>
                <a:lnTo>
                  <a:pt x="831873" y="38467"/>
                </a:lnTo>
                <a:lnTo>
                  <a:pt x="832555" y="38814"/>
                </a:lnTo>
                <a:lnTo>
                  <a:pt x="833236" y="39163"/>
                </a:lnTo>
                <a:lnTo>
                  <a:pt x="833917" y="39513"/>
                </a:lnTo>
                <a:lnTo>
                  <a:pt x="834599" y="39865"/>
                </a:lnTo>
                <a:lnTo>
                  <a:pt x="835280" y="40218"/>
                </a:lnTo>
                <a:lnTo>
                  <a:pt x="835961" y="40572"/>
                </a:lnTo>
                <a:lnTo>
                  <a:pt x="836642" y="40928"/>
                </a:lnTo>
                <a:lnTo>
                  <a:pt x="837324" y="41286"/>
                </a:lnTo>
                <a:lnTo>
                  <a:pt x="838005" y="41645"/>
                </a:lnTo>
                <a:lnTo>
                  <a:pt x="838686" y="42006"/>
                </a:lnTo>
                <a:lnTo>
                  <a:pt x="839368" y="42369"/>
                </a:lnTo>
                <a:lnTo>
                  <a:pt x="840049" y="42732"/>
                </a:lnTo>
                <a:lnTo>
                  <a:pt x="840730" y="43098"/>
                </a:lnTo>
                <a:lnTo>
                  <a:pt x="841412" y="43465"/>
                </a:lnTo>
                <a:lnTo>
                  <a:pt x="842093" y="43833"/>
                </a:lnTo>
                <a:lnTo>
                  <a:pt x="842774" y="44203"/>
                </a:lnTo>
                <a:lnTo>
                  <a:pt x="843456" y="44574"/>
                </a:lnTo>
                <a:lnTo>
                  <a:pt x="844137" y="44947"/>
                </a:lnTo>
                <a:lnTo>
                  <a:pt x="844818" y="45322"/>
                </a:lnTo>
                <a:lnTo>
                  <a:pt x="845499" y="45698"/>
                </a:lnTo>
                <a:lnTo>
                  <a:pt x="846181" y="46076"/>
                </a:lnTo>
                <a:lnTo>
                  <a:pt x="846862" y="46455"/>
                </a:lnTo>
                <a:lnTo>
                  <a:pt x="847543" y="46835"/>
                </a:lnTo>
                <a:lnTo>
                  <a:pt x="848225" y="47217"/>
                </a:lnTo>
                <a:lnTo>
                  <a:pt x="848906" y="47601"/>
                </a:lnTo>
                <a:lnTo>
                  <a:pt x="849587" y="47986"/>
                </a:lnTo>
                <a:lnTo>
                  <a:pt x="850269" y="48373"/>
                </a:lnTo>
                <a:lnTo>
                  <a:pt x="850950" y="48761"/>
                </a:lnTo>
                <a:lnTo>
                  <a:pt x="851631" y="49151"/>
                </a:lnTo>
                <a:lnTo>
                  <a:pt x="852312" y="49542"/>
                </a:lnTo>
                <a:lnTo>
                  <a:pt x="852994" y="49935"/>
                </a:lnTo>
                <a:lnTo>
                  <a:pt x="853675" y="50329"/>
                </a:lnTo>
                <a:lnTo>
                  <a:pt x="854356" y="50725"/>
                </a:lnTo>
                <a:lnTo>
                  <a:pt x="855038" y="51122"/>
                </a:lnTo>
                <a:lnTo>
                  <a:pt x="855719" y="51521"/>
                </a:lnTo>
                <a:lnTo>
                  <a:pt x="856400" y="51921"/>
                </a:lnTo>
                <a:lnTo>
                  <a:pt x="857082" y="52323"/>
                </a:lnTo>
                <a:lnTo>
                  <a:pt x="857763" y="52727"/>
                </a:lnTo>
                <a:lnTo>
                  <a:pt x="858444" y="53131"/>
                </a:lnTo>
                <a:lnTo>
                  <a:pt x="859126" y="53538"/>
                </a:lnTo>
                <a:lnTo>
                  <a:pt x="859807" y="53946"/>
                </a:lnTo>
                <a:lnTo>
                  <a:pt x="860488" y="54355"/>
                </a:lnTo>
                <a:lnTo>
                  <a:pt x="861169" y="54766"/>
                </a:lnTo>
                <a:lnTo>
                  <a:pt x="861851" y="55179"/>
                </a:lnTo>
                <a:lnTo>
                  <a:pt x="862532" y="55593"/>
                </a:lnTo>
                <a:lnTo>
                  <a:pt x="863213" y="56008"/>
                </a:lnTo>
                <a:lnTo>
                  <a:pt x="863895" y="56425"/>
                </a:lnTo>
                <a:lnTo>
                  <a:pt x="864576" y="56844"/>
                </a:lnTo>
                <a:lnTo>
                  <a:pt x="865257" y="57264"/>
                </a:lnTo>
                <a:lnTo>
                  <a:pt x="865939" y="57685"/>
                </a:lnTo>
                <a:lnTo>
                  <a:pt x="866620" y="58108"/>
                </a:lnTo>
                <a:lnTo>
                  <a:pt x="867301" y="58533"/>
                </a:lnTo>
                <a:lnTo>
                  <a:pt x="867983" y="58959"/>
                </a:lnTo>
                <a:lnTo>
                  <a:pt x="868664" y="59386"/>
                </a:lnTo>
                <a:lnTo>
                  <a:pt x="869345" y="59815"/>
                </a:lnTo>
                <a:lnTo>
                  <a:pt x="870026" y="60246"/>
                </a:lnTo>
                <a:lnTo>
                  <a:pt x="870708" y="60678"/>
                </a:lnTo>
                <a:lnTo>
                  <a:pt x="871389" y="61111"/>
                </a:lnTo>
                <a:lnTo>
                  <a:pt x="872070" y="61546"/>
                </a:lnTo>
                <a:lnTo>
                  <a:pt x="872752" y="61983"/>
                </a:lnTo>
                <a:lnTo>
                  <a:pt x="873433" y="62421"/>
                </a:lnTo>
                <a:lnTo>
                  <a:pt x="874114" y="62861"/>
                </a:lnTo>
                <a:lnTo>
                  <a:pt x="874796" y="63302"/>
                </a:lnTo>
                <a:lnTo>
                  <a:pt x="875477" y="63744"/>
                </a:lnTo>
                <a:lnTo>
                  <a:pt x="876158" y="64188"/>
                </a:lnTo>
                <a:lnTo>
                  <a:pt x="876839" y="64634"/>
                </a:lnTo>
                <a:lnTo>
                  <a:pt x="877521" y="65081"/>
                </a:lnTo>
                <a:lnTo>
                  <a:pt x="878202" y="65529"/>
                </a:lnTo>
                <a:lnTo>
                  <a:pt x="878883" y="65979"/>
                </a:lnTo>
                <a:lnTo>
                  <a:pt x="879565" y="66431"/>
                </a:lnTo>
                <a:lnTo>
                  <a:pt x="880246" y="66884"/>
                </a:lnTo>
                <a:lnTo>
                  <a:pt x="880927" y="67338"/>
                </a:lnTo>
                <a:lnTo>
                  <a:pt x="881609" y="67795"/>
                </a:lnTo>
                <a:lnTo>
                  <a:pt x="882290" y="68252"/>
                </a:lnTo>
                <a:lnTo>
                  <a:pt x="882971" y="68711"/>
                </a:lnTo>
                <a:lnTo>
                  <a:pt x="883653" y="69172"/>
                </a:lnTo>
                <a:lnTo>
                  <a:pt x="884334" y="69634"/>
                </a:lnTo>
                <a:lnTo>
                  <a:pt x="885015" y="70097"/>
                </a:lnTo>
                <a:lnTo>
                  <a:pt x="885696" y="70562"/>
                </a:lnTo>
                <a:lnTo>
                  <a:pt x="886378" y="71029"/>
                </a:lnTo>
                <a:lnTo>
                  <a:pt x="887059" y="71496"/>
                </a:lnTo>
                <a:lnTo>
                  <a:pt x="887740" y="71966"/>
                </a:lnTo>
                <a:lnTo>
                  <a:pt x="888422" y="72437"/>
                </a:lnTo>
                <a:lnTo>
                  <a:pt x="889103" y="72909"/>
                </a:lnTo>
                <a:lnTo>
                  <a:pt x="889784" y="73383"/>
                </a:lnTo>
                <a:lnTo>
                  <a:pt x="890466" y="73859"/>
                </a:lnTo>
                <a:lnTo>
                  <a:pt x="891147" y="74336"/>
                </a:lnTo>
                <a:lnTo>
                  <a:pt x="891828" y="74814"/>
                </a:lnTo>
                <a:lnTo>
                  <a:pt x="892510" y="75294"/>
                </a:lnTo>
                <a:lnTo>
                  <a:pt x="893191" y="75775"/>
                </a:lnTo>
                <a:lnTo>
                  <a:pt x="893872" y="76258"/>
                </a:lnTo>
                <a:lnTo>
                  <a:pt x="894553" y="76742"/>
                </a:lnTo>
                <a:lnTo>
                  <a:pt x="895235" y="77228"/>
                </a:lnTo>
                <a:lnTo>
                  <a:pt x="895916" y="77715"/>
                </a:lnTo>
                <a:lnTo>
                  <a:pt x="896597" y="78204"/>
                </a:lnTo>
                <a:lnTo>
                  <a:pt x="897279" y="78694"/>
                </a:lnTo>
                <a:lnTo>
                  <a:pt x="897960" y="79186"/>
                </a:lnTo>
                <a:lnTo>
                  <a:pt x="898641" y="79679"/>
                </a:lnTo>
                <a:lnTo>
                  <a:pt x="899323" y="80174"/>
                </a:lnTo>
                <a:lnTo>
                  <a:pt x="900004" y="80670"/>
                </a:lnTo>
                <a:lnTo>
                  <a:pt x="900685" y="81168"/>
                </a:lnTo>
                <a:lnTo>
                  <a:pt x="901366" y="81667"/>
                </a:lnTo>
                <a:lnTo>
                  <a:pt x="902048" y="82167"/>
                </a:lnTo>
                <a:lnTo>
                  <a:pt x="902729" y="82669"/>
                </a:lnTo>
                <a:lnTo>
                  <a:pt x="903410" y="83173"/>
                </a:lnTo>
                <a:lnTo>
                  <a:pt x="904092" y="83678"/>
                </a:lnTo>
                <a:lnTo>
                  <a:pt x="904773" y="84184"/>
                </a:lnTo>
                <a:lnTo>
                  <a:pt x="905454" y="84692"/>
                </a:lnTo>
                <a:lnTo>
                  <a:pt x="906136" y="85202"/>
                </a:lnTo>
                <a:lnTo>
                  <a:pt x="906817" y="85713"/>
                </a:lnTo>
                <a:lnTo>
                  <a:pt x="907498" y="86225"/>
                </a:lnTo>
                <a:lnTo>
                  <a:pt x="908180" y="86739"/>
                </a:lnTo>
                <a:lnTo>
                  <a:pt x="908861" y="87254"/>
                </a:lnTo>
                <a:lnTo>
                  <a:pt x="909542" y="87771"/>
                </a:lnTo>
                <a:lnTo>
                  <a:pt x="910223" y="88289"/>
                </a:lnTo>
                <a:lnTo>
                  <a:pt x="910905" y="88809"/>
                </a:lnTo>
                <a:lnTo>
                  <a:pt x="911586" y="89330"/>
                </a:lnTo>
                <a:lnTo>
                  <a:pt x="912267" y="89853"/>
                </a:lnTo>
                <a:lnTo>
                  <a:pt x="912949" y="90377"/>
                </a:lnTo>
                <a:lnTo>
                  <a:pt x="913630" y="90902"/>
                </a:lnTo>
                <a:lnTo>
                  <a:pt x="914311" y="91429"/>
                </a:lnTo>
                <a:lnTo>
                  <a:pt x="914993" y="91958"/>
                </a:lnTo>
                <a:lnTo>
                  <a:pt x="915674" y="92488"/>
                </a:lnTo>
                <a:lnTo>
                  <a:pt x="916355" y="93019"/>
                </a:lnTo>
                <a:lnTo>
                  <a:pt x="917037" y="93552"/>
                </a:lnTo>
                <a:lnTo>
                  <a:pt x="917718" y="94086"/>
                </a:lnTo>
                <a:lnTo>
                  <a:pt x="918399" y="94622"/>
                </a:lnTo>
                <a:lnTo>
                  <a:pt x="919080" y="95159"/>
                </a:lnTo>
                <a:lnTo>
                  <a:pt x="919762" y="95698"/>
                </a:lnTo>
                <a:lnTo>
                  <a:pt x="920443" y="96238"/>
                </a:lnTo>
                <a:lnTo>
                  <a:pt x="921124" y="96780"/>
                </a:lnTo>
                <a:lnTo>
                  <a:pt x="921806" y="97323"/>
                </a:lnTo>
                <a:lnTo>
                  <a:pt x="922487" y="97868"/>
                </a:lnTo>
                <a:lnTo>
                  <a:pt x="923168" y="98414"/>
                </a:lnTo>
                <a:lnTo>
                  <a:pt x="923850" y="98961"/>
                </a:lnTo>
                <a:lnTo>
                  <a:pt x="924531" y="99510"/>
                </a:lnTo>
                <a:lnTo>
                  <a:pt x="925212" y="100060"/>
                </a:lnTo>
                <a:lnTo>
                  <a:pt x="925893" y="100612"/>
                </a:lnTo>
                <a:lnTo>
                  <a:pt x="926575" y="101165"/>
                </a:lnTo>
                <a:lnTo>
                  <a:pt x="927256" y="101720"/>
                </a:lnTo>
                <a:lnTo>
                  <a:pt x="927937" y="102276"/>
                </a:lnTo>
                <a:lnTo>
                  <a:pt x="928619" y="102834"/>
                </a:lnTo>
                <a:lnTo>
                  <a:pt x="929300" y="103393"/>
                </a:lnTo>
                <a:lnTo>
                  <a:pt x="929981" y="103953"/>
                </a:lnTo>
                <a:lnTo>
                  <a:pt x="930663" y="104515"/>
                </a:lnTo>
                <a:lnTo>
                  <a:pt x="931344" y="105079"/>
                </a:lnTo>
                <a:lnTo>
                  <a:pt x="932025" y="105643"/>
                </a:lnTo>
                <a:lnTo>
                  <a:pt x="932707" y="106210"/>
                </a:lnTo>
                <a:lnTo>
                  <a:pt x="933388" y="106777"/>
                </a:lnTo>
                <a:lnTo>
                  <a:pt x="934069" y="107347"/>
                </a:lnTo>
                <a:lnTo>
                  <a:pt x="934750" y="107917"/>
                </a:lnTo>
                <a:lnTo>
                  <a:pt x="935432" y="108489"/>
                </a:lnTo>
                <a:lnTo>
                  <a:pt x="936113" y="109063"/>
                </a:lnTo>
                <a:lnTo>
                  <a:pt x="936794" y="109638"/>
                </a:lnTo>
                <a:lnTo>
                  <a:pt x="937476" y="110214"/>
                </a:lnTo>
                <a:lnTo>
                  <a:pt x="938157" y="110792"/>
                </a:lnTo>
                <a:lnTo>
                  <a:pt x="938838" y="111371"/>
                </a:lnTo>
                <a:lnTo>
                  <a:pt x="939520" y="111952"/>
                </a:lnTo>
                <a:lnTo>
                  <a:pt x="940201" y="112534"/>
                </a:lnTo>
                <a:lnTo>
                  <a:pt x="940882" y="113117"/>
                </a:lnTo>
                <a:lnTo>
                  <a:pt x="941563" y="113702"/>
                </a:lnTo>
                <a:lnTo>
                  <a:pt x="942245" y="114289"/>
                </a:lnTo>
                <a:lnTo>
                  <a:pt x="942926" y="114877"/>
                </a:lnTo>
                <a:lnTo>
                  <a:pt x="943607" y="115466"/>
                </a:lnTo>
                <a:lnTo>
                  <a:pt x="944289" y="116057"/>
                </a:lnTo>
                <a:lnTo>
                  <a:pt x="944970" y="116649"/>
                </a:lnTo>
                <a:lnTo>
                  <a:pt x="945651" y="117242"/>
                </a:lnTo>
                <a:lnTo>
                  <a:pt x="946333" y="117837"/>
                </a:lnTo>
                <a:lnTo>
                  <a:pt x="947014" y="118434"/>
                </a:lnTo>
                <a:lnTo>
                  <a:pt x="947695" y="119032"/>
                </a:lnTo>
                <a:lnTo>
                  <a:pt x="948377" y="119631"/>
                </a:lnTo>
                <a:lnTo>
                  <a:pt x="949058" y="120232"/>
                </a:lnTo>
                <a:lnTo>
                  <a:pt x="949739" y="120834"/>
                </a:lnTo>
                <a:lnTo>
                  <a:pt x="950420" y="121437"/>
                </a:lnTo>
                <a:lnTo>
                  <a:pt x="951102" y="122042"/>
                </a:lnTo>
                <a:lnTo>
                  <a:pt x="951783" y="122649"/>
                </a:lnTo>
                <a:lnTo>
                  <a:pt x="952464" y="123257"/>
                </a:lnTo>
                <a:lnTo>
                  <a:pt x="953146" y="123866"/>
                </a:lnTo>
                <a:lnTo>
                  <a:pt x="953827" y="124477"/>
                </a:lnTo>
                <a:lnTo>
                  <a:pt x="954508" y="125089"/>
                </a:lnTo>
                <a:lnTo>
                  <a:pt x="955190" y="125702"/>
                </a:lnTo>
                <a:lnTo>
                  <a:pt x="955871" y="126317"/>
                </a:lnTo>
                <a:lnTo>
                  <a:pt x="956552" y="126933"/>
                </a:lnTo>
                <a:lnTo>
                  <a:pt x="957234" y="127551"/>
                </a:lnTo>
                <a:lnTo>
                  <a:pt x="957915" y="128170"/>
                </a:lnTo>
                <a:lnTo>
                  <a:pt x="958596" y="128791"/>
                </a:lnTo>
                <a:lnTo>
                  <a:pt x="959277" y="129413"/>
                </a:lnTo>
                <a:lnTo>
                  <a:pt x="959959" y="130036"/>
                </a:lnTo>
                <a:lnTo>
                  <a:pt x="960640" y="130661"/>
                </a:lnTo>
                <a:lnTo>
                  <a:pt x="961321" y="131288"/>
                </a:lnTo>
                <a:lnTo>
                  <a:pt x="962003" y="131915"/>
                </a:lnTo>
                <a:lnTo>
                  <a:pt x="962684" y="132544"/>
                </a:lnTo>
                <a:lnTo>
                  <a:pt x="963365" y="133175"/>
                </a:lnTo>
                <a:lnTo>
                  <a:pt x="964047" y="133807"/>
                </a:lnTo>
                <a:lnTo>
                  <a:pt x="964728" y="134440"/>
                </a:lnTo>
                <a:lnTo>
                  <a:pt x="965409" y="135075"/>
                </a:lnTo>
                <a:lnTo>
                  <a:pt x="966090" y="135711"/>
                </a:lnTo>
                <a:lnTo>
                  <a:pt x="966772" y="136348"/>
                </a:lnTo>
                <a:lnTo>
                  <a:pt x="967453" y="136987"/>
                </a:lnTo>
                <a:lnTo>
                  <a:pt x="968134" y="137628"/>
                </a:lnTo>
                <a:lnTo>
                  <a:pt x="968816" y="138269"/>
                </a:lnTo>
                <a:lnTo>
                  <a:pt x="969497" y="138912"/>
                </a:lnTo>
                <a:lnTo>
                  <a:pt x="970178" y="139557"/>
                </a:lnTo>
                <a:lnTo>
                  <a:pt x="970860" y="140203"/>
                </a:lnTo>
                <a:lnTo>
                  <a:pt x="971541" y="140850"/>
                </a:lnTo>
                <a:lnTo>
                  <a:pt x="972222" y="141499"/>
                </a:lnTo>
                <a:lnTo>
                  <a:pt x="972904" y="142149"/>
                </a:lnTo>
                <a:lnTo>
                  <a:pt x="973585" y="142801"/>
                </a:lnTo>
                <a:lnTo>
                  <a:pt x="974266" y="143453"/>
                </a:lnTo>
                <a:lnTo>
                  <a:pt x="974947" y="144108"/>
                </a:lnTo>
                <a:lnTo>
                  <a:pt x="975629" y="144763"/>
                </a:lnTo>
                <a:lnTo>
                  <a:pt x="976310" y="145421"/>
                </a:lnTo>
                <a:lnTo>
                  <a:pt x="976991" y="146079"/>
                </a:lnTo>
                <a:lnTo>
                  <a:pt x="977673" y="146739"/>
                </a:lnTo>
                <a:lnTo>
                  <a:pt x="978354" y="147400"/>
                </a:lnTo>
                <a:lnTo>
                  <a:pt x="979035" y="148063"/>
                </a:lnTo>
                <a:lnTo>
                  <a:pt x="979717" y="148727"/>
                </a:lnTo>
                <a:lnTo>
                  <a:pt x="980398" y="149392"/>
                </a:lnTo>
                <a:lnTo>
                  <a:pt x="981079" y="150059"/>
                </a:lnTo>
                <a:lnTo>
                  <a:pt x="981761" y="150727"/>
                </a:lnTo>
                <a:lnTo>
                  <a:pt x="982442" y="151397"/>
                </a:lnTo>
                <a:lnTo>
                  <a:pt x="983123" y="152068"/>
                </a:lnTo>
                <a:lnTo>
                  <a:pt x="983804" y="152740"/>
                </a:lnTo>
                <a:lnTo>
                  <a:pt x="984486" y="153414"/>
                </a:lnTo>
                <a:lnTo>
                  <a:pt x="985167" y="154089"/>
                </a:lnTo>
                <a:lnTo>
                  <a:pt x="985848" y="154766"/>
                </a:lnTo>
                <a:lnTo>
                  <a:pt x="986530" y="155444"/>
                </a:lnTo>
                <a:lnTo>
                  <a:pt x="987211" y="156123"/>
                </a:lnTo>
                <a:lnTo>
                  <a:pt x="987892" y="156804"/>
                </a:lnTo>
                <a:lnTo>
                  <a:pt x="988574" y="157486"/>
                </a:lnTo>
                <a:lnTo>
                  <a:pt x="989255" y="158169"/>
                </a:lnTo>
                <a:lnTo>
                  <a:pt x="989936" y="158854"/>
                </a:lnTo>
                <a:lnTo>
                  <a:pt x="990617" y="159540"/>
                </a:lnTo>
                <a:lnTo>
                  <a:pt x="991299" y="160228"/>
                </a:lnTo>
                <a:lnTo>
                  <a:pt x="991980" y="160916"/>
                </a:lnTo>
                <a:lnTo>
                  <a:pt x="992661" y="161607"/>
                </a:lnTo>
                <a:lnTo>
                  <a:pt x="993343" y="162298"/>
                </a:lnTo>
                <a:lnTo>
                  <a:pt x="994024" y="162991"/>
                </a:lnTo>
                <a:lnTo>
                  <a:pt x="994705" y="163686"/>
                </a:lnTo>
                <a:lnTo>
                  <a:pt x="995387" y="164382"/>
                </a:lnTo>
                <a:lnTo>
                  <a:pt x="996068" y="165079"/>
                </a:lnTo>
                <a:lnTo>
                  <a:pt x="996749" y="165777"/>
                </a:lnTo>
                <a:lnTo>
                  <a:pt x="997431" y="166477"/>
                </a:lnTo>
                <a:lnTo>
                  <a:pt x="998112" y="167178"/>
                </a:lnTo>
                <a:lnTo>
                  <a:pt x="998793" y="167881"/>
                </a:lnTo>
                <a:lnTo>
                  <a:pt x="999474" y="168585"/>
                </a:lnTo>
                <a:lnTo>
                  <a:pt x="1000156" y="169290"/>
                </a:lnTo>
                <a:lnTo>
                  <a:pt x="1000837" y="169997"/>
                </a:lnTo>
                <a:lnTo>
                  <a:pt x="1001518" y="170705"/>
                </a:lnTo>
                <a:lnTo>
                  <a:pt x="1002200" y="171414"/>
                </a:lnTo>
                <a:lnTo>
                  <a:pt x="1002881" y="172125"/>
                </a:lnTo>
                <a:lnTo>
                  <a:pt x="1003562" y="172837"/>
                </a:lnTo>
                <a:lnTo>
                  <a:pt x="1004244" y="173551"/>
                </a:lnTo>
                <a:lnTo>
                  <a:pt x="1004925" y="174265"/>
                </a:lnTo>
                <a:lnTo>
                  <a:pt x="1005606" y="174982"/>
                </a:lnTo>
                <a:lnTo>
                  <a:pt x="1006288" y="175699"/>
                </a:lnTo>
                <a:lnTo>
                  <a:pt x="1006969" y="176418"/>
                </a:lnTo>
                <a:lnTo>
                  <a:pt x="1007650" y="177138"/>
                </a:lnTo>
                <a:lnTo>
                  <a:pt x="1008331" y="177860"/>
                </a:lnTo>
                <a:lnTo>
                  <a:pt x="1009013" y="178583"/>
                </a:lnTo>
                <a:lnTo>
                  <a:pt x="1009694" y="179307"/>
                </a:lnTo>
                <a:lnTo>
                  <a:pt x="1010375" y="180033"/>
                </a:lnTo>
                <a:lnTo>
                  <a:pt x="1011057" y="180760"/>
                </a:lnTo>
                <a:lnTo>
                  <a:pt x="1011738" y="181488"/>
                </a:lnTo>
                <a:lnTo>
                  <a:pt x="1012419" y="182218"/>
                </a:lnTo>
                <a:lnTo>
                  <a:pt x="1013101" y="182949"/>
                </a:lnTo>
                <a:lnTo>
                  <a:pt x="1013782" y="183681"/>
                </a:lnTo>
                <a:lnTo>
                  <a:pt x="1014463" y="184415"/>
                </a:lnTo>
                <a:lnTo>
                  <a:pt x="1015144" y="185150"/>
                </a:lnTo>
                <a:lnTo>
                  <a:pt x="1015826" y="185886"/>
                </a:lnTo>
                <a:lnTo>
                  <a:pt x="1016507" y="186624"/>
                </a:lnTo>
                <a:lnTo>
                  <a:pt x="1017188" y="187363"/>
                </a:lnTo>
                <a:lnTo>
                  <a:pt x="1017870" y="188104"/>
                </a:lnTo>
                <a:lnTo>
                  <a:pt x="1018551" y="188845"/>
                </a:lnTo>
                <a:lnTo>
                  <a:pt x="1019232" y="189589"/>
                </a:lnTo>
                <a:lnTo>
                  <a:pt x="1019914" y="190333"/>
                </a:lnTo>
                <a:lnTo>
                  <a:pt x="1020595" y="191079"/>
                </a:lnTo>
                <a:lnTo>
                  <a:pt x="1021276" y="191826"/>
                </a:lnTo>
                <a:lnTo>
                  <a:pt x="1021958" y="192574"/>
                </a:lnTo>
                <a:lnTo>
                  <a:pt x="1022639" y="193324"/>
                </a:lnTo>
                <a:lnTo>
                  <a:pt x="1023320" y="194075"/>
                </a:lnTo>
                <a:lnTo>
                  <a:pt x="1024001" y="194828"/>
                </a:lnTo>
                <a:lnTo>
                  <a:pt x="1024683" y="195581"/>
                </a:lnTo>
                <a:lnTo>
                  <a:pt x="1025364" y="196336"/>
                </a:lnTo>
                <a:lnTo>
                  <a:pt x="1026045" y="197093"/>
                </a:lnTo>
                <a:lnTo>
                  <a:pt x="1026727" y="197851"/>
                </a:lnTo>
                <a:lnTo>
                  <a:pt x="1027408" y="198610"/>
                </a:lnTo>
                <a:lnTo>
                  <a:pt x="1028089" y="199370"/>
                </a:lnTo>
                <a:lnTo>
                  <a:pt x="1028771" y="200132"/>
                </a:lnTo>
                <a:lnTo>
                  <a:pt x="1029452" y="200895"/>
                </a:lnTo>
                <a:lnTo>
                  <a:pt x="1030133" y="201659"/>
                </a:lnTo>
                <a:lnTo>
                  <a:pt x="1030814" y="202425"/>
                </a:lnTo>
                <a:lnTo>
                  <a:pt x="1031496" y="203192"/>
                </a:lnTo>
                <a:lnTo>
                  <a:pt x="1032177" y="203960"/>
                </a:lnTo>
                <a:lnTo>
                  <a:pt x="1032858" y="204730"/>
                </a:lnTo>
                <a:lnTo>
                  <a:pt x="1033540" y="205501"/>
                </a:lnTo>
                <a:lnTo>
                  <a:pt x="1034221" y="206273"/>
                </a:lnTo>
                <a:lnTo>
                  <a:pt x="1034902" y="207047"/>
                </a:lnTo>
                <a:lnTo>
                  <a:pt x="1035584" y="207821"/>
                </a:lnTo>
                <a:lnTo>
                  <a:pt x="1036265" y="208598"/>
                </a:lnTo>
                <a:lnTo>
                  <a:pt x="1036946" y="209375"/>
                </a:lnTo>
                <a:lnTo>
                  <a:pt x="1037628" y="210154"/>
                </a:lnTo>
                <a:lnTo>
                  <a:pt x="1038309" y="210934"/>
                </a:lnTo>
                <a:lnTo>
                  <a:pt x="1038990" y="211715"/>
                </a:lnTo>
                <a:lnTo>
                  <a:pt x="1039671" y="212498"/>
                </a:lnTo>
                <a:lnTo>
                  <a:pt x="1040353" y="213282"/>
                </a:lnTo>
                <a:lnTo>
                  <a:pt x="1041034" y="214068"/>
                </a:lnTo>
                <a:lnTo>
                  <a:pt x="1041715" y="214854"/>
                </a:lnTo>
                <a:lnTo>
                  <a:pt x="1042397" y="215642"/>
                </a:lnTo>
                <a:lnTo>
                  <a:pt x="1043078" y="216432"/>
                </a:lnTo>
                <a:lnTo>
                  <a:pt x="1043759" y="217222"/>
                </a:lnTo>
                <a:lnTo>
                  <a:pt x="1044441" y="218014"/>
                </a:lnTo>
                <a:lnTo>
                  <a:pt x="1045122" y="218807"/>
                </a:lnTo>
                <a:lnTo>
                  <a:pt x="1045803" y="219602"/>
                </a:lnTo>
                <a:lnTo>
                  <a:pt x="1046485" y="220397"/>
                </a:lnTo>
                <a:lnTo>
                  <a:pt x="1047166" y="221194"/>
                </a:lnTo>
                <a:lnTo>
                  <a:pt x="1047847" y="221993"/>
                </a:lnTo>
                <a:lnTo>
                  <a:pt x="1048528" y="222792"/>
                </a:lnTo>
                <a:lnTo>
                  <a:pt x="1049210" y="223593"/>
                </a:lnTo>
                <a:lnTo>
                  <a:pt x="1049891" y="224396"/>
                </a:lnTo>
                <a:lnTo>
                  <a:pt x="1050572" y="225199"/>
                </a:lnTo>
                <a:lnTo>
                  <a:pt x="1051254" y="226004"/>
                </a:lnTo>
                <a:lnTo>
                  <a:pt x="1051935" y="226810"/>
                </a:lnTo>
                <a:lnTo>
                  <a:pt x="1052616" y="227617"/>
                </a:lnTo>
                <a:lnTo>
                  <a:pt x="1053298" y="228426"/>
                </a:lnTo>
                <a:lnTo>
                  <a:pt x="1053979" y="229236"/>
                </a:lnTo>
                <a:lnTo>
                  <a:pt x="1054660" y="230047"/>
                </a:lnTo>
                <a:lnTo>
                  <a:pt x="1055341" y="230860"/>
                </a:lnTo>
                <a:lnTo>
                  <a:pt x="1056023" y="231674"/>
                </a:lnTo>
                <a:lnTo>
                  <a:pt x="1056704" y="232489"/>
                </a:lnTo>
                <a:lnTo>
                  <a:pt x="1057385" y="233305"/>
                </a:lnTo>
                <a:lnTo>
                  <a:pt x="1058067" y="234123"/>
                </a:lnTo>
                <a:lnTo>
                  <a:pt x="1058748" y="234942"/>
                </a:lnTo>
                <a:lnTo>
                  <a:pt x="1059429" y="235762"/>
                </a:lnTo>
                <a:lnTo>
                  <a:pt x="1060111" y="236583"/>
                </a:lnTo>
                <a:lnTo>
                  <a:pt x="1060792" y="237406"/>
                </a:lnTo>
                <a:lnTo>
                  <a:pt x="1061473" y="238230"/>
                </a:lnTo>
                <a:lnTo>
                  <a:pt x="1062155" y="239055"/>
                </a:lnTo>
                <a:lnTo>
                  <a:pt x="1062836" y="239882"/>
                </a:lnTo>
                <a:lnTo>
                  <a:pt x="1063517" y="240710"/>
                </a:lnTo>
                <a:lnTo>
                  <a:pt x="1064198" y="241539"/>
                </a:lnTo>
                <a:lnTo>
                  <a:pt x="1064880" y="242369"/>
                </a:lnTo>
                <a:lnTo>
                  <a:pt x="1065561" y="243201"/>
                </a:lnTo>
                <a:lnTo>
                  <a:pt x="1066242" y="244034"/>
                </a:lnTo>
                <a:lnTo>
                  <a:pt x="1066924" y="244868"/>
                </a:lnTo>
                <a:lnTo>
                  <a:pt x="1067605" y="245704"/>
                </a:lnTo>
                <a:lnTo>
                  <a:pt x="1068286" y="246540"/>
                </a:lnTo>
                <a:lnTo>
                  <a:pt x="1068968" y="247378"/>
                </a:lnTo>
                <a:lnTo>
                  <a:pt x="1069649" y="248218"/>
                </a:lnTo>
                <a:lnTo>
                  <a:pt x="1070330" y="249058"/>
                </a:lnTo>
                <a:lnTo>
                  <a:pt x="1071012" y="249900"/>
                </a:lnTo>
                <a:lnTo>
                  <a:pt x="1071693" y="250743"/>
                </a:lnTo>
                <a:lnTo>
                  <a:pt x="1072374" y="251587"/>
                </a:lnTo>
                <a:lnTo>
                  <a:pt x="1073055" y="252433"/>
                </a:lnTo>
                <a:lnTo>
                  <a:pt x="1073737" y="253280"/>
                </a:lnTo>
                <a:lnTo>
                  <a:pt x="1074418" y="254128"/>
                </a:lnTo>
                <a:lnTo>
                  <a:pt x="1075099" y="254977"/>
                </a:lnTo>
                <a:lnTo>
                  <a:pt x="1075781" y="255827"/>
                </a:lnTo>
                <a:lnTo>
                  <a:pt x="1076462" y="256679"/>
                </a:lnTo>
                <a:lnTo>
                  <a:pt x="1077143" y="257532"/>
                </a:lnTo>
                <a:lnTo>
                  <a:pt x="1077825" y="258387"/>
                </a:lnTo>
                <a:lnTo>
                  <a:pt x="1078506" y="259242"/>
                </a:lnTo>
                <a:lnTo>
                  <a:pt x="1079187" y="260099"/>
                </a:lnTo>
                <a:lnTo>
                  <a:pt x="1079868" y="260957"/>
                </a:lnTo>
                <a:lnTo>
                  <a:pt x="1080550" y="261816"/>
                </a:lnTo>
                <a:lnTo>
                  <a:pt x="1081231" y="262677"/>
                </a:lnTo>
                <a:lnTo>
                  <a:pt x="1081912" y="263539"/>
                </a:lnTo>
                <a:lnTo>
                  <a:pt x="1082594" y="264402"/>
                </a:lnTo>
                <a:lnTo>
                  <a:pt x="1083275" y="265266"/>
                </a:lnTo>
                <a:lnTo>
                  <a:pt x="1083956" y="266131"/>
                </a:lnTo>
                <a:lnTo>
                  <a:pt x="1084638" y="266998"/>
                </a:lnTo>
                <a:lnTo>
                  <a:pt x="1085319" y="267866"/>
                </a:lnTo>
                <a:lnTo>
                  <a:pt x="1086000" y="268735"/>
                </a:lnTo>
                <a:lnTo>
                  <a:pt x="1086682" y="269606"/>
                </a:lnTo>
                <a:lnTo>
                  <a:pt x="1087363" y="270477"/>
                </a:lnTo>
                <a:lnTo>
                  <a:pt x="1088044" y="271350"/>
                </a:lnTo>
                <a:lnTo>
                  <a:pt x="1088725" y="272224"/>
                </a:lnTo>
                <a:lnTo>
                  <a:pt x="1089407" y="273100"/>
                </a:lnTo>
                <a:lnTo>
                  <a:pt x="1090088" y="273976"/>
                </a:lnTo>
                <a:lnTo>
                  <a:pt x="1090769" y="274854"/>
                </a:lnTo>
                <a:lnTo>
                  <a:pt x="1091451" y="275733"/>
                </a:lnTo>
                <a:lnTo>
                  <a:pt x="1092132" y="276614"/>
                </a:lnTo>
                <a:lnTo>
                  <a:pt x="1092813" y="277495"/>
                </a:lnTo>
                <a:lnTo>
                  <a:pt x="1093495" y="278378"/>
                </a:lnTo>
                <a:lnTo>
                  <a:pt x="1094176" y="279262"/>
                </a:lnTo>
                <a:lnTo>
                  <a:pt x="1094857" y="280147"/>
                </a:lnTo>
                <a:lnTo>
                  <a:pt x="1095539" y="281033"/>
                </a:lnTo>
                <a:lnTo>
                  <a:pt x="1096220" y="281921"/>
                </a:lnTo>
                <a:lnTo>
                  <a:pt x="1096901" y="282810"/>
                </a:lnTo>
                <a:lnTo>
                  <a:pt x="1097582" y="283700"/>
                </a:lnTo>
                <a:lnTo>
                  <a:pt x="1098264" y="284591"/>
                </a:lnTo>
                <a:lnTo>
                  <a:pt x="1098945" y="285484"/>
                </a:lnTo>
                <a:lnTo>
                  <a:pt x="1099626" y="286377"/>
                </a:lnTo>
                <a:lnTo>
                  <a:pt x="1100308" y="287272"/>
                </a:lnTo>
                <a:lnTo>
                  <a:pt x="1100989" y="288168"/>
                </a:lnTo>
                <a:lnTo>
                  <a:pt x="1101670" y="289066"/>
                </a:lnTo>
                <a:lnTo>
                  <a:pt x="1102352" y="289964"/>
                </a:lnTo>
                <a:lnTo>
                  <a:pt x="1103033" y="290864"/>
                </a:lnTo>
                <a:lnTo>
                  <a:pt x="1103714" y="291765"/>
                </a:lnTo>
                <a:lnTo>
                  <a:pt x="1104395" y="292667"/>
                </a:lnTo>
                <a:lnTo>
                  <a:pt x="1105077" y="293570"/>
                </a:lnTo>
                <a:lnTo>
                  <a:pt x="1105758" y="294475"/>
                </a:lnTo>
                <a:lnTo>
                  <a:pt x="1106439" y="295381"/>
                </a:lnTo>
                <a:lnTo>
                  <a:pt x="1107121" y="296288"/>
                </a:lnTo>
                <a:lnTo>
                  <a:pt x="1107802" y="297196"/>
                </a:lnTo>
                <a:lnTo>
                  <a:pt x="1108483" y="298105"/>
                </a:lnTo>
                <a:lnTo>
                  <a:pt x="1109165" y="299016"/>
                </a:lnTo>
                <a:lnTo>
                  <a:pt x="1109846" y="299927"/>
                </a:lnTo>
                <a:lnTo>
                  <a:pt x="1110527" y="300840"/>
                </a:lnTo>
                <a:lnTo>
                  <a:pt x="1111209" y="301755"/>
                </a:lnTo>
                <a:lnTo>
                  <a:pt x="1111890" y="302670"/>
                </a:lnTo>
                <a:lnTo>
                  <a:pt x="1112571" y="303586"/>
                </a:lnTo>
                <a:lnTo>
                  <a:pt x="1113252" y="304504"/>
                </a:lnTo>
                <a:lnTo>
                  <a:pt x="1113934" y="305423"/>
                </a:lnTo>
                <a:lnTo>
                  <a:pt x="1114615" y="306343"/>
                </a:lnTo>
                <a:lnTo>
                  <a:pt x="1115296" y="307264"/>
                </a:lnTo>
                <a:lnTo>
                  <a:pt x="1115978" y="308187"/>
                </a:lnTo>
                <a:lnTo>
                  <a:pt x="1116659" y="309111"/>
                </a:lnTo>
                <a:lnTo>
                  <a:pt x="1117340" y="310035"/>
                </a:lnTo>
                <a:lnTo>
                  <a:pt x="1118022" y="310961"/>
                </a:lnTo>
                <a:lnTo>
                  <a:pt x="1118703" y="311889"/>
                </a:lnTo>
                <a:lnTo>
                  <a:pt x="1119384" y="312817"/>
                </a:lnTo>
                <a:lnTo>
                  <a:pt x="1120065" y="313747"/>
                </a:lnTo>
                <a:lnTo>
                  <a:pt x="1120747" y="314677"/>
                </a:lnTo>
                <a:lnTo>
                  <a:pt x="1121428" y="315609"/>
                </a:lnTo>
                <a:lnTo>
                  <a:pt x="1122109" y="316542"/>
                </a:lnTo>
                <a:lnTo>
                  <a:pt x="1122791" y="317477"/>
                </a:lnTo>
                <a:lnTo>
                  <a:pt x="1123472" y="318412"/>
                </a:lnTo>
                <a:lnTo>
                  <a:pt x="1124153" y="319349"/>
                </a:lnTo>
                <a:lnTo>
                  <a:pt x="1124835" y="320287"/>
                </a:lnTo>
                <a:lnTo>
                  <a:pt x="1125516" y="321226"/>
                </a:lnTo>
                <a:lnTo>
                  <a:pt x="1126197" y="322166"/>
                </a:lnTo>
                <a:lnTo>
                  <a:pt x="1126879" y="323107"/>
                </a:lnTo>
                <a:lnTo>
                  <a:pt x="1127560" y="324049"/>
                </a:lnTo>
                <a:lnTo>
                  <a:pt x="1128241" y="324993"/>
                </a:lnTo>
                <a:lnTo>
                  <a:pt x="1128922" y="325938"/>
                </a:lnTo>
                <a:lnTo>
                  <a:pt x="1129604" y="326884"/>
                </a:lnTo>
                <a:lnTo>
                  <a:pt x="1130285" y="327831"/>
                </a:lnTo>
                <a:lnTo>
                  <a:pt x="1130966" y="328779"/>
                </a:lnTo>
                <a:lnTo>
                  <a:pt x="1131648" y="329729"/>
                </a:lnTo>
                <a:lnTo>
                  <a:pt x="1132329" y="330679"/>
                </a:lnTo>
                <a:lnTo>
                  <a:pt x="1133010" y="331631"/>
                </a:lnTo>
                <a:lnTo>
                  <a:pt x="1133692" y="332584"/>
                </a:lnTo>
                <a:lnTo>
                  <a:pt x="1134373" y="333538"/>
                </a:lnTo>
                <a:lnTo>
                  <a:pt x="1135054" y="334493"/>
                </a:lnTo>
                <a:lnTo>
                  <a:pt x="1135736" y="335450"/>
                </a:lnTo>
                <a:lnTo>
                  <a:pt x="1136417" y="336407"/>
                </a:lnTo>
                <a:lnTo>
                  <a:pt x="1137098" y="337366"/>
                </a:lnTo>
                <a:lnTo>
                  <a:pt x="1137779" y="338326"/>
                </a:lnTo>
                <a:lnTo>
                  <a:pt x="1138461" y="339287"/>
                </a:lnTo>
                <a:lnTo>
                  <a:pt x="1139142" y="340249"/>
                </a:lnTo>
                <a:lnTo>
                  <a:pt x="1139823" y="341212"/>
                </a:lnTo>
                <a:lnTo>
                  <a:pt x="1140505" y="342176"/>
                </a:lnTo>
                <a:lnTo>
                  <a:pt x="1141186" y="343142"/>
                </a:lnTo>
                <a:lnTo>
                  <a:pt x="1141867" y="344109"/>
                </a:lnTo>
                <a:lnTo>
                  <a:pt x="1142549" y="345076"/>
                </a:lnTo>
                <a:lnTo>
                  <a:pt x="1143230" y="346045"/>
                </a:lnTo>
                <a:lnTo>
                  <a:pt x="1143911" y="347015"/>
                </a:lnTo>
                <a:lnTo>
                  <a:pt x="1144592" y="347987"/>
                </a:lnTo>
                <a:lnTo>
                  <a:pt x="1145274" y="348959"/>
                </a:lnTo>
                <a:lnTo>
                  <a:pt x="1145955" y="349933"/>
                </a:lnTo>
                <a:lnTo>
                  <a:pt x="1146636" y="350907"/>
                </a:lnTo>
                <a:lnTo>
                  <a:pt x="1147318" y="351883"/>
                </a:lnTo>
                <a:lnTo>
                  <a:pt x="1147999" y="352860"/>
                </a:lnTo>
                <a:lnTo>
                  <a:pt x="1148680" y="353838"/>
                </a:lnTo>
                <a:lnTo>
                  <a:pt x="1149362" y="354817"/>
                </a:lnTo>
                <a:lnTo>
                  <a:pt x="1150043" y="355797"/>
                </a:lnTo>
                <a:lnTo>
                  <a:pt x="1150724" y="356779"/>
                </a:lnTo>
                <a:lnTo>
                  <a:pt x="1151406" y="357761"/>
                </a:lnTo>
                <a:lnTo>
                  <a:pt x="1152087" y="358745"/>
                </a:lnTo>
                <a:lnTo>
                  <a:pt x="1152768" y="359730"/>
                </a:lnTo>
                <a:lnTo>
                  <a:pt x="1153449" y="360716"/>
                </a:lnTo>
                <a:lnTo>
                  <a:pt x="1154131" y="361703"/>
                </a:lnTo>
                <a:lnTo>
                  <a:pt x="1154812" y="362691"/>
                </a:lnTo>
                <a:lnTo>
                  <a:pt x="1155493" y="363680"/>
                </a:lnTo>
                <a:lnTo>
                  <a:pt x="1156175" y="364670"/>
                </a:lnTo>
                <a:lnTo>
                  <a:pt x="1156856" y="365662"/>
                </a:lnTo>
                <a:lnTo>
                  <a:pt x="1157537" y="366655"/>
                </a:lnTo>
                <a:lnTo>
                  <a:pt x="1158219" y="367648"/>
                </a:lnTo>
                <a:lnTo>
                  <a:pt x="1158900" y="368643"/>
                </a:lnTo>
                <a:lnTo>
                  <a:pt x="1159581" y="369639"/>
                </a:lnTo>
                <a:lnTo>
                  <a:pt x="1160263" y="370636"/>
                </a:lnTo>
                <a:lnTo>
                  <a:pt x="1160944" y="371634"/>
                </a:lnTo>
                <a:lnTo>
                  <a:pt x="1161625" y="372633"/>
                </a:lnTo>
                <a:lnTo>
                  <a:pt x="1162306" y="373634"/>
                </a:lnTo>
                <a:lnTo>
                  <a:pt x="1162988" y="374635"/>
                </a:lnTo>
                <a:lnTo>
                  <a:pt x="1163669" y="375638"/>
                </a:lnTo>
                <a:lnTo>
                  <a:pt x="1164350" y="376642"/>
                </a:lnTo>
                <a:lnTo>
                  <a:pt x="1165032" y="377646"/>
                </a:lnTo>
                <a:lnTo>
                  <a:pt x="1165713" y="378652"/>
                </a:lnTo>
                <a:lnTo>
                  <a:pt x="1166394" y="379659"/>
                </a:lnTo>
                <a:lnTo>
                  <a:pt x="1167076" y="380667"/>
                </a:lnTo>
                <a:lnTo>
                  <a:pt x="1167757" y="381676"/>
                </a:lnTo>
                <a:lnTo>
                  <a:pt x="1168438" y="382687"/>
                </a:lnTo>
                <a:lnTo>
                  <a:pt x="1169119" y="383698"/>
                </a:lnTo>
                <a:lnTo>
                  <a:pt x="1169801" y="384710"/>
                </a:lnTo>
                <a:lnTo>
                  <a:pt x="1170482" y="385724"/>
                </a:lnTo>
                <a:lnTo>
                  <a:pt x="1171163" y="386739"/>
                </a:lnTo>
                <a:lnTo>
                  <a:pt x="1171845" y="387754"/>
                </a:lnTo>
                <a:lnTo>
                  <a:pt x="1172526" y="388771"/>
                </a:lnTo>
                <a:lnTo>
                  <a:pt x="1173207" y="389789"/>
                </a:lnTo>
                <a:lnTo>
                  <a:pt x="1173889" y="390808"/>
                </a:lnTo>
                <a:lnTo>
                  <a:pt x="1174570" y="391828"/>
                </a:lnTo>
                <a:lnTo>
                  <a:pt x="1175251" y="392849"/>
                </a:lnTo>
                <a:lnTo>
                  <a:pt x="1175933" y="393871"/>
                </a:lnTo>
                <a:lnTo>
                  <a:pt x="1176614" y="394895"/>
                </a:lnTo>
                <a:lnTo>
                  <a:pt x="1177295" y="395919"/>
                </a:lnTo>
                <a:lnTo>
                  <a:pt x="1177976" y="396944"/>
                </a:lnTo>
                <a:lnTo>
                  <a:pt x="1178658" y="397971"/>
                </a:lnTo>
                <a:lnTo>
                  <a:pt x="1179339" y="398998"/>
                </a:lnTo>
                <a:lnTo>
                  <a:pt x="1180020" y="400027"/>
                </a:lnTo>
                <a:lnTo>
                  <a:pt x="1180702" y="401057"/>
                </a:lnTo>
                <a:lnTo>
                  <a:pt x="1181383" y="402088"/>
                </a:lnTo>
                <a:lnTo>
                  <a:pt x="1182064" y="403119"/>
                </a:lnTo>
                <a:lnTo>
                  <a:pt x="1182746" y="404152"/>
                </a:lnTo>
                <a:lnTo>
                  <a:pt x="1183427" y="405186"/>
                </a:lnTo>
                <a:lnTo>
                  <a:pt x="1184108" y="406221"/>
                </a:lnTo>
                <a:lnTo>
                  <a:pt x="1184790" y="407258"/>
                </a:lnTo>
                <a:lnTo>
                  <a:pt x="1185471" y="408295"/>
                </a:lnTo>
                <a:lnTo>
                  <a:pt x="1186152" y="409333"/>
                </a:lnTo>
                <a:lnTo>
                  <a:pt x="1186833" y="410372"/>
                </a:lnTo>
                <a:lnTo>
                  <a:pt x="1187515" y="411413"/>
                </a:lnTo>
                <a:lnTo>
                  <a:pt x="1188196" y="412454"/>
                </a:lnTo>
                <a:lnTo>
                  <a:pt x="1188877" y="413497"/>
                </a:lnTo>
                <a:lnTo>
                  <a:pt x="1189559" y="414540"/>
                </a:lnTo>
                <a:lnTo>
                  <a:pt x="1190240" y="415585"/>
                </a:lnTo>
                <a:lnTo>
                  <a:pt x="1190921" y="416630"/>
                </a:lnTo>
                <a:lnTo>
                  <a:pt x="1191603" y="417677"/>
                </a:lnTo>
                <a:lnTo>
                  <a:pt x="1192284" y="418725"/>
                </a:lnTo>
                <a:lnTo>
                  <a:pt x="1192965" y="419774"/>
                </a:lnTo>
                <a:lnTo>
                  <a:pt x="1193646" y="420823"/>
                </a:lnTo>
                <a:lnTo>
                  <a:pt x="1194328" y="421874"/>
                </a:lnTo>
                <a:lnTo>
                  <a:pt x="1195009" y="422926"/>
                </a:lnTo>
                <a:lnTo>
                  <a:pt x="1195690" y="423979"/>
                </a:lnTo>
                <a:lnTo>
                  <a:pt x="1196372" y="425033"/>
                </a:lnTo>
                <a:lnTo>
                  <a:pt x="1197053" y="426088"/>
                </a:lnTo>
                <a:lnTo>
                  <a:pt x="1197734" y="427144"/>
                </a:lnTo>
                <a:lnTo>
                  <a:pt x="1198416" y="428202"/>
                </a:lnTo>
                <a:lnTo>
                  <a:pt x="1199097" y="429260"/>
                </a:lnTo>
                <a:lnTo>
                  <a:pt x="1199778" y="430319"/>
                </a:lnTo>
                <a:lnTo>
                  <a:pt x="1200460" y="431379"/>
                </a:lnTo>
                <a:lnTo>
                  <a:pt x="1201141" y="432440"/>
                </a:lnTo>
                <a:lnTo>
                  <a:pt x="1201822" y="433503"/>
                </a:lnTo>
                <a:lnTo>
                  <a:pt x="1202503" y="434566"/>
                </a:lnTo>
                <a:lnTo>
                  <a:pt x="1203185" y="435630"/>
                </a:lnTo>
                <a:lnTo>
                  <a:pt x="1203866" y="436696"/>
                </a:lnTo>
                <a:lnTo>
                  <a:pt x="1204547" y="437762"/>
                </a:lnTo>
                <a:lnTo>
                  <a:pt x="1205229" y="438830"/>
                </a:lnTo>
                <a:lnTo>
                  <a:pt x="1205910" y="439898"/>
                </a:lnTo>
                <a:lnTo>
                  <a:pt x="1206591" y="440968"/>
                </a:lnTo>
                <a:lnTo>
                  <a:pt x="1207273" y="442038"/>
                </a:lnTo>
                <a:lnTo>
                  <a:pt x="1207954" y="443110"/>
                </a:lnTo>
                <a:lnTo>
                  <a:pt x="1208635" y="444182"/>
                </a:lnTo>
                <a:lnTo>
                  <a:pt x="1209316" y="445256"/>
                </a:lnTo>
                <a:lnTo>
                  <a:pt x="1209998" y="446330"/>
                </a:lnTo>
                <a:lnTo>
                  <a:pt x="1210679" y="447406"/>
                </a:lnTo>
                <a:lnTo>
                  <a:pt x="1211360" y="448483"/>
                </a:lnTo>
                <a:lnTo>
                  <a:pt x="1212042" y="449560"/>
                </a:lnTo>
                <a:lnTo>
                  <a:pt x="1212723" y="450639"/>
                </a:lnTo>
                <a:lnTo>
                  <a:pt x="1213404" y="451718"/>
                </a:lnTo>
                <a:lnTo>
                  <a:pt x="1214086" y="452799"/>
                </a:lnTo>
                <a:lnTo>
                  <a:pt x="1214767" y="453881"/>
                </a:lnTo>
                <a:lnTo>
                  <a:pt x="1215448" y="454963"/>
                </a:lnTo>
                <a:lnTo>
                  <a:pt x="1216130" y="456047"/>
                </a:lnTo>
                <a:lnTo>
                  <a:pt x="1216811" y="457132"/>
                </a:lnTo>
                <a:lnTo>
                  <a:pt x="1217492" y="458217"/>
                </a:lnTo>
                <a:lnTo>
                  <a:pt x="1218173" y="459304"/>
                </a:lnTo>
                <a:lnTo>
                  <a:pt x="1218855" y="460392"/>
                </a:lnTo>
                <a:lnTo>
                  <a:pt x="1219536" y="461480"/>
                </a:lnTo>
                <a:lnTo>
                  <a:pt x="1220217" y="462570"/>
                </a:lnTo>
                <a:lnTo>
                  <a:pt x="1220899" y="463661"/>
                </a:lnTo>
                <a:lnTo>
                  <a:pt x="1221580" y="464752"/>
                </a:lnTo>
                <a:lnTo>
                  <a:pt x="1222261" y="465845"/>
                </a:lnTo>
                <a:lnTo>
                  <a:pt x="1222943" y="466939"/>
                </a:lnTo>
                <a:lnTo>
                  <a:pt x="1223624" y="468033"/>
                </a:lnTo>
                <a:lnTo>
                  <a:pt x="1224305" y="469129"/>
                </a:lnTo>
                <a:lnTo>
                  <a:pt x="1224987" y="470225"/>
                </a:lnTo>
                <a:lnTo>
                  <a:pt x="1225668" y="471323"/>
                </a:lnTo>
                <a:lnTo>
                  <a:pt x="1226349" y="472422"/>
                </a:lnTo>
                <a:lnTo>
                  <a:pt x="1227030" y="473521"/>
                </a:lnTo>
                <a:lnTo>
                  <a:pt x="1227712" y="474622"/>
                </a:lnTo>
                <a:lnTo>
                  <a:pt x="1228393" y="475723"/>
                </a:lnTo>
                <a:lnTo>
                  <a:pt x="1229074" y="476826"/>
                </a:lnTo>
                <a:lnTo>
                  <a:pt x="1229756" y="477929"/>
                </a:lnTo>
                <a:lnTo>
                  <a:pt x="1230437" y="479034"/>
                </a:lnTo>
                <a:lnTo>
                  <a:pt x="1231118" y="480139"/>
                </a:lnTo>
                <a:lnTo>
                  <a:pt x="1231800" y="481245"/>
                </a:lnTo>
                <a:lnTo>
                  <a:pt x="1232481" y="482353"/>
                </a:lnTo>
                <a:lnTo>
                  <a:pt x="1233162" y="483461"/>
                </a:lnTo>
                <a:lnTo>
                  <a:pt x="1233843" y="484570"/>
                </a:lnTo>
                <a:lnTo>
                  <a:pt x="1234525" y="485681"/>
                </a:lnTo>
                <a:lnTo>
                  <a:pt x="1235206" y="486792"/>
                </a:lnTo>
                <a:lnTo>
                  <a:pt x="1235887" y="487904"/>
                </a:lnTo>
                <a:lnTo>
                  <a:pt x="1236569" y="489017"/>
                </a:lnTo>
                <a:lnTo>
                  <a:pt x="1237250" y="490131"/>
                </a:lnTo>
                <a:lnTo>
                  <a:pt x="1237931" y="491247"/>
                </a:lnTo>
                <a:lnTo>
                  <a:pt x="1238613" y="492363"/>
                </a:lnTo>
                <a:lnTo>
                  <a:pt x="1239294" y="493480"/>
                </a:lnTo>
                <a:lnTo>
                  <a:pt x="1239975" y="494598"/>
                </a:lnTo>
                <a:lnTo>
                  <a:pt x="1240657" y="495717"/>
                </a:lnTo>
                <a:lnTo>
                  <a:pt x="1241338" y="496836"/>
                </a:lnTo>
                <a:lnTo>
                  <a:pt x="1242019" y="497957"/>
                </a:lnTo>
                <a:lnTo>
                  <a:pt x="1242700" y="499079"/>
                </a:lnTo>
                <a:lnTo>
                  <a:pt x="1243382" y="500202"/>
                </a:lnTo>
                <a:lnTo>
                  <a:pt x="1244063" y="501325"/>
                </a:lnTo>
                <a:lnTo>
                  <a:pt x="1244744" y="502450"/>
                </a:lnTo>
                <a:lnTo>
                  <a:pt x="1245426" y="503576"/>
                </a:lnTo>
                <a:lnTo>
                  <a:pt x="1246107" y="504702"/>
                </a:lnTo>
                <a:lnTo>
                  <a:pt x="1246788" y="505830"/>
                </a:lnTo>
                <a:lnTo>
                  <a:pt x="1247470" y="506958"/>
                </a:lnTo>
                <a:lnTo>
                  <a:pt x="1248151" y="508088"/>
                </a:lnTo>
                <a:lnTo>
                  <a:pt x="1248832" y="509218"/>
                </a:lnTo>
                <a:lnTo>
                  <a:pt x="1249514" y="510349"/>
                </a:lnTo>
                <a:lnTo>
                  <a:pt x="1250195" y="511481"/>
                </a:lnTo>
                <a:lnTo>
                  <a:pt x="1250876" y="512614"/>
                </a:lnTo>
                <a:lnTo>
                  <a:pt x="1251557" y="513748"/>
                </a:lnTo>
                <a:lnTo>
                  <a:pt x="1252239" y="514883"/>
                </a:lnTo>
                <a:lnTo>
                  <a:pt x="1252920" y="516019"/>
                </a:lnTo>
                <a:lnTo>
                  <a:pt x="1253601" y="517156"/>
                </a:lnTo>
                <a:lnTo>
                  <a:pt x="1254283" y="518294"/>
                </a:lnTo>
                <a:lnTo>
                  <a:pt x="1254964" y="519433"/>
                </a:lnTo>
                <a:lnTo>
                  <a:pt x="1255645" y="520572"/>
                </a:lnTo>
                <a:lnTo>
                  <a:pt x="1256327" y="521713"/>
                </a:lnTo>
                <a:lnTo>
                  <a:pt x="1257008" y="522854"/>
                </a:lnTo>
                <a:lnTo>
                  <a:pt x="1257689" y="523997"/>
                </a:lnTo>
                <a:lnTo>
                  <a:pt x="1258370" y="525140"/>
                </a:lnTo>
                <a:lnTo>
                  <a:pt x="1259052" y="526284"/>
                </a:lnTo>
                <a:lnTo>
                  <a:pt x="1259733" y="527429"/>
                </a:lnTo>
                <a:lnTo>
                  <a:pt x="1260414" y="528575"/>
                </a:lnTo>
                <a:lnTo>
                  <a:pt x="1261096" y="529722"/>
                </a:lnTo>
                <a:lnTo>
                  <a:pt x="1261777" y="530870"/>
                </a:lnTo>
                <a:lnTo>
                  <a:pt x="1262458" y="532019"/>
                </a:lnTo>
                <a:lnTo>
                  <a:pt x="1263140" y="533169"/>
                </a:lnTo>
                <a:lnTo>
                  <a:pt x="1263821" y="534320"/>
                </a:lnTo>
                <a:lnTo>
                  <a:pt x="1264502" y="535471"/>
                </a:lnTo>
                <a:lnTo>
                  <a:pt x="1265184" y="536624"/>
                </a:lnTo>
                <a:lnTo>
                  <a:pt x="1265865" y="537777"/>
                </a:lnTo>
                <a:lnTo>
                  <a:pt x="1266546" y="538931"/>
                </a:lnTo>
                <a:lnTo>
                  <a:pt x="1267227" y="540086"/>
                </a:lnTo>
                <a:lnTo>
                  <a:pt x="1267909" y="541242"/>
                </a:lnTo>
                <a:lnTo>
                  <a:pt x="1268590" y="542399"/>
                </a:lnTo>
                <a:lnTo>
                  <a:pt x="1269271" y="543557"/>
                </a:lnTo>
                <a:lnTo>
                  <a:pt x="1269953" y="544716"/>
                </a:lnTo>
                <a:lnTo>
                  <a:pt x="1270634" y="545876"/>
                </a:lnTo>
                <a:lnTo>
                  <a:pt x="1271315" y="547036"/>
                </a:lnTo>
                <a:lnTo>
                  <a:pt x="1271997" y="548198"/>
                </a:lnTo>
                <a:lnTo>
                  <a:pt x="1272678" y="549360"/>
                </a:lnTo>
                <a:lnTo>
                  <a:pt x="1273359" y="550523"/>
                </a:lnTo>
                <a:lnTo>
                  <a:pt x="1274041" y="551688"/>
                </a:lnTo>
                <a:lnTo>
                  <a:pt x="1274722" y="552853"/>
                </a:lnTo>
                <a:lnTo>
                  <a:pt x="1275403" y="554018"/>
                </a:lnTo>
                <a:lnTo>
                  <a:pt x="1276084" y="555185"/>
                </a:lnTo>
                <a:lnTo>
                  <a:pt x="1276766" y="556353"/>
                </a:lnTo>
                <a:lnTo>
                  <a:pt x="1277447" y="557522"/>
                </a:lnTo>
                <a:lnTo>
                  <a:pt x="1278128" y="558691"/>
                </a:lnTo>
                <a:lnTo>
                  <a:pt x="1278810" y="559861"/>
                </a:lnTo>
                <a:lnTo>
                  <a:pt x="1279491" y="561032"/>
                </a:lnTo>
                <a:lnTo>
                  <a:pt x="1280172" y="562205"/>
                </a:lnTo>
                <a:lnTo>
                  <a:pt x="1280854" y="563378"/>
                </a:lnTo>
                <a:lnTo>
                  <a:pt x="1281535" y="564551"/>
                </a:lnTo>
                <a:lnTo>
                  <a:pt x="1282216" y="565726"/>
                </a:lnTo>
                <a:lnTo>
                  <a:pt x="1282897" y="566902"/>
                </a:lnTo>
                <a:lnTo>
                  <a:pt x="1283579" y="568078"/>
                </a:lnTo>
                <a:lnTo>
                  <a:pt x="1284260" y="569255"/>
                </a:lnTo>
                <a:lnTo>
                  <a:pt x="1284941" y="570434"/>
                </a:lnTo>
                <a:lnTo>
                  <a:pt x="1285623" y="571613"/>
                </a:lnTo>
                <a:lnTo>
                  <a:pt x="1286304" y="572792"/>
                </a:lnTo>
                <a:lnTo>
                  <a:pt x="1286985" y="573973"/>
                </a:lnTo>
                <a:lnTo>
                  <a:pt x="1287667" y="575155"/>
                </a:lnTo>
                <a:lnTo>
                  <a:pt x="1288348" y="576337"/>
                </a:lnTo>
                <a:lnTo>
                  <a:pt x="1289029" y="577521"/>
                </a:lnTo>
                <a:lnTo>
                  <a:pt x="1289711" y="578705"/>
                </a:lnTo>
                <a:lnTo>
                  <a:pt x="1290392" y="579890"/>
                </a:lnTo>
                <a:lnTo>
                  <a:pt x="1291073" y="581076"/>
                </a:lnTo>
                <a:lnTo>
                  <a:pt x="1291754" y="582263"/>
                </a:lnTo>
                <a:lnTo>
                  <a:pt x="1292436" y="583450"/>
                </a:lnTo>
                <a:lnTo>
                  <a:pt x="1293117" y="584639"/>
                </a:lnTo>
                <a:lnTo>
                  <a:pt x="1293798" y="585828"/>
                </a:lnTo>
                <a:lnTo>
                  <a:pt x="1294480" y="587018"/>
                </a:lnTo>
                <a:lnTo>
                  <a:pt x="1295161" y="588209"/>
                </a:lnTo>
                <a:lnTo>
                  <a:pt x="1295842" y="589401"/>
                </a:lnTo>
                <a:lnTo>
                  <a:pt x="1296524" y="590594"/>
                </a:lnTo>
                <a:lnTo>
                  <a:pt x="1297205" y="591788"/>
                </a:lnTo>
                <a:lnTo>
                  <a:pt x="1297886" y="592982"/>
                </a:lnTo>
                <a:lnTo>
                  <a:pt x="1298567" y="594177"/>
                </a:lnTo>
                <a:lnTo>
                  <a:pt x="1299249" y="595373"/>
                </a:lnTo>
                <a:lnTo>
                  <a:pt x="1299930" y="596570"/>
                </a:lnTo>
                <a:lnTo>
                  <a:pt x="1300611" y="597768"/>
                </a:lnTo>
                <a:lnTo>
                  <a:pt x="1301293" y="598967"/>
                </a:lnTo>
                <a:lnTo>
                  <a:pt x="1301974" y="600166"/>
                </a:lnTo>
                <a:lnTo>
                  <a:pt x="1302655" y="601366"/>
                </a:lnTo>
                <a:lnTo>
                  <a:pt x="1303337" y="602567"/>
                </a:lnTo>
                <a:lnTo>
                  <a:pt x="1304018" y="603769"/>
                </a:lnTo>
                <a:lnTo>
                  <a:pt x="1304699" y="604972"/>
                </a:lnTo>
                <a:lnTo>
                  <a:pt x="1305381" y="606175"/>
                </a:lnTo>
                <a:lnTo>
                  <a:pt x="1306062" y="607380"/>
                </a:lnTo>
                <a:lnTo>
                  <a:pt x="1306743" y="608585"/>
                </a:lnTo>
                <a:lnTo>
                  <a:pt x="1307424" y="609791"/>
                </a:lnTo>
                <a:lnTo>
                  <a:pt x="1308106" y="610998"/>
                </a:lnTo>
                <a:lnTo>
                  <a:pt x="1308787" y="612206"/>
                </a:lnTo>
                <a:lnTo>
                  <a:pt x="1309468" y="613414"/>
                </a:lnTo>
                <a:lnTo>
                  <a:pt x="1310150" y="614623"/>
                </a:lnTo>
                <a:lnTo>
                  <a:pt x="1310831" y="615833"/>
                </a:lnTo>
                <a:lnTo>
                  <a:pt x="1311512" y="617044"/>
                </a:lnTo>
                <a:lnTo>
                  <a:pt x="1312194" y="618256"/>
                </a:lnTo>
                <a:lnTo>
                  <a:pt x="1312875" y="619469"/>
                </a:lnTo>
                <a:lnTo>
                  <a:pt x="1313556" y="620682"/>
                </a:lnTo>
                <a:lnTo>
                  <a:pt x="1314238" y="621896"/>
                </a:lnTo>
                <a:lnTo>
                  <a:pt x="1314919" y="623111"/>
                </a:lnTo>
                <a:lnTo>
                  <a:pt x="1315600" y="624327"/>
                </a:lnTo>
                <a:lnTo>
                  <a:pt x="1316281" y="625543"/>
                </a:lnTo>
                <a:lnTo>
                  <a:pt x="1316963" y="626761"/>
                </a:lnTo>
                <a:lnTo>
                  <a:pt x="1317644" y="627979"/>
                </a:lnTo>
                <a:lnTo>
                  <a:pt x="1318325" y="629198"/>
                </a:lnTo>
                <a:lnTo>
                  <a:pt x="1319007" y="630418"/>
                </a:lnTo>
                <a:lnTo>
                  <a:pt x="1319688" y="631638"/>
                </a:lnTo>
                <a:lnTo>
                  <a:pt x="1320369" y="632860"/>
                </a:lnTo>
                <a:lnTo>
                  <a:pt x="1321051" y="634082"/>
                </a:lnTo>
                <a:lnTo>
                  <a:pt x="1321732" y="635305"/>
                </a:lnTo>
                <a:lnTo>
                  <a:pt x="1322413" y="636529"/>
                </a:lnTo>
                <a:lnTo>
                  <a:pt x="1323094" y="637753"/>
                </a:lnTo>
                <a:lnTo>
                  <a:pt x="1323776" y="638978"/>
                </a:lnTo>
                <a:lnTo>
                  <a:pt x="1324457" y="640205"/>
                </a:lnTo>
                <a:lnTo>
                  <a:pt x="1325138" y="641431"/>
                </a:lnTo>
                <a:lnTo>
                  <a:pt x="1325820" y="642659"/>
                </a:lnTo>
                <a:lnTo>
                  <a:pt x="1326501" y="643888"/>
                </a:lnTo>
                <a:lnTo>
                  <a:pt x="1327182" y="645117"/>
                </a:lnTo>
                <a:lnTo>
                  <a:pt x="1327864" y="646347"/>
                </a:lnTo>
                <a:lnTo>
                  <a:pt x="1328545" y="647578"/>
                </a:lnTo>
                <a:lnTo>
                  <a:pt x="1329226" y="648809"/>
                </a:lnTo>
                <a:lnTo>
                  <a:pt x="1329908" y="650041"/>
                </a:lnTo>
                <a:lnTo>
                  <a:pt x="1330589" y="651275"/>
                </a:lnTo>
                <a:lnTo>
                  <a:pt x="1331270" y="652508"/>
                </a:lnTo>
                <a:lnTo>
                  <a:pt x="1331951" y="653743"/>
                </a:lnTo>
                <a:lnTo>
                  <a:pt x="1332633" y="654979"/>
                </a:lnTo>
                <a:lnTo>
                  <a:pt x="1333314" y="656215"/>
                </a:lnTo>
                <a:lnTo>
                  <a:pt x="1333995" y="657452"/>
                </a:lnTo>
                <a:lnTo>
                  <a:pt x="1334677" y="658689"/>
                </a:lnTo>
                <a:lnTo>
                  <a:pt x="1335358" y="659928"/>
                </a:lnTo>
                <a:lnTo>
                  <a:pt x="1336039" y="661167"/>
                </a:lnTo>
                <a:lnTo>
                  <a:pt x="1336721" y="662407"/>
                </a:lnTo>
                <a:lnTo>
                  <a:pt x="1337402" y="663648"/>
                </a:lnTo>
                <a:lnTo>
                  <a:pt x="1338083" y="664889"/>
                </a:lnTo>
                <a:lnTo>
                  <a:pt x="1338765" y="666132"/>
                </a:lnTo>
                <a:lnTo>
                  <a:pt x="1339446" y="667375"/>
                </a:lnTo>
                <a:lnTo>
                  <a:pt x="1340127" y="668619"/>
                </a:lnTo>
                <a:lnTo>
                  <a:pt x="1340808" y="669863"/>
                </a:lnTo>
                <a:lnTo>
                  <a:pt x="1341490" y="671108"/>
                </a:lnTo>
                <a:lnTo>
                  <a:pt x="1342171" y="672354"/>
                </a:lnTo>
                <a:lnTo>
                  <a:pt x="1342852" y="673601"/>
                </a:lnTo>
                <a:lnTo>
                  <a:pt x="1343534" y="674849"/>
                </a:lnTo>
                <a:lnTo>
                  <a:pt x="1344215" y="676097"/>
                </a:lnTo>
                <a:lnTo>
                  <a:pt x="1344896" y="677346"/>
                </a:lnTo>
                <a:lnTo>
                  <a:pt x="1345578" y="678596"/>
                </a:lnTo>
                <a:lnTo>
                  <a:pt x="1346259" y="679846"/>
                </a:lnTo>
                <a:lnTo>
                  <a:pt x="1346940" y="681098"/>
                </a:lnTo>
                <a:lnTo>
                  <a:pt x="1347621" y="682350"/>
                </a:lnTo>
                <a:lnTo>
                  <a:pt x="1348303" y="683602"/>
                </a:lnTo>
                <a:lnTo>
                  <a:pt x="1348984" y="684856"/>
                </a:lnTo>
                <a:lnTo>
                  <a:pt x="1349665" y="686110"/>
                </a:lnTo>
                <a:lnTo>
                  <a:pt x="1350347" y="687365"/>
                </a:lnTo>
                <a:lnTo>
                  <a:pt x="1351028" y="688621"/>
                </a:lnTo>
                <a:lnTo>
                  <a:pt x="1351709" y="689877"/>
                </a:lnTo>
                <a:lnTo>
                  <a:pt x="1352391" y="691134"/>
                </a:lnTo>
                <a:lnTo>
                  <a:pt x="1353072" y="692392"/>
                </a:lnTo>
                <a:lnTo>
                  <a:pt x="1353753" y="693650"/>
                </a:lnTo>
                <a:lnTo>
                  <a:pt x="1354435" y="694910"/>
                </a:lnTo>
                <a:lnTo>
                  <a:pt x="1355116" y="696170"/>
                </a:lnTo>
                <a:lnTo>
                  <a:pt x="1355797" y="697430"/>
                </a:lnTo>
                <a:lnTo>
                  <a:pt x="1356478" y="698692"/>
                </a:lnTo>
                <a:lnTo>
                  <a:pt x="1357160" y="699954"/>
                </a:lnTo>
                <a:lnTo>
                  <a:pt x="1357841" y="701217"/>
                </a:lnTo>
                <a:lnTo>
                  <a:pt x="1358522" y="702480"/>
                </a:lnTo>
                <a:lnTo>
                  <a:pt x="1359204" y="703745"/>
                </a:lnTo>
                <a:lnTo>
                  <a:pt x="1359885" y="705010"/>
                </a:lnTo>
                <a:lnTo>
                  <a:pt x="1360566" y="706276"/>
                </a:lnTo>
                <a:lnTo>
                  <a:pt x="1361248" y="707542"/>
                </a:lnTo>
                <a:lnTo>
                  <a:pt x="1361929" y="708809"/>
                </a:lnTo>
                <a:lnTo>
                  <a:pt x="1362610" y="710077"/>
                </a:lnTo>
                <a:lnTo>
                  <a:pt x="1362610" y="3563525"/>
                </a:lnTo>
                <a:close/>
              </a:path>
            </a:pathLst>
          </a:custGeom>
          <a:solidFill>
            <a:srgbClr val="7F7F7F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6" name="pg127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5604091" y="2486091"/>
            <a:ext cx="424731" cy="1740553"/>
          </a:xfrm>
          <a:custGeom>
            <a:avLst/>
            <a:gdLst/>
            <a:ahLst/>
            <a:cxnLst/>
            <a:rect l="0" t="0" r="0" b="0"/>
            <a:pathLst>
              <a:path w="681305" h="2853448">
                <a:moveTo>
                  <a:pt x="0" y="2853448"/>
                </a:moveTo>
                <a:lnTo>
                  <a:pt x="0" y="1388439"/>
                </a:lnTo>
                <a:lnTo>
                  <a:pt x="681" y="1387136"/>
                </a:lnTo>
                <a:lnTo>
                  <a:pt x="1362" y="1385833"/>
                </a:lnTo>
                <a:lnTo>
                  <a:pt x="2043" y="1384530"/>
                </a:lnTo>
                <a:lnTo>
                  <a:pt x="2725" y="1383226"/>
                </a:lnTo>
                <a:lnTo>
                  <a:pt x="3406" y="1381921"/>
                </a:lnTo>
                <a:lnTo>
                  <a:pt x="4087" y="1380616"/>
                </a:lnTo>
                <a:lnTo>
                  <a:pt x="4769" y="1379311"/>
                </a:lnTo>
                <a:lnTo>
                  <a:pt x="5450" y="1378005"/>
                </a:lnTo>
                <a:lnTo>
                  <a:pt x="6131" y="1376698"/>
                </a:lnTo>
                <a:lnTo>
                  <a:pt x="6813" y="1375391"/>
                </a:lnTo>
                <a:lnTo>
                  <a:pt x="7494" y="1374084"/>
                </a:lnTo>
                <a:lnTo>
                  <a:pt x="8175" y="1372776"/>
                </a:lnTo>
                <a:lnTo>
                  <a:pt x="8856" y="1371467"/>
                </a:lnTo>
                <a:lnTo>
                  <a:pt x="9538" y="1370158"/>
                </a:lnTo>
                <a:lnTo>
                  <a:pt x="10219" y="1368849"/>
                </a:lnTo>
                <a:lnTo>
                  <a:pt x="10900" y="1367539"/>
                </a:lnTo>
                <a:lnTo>
                  <a:pt x="11582" y="1366228"/>
                </a:lnTo>
                <a:lnTo>
                  <a:pt x="12263" y="1364917"/>
                </a:lnTo>
                <a:lnTo>
                  <a:pt x="12944" y="1363606"/>
                </a:lnTo>
                <a:lnTo>
                  <a:pt x="13626" y="1362294"/>
                </a:lnTo>
                <a:lnTo>
                  <a:pt x="14307" y="1360981"/>
                </a:lnTo>
                <a:lnTo>
                  <a:pt x="14988" y="1359668"/>
                </a:lnTo>
                <a:lnTo>
                  <a:pt x="15670" y="1358355"/>
                </a:lnTo>
                <a:lnTo>
                  <a:pt x="16351" y="1357041"/>
                </a:lnTo>
                <a:lnTo>
                  <a:pt x="17032" y="1355727"/>
                </a:lnTo>
                <a:lnTo>
                  <a:pt x="17713" y="1354412"/>
                </a:lnTo>
                <a:lnTo>
                  <a:pt x="18395" y="1353096"/>
                </a:lnTo>
                <a:lnTo>
                  <a:pt x="19076" y="1351780"/>
                </a:lnTo>
                <a:lnTo>
                  <a:pt x="19757" y="1350464"/>
                </a:lnTo>
                <a:lnTo>
                  <a:pt x="20439" y="1349147"/>
                </a:lnTo>
                <a:lnTo>
                  <a:pt x="21120" y="1347830"/>
                </a:lnTo>
                <a:lnTo>
                  <a:pt x="21801" y="1346512"/>
                </a:lnTo>
                <a:lnTo>
                  <a:pt x="22483" y="1345194"/>
                </a:lnTo>
                <a:lnTo>
                  <a:pt x="23164" y="1343875"/>
                </a:lnTo>
                <a:lnTo>
                  <a:pt x="23845" y="1342556"/>
                </a:lnTo>
                <a:lnTo>
                  <a:pt x="24526" y="1341236"/>
                </a:lnTo>
                <a:lnTo>
                  <a:pt x="25208" y="1339916"/>
                </a:lnTo>
                <a:lnTo>
                  <a:pt x="25889" y="1338595"/>
                </a:lnTo>
                <a:lnTo>
                  <a:pt x="26570" y="1337274"/>
                </a:lnTo>
                <a:lnTo>
                  <a:pt x="27252" y="1335952"/>
                </a:lnTo>
                <a:lnTo>
                  <a:pt x="27933" y="1334630"/>
                </a:lnTo>
                <a:lnTo>
                  <a:pt x="28614" y="1333307"/>
                </a:lnTo>
                <a:lnTo>
                  <a:pt x="29296" y="1331984"/>
                </a:lnTo>
                <a:lnTo>
                  <a:pt x="29977" y="1330661"/>
                </a:lnTo>
                <a:lnTo>
                  <a:pt x="30658" y="1329337"/>
                </a:lnTo>
                <a:lnTo>
                  <a:pt x="31340" y="1328012"/>
                </a:lnTo>
                <a:lnTo>
                  <a:pt x="32021" y="1326687"/>
                </a:lnTo>
                <a:lnTo>
                  <a:pt x="32702" y="1325362"/>
                </a:lnTo>
                <a:lnTo>
                  <a:pt x="33383" y="1324036"/>
                </a:lnTo>
                <a:lnTo>
                  <a:pt x="34065" y="1322709"/>
                </a:lnTo>
                <a:lnTo>
                  <a:pt x="34746" y="1321382"/>
                </a:lnTo>
                <a:lnTo>
                  <a:pt x="35427" y="1320055"/>
                </a:lnTo>
                <a:lnTo>
                  <a:pt x="36109" y="1318727"/>
                </a:lnTo>
                <a:lnTo>
                  <a:pt x="36790" y="1317399"/>
                </a:lnTo>
                <a:lnTo>
                  <a:pt x="37471" y="1316070"/>
                </a:lnTo>
                <a:lnTo>
                  <a:pt x="38153" y="1314741"/>
                </a:lnTo>
                <a:lnTo>
                  <a:pt x="38834" y="1313411"/>
                </a:lnTo>
                <a:lnTo>
                  <a:pt x="39515" y="1312081"/>
                </a:lnTo>
                <a:lnTo>
                  <a:pt x="40197" y="1310751"/>
                </a:lnTo>
                <a:lnTo>
                  <a:pt x="40878" y="1309419"/>
                </a:lnTo>
                <a:lnTo>
                  <a:pt x="41559" y="1308088"/>
                </a:lnTo>
                <a:lnTo>
                  <a:pt x="42240" y="1306756"/>
                </a:lnTo>
                <a:lnTo>
                  <a:pt x="42922" y="1305424"/>
                </a:lnTo>
                <a:lnTo>
                  <a:pt x="43603" y="1304091"/>
                </a:lnTo>
                <a:lnTo>
                  <a:pt x="44284" y="1302757"/>
                </a:lnTo>
                <a:lnTo>
                  <a:pt x="44966" y="1301423"/>
                </a:lnTo>
                <a:lnTo>
                  <a:pt x="45647" y="1300089"/>
                </a:lnTo>
                <a:lnTo>
                  <a:pt x="46328" y="1298754"/>
                </a:lnTo>
                <a:lnTo>
                  <a:pt x="47010" y="1297419"/>
                </a:lnTo>
                <a:lnTo>
                  <a:pt x="47691" y="1296084"/>
                </a:lnTo>
                <a:lnTo>
                  <a:pt x="48372" y="1294747"/>
                </a:lnTo>
                <a:lnTo>
                  <a:pt x="49053" y="1293411"/>
                </a:lnTo>
                <a:lnTo>
                  <a:pt x="49735" y="1292074"/>
                </a:lnTo>
                <a:lnTo>
                  <a:pt x="50416" y="1290736"/>
                </a:lnTo>
                <a:lnTo>
                  <a:pt x="51097" y="1289399"/>
                </a:lnTo>
                <a:lnTo>
                  <a:pt x="51779" y="1288060"/>
                </a:lnTo>
                <a:lnTo>
                  <a:pt x="52460" y="1286721"/>
                </a:lnTo>
                <a:lnTo>
                  <a:pt x="53141" y="1285382"/>
                </a:lnTo>
                <a:lnTo>
                  <a:pt x="53823" y="1284042"/>
                </a:lnTo>
                <a:lnTo>
                  <a:pt x="54504" y="1282702"/>
                </a:lnTo>
                <a:lnTo>
                  <a:pt x="55185" y="1281362"/>
                </a:lnTo>
                <a:lnTo>
                  <a:pt x="55867" y="1280021"/>
                </a:lnTo>
                <a:lnTo>
                  <a:pt x="56548" y="1278679"/>
                </a:lnTo>
                <a:lnTo>
                  <a:pt x="57229" y="1277337"/>
                </a:lnTo>
                <a:lnTo>
                  <a:pt x="57910" y="1275995"/>
                </a:lnTo>
                <a:lnTo>
                  <a:pt x="58592" y="1274652"/>
                </a:lnTo>
                <a:lnTo>
                  <a:pt x="59273" y="1273309"/>
                </a:lnTo>
                <a:lnTo>
                  <a:pt x="59954" y="1271965"/>
                </a:lnTo>
                <a:lnTo>
                  <a:pt x="60636" y="1270621"/>
                </a:lnTo>
                <a:lnTo>
                  <a:pt x="61317" y="1269276"/>
                </a:lnTo>
                <a:lnTo>
                  <a:pt x="61998" y="1267931"/>
                </a:lnTo>
                <a:lnTo>
                  <a:pt x="62680" y="1266586"/>
                </a:lnTo>
                <a:lnTo>
                  <a:pt x="63361" y="1265240"/>
                </a:lnTo>
                <a:lnTo>
                  <a:pt x="64042" y="1263894"/>
                </a:lnTo>
                <a:lnTo>
                  <a:pt x="64724" y="1262547"/>
                </a:lnTo>
                <a:lnTo>
                  <a:pt x="65405" y="1261200"/>
                </a:lnTo>
                <a:lnTo>
                  <a:pt x="66086" y="1259852"/>
                </a:lnTo>
                <a:lnTo>
                  <a:pt x="66767" y="1258504"/>
                </a:lnTo>
                <a:lnTo>
                  <a:pt x="67449" y="1257156"/>
                </a:lnTo>
                <a:lnTo>
                  <a:pt x="68130" y="1255807"/>
                </a:lnTo>
                <a:lnTo>
                  <a:pt x="68811" y="1254458"/>
                </a:lnTo>
                <a:lnTo>
                  <a:pt x="69493" y="1253108"/>
                </a:lnTo>
                <a:lnTo>
                  <a:pt x="70174" y="1251758"/>
                </a:lnTo>
                <a:lnTo>
                  <a:pt x="70855" y="1250407"/>
                </a:lnTo>
                <a:lnTo>
                  <a:pt x="71537" y="1249056"/>
                </a:lnTo>
                <a:lnTo>
                  <a:pt x="72218" y="1247704"/>
                </a:lnTo>
                <a:lnTo>
                  <a:pt x="72899" y="1246353"/>
                </a:lnTo>
                <a:lnTo>
                  <a:pt x="73580" y="1245000"/>
                </a:lnTo>
                <a:lnTo>
                  <a:pt x="74262" y="1243647"/>
                </a:lnTo>
                <a:lnTo>
                  <a:pt x="74943" y="1242294"/>
                </a:lnTo>
                <a:lnTo>
                  <a:pt x="75624" y="1240941"/>
                </a:lnTo>
                <a:lnTo>
                  <a:pt x="76306" y="1239587"/>
                </a:lnTo>
                <a:lnTo>
                  <a:pt x="76987" y="1238232"/>
                </a:lnTo>
                <a:lnTo>
                  <a:pt x="77668" y="1236877"/>
                </a:lnTo>
                <a:lnTo>
                  <a:pt x="78350" y="1235522"/>
                </a:lnTo>
                <a:lnTo>
                  <a:pt x="79031" y="1234167"/>
                </a:lnTo>
                <a:lnTo>
                  <a:pt x="79712" y="1232810"/>
                </a:lnTo>
                <a:lnTo>
                  <a:pt x="80394" y="1231454"/>
                </a:lnTo>
                <a:lnTo>
                  <a:pt x="81075" y="1230097"/>
                </a:lnTo>
                <a:lnTo>
                  <a:pt x="81756" y="1228740"/>
                </a:lnTo>
                <a:lnTo>
                  <a:pt x="82437" y="1227382"/>
                </a:lnTo>
                <a:lnTo>
                  <a:pt x="83119" y="1226024"/>
                </a:lnTo>
                <a:lnTo>
                  <a:pt x="83800" y="1224665"/>
                </a:lnTo>
                <a:lnTo>
                  <a:pt x="84481" y="1223306"/>
                </a:lnTo>
                <a:lnTo>
                  <a:pt x="85163" y="1221947"/>
                </a:lnTo>
                <a:lnTo>
                  <a:pt x="85844" y="1220587"/>
                </a:lnTo>
                <a:lnTo>
                  <a:pt x="86525" y="1219227"/>
                </a:lnTo>
                <a:lnTo>
                  <a:pt x="87207" y="1217866"/>
                </a:lnTo>
                <a:lnTo>
                  <a:pt x="87888" y="1216505"/>
                </a:lnTo>
                <a:lnTo>
                  <a:pt x="88569" y="1215144"/>
                </a:lnTo>
                <a:lnTo>
                  <a:pt x="89251" y="1213782"/>
                </a:lnTo>
                <a:lnTo>
                  <a:pt x="89932" y="1212420"/>
                </a:lnTo>
                <a:lnTo>
                  <a:pt x="90613" y="1211057"/>
                </a:lnTo>
                <a:lnTo>
                  <a:pt x="91294" y="1209694"/>
                </a:lnTo>
                <a:lnTo>
                  <a:pt x="91976" y="1208331"/>
                </a:lnTo>
                <a:lnTo>
                  <a:pt x="92657" y="1206967"/>
                </a:lnTo>
                <a:lnTo>
                  <a:pt x="93338" y="1205603"/>
                </a:lnTo>
                <a:lnTo>
                  <a:pt x="94020" y="1204238"/>
                </a:lnTo>
                <a:lnTo>
                  <a:pt x="94701" y="1202873"/>
                </a:lnTo>
                <a:lnTo>
                  <a:pt x="95382" y="1201508"/>
                </a:lnTo>
                <a:lnTo>
                  <a:pt x="96064" y="1200142"/>
                </a:lnTo>
                <a:lnTo>
                  <a:pt x="96745" y="1198776"/>
                </a:lnTo>
                <a:lnTo>
                  <a:pt x="97426" y="1197409"/>
                </a:lnTo>
                <a:lnTo>
                  <a:pt x="98107" y="1196042"/>
                </a:lnTo>
                <a:lnTo>
                  <a:pt x="98789" y="1194675"/>
                </a:lnTo>
                <a:lnTo>
                  <a:pt x="99470" y="1193307"/>
                </a:lnTo>
                <a:lnTo>
                  <a:pt x="100151" y="1191939"/>
                </a:lnTo>
                <a:lnTo>
                  <a:pt x="100833" y="1190570"/>
                </a:lnTo>
                <a:lnTo>
                  <a:pt x="101514" y="1189201"/>
                </a:lnTo>
                <a:lnTo>
                  <a:pt x="102195" y="1187832"/>
                </a:lnTo>
                <a:lnTo>
                  <a:pt x="102877" y="1186462"/>
                </a:lnTo>
                <a:lnTo>
                  <a:pt x="103558" y="1185092"/>
                </a:lnTo>
                <a:lnTo>
                  <a:pt x="104239" y="1183722"/>
                </a:lnTo>
                <a:lnTo>
                  <a:pt x="104921" y="1182351"/>
                </a:lnTo>
                <a:lnTo>
                  <a:pt x="105602" y="1180980"/>
                </a:lnTo>
                <a:lnTo>
                  <a:pt x="106283" y="1179608"/>
                </a:lnTo>
                <a:lnTo>
                  <a:pt x="106964" y="1178236"/>
                </a:lnTo>
                <a:lnTo>
                  <a:pt x="107646" y="1176864"/>
                </a:lnTo>
                <a:lnTo>
                  <a:pt x="108327" y="1175491"/>
                </a:lnTo>
                <a:lnTo>
                  <a:pt x="109008" y="1174118"/>
                </a:lnTo>
                <a:lnTo>
                  <a:pt x="109690" y="1172744"/>
                </a:lnTo>
                <a:lnTo>
                  <a:pt x="110371" y="1171371"/>
                </a:lnTo>
                <a:lnTo>
                  <a:pt x="111052" y="1169996"/>
                </a:lnTo>
                <a:lnTo>
                  <a:pt x="111734" y="1168622"/>
                </a:lnTo>
                <a:lnTo>
                  <a:pt x="112415" y="1167247"/>
                </a:lnTo>
                <a:lnTo>
                  <a:pt x="113096" y="1165871"/>
                </a:lnTo>
                <a:lnTo>
                  <a:pt x="113777" y="1164496"/>
                </a:lnTo>
                <a:lnTo>
                  <a:pt x="114459" y="1163119"/>
                </a:lnTo>
                <a:lnTo>
                  <a:pt x="115140" y="1161743"/>
                </a:lnTo>
                <a:lnTo>
                  <a:pt x="115821" y="1160366"/>
                </a:lnTo>
                <a:lnTo>
                  <a:pt x="116503" y="1158989"/>
                </a:lnTo>
                <a:lnTo>
                  <a:pt x="117184" y="1157611"/>
                </a:lnTo>
                <a:lnTo>
                  <a:pt x="117865" y="1156233"/>
                </a:lnTo>
                <a:lnTo>
                  <a:pt x="118547" y="1154855"/>
                </a:lnTo>
                <a:lnTo>
                  <a:pt x="119228" y="1153476"/>
                </a:lnTo>
                <a:lnTo>
                  <a:pt x="119909" y="1152097"/>
                </a:lnTo>
                <a:lnTo>
                  <a:pt x="120591" y="1150718"/>
                </a:lnTo>
                <a:lnTo>
                  <a:pt x="121272" y="1149338"/>
                </a:lnTo>
                <a:lnTo>
                  <a:pt x="121953" y="1147958"/>
                </a:lnTo>
                <a:lnTo>
                  <a:pt x="122634" y="1146577"/>
                </a:lnTo>
                <a:lnTo>
                  <a:pt x="123316" y="1145197"/>
                </a:lnTo>
                <a:lnTo>
                  <a:pt x="123997" y="1143815"/>
                </a:lnTo>
                <a:lnTo>
                  <a:pt x="124678" y="1142434"/>
                </a:lnTo>
                <a:lnTo>
                  <a:pt x="125360" y="1141052"/>
                </a:lnTo>
                <a:lnTo>
                  <a:pt x="126041" y="1139670"/>
                </a:lnTo>
                <a:lnTo>
                  <a:pt x="126722" y="1138287"/>
                </a:lnTo>
                <a:lnTo>
                  <a:pt x="127404" y="1136904"/>
                </a:lnTo>
                <a:lnTo>
                  <a:pt x="128085" y="1135521"/>
                </a:lnTo>
                <a:lnTo>
                  <a:pt x="128766" y="1134137"/>
                </a:lnTo>
                <a:lnTo>
                  <a:pt x="129448" y="1132753"/>
                </a:lnTo>
                <a:lnTo>
                  <a:pt x="130129" y="1131369"/>
                </a:lnTo>
                <a:lnTo>
                  <a:pt x="130810" y="1129984"/>
                </a:lnTo>
                <a:lnTo>
                  <a:pt x="131491" y="1128599"/>
                </a:lnTo>
                <a:lnTo>
                  <a:pt x="132173" y="1127213"/>
                </a:lnTo>
                <a:lnTo>
                  <a:pt x="132854" y="1125828"/>
                </a:lnTo>
                <a:lnTo>
                  <a:pt x="133535" y="1124442"/>
                </a:lnTo>
                <a:lnTo>
                  <a:pt x="134217" y="1123055"/>
                </a:lnTo>
                <a:lnTo>
                  <a:pt x="134898" y="1121668"/>
                </a:lnTo>
                <a:lnTo>
                  <a:pt x="135579" y="1120281"/>
                </a:lnTo>
                <a:lnTo>
                  <a:pt x="136261" y="1118894"/>
                </a:lnTo>
                <a:lnTo>
                  <a:pt x="136942" y="1117506"/>
                </a:lnTo>
                <a:lnTo>
                  <a:pt x="137623" y="1116118"/>
                </a:lnTo>
                <a:lnTo>
                  <a:pt x="138304" y="1114729"/>
                </a:lnTo>
                <a:lnTo>
                  <a:pt x="138986" y="1113340"/>
                </a:lnTo>
                <a:lnTo>
                  <a:pt x="139667" y="1111951"/>
                </a:lnTo>
                <a:lnTo>
                  <a:pt x="140348" y="1110562"/>
                </a:lnTo>
                <a:lnTo>
                  <a:pt x="141030" y="1109172"/>
                </a:lnTo>
                <a:lnTo>
                  <a:pt x="141711" y="1107782"/>
                </a:lnTo>
                <a:lnTo>
                  <a:pt x="142392" y="1106391"/>
                </a:lnTo>
                <a:lnTo>
                  <a:pt x="143074" y="1105000"/>
                </a:lnTo>
                <a:lnTo>
                  <a:pt x="143755" y="1103609"/>
                </a:lnTo>
                <a:lnTo>
                  <a:pt x="144436" y="1102218"/>
                </a:lnTo>
                <a:lnTo>
                  <a:pt x="145118" y="1100826"/>
                </a:lnTo>
                <a:lnTo>
                  <a:pt x="145799" y="1099434"/>
                </a:lnTo>
                <a:lnTo>
                  <a:pt x="146480" y="1098041"/>
                </a:lnTo>
                <a:lnTo>
                  <a:pt x="147161" y="1096649"/>
                </a:lnTo>
                <a:lnTo>
                  <a:pt x="147843" y="1095256"/>
                </a:lnTo>
                <a:lnTo>
                  <a:pt x="148524" y="1093862"/>
                </a:lnTo>
                <a:lnTo>
                  <a:pt x="149205" y="1092468"/>
                </a:lnTo>
                <a:lnTo>
                  <a:pt x="149887" y="1091074"/>
                </a:lnTo>
                <a:lnTo>
                  <a:pt x="150568" y="1089680"/>
                </a:lnTo>
                <a:lnTo>
                  <a:pt x="151249" y="1088285"/>
                </a:lnTo>
                <a:lnTo>
                  <a:pt x="151931" y="1086890"/>
                </a:lnTo>
                <a:lnTo>
                  <a:pt x="152612" y="1085495"/>
                </a:lnTo>
                <a:lnTo>
                  <a:pt x="153293" y="1084099"/>
                </a:lnTo>
                <a:lnTo>
                  <a:pt x="153975" y="1082703"/>
                </a:lnTo>
                <a:lnTo>
                  <a:pt x="154656" y="1081307"/>
                </a:lnTo>
                <a:lnTo>
                  <a:pt x="155337" y="1079910"/>
                </a:lnTo>
                <a:lnTo>
                  <a:pt x="156018" y="1078513"/>
                </a:lnTo>
                <a:lnTo>
                  <a:pt x="156700" y="1077116"/>
                </a:lnTo>
                <a:lnTo>
                  <a:pt x="157381" y="1075719"/>
                </a:lnTo>
                <a:lnTo>
                  <a:pt x="158062" y="1074321"/>
                </a:lnTo>
                <a:lnTo>
                  <a:pt x="158744" y="1072923"/>
                </a:lnTo>
                <a:lnTo>
                  <a:pt x="159425" y="1071524"/>
                </a:lnTo>
                <a:lnTo>
                  <a:pt x="160106" y="1070125"/>
                </a:lnTo>
                <a:lnTo>
                  <a:pt x="160788" y="1068726"/>
                </a:lnTo>
                <a:lnTo>
                  <a:pt x="161469" y="1067327"/>
                </a:lnTo>
                <a:lnTo>
                  <a:pt x="162150" y="1065927"/>
                </a:lnTo>
                <a:lnTo>
                  <a:pt x="162831" y="1064527"/>
                </a:lnTo>
                <a:lnTo>
                  <a:pt x="163513" y="1063127"/>
                </a:lnTo>
                <a:lnTo>
                  <a:pt x="164194" y="1061726"/>
                </a:lnTo>
                <a:lnTo>
                  <a:pt x="164875" y="1060326"/>
                </a:lnTo>
                <a:lnTo>
                  <a:pt x="165557" y="1058924"/>
                </a:lnTo>
                <a:lnTo>
                  <a:pt x="166238" y="1057523"/>
                </a:lnTo>
                <a:lnTo>
                  <a:pt x="166919" y="1056121"/>
                </a:lnTo>
                <a:lnTo>
                  <a:pt x="167601" y="1054719"/>
                </a:lnTo>
                <a:lnTo>
                  <a:pt x="168282" y="1053317"/>
                </a:lnTo>
                <a:lnTo>
                  <a:pt x="168963" y="1051914"/>
                </a:lnTo>
                <a:lnTo>
                  <a:pt x="169645" y="1050511"/>
                </a:lnTo>
                <a:lnTo>
                  <a:pt x="170326" y="1049108"/>
                </a:lnTo>
                <a:lnTo>
                  <a:pt x="171007" y="1047704"/>
                </a:lnTo>
                <a:lnTo>
                  <a:pt x="171688" y="1046301"/>
                </a:lnTo>
                <a:lnTo>
                  <a:pt x="172370" y="1044896"/>
                </a:lnTo>
                <a:lnTo>
                  <a:pt x="173051" y="1043492"/>
                </a:lnTo>
                <a:lnTo>
                  <a:pt x="173732" y="1042087"/>
                </a:lnTo>
                <a:lnTo>
                  <a:pt x="174414" y="1040682"/>
                </a:lnTo>
                <a:lnTo>
                  <a:pt x="175095" y="1039277"/>
                </a:lnTo>
                <a:lnTo>
                  <a:pt x="175776" y="1037872"/>
                </a:lnTo>
                <a:lnTo>
                  <a:pt x="176458" y="1036466"/>
                </a:lnTo>
                <a:lnTo>
                  <a:pt x="177139" y="1035060"/>
                </a:lnTo>
                <a:lnTo>
                  <a:pt x="177820" y="1033653"/>
                </a:lnTo>
                <a:lnTo>
                  <a:pt x="178502" y="1032247"/>
                </a:lnTo>
                <a:lnTo>
                  <a:pt x="179183" y="1030840"/>
                </a:lnTo>
                <a:lnTo>
                  <a:pt x="179864" y="1029433"/>
                </a:lnTo>
                <a:lnTo>
                  <a:pt x="180545" y="1028025"/>
                </a:lnTo>
                <a:lnTo>
                  <a:pt x="181227" y="1026618"/>
                </a:lnTo>
                <a:lnTo>
                  <a:pt x="181908" y="1025210"/>
                </a:lnTo>
                <a:lnTo>
                  <a:pt x="182589" y="1023801"/>
                </a:lnTo>
                <a:lnTo>
                  <a:pt x="183271" y="1022393"/>
                </a:lnTo>
                <a:lnTo>
                  <a:pt x="183952" y="1020984"/>
                </a:lnTo>
                <a:lnTo>
                  <a:pt x="184633" y="1019575"/>
                </a:lnTo>
                <a:lnTo>
                  <a:pt x="185315" y="1018165"/>
                </a:lnTo>
                <a:lnTo>
                  <a:pt x="185996" y="1016756"/>
                </a:lnTo>
                <a:lnTo>
                  <a:pt x="186677" y="1015346"/>
                </a:lnTo>
                <a:lnTo>
                  <a:pt x="187358" y="1013936"/>
                </a:lnTo>
                <a:lnTo>
                  <a:pt x="188040" y="1012525"/>
                </a:lnTo>
                <a:lnTo>
                  <a:pt x="188721" y="1011115"/>
                </a:lnTo>
                <a:lnTo>
                  <a:pt x="189402" y="1009704"/>
                </a:lnTo>
                <a:lnTo>
                  <a:pt x="190084" y="1008292"/>
                </a:lnTo>
                <a:lnTo>
                  <a:pt x="190765" y="1006881"/>
                </a:lnTo>
                <a:lnTo>
                  <a:pt x="191446" y="1005469"/>
                </a:lnTo>
                <a:lnTo>
                  <a:pt x="192128" y="1004057"/>
                </a:lnTo>
                <a:lnTo>
                  <a:pt x="192809" y="1002645"/>
                </a:lnTo>
                <a:lnTo>
                  <a:pt x="193490" y="1001233"/>
                </a:lnTo>
                <a:lnTo>
                  <a:pt x="194172" y="999820"/>
                </a:lnTo>
                <a:lnTo>
                  <a:pt x="194853" y="998407"/>
                </a:lnTo>
                <a:lnTo>
                  <a:pt x="195534" y="996993"/>
                </a:lnTo>
                <a:lnTo>
                  <a:pt x="196215" y="995580"/>
                </a:lnTo>
                <a:lnTo>
                  <a:pt x="196897" y="994166"/>
                </a:lnTo>
                <a:lnTo>
                  <a:pt x="197578" y="992752"/>
                </a:lnTo>
                <a:lnTo>
                  <a:pt x="198259" y="991338"/>
                </a:lnTo>
                <a:lnTo>
                  <a:pt x="198941" y="989923"/>
                </a:lnTo>
                <a:lnTo>
                  <a:pt x="199622" y="988509"/>
                </a:lnTo>
                <a:lnTo>
                  <a:pt x="200303" y="987094"/>
                </a:lnTo>
                <a:lnTo>
                  <a:pt x="200985" y="985679"/>
                </a:lnTo>
                <a:lnTo>
                  <a:pt x="201666" y="984263"/>
                </a:lnTo>
                <a:lnTo>
                  <a:pt x="202347" y="982847"/>
                </a:lnTo>
                <a:lnTo>
                  <a:pt x="203028" y="981431"/>
                </a:lnTo>
                <a:lnTo>
                  <a:pt x="203710" y="980015"/>
                </a:lnTo>
                <a:lnTo>
                  <a:pt x="204391" y="978599"/>
                </a:lnTo>
                <a:lnTo>
                  <a:pt x="205072" y="977182"/>
                </a:lnTo>
                <a:lnTo>
                  <a:pt x="205754" y="975765"/>
                </a:lnTo>
                <a:lnTo>
                  <a:pt x="206435" y="974348"/>
                </a:lnTo>
                <a:lnTo>
                  <a:pt x="207116" y="972931"/>
                </a:lnTo>
                <a:lnTo>
                  <a:pt x="207798" y="971513"/>
                </a:lnTo>
                <a:lnTo>
                  <a:pt x="208479" y="970095"/>
                </a:lnTo>
                <a:lnTo>
                  <a:pt x="209160" y="968677"/>
                </a:lnTo>
                <a:lnTo>
                  <a:pt x="209842" y="967259"/>
                </a:lnTo>
                <a:lnTo>
                  <a:pt x="210523" y="965840"/>
                </a:lnTo>
                <a:lnTo>
                  <a:pt x="211204" y="964422"/>
                </a:lnTo>
                <a:lnTo>
                  <a:pt x="211885" y="963003"/>
                </a:lnTo>
                <a:lnTo>
                  <a:pt x="212567" y="961583"/>
                </a:lnTo>
                <a:lnTo>
                  <a:pt x="213248" y="960164"/>
                </a:lnTo>
                <a:lnTo>
                  <a:pt x="213929" y="958744"/>
                </a:lnTo>
                <a:lnTo>
                  <a:pt x="214611" y="957324"/>
                </a:lnTo>
                <a:lnTo>
                  <a:pt x="215292" y="955904"/>
                </a:lnTo>
                <a:lnTo>
                  <a:pt x="215973" y="954484"/>
                </a:lnTo>
                <a:lnTo>
                  <a:pt x="216655" y="953063"/>
                </a:lnTo>
                <a:lnTo>
                  <a:pt x="217336" y="951643"/>
                </a:lnTo>
                <a:lnTo>
                  <a:pt x="218017" y="950222"/>
                </a:lnTo>
                <a:lnTo>
                  <a:pt x="218699" y="948801"/>
                </a:lnTo>
                <a:lnTo>
                  <a:pt x="219380" y="947379"/>
                </a:lnTo>
                <a:lnTo>
                  <a:pt x="220061" y="945958"/>
                </a:lnTo>
                <a:lnTo>
                  <a:pt x="220742" y="944536"/>
                </a:lnTo>
                <a:lnTo>
                  <a:pt x="221424" y="943114"/>
                </a:lnTo>
                <a:lnTo>
                  <a:pt x="222105" y="941691"/>
                </a:lnTo>
                <a:lnTo>
                  <a:pt x="222786" y="940269"/>
                </a:lnTo>
                <a:lnTo>
                  <a:pt x="223468" y="938846"/>
                </a:lnTo>
                <a:lnTo>
                  <a:pt x="224149" y="937423"/>
                </a:lnTo>
                <a:lnTo>
                  <a:pt x="224830" y="936000"/>
                </a:lnTo>
                <a:lnTo>
                  <a:pt x="225512" y="934577"/>
                </a:lnTo>
                <a:lnTo>
                  <a:pt x="226193" y="933154"/>
                </a:lnTo>
                <a:lnTo>
                  <a:pt x="226874" y="931730"/>
                </a:lnTo>
                <a:lnTo>
                  <a:pt x="227555" y="930306"/>
                </a:lnTo>
                <a:lnTo>
                  <a:pt x="228237" y="928882"/>
                </a:lnTo>
                <a:lnTo>
                  <a:pt x="228918" y="927458"/>
                </a:lnTo>
                <a:lnTo>
                  <a:pt x="229599" y="926033"/>
                </a:lnTo>
                <a:lnTo>
                  <a:pt x="230281" y="924609"/>
                </a:lnTo>
                <a:lnTo>
                  <a:pt x="230962" y="923184"/>
                </a:lnTo>
                <a:lnTo>
                  <a:pt x="231643" y="921759"/>
                </a:lnTo>
                <a:lnTo>
                  <a:pt x="232325" y="920333"/>
                </a:lnTo>
                <a:lnTo>
                  <a:pt x="233006" y="918908"/>
                </a:lnTo>
                <a:lnTo>
                  <a:pt x="233687" y="917482"/>
                </a:lnTo>
                <a:lnTo>
                  <a:pt x="234369" y="916056"/>
                </a:lnTo>
                <a:lnTo>
                  <a:pt x="235050" y="914630"/>
                </a:lnTo>
                <a:lnTo>
                  <a:pt x="235731" y="913204"/>
                </a:lnTo>
                <a:lnTo>
                  <a:pt x="236412" y="911778"/>
                </a:lnTo>
                <a:lnTo>
                  <a:pt x="237094" y="910351"/>
                </a:lnTo>
                <a:lnTo>
                  <a:pt x="237775" y="908925"/>
                </a:lnTo>
                <a:lnTo>
                  <a:pt x="238456" y="907498"/>
                </a:lnTo>
                <a:lnTo>
                  <a:pt x="239138" y="906070"/>
                </a:lnTo>
                <a:lnTo>
                  <a:pt x="239819" y="904643"/>
                </a:lnTo>
                <a:lnTo>
                  <a:pt x="240500" y="903216"/>
                </a:lnTo>
                <a:lnTo>
                  <a:pt x="241182" y="901788"/>
                </a:lnTo>
                <a:lnTo>
                  <a:pt x="241863" y="900360"/>
                </a:lnTo>
                <a:lnTo>
                  <a:pt x="242544" y="898932"/>
                </a:lnTo>
                <a:lnTo>
                  <a:pt x="243226" y="897504"/>
                </a:lnTo>
                <a:lnTo>
                  <a:pt x="243907" y="896076"/>
                </a:lnTo>
                <a:lnTo>
                  <a:pt x="244588" y="894647"/>
                </a:lnTo>
                <a:lnTo>
                  <a:pt x="245269" y="893218"/>
                </a:lnTo>
                <a:lnTo>
                  <a:pt x="245951" y="891790"/>
                </a:lnTo>
                <a:lnTo>
                  <a:pt x="246632" y="890361"/>
                </a:lnTo>
                <a:lnTo>
                  <a:pt x="247313" y="888931"/>
                </a:lnTo>
                <a:lnTo>
                  <a:pt x="247995" y="887502"/>
                </a:lnTo>
                <a:lnTo>
                  <a:pt x="248676" y="886072"/>
                </a:lnTo>
                <a:lnTo>
                  <a:pt x="249357" y="884643"/>
                </a:lnTo>
                <a:lnTo>
                  <a:pt x="250039" y="883213"/>
                </a:lnTo>
                <a:lnTo>
                  <a:pt x="250720" y="881783"/>
                </a:lnTo>
                <a:lnTo>
                  <a:pt x="251401" y="880353"/>
                </a:lnTo>
                <a:lnTo>
                  <a:pt x="252082" y="878922"/>
                </a:lnTo>
                <a:lnTo>
                  <a:pt x="252764" y="877492"/>
                </a:lnTo>
                <a:lnTo>
                  <a:pt x="253445" y="876061"/>
                </a:lnTo>
                <a:lnTo>
                  <a:pt x="254126" y="874630"/>
                </a:lnTo>
                <a:lnTo>
                  <a:pt x="254808" y="873199"/>
                </a:lnTo>
                <a:lnTo>
                  <a:pt x="255489" y="871768"/>
                </a:lnTo>
                <a:lnTo>
                  <a:pt x="256170" y="870337"/>
                </a:lnTo>
                <a:lnTo>
                  <a:pt x="256852" y="868905"/>
                </a:lnTo>
                <a:lnTo>
                  <a:pt x="257533" y="867474"/>
                </a:lnTo>
                <a:lnTo>
                  <a:pt x="258214" y="866042"/>
                </a:lnTo>
                <a:lnTo>
                  <a:pt x="258896" y="864610"/>
                </a:lnTo>
                <a:lnTo>
                  <a:pt x="259577" y="863178"/>
                </a:lnTo>
                <a:lnTo>
                  <a:pt x="260258" y="861746"/>
                </a:lnTo>
                <a:lnTo>
                  <a:pt x="260939" y="860314"/>
                </a:lnTo>
                <a:lnTo>
                  <a:pt x="261621" y="858881"/>
                </a:lnTo>
                <a:lnTo>
                  <a:pt x="262302" y="857448"/>
                </a:lnTo>
                <a:lnTo>
                  <a:pt x="262983" y="856016"/>
                </a:lnTo>
                <a:lnTo>
                  <a:pt x="263665" y="854583"/>
                </a:lnTo>
                <a:lnTo>
                  <a:pt x="264346" y="853150"/>
                </a:lnTo>
                <a:lnTo>
                  <a:pt x="265027" y="851717"/>
                </a:lnTo>
                <a:lnTo>
                  <a:pt x="265709" y="850283"/>
                </a:lnTo>
                <a:lnTo>
                  <a:pt x="266390" y="848850"/>
                </a:lnTo>
                <a:lnTo>
                  <a:pt x="267071" y="847416"/>
                </a:lnTo>
                <a:lnTo>
                  <a:pt x="267753" y="845983"/>
                </a:lnTo>
                <a:lnTo>
                  <a:pt x="268434" y="844549"/>
                </a:lnTo>
                <a:lnTo>
                  <a:pt x="269115" y="843115"/>
                </a:lnTo>
                <a:lnTo>
                  <a:pt x="269796" y="841681"/>
                </a:lnTo>
                <a:lnTo>
                  <a:pt x="270478" y="840246"/>
                </a:lnTo>
                <a:lnTo>
                  <a:pt x="271159" y="838812"/>
                </a:lnTo>
                <a:lnTo>
                  <a:pt x="271840" y="837378"/>
                </a:lnTo>
                <a:lnTo>
                  <a:pt x="272522" y="835943"/>
                </a:lnTo>
                <a:lnTo>
                  <a:pt x="273203" y="834508"/>
                </a:lnTo>
                <a:lnTo>
                  <a:pt x="273884" y="833073"/>
                </a:lnTo>
                <a:lnTo>
                  <a:pt x="274566" y="831638"/>
                </a:lnTo>
                <a:lnTo>
                  <a:pt x="275247" y="830203"/>
                </a:lnTo>
                <a:lnTo>
                  <a:pt x="275928" y="828768"/>
                </a:lnTo>
                <a:lnTo>
                  <a:pt x="276609" y="827333"/>
                </a:lnTo>
                <a:lnTo>
                  <a:pt x="277291" y="825897"/>
                </a:lnTo>
                <a:lnTo>
                  <a:pt x="277972" y="824462"/>
                </a:lnTo>
                <a:lnTo>
                  <a:pt x="278653" y="823026"/>
                </a:lnTo>
                <a:lnTo>
                  <a:pt x="279335" y="821590"/>
                </a:lnTo>
                <a:lnTo>
                  <a:pt x="280016" y="820154"/>
                </a:lnTo>
                <a:lnTo>
                  <a:pt x="280697" y="818718"/>
                </a:lnTo>
                <a:lnTo>
                  <a:pt x="281379" y="817282"/>
                </a:lnTo>
                <a:lnTo>
                  <a:pt x="282060" y="815846"/>
                </a:lnTo>
                <a:lnTo>
                  <a:pt x="282741" y="814410"/>
                </a:lnTo>
                <a:lnTo>
                  <a:pt x="283423" y="812973"/>
                </a:lnTo>
                <a:lnTo>
                  <a:pt x="284104" y="811537"/>
                </a:lnTo>
                <a:lnTo>
                  <a:pt x="284785" y="810100"/>
                </a:lnTo>
                <a:lnTo>
                  <a:pt x="285466" y="808663"/>
                </a:lnTo>
                <a:lnTo>
                  <a:pt x="286148" y="807226"/>
                </a:lnTo>
                <a:lnTo>
                  <a:pt x="286829" y="805790"/>
                </a:lnTo>
                <a:lnTo>
                  <a:pt x="287510" y="804352"/>
                </a:lnTo>
                <a:lnTo>
                  <a:pt x="288192" y="802915"/>
                </a:lnTo>
                <a:lnTo>
                  <a:pt x="288873" y="801478"/>
                </a:lnTo>
                <a:lnTo>
                  <a:pt x="289554" y="800041"/>
                </a:lnTo>
                <a:lnTo>
                  <a:pt x="290236" y="798603"/>
                </a:lnTo>
                <a:lnTo>
                  <a:pt x="290917" y="797166"/>
                </a:lnTo>
                <a:lnTo>
                  <a:pt x="291598" y="795728"/>
                </a:lnTo>
                <a:lnTo>
                  <a:pt x="292279" y="794290"/>
                </a:lnTo>
                <a:lnTo>
                  <a:pt x="292961" y="792853"/>
                </a:lnTo>
                <a:lnTo>
                  <a:pt x="293642" y="791415"/>
                </a:lnTo>
                <a:lnTo>
                  <a:pt x="294323" y="789977"/>
                </a:lnTo>
                <a:lnTo>
                  <a:pt x="295005" y="788539"/>
                </a:lnTo>
                <a:lnTo>
                  <a:pt x="295686" y="787101"/>
                </a:lnTo>
                <a:lnTo>
                  <a:pt x="296367" y="785662"/>
                </a:lnTo>
                <a:lnTo>
                  <a:pt x="297049" y="784224"/>
                </a:lnTo>
                <a:lnTo>
                  <a:pt x="297730" y="782786"/>
                </a:lnTo>
                <a:lnTo>
                  <a:pt x="298411" y="781347"/>
                </a:lnTo>
                <a:lnTo>
                  <a:pt x="299093" y="779909"/>
                </a:lnTo>
                <a:lnTo>
                  <a:pt x="299774" y="778470"/>
                </a:lnTo>
                <a:lnTo>
                  <a:pt x="300455" y="777031"/>
                </a:lnTo>
                <a:lnTo>
                  <a:pt x="301136" y="775593"/>
                </a:lnTo>
                <a:lnTo>
                  <a:pt x="301818" y="774154"/>
                </a:lnTo>
                <a:lnTo>
                  <a:pt x="302499" y="772715"/>
                </a:lnTo>
                <a:lnTo>
                  <a:pt x="303180" y="771276"/>
                </a:lnTo>
                <a:lnTo>
                  <a:pt x="303862" y="769837"/>
                </a:lnTo>
                <a:lnTo>
                  <a:pt x="304543" y="768398"/>
                </a:lnTo>
                <a:lnTo>
                  <a:pt x="305224" y="766959"/>
                </a:lnTo>
                <a:lnTo>
                  <a:pt x="305906" y="765519"/>
                </a:lnTo>
                <a:lnTo>
                  <a:pt x="306587" y="764080"/>
                </a:lnTo>
                <a:lnTo>
                  <a:pt x="307268" y="762641"/>
                </a:lnTo>
                <a:lnTo>
                  <a:pt x="307950" y="761201"/>
                </a:lnTo>
                <a:lnTo>
                  <a:pt x="308631" y="759762"/>
                </a:lnTo>
                <a:lnTo>
                  <a:pt x="309312" y="758322"/>
                </a:lnTo>
                <a:lnTo>
                  <a:pt x="309993" y="756883"/>
                </a:lnTo>
                <a:lnTo>
                  <a:pt x="310675" y="755443"/>
                </a:lnTo>
                <a:lnTo>
                  <a:pt x="311356" y="754003"/>
                </a:lnTo>
                <a:lnTo>
                  <a:pt x="312037" y="752563"/>
                </a:lnTo>
                <a:lnTo>
                  <a:pt x="312719" y="751124"/>
                </a:lnTo>
                <a:lnTo>
                  <a:pt x="313400" y="749684"/>
                </a:lnTo>
                <a:lnTo>
                  <a:pt x="314081" y="748244"/>
                </a:lnTo>
                <a:lnTo>
                  <a:pt x="314763" y="746804"/>
                </a:lnTo>
                <a:lnTo>
                  <a:pt x="315444" y="745364"/>
                </a:lnTo>
                <a:lnTo>
                  <a:pt x="316125" y="743924"/>
                </a:lnTo>
                <a:lnTo>
                  <a:pt x="316806" y="742484"/>
                </a:lnTo>
                <a:lnTo>
                  <a:pt x="317488" y="741043"/>
                </a:lnTo>
                <a:lnTo>
                  <a:pt x="318169" y="739603"/>
                </a:lnTo>
                <a:lnTo>
                  <a:pt x="318850" y="738163"/>
                </a:lnTo>
                <a:lnTo>
                  <a:pt x="319532" y="736723"/>
                </a:lnTo>
                <a:lnTo>
                  <a:pt x="320213" y="735282"/>
                </a:lnTo>
                <a:lnTo>
                  <a:pt x="320894" y="733842"/>
                </a:lnTo>
                <a:lnTo>
                  <a:pt x="321576" y="732402"/>
                </a:lnTo>
                <a:lnTo>
                  <a:pt x="322257" y="730961"/>
                </a:lnTo>
                <a:lnTo>
                  <a:pt x="322938" y="729521"/>
                </a:lnTo>
                <a:lnTo>
                  <a:pt x="323620" y="728080"/>
                </a:lnTo>
                <a:lnTo>
                  <a:pt x="324301" y="726640"/>
                </a:lnTo>
                <a:lnTo>
                  <a:pt x="324982" y="725199"/>
                </a:lnTo>
                <a:lnTo>
                  <a:pt x="325663" y="723758"/>
                </a:lnTo>
                <a:lnTo>
                  <a:pt x="326345" y="722318"/>
                </a:lnTo>
                <a:lnTo>
                  <a:pt x="327026" y="720877"/>
                </a:lnTo>
                <a:lnTo>
                  <a:pt x="327707" y="719436"/>
                </a:lnTo>
                <a:lnTo>
                  <a:pt x="328389" y="717996"/>
                </a:lnTo>
                <a:lnTo>
                  <a:pt x="329070" y="716555"/>
                </a:lnTo>
                <a:lnTo>
                  <a:pt x="329751" y="715114"/>
                </a:lnTo>
                <a:lnTo>
                  <a:pt x="330433" y="713673"/>
                </a:lnTo>
                <a:lnTo>
                  <a:pt x="331114" y="712233"/>
                </a:lnTo>
                <a:lnTo>
                  <a:pt x="331795" y="710792"/>
                </a:lnTo>
                <a:lnTo>
                  <a:pt x="332477" y="709351"/>
                </a:lnTo>
                <a:lnTo>
                  <a:pt x="333158" y="707910"/>
                </a:lnTo>
                <a:lnTo>
                  <a:pt x="333839" y="706469"/>
                </a:lnTo>
                <a:lnTo>
                  <a:pt x="334520" y="705028"/>
                </a:lnTo>
                <a:lnTo>
                  <a:pt x="335202" y="703588"/>
                </a:lnTo>
                <a:lnTo>
                  <a:pt x="335883" y="702147"/>
                </a:lnTo>
                <a:lnTo>
                  <a:pt x="336564" y="700706"/>
                </a:lnTo>
                <a:lnTo>
                  <a:pt x="337246" y="699265"/>
                </a:lnTo>
                <a:lnTo>
                  <a:pt x="337927" y="697824"/>
                </a:lnTo>
                <a:lnTo>
                  <a:pt x="338608" y="696383"/>
                </a:lnTo>
                <a:lnTo>
                  <a:pt x="339290" y="694942"/>
                </a:lnTo>
                <a:lnTo>
                  <a:pt x="339971" y="693501"/>
                </a:lnTo>
                <a:lnTo>
                  <a:pt x="340652" y="692060"/>
                </a:lnTo>
                <a:lnTo>
                  <a:pt x="341333" y="690619"/>
                </a:lnTo>
                <a:lnTo>
                  <a:pt x="342015" y="689178"/>
                </a:lnTo>
                <a:lnTo>
                  <a:pt x="342696" y="687737"/>
                </a:lnTo>
                <a:lnTo>
                  <a:pt x="343377" y="686297"/>
                </a:lnTo>
                <a:lnTo>
                  <a:pt x="344059" y="684856"/>
                </a:lnTo>
                <a:lnTo>
                  <a:pt x="344740" y="683415"/>
                </a:lnTo>
                <a:lnTo>
                  <a:pt x="345421" y="681974"/>
                </a:lnTo>
                <a:lnTo>
                  <a:pt x="346103" y="680533"/>
                </a:lnTo>
                <a:lnTo>
                  <a:pt x="346784" y="679092"/>
                </a:lnTo>
                <a:lnTo>
                  <a:pt x="347465" y="677651"/>
                </a:lnTo>
                <a:lnTo>
                  <a:pt x="348147" y="676210"/>
                </a:lnTo>
                <a:lnTo>
                  <a:pt x="348828" y="674770"/>
                </a:lnTo>
                <a:lnTo>
                  <a:pt x="349509" y="673329"/>
                </a:lnTo>
                <a:lnTo>
                  <a:pt x="350190" y="671888"/>
                </a:lnTo>
                <a:lnTo>
                  <a:pt x="350872" y="670447"/>
                </a:lnTo>
                <a:lnTo>
                  <a:pt x="351553" y="669006"/>
                </a:lnTo>
                <a:lnTo>
                  <a:pt x="352234" y="667566"/>
                </a:lnTo>
                <a:lnTo>
                  <a:pt x="352916" y="666125"/>
                </a:lnTo>
                <a:lnTo>
                  <a:pt x="353597" y="664684"/>
                </a:lnTo>
                <a:lnTo>
                  <a:pt x="354278" y="663243"/>
                </a:lnTo>
                <a:lnTo>
                  <a:pt x="354960" y="661803"/>
                </a:lnTo>
                <a:lnTo>
                  <a:pt x="355641" y="660362"/>
                </a:lnTo>
                <a:lnTo>
                  <a:pt x="356322" y="658922"/>
                </a:lnTo>
                <a:lnTo>
                  <a:pt x="357004" y="657481"/>
                </a:lnTo>
                <a:lnTo>
                  <a:pt x="357685" y="656040"/>
                </a:lnTo>
                <a:lnTo>
                  <a:pt x="358366" y="654600"/>
                </a:lnTo>
                <a:lnTo>
                  <a:pt x="359047" y="653160"/>
                </a:lnTo>
                <a:lnTo>
                  <a:pt x="359729" y="651719"/>
                </a:lnTo>
                <a:lnTo>
                  <a:pt x="360410" y="650279"/>
                </a:lnTo>
                <a:lnTo>
                  <a:pt x="361091" y="648838"/>
                </a:lnTo>
                <a:lnTo>
                  <a:pt x="361773" y="647398"/>
                </a:lnTo>
                <a:lnTo>
                  <a:pt x="362454" y="645958"/>
                </a:lnTo>
                <a:lnTo>
                  <a:pt x="363135" y="644517"/>
                </a:lnTo>
                <a:lnTo>
                  <a:pt x="363817" y="643077"/>
                </a:lnTo>
                <a:lnTo>
                  <a:pt x="364498" y="641637"/>
                </a:lnTo>
                <a:lnTo>
                  <a:pt x="365179" y="640197"/>
                </a:lnTo>
                <a:lnTo>
                  <a:pt x="365860" y="638757"/>
                </a:lnTo>
                <a:lnTo>
                  <a:pt x="366542" y="637317"/>
                </a:lnTo>
                <a:lnTo>
                  <a:pt x="367223" y="635877"/>
                </a:lnTo>
                <a:lnTo>
                  <a:pt x="367904" y="634437"/>
                </a:lnTo>
                <a:lnTo>
                  <a:pt x="368586" y="632997"/>
                </a:lnTo>
                <a:lnTo>
                  <a:pt x="369267" y="631557"/>
                </a:lnTo>
                <a:lnTo>
                  <a:pt x="369948" y="630118"/>
                </a:lnTo>
                <a:lnTo>
                  <a:pt x="370630" y="628678"/>
                </a:lnTo>
                <a:lnTo>
                  <a:pt x="371311" y="627238"/>
                </a:lnTo>
                <a:lnTo>
                  <a:pt x="371992" y="625799"/>
                </a:lnTo>
                <a:lnTo>
                  <a:pt x="372674" y="624359"/>
                </a:lnTo>
                <a:lnTo>
                  <a:pt x="373355" y="622920"/>
                </a:lnTo>
                <a:lnTo>
                  <a:pt x="374036" y="621480"/>
                </a:lnTo>
                <a:lnTo>
                  <a:pt x="374717" y="620041"/>
                </a:lnTo>
                <a:lnTo>
                  <a:pt x="375399" y="618602"/>
                </a:lnTo>
                <a:lnTo>
                  <a:pt x="376080" y="617162"/>
                </a:lnTo>
                <a:lnTo>
                  <a:pt x="376761" y="615723"/>
                </a:lnTo>
                <a:lnTo>
                  <a:pt x="377443" y="614284"/>
                </a:lnTo>
                <a:lnTo>
                  <a:pt x="378124" y="612845"/>
                </a:lnTo>
                <a:lnTo>
                  <a:pt x="378805" y="611406"/>
                </a:lnTo>
                <a:lnTo>
                  <a:pt x="379487" y="609967"/>
                </a:lnTo>
                <a:lnTo>
                  <a:pt x="380168" y="608529"/>
                </a:lnTo>
                <a:lnTo>
                  <a:pt x="380849" y="607090"/>
                </a:lnTo>
                <a:lnTo>
                  <a:pt x="381530" y="605651"/>
                </a:lnTo>
                <a:lnTo>
                  <a:pt x="382212" y="604213"/>
                </a:lnTo>
                <a:lnTo>
                  <a:pt x="382893" y="602774"/>
                </a:lnTo>
                <a:lnTo>
                  <a:pt x="383574" y="601336"/>
                </a:lnTo>
                <a:lnTo>
                  <a:pt x="384256" y="599898"/>
                </a:lnTo>
                <a:lnTo>
                  <a:pt x="384937" y="598459"/>
                </a:lnTo>
                <a:lnTo>
                  <a:pt x="385618" y="597021"/>
                </a:lnTo>
                <a:lnTo>
                  <a:pt x="386300" y="595583"/>
                </a:lnTo>
                <a:lnTo>
                  <a:pt x="386981" y="594145"/>
                </a:lnTo>
                <a:lnTo>
                  <a:pt x="387662" y="592707"/>
                </a:lnTo>
                <a:lnTo>
                  <a:pt x="388344" y="591270"/>
                </a:lnTo>
                <a:lnTo>
                  <a:pt x="389025" y="589832"/>
                </a:lnTo>
                <a:lnTo>
                  <a:pt x="389706" y="588394"/>
                </a:lnTo>
                <a:lnTo>
                  <a:pt x="390387" y="586957"/>
                </a:lnTo>
                <a:lnTo>
                  <a:pt x="391069" y="585519"/>
                </a:lnTo>
                <a:lnTo>
                  <a:pt x="391750" y="584082"/>
                </a:lnTo>
                <a:lnTo>
                  <a:pt x="392431" y="582645"/>
                </a:lnTo>
                <a:lnTo>
                  <a:pt x="393113" y="581208"/>
                </a:lnTo>
                <a:lnTo>
                  <a:pt x="393794" y="579771"/>
                </a:lnTo>
                <a:lnTo>
                  <a:pt x="394475" y="578334"/>
                </a:lnTo>
                <a:lnTo>
                  <a:pt x="395157" y="576897"/>
                </a:lnTo>
                <a:lnTo>
                  <a:pt x="395838" y="575460"/>
                </a:lnTo>
                <a:lnTo>
                  <a:pt x="396519" y="574024"/>
                </a:lnTo>
                <a:lnTo>
                  <a:pt x="397201" y="572587"/>
                </a:lnTo>
                <a:lnTo>
                  <a:pt x="397882" y="571151"/>
                </a:lnTo>
                <a:lnTo>
                  <a:pt x="398563" y="569715"/>
                </a:lnTo>
                <a:lnTo>
                  <a:pt x="399244" y="568278"/>
                </a:lnTo>
                <a:lnTo>
                  <a:pt x="399926" y="566842"/>
                </a:lnTo>
                <a:lnTo>
                  <a:pt x="400607" y="565406"/>
                </a:lnTo>
                <a:lnTo>
                  <a:pt x="401288" y="563971"/>
                </a:lnTo>
                <a:lnTo>
                  <a:pt x="401970" y="562535"/>
                </a:lnTo>
                <a:lnTo>
                  <a:pt x="402651" y="561099"/>
                </a:lnTo>
                <a:lnTo>
                  <a:pt x="403332" y="559664"/>
                </a:lnTo>
                <a:lnTo>
                  <a:pt x="404014" y="558228"/>
                </a:lnTo>
                <a:lnTo>
                  <a:pt x="404695" y="556793"/>
                </a:lnTo>
                <a:lnTo>
                  <a:pt x="405376" y="555358"/>
                </a:lnTo>
                <a:lnTo>
                  <a:pt x="406057" y="553923"/>
                </a:lnTo>
                <a:lnTo>
                  <a:pt x="406739" y="552488"/>
                </a:lnTo>
                <a:lnTo>
                  <a:pt x="407420" y="551054"/>
                </a:lnTo>
                <a:lnTo>
                  <a:pt x="408101" y="549619"/>
                </a:lnTo>
                <a:lnTo>
                  <a:pt x="408783" y="548185"/>
                </a:lnTo>
                <a:lnTo>
                  <a:pt x="409464" y="546750"/>
                </a:lnTo>
                <a:lnTo>
                  <a:pt x="410145" y="545316"/>
                </a:lnTo>
                <a:lnTo>
                  <a:pt x="410827" y="543882"/>
                </a:lnTo>
                <a:lnTo>
                  <a:pt x="411508" y="542448"/>
                </a:lnTo>
                <a:lnTo>
                  <a:pt x="412189" y="541014"/>
                </a:lnTo>
                <a:lnTo>
                  <a:pt x="412871" y="539581"/>
                </a:lnTo>
                <a:lnTo>
                  <a:pt x="413552" y="538147"/>
                </a:lnTo>
                <a:lnTo>
                  <a:pt x="414233" y="536714"/>
                </a:lnTo>
                <a:lnTo>
                  <a:pt x="414914" y="535281"/>
                </a:lnTo>
                <a:lnTo>
                  <a:pt x="415596" y="533848"/>
                </a:lnTo>
                <a:lnTo>
                  <a:pt x="416277" y="532415"/>
                </a:lnTo>
                <a:lnTo>
                  <a:pt x="416958" y="530982"/>
                </a:lnTo>
                <a:lnTo>
                  <a:pt x="417640" y="529549"/>
                </a:lnTo>
                <a:lnTo>
                  <a:pt x="418321" y="528117"/>
                </a:lnTo>
                <a:lnTo>
                  <a:pt x="419002" y="526684"/>
                </a:lnTo>
                <a:lnTo>
                  <a:pt x="419684" y="525252"/>
                </a:lnTo>
                <a:lnTo>
                  <a:pt x="420365" y="523820"/>
                </a:lnTo>
                <a:lnTo>
                  <a:pt x="421046" y="522388"/>
                </a:lnTo>
                <a:lnTo>
                  <a:pt x="421728" y="520957"/>
                </a:lnTo>
                <a:lnTo>
                  <a:pt x="422409" y="519525"/>
                </a:lnTo>
                <a:lnTo>
                  <a:pt x="423090" y="518094"/>
                </a:lnTo>
                <a:lnTo>
                  <a:pt x="423771" y="516663"/>
                </a:lnTo>
                <a:lnTo>
                  <a:pt x="424453" y="515231"/>
                </a:lnTo>
                <a:lnTo>
                  <a:pt x="425134" y="513801"/>
                </a:lnTo>
                <a:lnTo>
                  <a:pt x="425815" y="512370"/>
                </a:lnTo>
                <a:lnTo>
                  <a:pt x="426497" y="510939"/>
                </a:lnTo>
                <a:lnTo>
                  <a:pt x="427178" y="509509"/>
                </a:lnTo>
                <a:lnTo>
                  <a:pt x="427859" y="508079"/>
                </a:lnTo>
                <a:lnTo>
                  <a:pt x="428541" y="506648"/>
                </a:lnTo>
                <a:lnTo>
                  <a:pt x="429222" y="505219"/>
                </a:lnTo>
                <a:lnTo>
                  <a:pt x="429903" y="503789"/>
                </a:lnTo>
                <a:lnTo>
                  <a:pt x="430584" y="502359"/>
                </a:lnTo>
                <a:lnTo>
                  <a:pt x="431266" y="500930"/>
                </a:lnTo>
                <a:lnTo>
                  <a:pt x="431947" y="499501"/>
                </a:lnTo>
                <a:lnTo>
                  <a:pt x="432628" y="498072"/>
                </a:lnTo>
                <a:lnTo>
                  <a:pt x="433310" y="496643"/>
                </a:lnTo>
                <a:lnTo>
                  <a:pt x="433991" y="495214"/>
                </a:lnTo>
                <a:lnTo>
                  <a:pt x="434672" y="493786"/>
                </a:lnTo>
                <a:lnTo>
                  <a:pt x="435354" y="492357"/>
                </a:lnTo>
                <a:lnTo>
                  <a:pt x="436035" y="490929"/>
                </a:lnTo>
                <a:lnTo>
                  <a:pt x="436716" y="489501"/>
                </a:lnTo>
                <a:lnTo>
                  <a:pt x="437398" y="488074"/>
                </a:lnTo>
                <a:lnTo>
                  <a:pt x="438079" y="486646"/>
                </a:lnTo>
                <a:lnTo>
                  <a:pt x="438760" y="485219"/>
                </a:lnTo>
                <a:lnTo>
                  <a:pt x="439441" y="483792"/>
                </a:lnTo>
                <a:lnTo>
                  <a:pt x="440123" y="482365"/>
                </a:lnTo>
                <a:lnTo>
                  <a:pt x="440804" y="480938"/>
                </a:lnTo>
                <a:lnTo>
                  <a:pt x="441485" y="479511"/>
                </a:lnTo>
                <a:lnTo>
                  <a:pt x="442167" y="478085"/>
                </a:lnTo>
                <a:lnTo>
                  <a:pt x="442848" y="476659"/>
                </a:lnTo>
                <a:lnTo>
                  <a:pt x="443529" y="475233"/>
                </a:lnTo>
                <a:lnTo>
                  <a:pt x="444211" y="473807"/>
                </a:lnTo>
                <a:lnTo>
                  <a:pt x="444892" y="472382"/>
                </a:lnTo>
                <a:lnTo>
                  <a:pt x="445573" y="470956"/>
                </a:lnTo>
                <a:lnTo>
                  <a:pt x="446255" y="469531"/>
                </a:lnTo>
                <a:lnTo>
                  <a:pt x="446936" y="468106"/>
                </a:lnTo>
                <a:lnTo>
                  <a:pt x="447617" y="466681"/>
                </a:lnTo>
                <a:lnTo>
                  <a:pt x="448298" y="465257"/>
                </a:lnTo>
                <a:lnTo>
                  <a:pt x="448980" y="463832"/>
                </a:lnTo>
                <a:lnTo>
                  <a:pt x="449661" y="462408"/>
                </a:lnTo>
                <a:lnTo>
                  <a:pt x="450342" y="460984"/>
                </a:lnTo>
                <a:lnTo>
                  <a:pt x="451024" y="459561"/>
                </a:lnTo>
                <a:lnTo>
                  <a:pt x="451705" y="458137"/>
                </a:lnTo>
                <a:lnTo>
                  <a:pt x="452386" y="456714"/>
                </a:lnTo>
                <a:lnTo>
                  <a:pt x="453068" y="455291"/>
                </a:lnTo>
                <a:lnTo>
                  <a:pt x="453749" y="453868"/>
                </a:lnTo>
                <a:lnTo>
                  <a:pt x="454430" y="452446"/>
                </a:lnTo>
                <a:lnTo>
                  <a:pt x="455111" y="451023"/>
                </a:lnTo>
                <a:lnTo>
                  <a:pt x="455793" y="449601"/>
                </a:lnTo>
                <a:lnTo>
                  <a:pt x="456474" y="448179"/>
                </a:lnTo>
                <a:lnTo>
                  <a:pt x="457155" y="446758"/>
                </a:lnTo>
                <a:lnTo>
                  <a:pt x="457837" y="445336"/>
                </a:lnTo>
                <a:lnTo>
                  <a:pt x="458518" y="443915"/>
                </a:lnTo>
                <a:lnTo>
                  <a:pt x="459199" y="442494"/>
                </a:lnTo>
                <a:lnTo>
                  <a:pt x="459881" y="441073"/>
                </a:lnTo>
                <a:lnTo>
                  <a:pt x="460562" y="439653"/>
                </a:lnTo>
                <a:lnTo>
                  <a:pt x="461243" y="438233"/>
                </a:lnTo>
                <a:lnTo>
                  <a:pt x="461925" y="436813"/>
                </a:lnTo>
                <a:lnTo>
                  <a:pt x="462606" y="435393"/>
                </a:lnTo>
                <a:lnTo>
                  <a:pt x="463287" y="433973"/>
                </a:lnTo>
                <a:lnTo>
                  <a:pt x="463968" y="432554"/>
                </a:lnTo>
                <a:lnTo>
                  <a:pt x="464650" y="431135"/>
                </a:lnTo>
                <a:lnTo>
                  <a:pt x="465331" y="429716"/>
                </a:lnTo>
                <a:lnTo>
                  <a:pt x="466012" y="428297"/>
                </a:lnTo>
                <a:lnTo>
                  <a:pt x="466694" y="426879"/>
                </a:lnTo>
                <a:lnTo>
                  <a:pt x="467375" y="425461"/>
                </a:lnTo>
                <a:lnTo>
                  <a:pt x="468056" y="424043"/>
                </a:lnTo>
                <a:lnTo>
                  <a:pt x="468738" y="422626"/>
                </a:lnTo>
                <a:lnTo>
                  <a:pt x="469419" y="421208"/>
                </a:lnTo>
                <a:lnTo>
                  <a:pt x="470100" y="419791"/>
                </a:lnTo>
                <a:lnTo>
                  <a:pt x="470781" y="418375"/>
                </a:lnTo>
                <a:lnTo>
                  <a:pt x="471463" y="416958"/>
                </a:lnTo>
                <a:lnTo>
                  <a:pt x="472144" y="415542"/>
                </a:lnTo>
                <a:lnTo>
                  <a:pt x="472825" y="414126"/>
                </a:lnTo>
                <a:lnTo>
                  <a:pt x="473507" y="412710"/>
                </a:lnTo>
                <a:lnTo>
                  <a:pt x="474188" y="411294"/>
                </a:lnTo>
                <a:lnTo>
                  <a:pt x="474869" y="409879"/>
                </a:lnTo>
                <a:lnTo>
                  <a:pt x="475551" y="408464"/>
                </a:lnTo>
                <a:lnTo>
                  <a:pt x="476232" y="407050"/>
                </a:lnTo>
                <a:lnTo>
                  <a:pt x="476913" y="405635"/>
                </a:lnTo>
                <a:lnTo>
                  <a:pt x="477595" y="404221"/>
                </a:lnTo>
                <a:lnTo>
                  <a:pt x="478276" y="402807"/>
                </a:lnTo>
                <a:lnTo>
                  <a:pt x="478957" y="401393"/>
                </a:lnTo>
                <a:lnTo>
                  <a:pt x="479638" y="399980"/>
                </a:lnTo>
                <a:lnTo>
                  <a:pt x="480320" y="398567"/>
                </a:lnTo>
                <a:lnTo>
                  <a:pt x="481001" y="397154"/>
                </a:lnTo>
                <a:lnTo>
                  <a:pt x="481682" y="395742"/>
                </a:lnTo>
                <a:lnTo>
                  <a:pt x="482364" y="394330"/>
                </a:lnTo>
                <a:lnTo>
                  <a:pt x="483045" y="392918"/>
                </a:lnTo>
                <a:lnTo>
                  <a:pt x="483726" y="391506"/>
                </a:lnTo>
                <a:lnTo>
                  <a:pt x="484408" y="390095"/>
                </a:lnTo>
                <a:lnTo>
                  <a:pt x="485089" y="388684"/>
                </a:lnTo>
                <a:lnTo>
                  <a:pt x="485770" y="387273"/>
                </a:lnTo>
                <a:lnTo>
                  <a:pt x="486452" y="385862"/>
                </a:lnTo>
                <a:lnTo>
                  <a:pt x="487133" y="384452"/>
                </a:lnTo>
                <a:lnTo>
                  <a:pt x="487814" y="383042"/>
                </a:lnTo>
                <a:lnTo>
                  <a:pt x="488495" y="381632"/>
                </a:lnTo>
                <a:lnTo>
                  <a:pt x="489177" y="380223"/>
                </a:lnTo>
                <a:lnTo>
                  <a:pt x="489858" y="378814"/>
                </a:lnTo>
                <a:lnTo>
                  <a:pt x="490539" y="377405"/>
                </a:lnTo>
                <a:lnTo>
                  <a:pt x="491221" y="375997"/>
                </a:lnTo>
                <a:lnTo>
                  <a:pt x="491902" y="374589"/>
                </a:lnTo>
                <a:lnTo>
                  <a:pt x="492583" y="373181"/>
                </a:lnTo>
                <a:lnTo>
                  <a:pt x="493265" y="371773"/>
                </a:lnTo>
                <a:lnTo>
                  <a:pt x="493946" y="370366"/>
                </a:lnTo>
                <a:lnTo>
                  <a:pt x="494627" y="368959"/>
                </a:lnTo>
                <a:lnTo>
                  <a:pt x="495308" y="367553"/>
                </a:lnTo>
                <a:lnTo>
                  <a:pt x="495990" y="366146"/>
                </a:lnTo>
                <a:lnTo>
                  <a:pt x="496671" y="364740"/>
                </a:lnTo>
                <a:lnTo>
                  <a:pt x="497352" y="363335"/>
                </a:lnTo>
                <a:lnTo>
                  <a:pt x="498034" y="361929"/>
                </a:lnTo>
                <a:lnTo>
                  <a:pt x="498715" y="360524"/>
                </a:lnTo>
                <a:lnTo>
                  <a:pt x="499396" y="359119"/>
                </a:lnTo>
                <a:lnTo>
                  <a:pt x="500078" y="357715"/>
                </a:lnTo>
                <a:lnTo>
                  <a:pt x="500759" y="356311"/>
                </a:lnTo>
                <a:lnTo>
                  <a:pt x="501440" y="354907"/>
                </a:lnTo>
                <a:lnTo>
                  <a:pt x="502122" y="353504"/>
                </a:lnTo>
                <a:lnTo>
                  <a:pt x="502803" y="352100"/>
                </a:lnTo>
                <a:lnTo>
                  <a:pt x="503484" y="350698"/>
                </a:lnTo>
                <a:lnTo>
                  <a:pt x="504165" y="349295"/>
                </a:lnTo>
                <a:lnTo>
                  <a:pt x="504847" y="347893"/>
                </a:lnTo>
                <a:lnTo>
                  <a:pt x="505528" y="346491"/>
                </a:lnTo>
                <a:lnTo>
                  <a:pt x="506209" y="345090"/>
                </a:lnTo>
                <a:lnTo>
                  <a:pt x="506891" y="343689"/>
                </a:lnTo>
                <a:lnTo>
                  <a:pt x="507572" y="342288"/>
                </a:lnTo>
                <a:lnTo>
                  <a:pt x="508253" y="340887"/>
                </a:lnTo>
                <a:lnTo>
                  <a:pt x="508935" y="339487"/>
                </a:lnTo>
                <a:lnTo>
                  <a:pt x="509616" y="338087"/>
                </a:lnTo>
                <a:lnTo>
                  <a:pt x="510297" y="336688"/>
                </a:lnTo>
                <a:lnTo>
                  <a:pt x="510979" y="335289"/>
                </a:lnTo>
                <a:lnTo>
                  <a:pt x="511660" y="333890"/>
                </a:lnTo>
                <a:lnTo>
                  <a:pt x="512341" y="332491"/>
                </a:lnTo>
                <a:lnTo>
                  <a:pt x="513022" y="331093"/>
                </a:lnTo>
                <a:lnTo>
                  <a:pt x="513704" y="329695"/>
                </a:lnTo>
                <a:lnTo>
                  <a:pt x="514385" y="328298"/>
                </a:lnTo>
                <a:lnTo>
                  <a:pt x="515066" y="326901"/>
                </a:lnTo>
                <a:lnTo>
                  <a:pt x="515748" y="325504"/>
                </a:lnTo>
                <a:lnTo>
                  <a:pt x="516429" y="324108"/>
                </a:lnTo>
                <a:lnTo>
                  <a:pt x="517110" y="322712"/>
                </a:lnTo>
                <a:lnTo>
                  <a:pt x="517792" y="321316"/>
                </a:lnTo>
                <a:lnTo>
                  <a:pt x="518473" y="319921"/>
                </a:lnTo>
                <a:lnTo>
                  <a:pt x="519154" y="318526"/>
                </a:lnTo>
                <a:lnTo>
                  <a:pt x="519835" y="317131"/>
                </a:lnTo>
                <a:lnTo>
                  <a:pt x="520517" y="315737"/>
                </a:lnTo>
                <a:lnTo>
                  <a:pt x="521198" y="314343"/>
                </a:lnTo>
                <a:lnTo>
                  <a:pt x="521879" y="312950"/>
                </a:lnTo>
                <a:lnTo>
                  <a:pt x="522561" y="311557"/>
                </a:lnTo>
                <a:lnTo>
                  <a:pt x="523242" y="310164"/>
                </a:lnTo>
                <a:lnTo>
                  <a:pt x="523923" y="308771"/>
                </a:lnTo>
                <a:lnTo>
                  <a:pt x="524605" y="307379"/>
                </a:lnTo>
                <a:lnTo>
                  <a:pt x="525286" y="305988"/>
                </a:lnTo>
                <a:lnTo>
                  <a:pt x="525967" y="304596"/>
                </a:lnTo>
                <a:lnTo>
                  <a:pt x="526649" y="303205"/>
                </a:lnTo>
                <a:lnTo>
                  <a:pt x="527330" y="301815"/>
                </a:lnTo>
                <a:lnTo>
                  <a:pt x="528011" y="300425"/>
                </a:lnTo>
                <a:lnTo>
                  <a:pt x="528692" y="299035"/>
                </a:lnTo>
                <a:lnTo>
                  <a:pt x="529374" y="297646"/>
                </a:lnTo>
                <a:lnTo>
                  <a:pt x="530055" y="296256"/>
                </a:lnTo>
                <a:lnTo>
                  <a:pt x="530736" y="294868"/>
                </a:lnTo>
                <a:lnTo>
                  <a:pt x="531418" y="293480"/>
                </a:lnTo>
                <a:lnTo>
                  <a:pt x="532099" y="292092"/>
                </a:lnTo>
                <a:lnTo>
                  <a:pt x="532780" y="290704"/>
                </a:lnTo>
                <a:lnTo>
                  <a:pt x="533462" y="289317"/>
                </a:lnTo>
                <a:lnTo>
                  <a:pt x="534143" y="287930"/>
                </a:lnTo>
                <a:lnTo>
                  <a:pt x="534824" y="286544"/>
                </a:lnTo>
                <a:lnTo>
                  <a:pt x="535506" y="285158"/>
                </a:lnTo>
                <a:lnTo>
                  <a:pt x="536187" y="283773"/>
                </a:lnTo>
                <a:lnTo>
                  <a:pt x="536868" y="282387"/>
                </a:lnTo>
                <a:lnTo>
                  <a:pt x="537549" y="281003"/>
                </a:lnTo>
                <a:lnTo>
                  <a:pt x="538231" y="279618"/>
                </a:lnTo>
                <a:lnTo>
                  <a:pt x="538912" y="278234"/>
                </a:lnTo>
                <a:lnTo>
                  <a:pt x="539593" y="276851"/>
                </a:lnTo>
                <a:lnTo>
                  <a:pt x="540275" y="275468"/>
                </a:lnTo>
                <a:lnTo>
                  <a:pt x="540956" y="274085"/>
                </a:lnTo>
                <a:lnTo>
                  <a:pt x="541637" y="272703"/>
                </a:lnTo>
                <a:lnTo>
                  <a:pt x="542319" y="271321"/>
                </a:lnTo>
                <a:lnTo>
                  <a:pt x="543000" y="269939"/>
                </a:lnTo>
                <a:lnTo>
                  <a:pt x="543681" y="268558"/>
                </a:lnTo>
                <a:lnTo>
                  <a:pt x="544362" y="267177"/>
                </a:lnTo>
                <a:lnTo>
                  <a:pt x="545044" y="265797"/>
                </a:lnTo>
                <a:lnTo>
                  <a:pt x="545725" y="264417"/>
                </a:lnTo>
                <a:lnTo>
                  <a:pt x="546406" y="263038"/>
                </a:lnTo>
                <a:lnTo>
                  <a:pt x="547088" y="261659"/>
                </a:lnTo>
                <a:lnTo>
                  <a:pt x="547769" y="260280"/>
                </a:lnTo>
                <a:lnTo>
                  <a:pt x="548450" y="258902"/>
                </a:lnTo>
                <a:lnTo>
                  <a:pt x="549132" y="257524"/>
                </a:lnTo>
                <a:lnTo>
                  <a:pt x="549813" y="256147"/>
                </a:lnTo>
                <a:lnTo>
                  <a:pt x="550494" y="254770"/>
                </a:lnTo>
                <a:lnTo>
                  <a:pt x="551176" y="253393"/>
                </a:lnTo>
                <a:lnTo>
                  <a:pt x="551857" y="252017"/>
                </a:lnTo>
                <a:lnTo>
                  <a:pt x="552538" y="250642"/>
                </a:lnTo>
                <a:lnTo>
                  <a:pt x="553219" y="249266"/>
                </a:lnTo>
                <a:lnTo>
                  <a:pt x="553901" y="247892"/>
                </a:lnTo>
                <a:lnTo>
                  <a:pt x="554582" y="246517"/>
                </a:lnTo>
                <a:lnTo>
                  <a:pt x="555263" y="245143"/>
                </a:lnTo>
                <a:lnTo>
                  <a:pt x="555945" y="243770"/>
                </a:lnTo>
                <a:lnTo>
                  <a:pt x="556626" y="242397"/>
                </a:lnTo>
                <a:lnTo>
                  <a:pt x="557307" y="241024"/>
                </a:lnTo>
                <a:lnTo>
                  <a:pt x="557989" y="239652"/>
                </a:lnTo>
                <a:lnTo>
                  <a:pt x="558670" y="238280"/>
                </a:lnTo>
                <a:lnTo>
                  <a:pt x="559351" y="236909"/>
                </a:lnTo>
                <a:lnTo>
                  <a:pt x="560032" y="235538"/>
                </a:lnTo>
                <a:lnTo>
                  <a:pt x="560714" y="234168"/>
                </a:lnTo>
                <a:lnTo>
                  <a:pt x="561395" y="232798"/>
                </a:lnTo>
                <a:lnTo>
                  <a:pt x="562076" y="231428"/>
                </a:lnTo>
                <a:lnTo>
                  <a:pt x="562758" y="230059"/>
                </a:lnTo>
                <a:lnTo>
                  <a:pt x="563439" y="228691"/>
                </a:lnTo>
                <a:lnTo>
                  <a:pt x="564120" y="227322"/>
                </a:lnTo>
                <a:lnTo>
                  <a:pt x="564802" y="225955"/>
                </a:lnTo>
                <a:lnTo>
                  <a:pt x="565483" y="224587"/>
                </a:lnTo>
                <a:lnTo>
                  <a:pt x="566164" y="223221"/>
                </a:lnTo>
                <a:lnTo>
                  <a:pt x="566846" y="221854"/>
                </a:lnTo>
                <a:lnTo>
                  <a:pt x="567527" y="220489"/>
                </a:lnTo>
                <a:lnTo>
                  <a:pt x="568208" y="219123"/>
                </a:lnTo>
                <a:lnTo>
                  <a:pt x="568889" y="217758"/>
                </a:lnTo>
                <a:lnTo>
                  <a:pt x="569571" y="216394"/>
                </a:lnTo>
                <a:lnTo>
                  <a:pt x="570252" y="215030"/>
                </a:lnTo>
                <a:lnTo>
                  <a:pt x="570933" y="213666"/>
                </a:lnTo>
                <a:lnTo>
                  <a:pt x="571615" y="212303"/>
                </a:lnTo>
                <a:lnTo>
                  <a:pt x="572296" y="210941"/>
                </a:lnTo>
                <a:lnTo>
                  <a:pt x="572977" y="209578"/>
                </a:lnTo>
                <a:lnTo>
                  <a:pt x="573659" y="208217"/>
                </a:lnTo>
                <a:lnTo>
                  <a:pt x="574340" y="206856"/>
                </a:lnTo>
                <a:lnTo>
                  <a:pt x="575021" y="205495"/>
                </a:lnTo>
                <a:lnTo>
                  <a:pt x="575703" y="204135"/>
                </a:lnTo>
                <a:lnTo>
                  <a:pt x="576384" y="202775"/>
                </a:lnTo>
                <a:lnTo>
                  <a:pt x="577065" y="201416"/>
                </a:lnTo>
                <a:lnTo>
                  <a:pt x="577746" y="200057"/>
                </a:lnTo>
                <a:lnTo>
                  <a:pt x="578428" y="198699"/>
                </a:lnTo>
                <a:lnTo>
                  <a:pt x="579109" y="197341"/>
                </a:lnTo>
                <a:lnTo>
                  <a:pt x="579790" y="195983"/>
                </a:lnTo>
                <a:lnTo>
                  <a:pt x="580472" y="194627"/>
                </a:lnTo>
                <a:lnTo>
                  <a:pt x="581153" y="193270"/>
                </a:lnTo>
                <a:lnTo>
                  <a:pt x="581834" y="191914"/>
                </a:lnTo>
                <a:lnTo>
                  <a:pt x="582516" y="190559"/>
                </a:lnTo>
                <a:lnTo>
                  <a:pt x="583197" y="189204"/>
                </a:lnTo>
                <a:lnTo>
                  <a:pt x="583878" y="187850"/>
                </a:lnTo>
                <a:lnTo>
                  <a:pt x="584559" y="186496"/>
                </a:lnTo>
                <a:lnTo>
                  <a:pt x="585241" y="185143"/>
                </a:lnTo>
                <a:lnTo>
                  <a:pt x="585922" y="183790"/>
                </a:lnTo>
                <a:lnTo>
                  <a:pt x="586603" y="182437"/>
                </a:lnTo>
                <a:lnTo>
                  <a:pt x="587285" y="181085"/>
                </a:lnTo>
                <a:lnTo>
                  <a:pt x="587966" y="179734"/>
                </a:lnTo>
                <a:lnTo>
                  <a:pt x="588647" y="178383"/>
                </a:lnTo>
                <a:lnTo>
                  <a:pt x="589329" y="177033"/>
                </a:lnTo>
                <a:lnTo>
                  <a:pt x="590010" y="175683"/>
                </a:lnTo>
                <a:lnTo>
                  <a:pt x="590691" y="174334"/>
                </a:lnTo>
                <a:lnTo>
                  <a:pt x="591373" y="172985"/>
                </a:lnTo>
                <a:lnTo>
                  <a:pt x="592054" y="171637"/>
                </a:lnTo>
                <a:lnTo>
                  <a:pt x="592735" y="170289"/>
                </a:lnTo>
                <a:lnTo>
                  <a:pt x="593416" y="168941"/>
                </a:lnTo>
                <a:lnTo>
                  <a:pt x="594098" y="167595"/>
                </a:lnTo>
                <a:lnTo>
                  <a:pt x="594779" y="166248"/>
                </a:lnTo>
                <a:lnTo>
                  <a:pt x="595460" y="164903"/>
                </a:lnTo>
                <a:lnTo>
                  <a:pt x="596142" y="163558"/>
                </a:lnTo>
                <a:lnTo>
                  <a:pt x="596823" y="162213"/>
                </a:lnTo>
                <a:lnTo>
                  <a:pt x="597504" y="160869"/>
                </a:lnTo>
                <a:lnTo>
                  <a:pt x="598186" y="159525"/>
                </a:lnTo>
                <a:lnTo>
                  <a:pt x="598867" y="158182"/>
                </a:lnTo>
                <a:lnTo>
                  <a:pt x="599548" y="156839"/>
                </a:lnTo>
                <a:lnTo>
                  <a:pt x="600230" y="155497"/>
                </a:lnTo>
                <a:lnTo>
                  <a:pt x="600911" y="154156"/>
                </a:lnTo>
                <a:lnTo>
                  <a:pt x="601592" y="152815"/>
                </a:lnTo>
                <a:lnTo>
                  <a:pt x="602273" y="151474"/>
                </a:lnTo>
                <a:lnTo>
                  <a:pt x="602955" y="150134"/>
                </a:lnTo>
                <a:lnTo>
                  <a:pt x="603636" y="148795"/>
                </a:lnTo>
                <a:lnTo>
                  <a:pt x="604317" y="147456"/>
                </a:lnTo>
                <a:lnTo>
                  <a:pt x="604999" y="146118"/>
                </a:lnTo>
                <a:lnTo>
                  <a:pt x="605680" y="144780"/>
                </a:lnTo>
                <a:lnTo>
                  <a:pt x="606361" y="143443"/>
                </a:lnTo>
                <a:lnTo>
                  <a:pt x="607043" y="142106"/>
                </a:lnTo>
                <a:lnTo>
                  <a:pt x="607724" y="140770"/>
                </a:lnTo>
                <a:lnTo>
                  <a:pt x="608405" y="139435"/>
                </a:lnTo>
                <a:lnTo>
                  <a:pt x="609086" y="138100"/>
                </a:lnTo>
                <a:lnTo>
                  <a:pt x="609768" y="136765"/>
                </a:lnTo>
                <a:lnTo>
                  <a:pt x="610449" y="135431"/>
                </a:lnTo>
                <a:lnTo>
                  <a:pt x="611130" y="134098"/>
                </a:lnTo>
                <a:lnTo>
                  <a:pt x="611812" y="132765"/>
                </a:lnTo>
                <a:lnTo>
                  <a:pt x="612493" y="131433"/>
                </a:lnTo>
                <a:lnTo>
                  <a:pt x="613174" y="130101"/>
                </a:lnTo>
                <a:lnTo>
                  <a:pt x="613856" y="128770"/>
                </a:lnTo>
                <a:lnTo>
                  <a:pt x="614537" y="127439"/>
                </a:lnTo>
                <a:lnTo>
                  <a:pt x="615218" y="126109"/>
                </a:lnTo>
                <a:lnTo>
                  <a:pt x="615900" y="124780"/>
                </a:lnTo>
                <a:lnTo>
                  <a:pt x="616581" y="123451"/>
                </a:lnTo>
                <a:lnTo>
                  <a:pt x="617262" y="122123"/>
                </a:lnTo>
                <a:lnTo>
                  <a:pt x="617943" y="120795"/>
                </a:lnTo>
                <a:lnTo>
                  <a:pt x="618625" y="119468"/>
                </a:lnTo>
                <a:lnTo>
                  <a:pt x="619306" y="118141"/>
                </a:lnTo>
                <a:lnTo>
                  <a:pt x="619987" y="116815"/>
                </a:lnTo>
                <a:lnTo>
                  <a:pt x="620669" y="115490"/>
                </a:lnTo>
                <a:lnTo>
                  <a:pt x="621350" y="114165"/>
                </a:lnTo>
                <a:lnTo>
                  <a:pt x="622031" y="112841"/>
                </a:lnTo>
                <a:lnTo>
                  <a:pt x="622713" y="111517"/>
                </a:lnTo>
                <a:lnTo>
                  <a:pt x="623394" y="110194"/>
                </a:lnTo>
                <a:lnTo>
                  <a:pt x="624075" y="108871"/>
                </a:lnTo>
                <a:lnTo>
                  <a:pt x="624757" y="107549"/>
                </a:lnTo>
                <a:lnTo>
                  <a:pt x="625438" y="106228"/>
                </a:lnTo>
                <a:lnTo>
                  <a:pt x="626119" y="104907"/>
                </a:lnTo>
                <a:lnTo>
                  <a:pt x="626800" y="103587"/>
                </a:lnTo>
                <a:lnTo>
                  <a:pt x="627482" y="102267"/>
                </a:lnTo>
                <a:lnTo>
                  <a:pt x="628163" y="100948"/>
                </a:lnTo>
                <a:lnTo>
                  <a:pt x="628844" y="99630"/>
                </a:lnTo>
                <a:lnTo>
                  <a:pt x="629526" y="98312"/>
                </a:lnTo>
                <a:lnTo>
                  <a:pt x="630207" y="96994"/>
                </a:lnTo>
                <a:lnTo>
                  <a:pt x="630888" y="95678"/>
                </a:lnTo>
                <a:lnTo>
                  <a:pt x="631570" y="94362"/>
                </a:lnTo>
                <a:lnTo>
                  <a:pt x="632251" y="93046"/>
                </a:lnTo>
                <a:lnTo>
                  <a:pt x="632932" y="91731"/>
                </a:lnTo>
                <a:lnTo>
                  <a:pt x="633613" y="90417"/>
                </a:lnTo>
                <a:lnTo>
                  <a:pt x="634295" y="89103"/>
                </a:lnTo>
                <a:lnTo>
                  <a:pt x="634976" y="87790"/>
                </a:lnTo>
                <a:lnTo>
                  <a:pt x="635657" y="86478"/>
                </a:lnTo>
                <a:lnTo>
                  <a:pt x="636339" y="85166"/>
                </a:lnTo>
                <a:lnTo>
                  <a:pt x="637020" y="83855"/>
                </a:lnTo>
                <a:lnTo>
                  <a:pt x="637701" y="82544"/>
                </a:lnTo>
                <a:lnTo>
                  <a:pt x="638383" y="81234"/>
                </a:lnTo>
                <a:lnTo>
                  <a:pt x="639064" y="79925"/>
                </a:lnTo>
                <a:lnTo>
                  <a:pt x="639745" y="78616"/>
                </a:lnTo>
                <a:lnTo>
                  <a:pt x="640427" y="77308"/>
                </a:lnTo>
                <a:lnTo>
                  <a:pt x="641108" y="76000"/>
                </a:lnTo>
                <a:lnTo>
                  <a:pt x="641789" y="74693"/>
                </a:lnTo>
                <a:lnTo>
                  <a:pt x="642470" y="73387"/>
                </a:lnTo>
                <a:lnTo>
                  <a:pt x="643152" y="72081"/>
                </a:lnTo>
                <a:lnTo>
                  <a:pt x="643833" y="70776"/>
                </a:lnTo>
                <a:lnTo>
                  <a:pt x="644514" y="69472"/>
                </a:lnTo>
                <a:lnTo>
                  <a:pt x="645196" y="68168"/>
                </a:lnTo>
                <a:lnTo>
                  <a:pt x="645877" y="66865"/>
                </a:lnTo>
                <a:lnTo>
                  <a:pt x="646558" y="65562"/>
                </a:lnTo>
                <a:lnTo>
                  <a:pt x="647240" y="64260"/>
                </a:lnTo>
                <a:lnTo>
                  <a:pt x="647921" y="62959"/>
                </a:lnTo>
                <a:lnTo>
                  <a:pt x="648602" y="61658"/>
                </a:lnTo>
                <a:lnTo>
                  <a:pt x="649283" y="60358"/>
                </a:lnTo>
                <a:lnTo>
                  <a:pt x="649965" y="59059"/>
                </a:lnTo>
                <a:lnTo>
                  <a:pt x="650646" y="57760"/>
                </a:lnTo>
                <a:lnTo>
                  <a:pt x="651327" y="56462"/>
                </a:lnTo>
                <a:lnTo>
                  <a:pt x="652009" y="55164"/>
                </a:lnTo>
                <a:lnTo>
                  <a:pt x="652690" y="53867"/>
                </a:lnTo>
                <a:lnTo>
                  <a:pt x="653371" y="52571"/>
                </a:lnTo>
                <a:lnTo>
                  <a:pt x="654053" y="51276"/>
                </a:lnTo>
                <a:lnTo>
                  <a:pt x="654734" y="49981"/>
                </a:lnTo>
                <a:lnTo>
                  <a:pt x="655415" y="48687"/>
                </a:lnTo>
                <a:lnTo>
                  <a:pt x="656097" y="47393"/>
                </a:lnTo>
                <a:lnTo>
                  <a:pt x="656778" y="46100"/>
                </a:lnTo>
                <a:lnTo>
                  <a:pt x="657459" y="44808"/>
                </a:lnTo>
                <a:lnTo>
                  <a:pt x="658140" y="43516"/>
                </a:lnTo>
                <a:lnTo>
                  <a:pt x="658822" y="42225"/>
                </a:lnTo>
                <a:lnTo>
                  <a:pt x="659503" y="40935"/>
                </a:lnTo>
                <a:lnTo>
                  <a:pt x="660184" y="39645"/>
                </a:lnTo>
                <a:lnTo>
                  <a:pt x="660866" y="38356"/>
                </a:lnTo>
                <a:lnTo>
                  <a:pt x="661547" y="37068"/>
                </a:lnTo>
                <a:lnTo>
                  <a:pt x="662228" y="35780"/>
                </a:lnTo>
                <a:lnTo>
                  <a:pt x="662910" y="34493"/>
                </a:lnTo>
                <a:lnTo>
                  <a:pt x="663591" y="33207"/>
                </a:lnTo>
                <a:lnTo>
                  <a:pt x="664272" y="31921"/>
                </a:lnTo>
                <a:lnTo>
                  <a:pt x="664954" y="30636"/>
                </a:lnTo>
                <a:lnTo>
                  <a:pt x="665635" y="29352"/>
                </a:lnTo>
                <a:lnTo>
                  <a:pt x="666316" y="28068"/>
                </a:lnTo>
                <a:lnTo>
                  <a:pt x="666997" y="26785"/>
                </a:lnTo>
                <a:lnTo>
                  <a:pt x="667679" y="25502"/>
                </a:lnTo>
                <a:lnTo>
                  <a:pt x="668360" y="24221"/>
                </a:lnTo>
                <a:lnTo>
                  <a:pt x="669041" y="22940"/>
                </a:lnTo>
                <a:lnTo>
                  <a:pt x="669723" y="21660"/>
                </a:lnTo>
                <a:lnTo>
                  <a:pt x="670404" y="20380"/>
                </a:lnTo>
                <a:lnTo>
                  <a:pt x="671085" y="19101"/>
                </a:lnTo>
                <a:lnTo>
                  <a:pt x="671767" y="17823"/>
                </a:lnTo>
                <a:lnTo>
                  <a:pt x="672448" y="16545"/>
                </a:lnTo>
                <a:lnTo>
                  <a:pt x="673129" y="15268"/>
                </a:lnTo>
                <a:lnTo>
                  <a:pt x="673810" y="13992"/>
                </a:lnTo>
                <a:lnTo>
                  <a:pt x="674492" y="12716"/>
                </a:lnTo>
                <a:lnTo>
                  <a:pt x="675173" y="11442"/>
                </a:lnTo>
                <a:lnTo>
                  <a:pt x="675854" y="10168"/>
                </a:lnTo>
                <a:lnTo>
                  <a:pt x="676536" y="8894"/>
                </a:lnTo>
                <a:lnTo>
                  <a:pt x="677217" y="7621"/>
                </a:lnTo>
                <a:lnTo>
                  <a:pt x="677898" y="6349"/>
                </a:lnTo>
                <a:lnTo>
                  <a:pt x="678580" y="5078"/>
                </a:lnTo>
                <a:lnTo>
                  <a:pt x="679261" y="3807"/>
                </a:lnTo>
                <a:lnTo>
                  <a:pt x="679942" y="2537"/>
                </a:lnTo>
                <a:lnTo>
                  <a:pt x="680624" y="1268"/>
                </a:lnTo>
                <a:lnTo>
                  <a:pt x="681305" y="0"/>
                </a:lnTo>
                <a:lnTo>
                  <a:pt x="681305" y="2853448"/>
                </a:lnTo>
                <a:close/>
              </a:path>
            </a:pathLst>
          </a:custGeom>
          <a:solidFill>
            <a:srgbClr val="999999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7" name="pg128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6878285" y="2486091"/>
            <a:ext cx="424731" cy="1740553"/>
          </a:xfrm>
          <a:custGeom>
            <a:avLst/>
            <a:gdLst/>
            <a:ahLst/>
            <a:cxnLst/>
            <a:rect l="0" t="0" r="0" b="0"/>
            <a:pathLst>
              <a:path w="681305" h="2853448">
                <a:moveTo>
                  <a:pt x="0" y="2853448"/>
                </a:moveTo>
                <a:lnTo>
                  <a:pt x="0" y="0"/>
                </a:lnTo>
                <a:lnTo>
                  <a:pt x="681" y="1268"/>
                </a:lnTo>
                <a:lnTo>
                  <a:pt x="1362" y="2537"/>
                </a:lnTo>
                <a:lnTo>
                  <a:pt x="2043" y="3807"/>
                </a:lnTo>
                <a:lnTo>
                  <a:pt x="2725" y="5078"/>
                </a:lnTo>
                <a:lnTo>
                  <a:pt x="3406" y="6349"/>
                </a:lnTo>
                <a:lnTo>
                  <a:pt x="4087" y="7621"/>
                </a:lnTo>
                <a:lnTo>
                  <a:pt x="4769" y="8894"/>
                </a:lnTo>
                <a:lnTo>
                  <a:pt x="5450" y="10168"/>
                </a:lnTo>
                <a:lnTo>
                  <a:pt x="6131" y="11442"/>
                </a:lnTo>
                <a:lnTo>
                  <a:pt x="6813" y="12716"/>
                </a:lnTo>
                <a:lnTo>
                  <a:pt x="7494" y="13992"/>
                </a:lnTo>
                <a:lnTo>
                  <a:pt x="8175" y="15268"/>
                </a:lnTo>
                <a:lnTo>
                  <a:pt x="8856" y="16545"/>
                </a:lnTo>
                <a:lnTo>
                  <a:pt x="9538" y="17823"/>
                </a:lnTo>
                <a:lnTo>
                  <a:pt x="10219" y="19101"/>
                </a:lnTo>
                <a:lnTo>
                  <a:pt x="10900" y="20380"/>
                </a:lnTo>
                <a:lnTo>
                  <a:pt x="11582" y="21660"/>
                </a:lnTo>
                <a:lnTo>
                  <a:pt x="12263" y="22940"/>
                </a:lnTo>
                <a:lnTo>
                  <a:pt x="12944" y="24221"/>
                </a:lnTo>
                <a:lnTo>
                  <a:pt x="13626" y="25502"/>
                </a:lnTo>
                <a:lnTo>
                  <a:pt x="14307" y="26785"/>
                </a:lnTo>
                <a:lnTo>
                  <a:pt x="14988" y="28068"/>
                </a:lnTo>
                <a:lnTo>
                  <a:pt x="15670" y="29352"/>
                </a:lnTo>
                <a:lnTo>
                  <a:pt x="16351" y="30636"/>
                </a:lnTo>
                <a:lnTo>
                  <a:pt x="17032" y="31921"/>
                </a:lnTo>
                <a:lnTo>
                  <a:pt x="17713" y="33207"/>
                </a:lnTo>
                <a:lnTo>
                  <a:pt x="18395" y="34493"/>
                </a:lnTo>
                <a:lnTo>
                  <a:pt x="19076" y="35780"/>
                </a:lnTo>
                <a:lnTo>
                  <a:pt x="19757" y="37068"/>
                </a:lnTo>
                <a:lnTo>
                  <a:pt x="20439" y="38356"/>
                </a:lnTo>
                <a:lnTo>
                  <a:pt x="21120" y="39645"/>
                </a:lnTo>
                <a:lnTo>
                  <a:pt x="21801" y="40935"/>
                </a:lnTo>
                <a:lnTo>
                  <a:pt x="22483" y="42225"/>
                </a:lnTo>
                <a:lnTo>
                  <a:pt x="23164" y="43516"/>
                </a:lnTo>
                <a:lnTo>
                  <a:pt x="23845" y="44808"/>
                </a:lnTo>
                <a:lnTo>
                  <a:pt x="24526" y="46100"/>
                </a:lnTo>
                <a:lnTo>
                  <a:pt x="25208" y="47393"/>
                </a:lnTo>
                <a:lnTo>
                  <a:pt x="25889" y="48687"/>
                </a:lnTo>
                <a:lnTo>
                  <a:pt x="26570" y="49981"/>
                </a:lnTo>
                <a:lnTo>
                  <a:pt x="27252" y="51276"/>
                </a:lnTo>
                <a:lnTo>
                  <a:pt x="27933" y="52571"/>
                </a:lnTo>
                <a:lnTo>
                  <a:pt x="28614" y="53867"/>
                </a:lnTo>
                <a:lnTo>
                  <a:pt x="29296" y="55164"/>
                </a:lnTo>
                <a:lnTo>
                  <a:pt x="29977" y="56462"/>
                </a:lnTo>
                <a:lnTo>
                  <a:pt x="30658" y="57760"/>
                </a:lnTo>
                <a:lnTo>
                  <a:pt x="31340" y="59059"/>
                </a:lnTo>
                <a:lnTo>
                  <a:pt x="32021" y="60358"/>
                </a:lnTo>
                <a:lnTo>
                  <a:pt x="32702" y="61658"/>
                </a:lnTo>
                <a:lnTo>
                  <a:pt x="33383" y="62959"/>
                </a:lnTo>
                <a:lnTo>
                  <a:pt x="34065" y="64260"/>
                </a:lnTo>
                <a:lnTo>
                  <a:pt x="34746" y="65562"/>
                </a:lnTo>
                <a:lnTo>
                  <a:pt x="35427" y="66865"/>
                </a:lnTo>
                <a:lnTo>
                  <a:pt x="36109" y="68168"/>
                </a:lnTo>
                <a:lnTo>
                  <a:pt x="36790" y="69472"/>
                </a:lnTo>
                <a:lnTo>
                  <a:pt x="37471" y="70776"/>
                </a:lnTo>
                <a:lnTo>
                  <a:pt x="38153" y="72081"/>
                </a:lnTo>
                <a:lnTo>
                  <a:pt x="38834" y="73387"/>
                </a:lnTo>
                <a:lnTo>
                  <a:pt x="39515" y="74693"/>
                </a:lnTo>
                <a:lnTo>
                  <a:pt x="40197" y="76000"/>
                </a:lnTo>
                <a:lnTo>
                  <a:pt x="40878" y="77308"/>
                </a:lnTo>
                <a:lnTo>
                  <a:pt x="41559" y="78616"/>
                </a:lnTo>
                <a:lnTo>
                  <a:pt x="42240" y="79925"/>
                </a:lnTo>
                <a:lnTo>
                  <a:pt x="42922" y="81234"/>
                </a:lnTo>
                <a:lnTo>
                  <a:pt x="43603" y="82544"/>
                </a:lnTo>
                <a:lnTo>
                  <a:pt x="44284" y="83855"/>
                </a:lnTo>
                <a:lnTo>
                  <a:pt x="44966" y="85166"/>
                </a:lnTo>
                <a:lnTo>
                  <a:pt x="45647" y="86478"/>
                </a:lnTo>
                <a:lnTo>
                  <a:pt x="46328" y="87790"/>
                </a:lnTo>
                <a:lnTo>
                  <a:pt x="47010" y="89103"/>
                </a:lnTo>
                <a:lnTo>
                  <a:pt x="47691" y="90417"/>
                </a:lnTo>
                <a:lnTo>
                  <a:pt x="48372" y="91731"/>
                </a:lnTo>
                <a:lnTo>
                  <a:pt x="49053" y="93046"/>
                </a:lnTo>
                <a:lnTo>
                  <a:pt x="49735" y="94362"/>
                </a:lnTo>
                <a:lnTo>
                  <a:pt x="50416" y="95678"/>
                </a:lnTo>
                <a:lnTo>
                  <a:pt x="51097" y="96994"/>
                </a:lnTo>
                <a:lnTo>
                  <a:pt x="51779" y="98312"/>
                </a:lnTo>
                <a:lnTo>
                  <a:pt x="52460" y="99630"/>
                </a:lnTo>
                <a:lnTo>
                  <a:pt x="53141" y="100948"/>
                </a:lnTo>
                <a:lnTo>
                  <a:pt x="53823" y="102267"/>
                </a:lnTo>
                <a:lnTo>
                  <a:pt x="54504" y="103587"/>
                </a:lnTo>
                <a:lnTo>
                  <a:pt x="55185" y="104907"/>
                </a:lnTo>
                <a:lnTo>
                  <a:pt x="55867" y="106228"/>
                </a:lnTo>
                <a:lnTo>
                  <a:pt x="56548" y="107549"/>
                </a:lnTo>
                <a:lnTo>
                  <a:pt x="57229" y="108871"/>
                </a:lnTo>
                <a:lnTo>
                  <a:pt x="57910" y="110194"/>
                </a:lnTo>
                <a:lnTo>
                  <a:pt x="58592" y="111517"/>
                </a:lnTo>
                <a:lnTo>
                  <a:pt x="59273" y="112841"/>
                </a:lnTo>
                <a:lnTo>
                  <a:pt x="59954" y="114165"/>
                </a:lnTo>
                <a:lnTo>
                  <a:pt x="60636" y="115490"/>
                </a:lnTo>
                <a:lnTo>
                  <a:pt x="61317" y="116815"/>
                </a:lnTo>
                <a:lnTo>
                  <a:pt x="61998" y="118141"/>
                </a:lnTo>
                <a:lnTo>
                  <a:pt x="62680" y="119468"/>
                </a:lnTo>
                <a:lnTo>
                  <a:pt x="63361" y="120795"/>
                </a:lnTo>
                <a:lnTo>
                  <a:pt x="64042" y="122123"/>
                </a:lnTo>
                <a:lnTo>
                  <a:pt x="64724" y="123451"/>
                </a:lnTo>
                <a:lnTo>
                  <a:pt x="65405" y="124780"/>
                </a:lnTo>
                <a:lnTo>
                  <a:pt x="66086" y="126109"/>
                </a:lnTo>
                <a:lnTo>
                  <a:pt x="66767" y="127439"/>
                </a:lnTo>
                <a:lnTo>
                  <a:pt x="67449" y="128770"/>
                </a:lnTo>
                <a:lnTo>
                  <a:pt x="68130" y="130101"/>
                </a:lnTo>
                <a:lnTo>
                  <a:pt x="68811" y="131433"/>
                </a:lnTo>
                <a:lnTo>
                  <a:pt x="69493" y="132765"/>
                </a:lnTo>
                <a:lnTo>
                  <a:pt x="70174" y="134098"/>
                </a:lnTo>
                <a:lnTo>
                  <a:pt x="70855" y="135431"/>
                </a:lnTo>
                <a:lnTo>
                  <a:pt x="71537" y="136765"/>
                </a:lnTo>
                <a:lnTo>
                  <a:pt x="72218" y="138100"/>
                </a:lnTo>
                <a:lnTo>
                  <a:pt x="72899" y="139435"/>
                </a:lnTo>
                <a:lnTo>
                  <a:pt x="73580" y="140770"/>
                </a:lnTo>
                <a:lnTo>
                  <a:pt x="74262" y="142106"/>
                </a:lnTo>
                <a:lnTo>
                  <a:pt x="74943" y="143443"/>
                </a:lnTo>
                <a:lnTo>
                  <a:pt x="75624" y="144780"/>
                </a:lnTo>
                <a:lnTo>
                  <a:pt x="76306" y="146118"/>
                </a:lnTo>
                <a:lnTo>
                  <a:pt x="76987" y="147456"/>
                </a:lnTo>
                <a:lnTo>
                  <a:pt x="77668" y="148795"/>
                </a:lnTo>
                <a:lnTo>
                  <a:pt x="78350" y="150134"/>
                </a:lnTo>
                <a:lnTo>
                  <a:pt x="79031" y="151474"/>
                </a:lnTo>
                <a:lnTo>
                  <a:pt x="79712" y="152815"/>
                </a:lnTo>
                <a:lnTo>
                  <a:pt x="80394" y="154156"/>
                </a:lnTo>
                <a:lnTo>
                  <a:pt x="81075" y="155497"/>
                </a:lnTo>
                <a:lnTo>
                  <a:pt x="81756" y="156839"/>
                </a:lnTo>
                <a:lnTo>
                  <a:pt x="82437" y="158182"/>
                </a:lnTo>
                <a:lnTo>
                  <a:pt x="83119" y="159525"/>
                </a:lnTo>
                <a:lnTo>
                  <a:pt x="83800" y="160869"/>
                </a:lnTo>
                <a:lnTo>
                  <a:pt x="84481" y="162213"/>
                </a:lnTo>
                <a:lnTo>
                  <a:pt x="85163" y="163558"/>
                </a:lnTo>
                <a:lnTo>
                  <a:pt x="85844" y="164903"/>
                </a:lnTo>
                <a:lnTo>
                  <a:pt x="86525" y="166248"/>
                </a:lnTo>
                <a:lnTo>
                  <a:pt x="87207" y="167595"/>
                </a:lnTo>
                <a:lnTo>
                  <a:pt x="87888" y="168941"/>
                </a:lnTo>
                <a:lnTo>
                  <a:pt x="88569" y="170289"/>
                </a:lnTo>
                <a:lnTo>
                  <a:pt x="89251" y="171637"/>
                </a:lnTo>
                <a:lnTo>
                  <a:pt x="89932" y="172985"/>
                </a:lnTo>
                <a:lnTo>
                  <a:pt x="90613" y="174334"/>
                </a:lnTo>
                <a:lnTo>
                  <a:pt x="91294" y="175683"/>
                </a:lnTo>
                <a:lnTo>
                  <a:pt x="91976" y="177033"/>
                </a:lnTo>
                <a:lnTo>
                  <a:pt x="92657" y="178383"/>
                </a:lnTo>
                <a:lnTo>
                  <a:pt x="93338" y="179734"/>
                </a:lnTo>
                <a:lnTo>
                  <a:pt x="94020" y="181085"/>
                </a:lnTo>
                <a:lnTo>
                  <a:pt x="94701" y="182437"/>
                </a:lnTo>
                <a:lnTo>
                  <a:pt x="95382" y="183790"/>
                </a:lnTo>
                <a:lnTo>
                  <a:pt x="96064" y="185143"/>
                </a:lnTo>
                <a:lnTo>
                  <a:pt x="96745" y="186496"/>
                </a:lnTo>
                <a:lnTo>
                  <a:pt x="97426" y="187850"/>
                </a:lnTo>
                <a:lnTo>
                  <a:pt x="98107" y="189204"/>
                </a:lnTo>
                <a:lnTo>
                  <a:pt x="98789" y="190559"/>
                </a:lnTo>
                <a:lnTo>
                  <a:pt x="99470" y="191914"/>
                </a:lnTo>
                <a:lnTo>
                  <a:pt x="100151" y="193270"/>
                </a:lnTo>
                <a:lnTo>
                  <a:pt x="100833" y="194627"/>
                </a:lnTo>
                <a:lnTo>
                  <a:pt x="101514" y="195983"/>
                </a:lnTo>
                <a:lnTo>
                  <a:pt x="102195" y="197341"/>
                </a:lnTo>
                <a:lnTo>
                  <a:pt x="102877" y="198699"/>
                </a:lnTo>
                <a:lnTo>
                  <a:pt x="103558" y="200057"/>
                </a:lnTo>
                <a:lnTo>
                  <a:pt x="104239" y="201416"/>
                </a:lnTo>
                <a:lnTo>
                  <a:pt x="104921" y="202775"/>
                </a:lnTo>
                <a:lnTo>
                  <a:pt x="105602" y="204135"/>
                </a:lnTo>
                <a:lnTo>
                  <a:pt x="106283" y="205495"/>
                </a:lnTo>
                <a:lnTo>
                  <a:pt x="106964" y="206856"/>
                </a:lnTo>
                <a:lnTo>
                  <a:pt x="107646" y="208217"/>
                </a:lnTo>
                <a:lnTo>
                  <a:pt x="108327" y="209578"/>
                </a:lnTo>
                <a:lnTo>
                  <a:pt x="109008" y="210941"/>
                </a:lnTo>
                <a:lnTo>
                  <a:pt x="109690" y="212303"/>
                </a:lnTo>
                <a:lnTo>
                  <a:pt x="110371" y="213666"/>
                </a:lnTo>
                <a:lnTo>
                  <a:pt x="111052" y="215030"/>
                </a:lnTo>
                <a:lnTo>
                  <a:pt x="111734" y="216394"/>
                </a:lnTo>
                <a:lnTo>
                  <a:pt x="112415" y="217758"/>
                </a:lnTo>
                <a:lnTo>
                  <a:pt x="113096" y="219123"/>
                </a:lnTo>
                <a:lnTo>
                  <a:pt x="113777" y="220489"/>
                </a:lnTo>
                <a:lnTo>
                  <a:pt x="114459" y="221854"/>
                </a:lnTo>
                <a:lnTo>
                  <a:pt x="115140" y="223221"/>
                </a:lnTo>
                <a:lnTo>
                  <a:pt x="115821" y="224587"/>
                </a:lnTo>
                <a:lnTo>
                  <a:pt x="116503" y="225955"/>
                </a:lnTo>
                <a:lnTo>
                  <a:pt x="117184" y="227322"/>
                </a:lnTo>
                <a:lnTo>
                  <a:pt x="117865" y="228691"/>
                </a:lnTo>
                <a:lnTo>
                  <a:pt x="118547" y="230059"/>
                </a:lnTo>
                <a:lnTo>
                  <a:pt x="119228" y="231428"/>
                </a:lnTo>
                <a:lnTo>
                  <a:pt x="119909" y="232798"/>
                </a:lnTo>
                <a:lnTo>
                  <a:pt x="120591" y="234168"/>
                </a:lnTo>
                <a:lnTo>
                  <a:pt x="121272" y="235538"/>
                </a:lnTo>
                <a:lnTo>
                  <a:pt x="121953" y="236909"/>
                </a:lnTo>
                <a:lnTo>
                  <a:pt x="122634" y="238280"/>
                </a:lnTo>
                <a:lnTo>
                  <a:pt x="123316" y="239652"/>
                </a:lnTo>
                <a:lnTo>
                  <a:pt x="123997" y="241024"/>
                </a:lnTo>
                <a:lnTo>
                  <a:pt x="124678" y="242397"/>
                </a:lnTo>
                <a:lnTo>
                  <a:pt x="125360" y="243770"/>
                </a:lnTo>
                <a:lnTo>
                  <a:pt x="126041" y="245143"/>
                </a:lnTo>
                <a:lnTo>
                  <a:pt x="126722" y="246517"/>
                </a:lnTo>
                <a:lnTo>
                  <a:pt x="127404" y="247892"/>
                </a:lnTo>
                <a:lnTo>
                  <a:pt x="128085" y="249266"/>
                </a:lnTo>
                <a:lnTo>
                  <a:pt x="128766" y="250642"/>
                </a:lnTo>
                <a:lnTo>
                  <a:pt x="129448" y="252017"/>
                </a:lnTo>
                <a:lnTo>
                  <a:pt x="130129" y="253393"/>
                </a:lnTo>
                <a:lnTo>
                  <a:pt x="130810" y="254770"/>
                </a:lnTo>
                <a:lnTo>
                  <a:pt x="131491" y="256147"/>
                </a:lnTo>
                <a:lnTo>
                  <a:pt x="132173" y="257524"/>
                </a:lnTo>
                <a:lnTo>
                  <a:pt x="132854" y="258902"/>
                </a:lnTo>
                <a:lnTo>
                  <a:pt x="133535" y="260280"/>
                </a:lnTo>
                <a:lnTo>
                  <a:pt x="134217" y="261659"/>
                </a:lnTo>
                <a:lnTo>
                  <a:pt x="134898" y="263038"/>
                </a:lnTo>
                <a:lnTo>
                  <a:pt x="135579" y="264417"/>
                </a:lnTo>
                <a:lnTo>
                  <a:pt x="136261" y="265797"/>
                </a:lnTo>
                <a:lnTo>
                  <a:pt x="136942" y="267177"/>
                </a:lnTo>
                <a:lnTo>
                  <a:pt x="137623" y="268558"/>
                </a:lnTo>
                <a:lnTo>
                  <a:pt x="138304" y="269939"/>
                </a:lnTo>
                <a:lnTo>
                  <a:pt x="138986" y="271321"/>
                </a:lnTo>
                <a:lnTo>
                  <a:pt x="139667" y="272703"/>
                </a:lnTo>
                <a:lnTo>
                  <a:pt x="140348" y="274085"/>
                </a:lnTo>
                <a:lnTo>
                  <a:pt x="141030" y="275468"/>
                </a:lnTo>
                <a:lnTo>
                  <a:pt x="141711" y="276851"/>
                </a:lnTo>
                <a:lnTo>
                  <a:pt x="142392" y="278234"/>
                </a:lnTo>
                <a:lnTo>
                  <a:pt x="143074" y="279618"/>
                </a:lnTo>
                <a:lnTo>
                  <a:pt x="143755" y="281003"/>
                </a:lnTo>
                <a:lnTo>
                  <a:pt x="144436" y="282387"/>
                </a:lnTo>
                <a:lnTo>
                  <a:pt x="145118" y="283773"/>
                </a:lnTo>
                <a:lnTo>
                  <a:pt x="145799" y="285158"/>
                </a:lnTo>
                <a:lnTo>
                  <a:pt x="146480" y="286544"/>
                </a:lnTo>
                <a:lnTo>
                  <a:pt x="147161" y="287930"/>
                </a:lnTo>
                <a:lnTo>
                  <a:pt x="147843" y="289317"/>
                </a:lnTo>
                <a:lnTo>
                  <a:pt x="148524" y="290704"/>
                </a:lnTo>
                <a:lnTo>
                  <a:pt x="149205" y="292092"/>
                </a:lnTo>
                <a:lnTo>
                  <a:pt x="149887" y="293480"/>
                </a:lnTo>
                <a:lnTo>
                  <a:pt x="150568" y="294868"/>
                </a:lnTo>
                <a:lnTo>
                  <a:pt x="151249" y="296256"/>
                </a:lnTo>
                <a:lnTo>
                  <a:pt x="151931" y="297646"/>
                </a:lnTo>
                <a:lnTo>
                  <a:pt x="152612" y="299035"/>
                </a:lnTo>
                <a:lnTo>
                  <a:pt x="153293" y="300425"/>
                </a:lnTo>
                <a:lnTo>
                  <a:pt x="153975" y="301815"/>
                </a:lnTo>
                <a:lnTo>
                  <a:pt x="154656" y="303205"/>
                </a:lnTo>
                <a:lnTo>
                  <a:pt x="155337" y="304596"/>
                </a:lnTo>
                <a:lnTo>
                  <a:pt x="156018" y="305988"/>
                </a:lnTo>
                <a:lnTo>
                  <a:pt x="156700" y="307379"/>
                </a:lnTo>
                <a:lnTo>
                  <a:pt x="157381" y="308771"/>
                </a:lnTo>
                <a:lnTo>
                  <a:pt x="158062" y="310164"/>
                </a:lnTo>
                <a:lnTo>
                  <a:pt x="158744" y="311557"/>
                </a:lnTo>
                <a:lnTo>
                  <a:pt x="159425" y="312950"/>
                </a:lnTo>
                <a:lnTo>
                  <a:pt x="160106" y="314343"/>
                </a:lnTo>
                <a:lnTo>
                  <a:pt x="160788" y="315737"/>
                </a:lnTo>
                <a:lnTo>
                  <a:pt x="161469" y="317131"/>
                </a:lnTo>
                <a:lnTo>
                  <a:pt x="162150" y="318526"/>
                </a:lnTo>
                <a:lnTo>
                  <a:pt x="162831" y="319921"/>
                </a:lnTo>
                <a:lnTo>
                  <a:pt x="163513" y="321316"/>
                </a:lnTo>
                <a:lnTo>
                  <a:pt x="164194" y="322712"/>
                </a:lnTo>
                <a:lnTo>
                  <a:pt x="164875" y="324108"/>
                </a:lnTo>
                <a:lnTo>
                  <a:pt x="165557" y="325504"/>
                </a:lnTo>
                <a:lnTo>
                  <a:pt x="166238" y="326901"/>
                </a:lnTo>
                <a:lnTo>
                  <a:pt x="166919" y="328298"/>
                </a:lnTo>
                <a:lnTo>
                  <a:pt x="167601" y="329695"/>
                </a:lnTo>
                <a:lnTo>
                  <a:pt x="168282" y="331093"/>
                </a:lnTo>
                <a:lnTo>
                  <a:pt x="168963" y="332491"/>
                </a:lnTo>
                <a:lnTo>
                  <a:pt x="169645" y="333890"/>
                </a:lnTo>
                <a:lnTo>
                  <a:pt x="170326" y="335289"/>
                </a:lnTo>
                <a:lnTo>
                  <a:pt x="171007" y="336688"/>
                </a:lnTo>
                <a:lnTo>
                  <a:pt x="171688" y="338087"/>
                </a:lnTo>
                <a:lnTo>
                  <a:pt x="172370" y="339487"/>
                </a:lnTo>
                <a:lnTo>
                  <a:pt x="173051" y="340887"/>
                </a:lnTo>
                <a:lnTo>
                  <a:pt x="173732" y="342288"/>
                </a:lnTo>
                <a:lnTo>
                  <a:pt x="174414" y="343689"/>
                </a:lnTo>
                <a:lnTo>
                  <a:pt x="175095" y="345090"/>
                </a:lnTo>
                <a:lnTo>
                  <a:pt x="175776" y="346491"/>
                </a:lnTo>
                <a:lnTo>
                  <a:pt x="176458" y="347893"/>
                </a:lnTo>
                <a:lnTo>
                  <a:pt x="177139" y="349295"/>
                </a:lnTo>
                <a:lnTo>
                  <a:pt x="177820" y="350698"/>
                </a:lnTo>
                <a:lnTo>
                  <a:pt x="178502" y="352100"/>
                </a:lnTo>
                <a:lnTo>
                  <a:pt x="179183" y="353504"/>
                </a:lnTo>
                <a:lnTo>
                  <a:pt x="179864" y="354907"/>
                </a:lnTo>
                <a:lnTo>
                  <a:pt x="180545" y="356311"/>
                </a:lnTo>
                <a:lnTo>
                  <a:pt x="181227" y="357715"/>
                </a:lnTo>
                <a:lnTo>
                  <a:pt x="181908" y="359119"/>
                </a:lnTo>
                <a:lnTo>
                  <a:pt x="182589" y="360524"/>
                </a:lnTo>
                <a:lnTo>
                  <a:pt x="183271" y="361929"/>
                </a:lnTo>
                <a:lnTo>
                  <a:pt x="183952" y="363335"/>
                </a:lnTo>
                <a:lnTo>
                  <a:pt x="184633" y="364740"/>
                </a:lnTo>
                <a:lnTo>
                  <a:pt x="185315" y="366146"/>
                </a:lnTo>
                <a:lnTo>
                  <a:pt x="185996" y="367553"/>
                </a:lnTo>
                <a:lnTo>
                  <a:pt x="186677" y="368959"/>
                </a:lnTo>
                <a:lnTo>
                  <a:pt x="187358" y="370366"/>
                </a:lnTo>
                <a:lnTo>
                  <a:pt x="188040" y="371773"/>
                </a:lnTo>
                <a:lnTo>
                  <a:pt x="188721" y="373181"/>
                </a:lnTo>
                <a:lnTo>
                  <a:pt x="189402" y="374589"/>
                </a:lnTo>
                <a:lnTo>
                  <a:pt x="190084" y="375997"/>
                </a:lnTo>
                <a:lnTo>
                  <a:pt x="190765" y="377405"/>
                </a:lnTo>
                <a:lnTo>
                  <a:pt x="191446" y="378814"/>
                </a:lnTo>
                <a:lnTo>
                  <a:pt x="192128" y="380223"/>
                </a:lnTo>
                <a:lnTo>
                  <a:pt x="192809" y="381632"/>
                </a:lnTo>
                <a:lnTo>
                  <a:pt x="193490" y="383042"/>
                </a:lnTo>
                <a:lnTo>
                  <a:pt x="194172" y="384452"/>
                </a:lnTo>
                <a:lnTo>
                  <a:pt x="194853" y="385862"/>
                </a:lnTo>
                <a:lnTo>
                  <a:pt x="195534" y="387273"/>
                </a:lnTo>
                <a:lnTo>
                  <a:pt x="196215" y="388684"/>
                </a:lnTo>
                <a:lnTo>
                  <a:pt x="196897" y="390095"/>
                </a:lnTo>
                <a:lnTo>
                  <a:pt x="197578" y="391506"/>
                </a:lnTo>
                <a:lnTo>
                  <a:pt x="198259" y="392918"/>
                </a:lnTo>
                <a:lnTo>
                  <a:pt x="198941" y="394330"/>
                </a:lnTo>
                <a:lnTo>
                  <a:pt x="199622" y="395742"/>
                </a:lnTo>
                <a:lnTo>
                  <a:pt x="200303" y="397154"/>
                </a:lnTo>
                <a:lnTo>
                  <a:pt x="200985" y="398567"/>
                </a:lnTo>
                <a:lnTo>
                  <a:pt x="201666" y="399980"/>
                </a:lnTo>
                <a:lnTo>
                  <a:pt x="202347" y="401393"/>
                </a:lnTo>
                <a:lnTo>
                  <a:pt x="203028" y="402807"/>
                </a:lnTo>
                <a:lnTo>
                  <a:pt x="203710" y="404221"/>
                </a:lnTo>
                <a:lnTo>
                  <a:pt x="204391" y="405635"/>
                </a:lnTo>
                <a:lnTo>
                  <a:pt x="205072" y="407050"/>
                </a:lnTo>
                <a:lnTo>
                  <a:pt x="205754" y="408464"/>
                </a:lnTo>
                <a:lnTo>
                  <a:pt x="206435" y="409879"/>
                </a:lnTo>
                <a:lnTo>
                  <a:pt x="207116" y="411294"/>
                </a:lnTo>
                <a:lnTo>
                  <a:pt x="207798" y="412710"/>
                </a:lnTo>
                <a:lnTo>
                  <a:pt x="208479" y="414126"/>
                </a:lnTo>
                <a:lnTo>
                  <a:pt x="209160" y="415542"/>
                </a:lnTo>
                <a:lnTo>
                  <a:pt x="209842" y="416958"/>
                </a:lnTo>
                <a:lnTo>
                  <a:pt x="210523" y="418375"/>
                </a:lnTo>
                <a:lnTo>
                  <a:pt x="211204" y="419791"/>
                </a:lnTo>
                <a:lnTo>
                  <a:pt x="211885" y="421208"/>
                </a:lnTo>
                <a:lnTo>
                  <a:pt x="212567" y="422626"/>
                </a:lnTo>
                <a:lnTo>
                  <a:pt x="213248" y="424043"/>
                </a:lnTo>
                <a:lnTo>
                  <a:pt x="213929" y="425461"/>
                </a:lnTo>
                <a:lnTo>
                  <a:pt x="214611" y="426879"/>
                </a:lnTo>
                <a:lnTo>
                  <a:pt x="215292" y="428297"/>
                </a:lnTo>
                <a:lnTo>
                  <a:pt x="215973" y="429716"/>
                </a:lnTo>
                <a:lnTo>
                  <a:pt x="216655" y="431135"/>
                </a:lnTo>
                <a:lnTo>
                  <a:pt x="217336" y="432554"/>
                </a:lnTo>
                <a:lnTo>
                  <a:pt x="218017" y="433973"/>
                </a:lnTo>
                <a:lnTo>
                  <a:pt x="218699" y="435393"/>
                </a:lnTo>
                <a:lnTo>
                  <a:pt x="219380" y="436813"/>
                </a:lnTo>
                <a:lnTo>
                  <a:pt x="220061" y="438233"/>
                </a:lnTo>
                <a:lnTo>
                  <a:pt x="220742" y="439653"/>
                </a:lnTo>
                <a:lnTo>
                  <a:pt x="221424" y="441073"/>
                </a:lnTo>
                <a:lnTo>
                  <a:pt x="222105" y="442494"/>
                </a:lnTo>
                <a:lnTo>
                  <a:pt x="222786" y="443915"/>
                </a:lnTo>
                <a:lnTo>
                  <a:pt x="223468" y="445336"/>
                </a:lnTo>
                <a:lnTo>
                  <a:pt x="224149" y="446758"/>
                </a:lnTo>
                <a:lnTo>
                  <a:pt x="224830" y="448179"/>
                </a:lnTo>
                <a:lnTo>
                  <a:pt x="225512" y="449601"/>
                </a:lnTo>
                <a:lnTo>
                  <a:pt x="226193" y="451023"/>
                </a:lnTo>
                <a:lnTo>
                  <a:pt x="226874" y="452446"/>
                </a:lnTo>
                <a:lnTo>
                  <a:pt x="227555" y="453868"/>
                </a:lnTo>
                <a:lnTo>
                  <a:pt x="228237" y="455291"/>
                </a:lnTo>
                <a:lnTo>
                  <a:pt x="228918" y="456714"/>
                </a:lnTo>
                <a:lnTo>
                  <a:pt x="229599" y="458137"/>
                </a:lnTo>
                <a:lnTo>
                  <a:pt x="230281" y="459561"/>
                </a:lnTo>
                <a:lnTo>
                  <a:pt x="230962" y="460984"/>
                </a:lnTo>
                <a:lnTo>
                  <a:pt x="231643" y="462408"/>
                </a:lnTo>
                <a:lnTo>
                  <a:pt x="232325" y="463832"/>
                </a:lnTo>
                <a:lnTo>
                  <a:pt x="233006" y="465257"/>
                </a:lnTo>
                <a:lnTo>
                  <a:pt x="233687" y="466681"/>
                </a:lnTo>
                <a:lnTo>
                  <a:pt x="234369" y="468106"/>
                </a:lnTo>
                <a:lnTo>
                  <a:pt x="235050" y="469531"/>
                </a:lnTo>
                <a:lnTo>
                  <a:pt x="235731" y="470956"/>
                </a:lnTo>
                <a:lnTo>
                  <a:pt x="236412" y="472382"/>
                </a:lnTo>
                <a:lnTo>
                  <a:pt x="237094" y="473807"/>
                </a:lnTo>
                <a:lnTo>
                  <a:pt x="237775" y="475233"/>
                </a:lnTo>
                <a:lnTo>
                  <a:pt x="238456" y="476659"/>
                </a:lnTo>
                <a:lnTo>
                  <a:pt x="239138" y="478085"/>
                </a:lnTo>
                <a:lnTo>
                  <a:pt x="239819" y="479511"/>
                </a:lnTo>
                <a:lnTo>
                  <a:pt x="240500" y="480938"/>
                </a:lnTo>
                <a:lnTo>
                  <a:pt x="241182" y="482365"/>
                </a:lnTo>
                <a:lnTo>
                  <a:pt x="241863" y="483792"/>
                </a:lnTo>
                <a:lnTo>
                  <a:pt x="242544" y="485219"/>
                </a:lnTo>
                <a:lnTo>
                  <a:pt x="243226" y="486646"/>
                </a:lnTo>
                <a:lnTo>
                  <a:pt x="243907" y="488074"/>
                </a:lnTo>
                <a:lnTo>
                  <a:pt x="244588" y="489501"/>
                </a:lnTo>
                <a:lnTo>
                  <a:pt x="245269" y="490929"/>
                </a:lnTo>
                <a:lnTo>
                  <a:pt x="245951" y="492357"/>
                </a:lnTo>
                <a:lnTo>
                  <a:pt x="246632" y="493786"/>
                </a:lnTo>
                <a:lnTo>
                  <a:pt x="247313" y="495214"/>
                </a:lnTo>
                <a:lnTo>
                  <a:pt x="247995" y="496643"/>
                </a:lnTo>
                <a:lnTo>
                  <a:pt x="248676" y="498072"/>
                </a:lnTo>
                <a:lnTo>
                  <a:pt x="249357" y="499501"/>
                </a:lnTo>
                <a:lnTo>
                  <a:pt x="250039" y="500930"/>
                </a:lnTo>
                <a:lnTo>
                  <a:pt x="250720" y="502359"/>
                </a:lnTo>
                <a:lnTo>
                  <a:pt x="251401" y="503789"/>
                </a:lnTo>
                <a:lnTo>
                  <a:pt x="252082" y="505219"/>
                </a:lnTo>
                <a:lnTo>
                  <a:pt x="252764" y="506648"/>
                </a:lnTo>
                <a:lnTo>
                  <a:pt x="253445" y="508079"/>
                </a:lnTo>
                <a:lnTo>
                  <a:pt x="254126" y="509509"/>
                </a:lnTo>
                <a:lnTo>
                  <a:pt x="254808" y="510939"/>
                </a:lnTo>
                <a:lnTo>
                  <a:pt x="255489" y="512370"/>
                </a:lnTo>
                <a:lnTo>
                  <a:pt x="256170" y="513801"/>
                </a:lnTo>
                <a:lnTo>
                  <a:pt x="256852" y="515231"/>
                </a:lnTo>
                <a:lnTo>
                  <a:pt x="257533" y="516663"/>
                </a:lnTo>
                <a:lnTo>
                  <a:pt x="258214" y="518094"/>
                </a:lnTo>
                <a:lnTo>
                  <a:pt x="258896" y="519525"/>
                </a:lnTo>
                <a:lnTo>
                  <a:pt x="259577" y="520957"/>
                </a:lnTo>
                <a:lnTo>
                  <a:pt x="260258" y="522388"/>
                </a:lnTo>
                <a:lnTo>
                  <a:pt x="260939" y="523820"/>
                </a:lnTo>
                <a:lnTo>
                  <a:pt x="261621" y="525252"/>
                </a:lnTo>
                <a:lnTo>
                  <a:pt x="262302" y="526684"/>
                </a:lnTo>
                <a:lnTo>
                  <a:pt x="262983" y="528117"/>
                </a:lnTo>
                <a:lnTo>
                  <a:pt x="263665" y="529549"/>
                </a:lnTo>
                <a:lnTo>
                  <a:pt x="264346" y="530982"/>
                </a:lnTo>
                <a:lnTo>
                  <a:pt x="265027" y="532415"/>
                </a:lnTo>
                <a:lnTo>
                  <a:pt x="265709" y="533848"/>
                </a:lnTo>
                <a:lnTo>
                  <a:pt x="266390" y="535281"/>
                </a:lnTo>
                <a:lnTo>
                  <a:pt x="267071" y="536714"/>
                </a:lnTo>
                <a:lnTo>
                  <a:pt x="267753" y="538147"/>
                </a:lnTo>
                <a:lnTo>
                  <a:pt x="268434" y="539581"/>
                </a:lnTo>
                <a:lnTo>
                  <a:pt x="269115" y="541014"/>
                </a:lnTo>
                <a:lnTo>
                  <a:pt x="269796" y="542448"/>
                </a:lnTo>
                <a:lnTo>
                  <a:pt x="270478" y="543882"/>
                </a:lnTo>
                <a:lnTo>
                  <a:pt x="271159" y="545316"/>
                </a:lnTo>
                <a:lnTo>
                  <a:pt x="271840" y="546750"/>
                </a:lnTo>
                <a:lnTo>
                  <a:pt x="272522" y="548185"/>
                </a:lnTo>
                <a:lnTo>
                  <a:pt x="273203" y="549619"/>
                </a:lnTo>
                <a:lnTo>
                  <a:pt x="273884" y="551054"/>
                </a:lnTo>
                <a:lnTo>
                  <a:pt x="274566" y="552488"/>
                </a:lnTo>
                <a:lnTo>
                  <a:pt x="275247" y="553923"/>
                </a:lnTo>
                <a:lnTo>
                  <a:pt x="275928" y="555358"/>
                </a:lnTo>
                <a:lnTo>
                  <a:pt x="276609" y="556793"/>
                </a:lnTo>
                <a:lnTo>
                  <a:pt x="277291" y="558228"/>
                </a:lnTo>
                <a:lnTo>
                  <a:pt x="277972" y="559664"/>
                </a:lnTo>
                <a:lnTo>
                  <a:pt x="278653" y="561099"/>
                </a:lnTo>
                <a:lnTo>
                  <a:pt x="279335" y="562535"/>
                </a:lnTo>
                <a:lnTo>
                  <a:pt x="280016" y="563971"/>
                </a:lnTo>
                <a:lnTo>
                  <a:pt x="280697" y="565406"/>
                </a:lnTo>
                <a:lnTo>
                  <a:pt x="281379" y="566842"/>
                </a:lnTo>
                <a:lnTo>
                  <a:pt x="282060" y="568278"/>
                </a:lnTo>
                <a:lnTo>
                  <a:pt x="282741" y="569715"/>
                </a:lnTo>
                <a:lnTo>
                  <a:pt x="283423" y="571151"/>
                </a:lnTo>
                <a:lnTo>
                  <a:pt x="284104" y="572587"/>
                </a:lnTo>
                <a:lnTo>
                  <a:pt x="284785" y="574024"/>
                </a:lnTo>
                <a:lnTo>
                  <a:pt x="285466" y="575460"/>
                </a:lnTo>
                <a:lnTo>
                  <a:pt x="286148" y="576897"/>
                </a:lnTo>
                <a:lnTo>
                  <a:pt x="286829" y="578334"/>
                </a:lnTo>
                <a:lnTo>
                  <a:pt x="287510" y="579771"/>
                </a:lnTo>
                <a:lnTo>
                  <a:pt x="288192" y="581208"/>
                </a:lnTo>
                <a:lnTo>
                  <a:pt x="288873" y="582645"/>
                </a:lnTo>
                <a:lnTo>
                  <a:pt x="289554" y="584082"/>
                </a:lnTo>
                <a:lnTo>
                  <a:pt x="290236" y="585519"/>
                </a:lnTo>
                <a:lnTo>
                  <a:pt x="290917" y="586957"/>
                </a:lnTo>
                <a:lnTo>
                  <a:pt x="291598" y="588394"/>
                </a:lnTo>
                <a:lnTo>
                  <a:pt x="292279" y="589832"/>
                </a:lnTo>
                <a:lnTo>
                  <a:pt x="292961" y="591270"/>
                </a:lnTo>
                <a:lnTo>
                  <a:pt x="293642" y="592707"/>
                </a:lnTo>
                <a:lnTo>
                  <a:pt x="294323" y="594145"/>
                </a:lnTo>
                <a:lnTo>
                  <a:pt x="295005" y="595583"/>
                </a:lnTo>
                <a:lnTo>
                  <a:pt x="295686" y="597021"/>
                </a:lnTo>
                <a:lnTo>
                  <a:pt x="296367" y="598459"/>
                </a:lnTo>
                <a:lnTo>
                  <a:pt x="297049" y="599898"/>
                </a:lnTo>
                <a:lnTo>
                  <a:pt x="297730" y="601336"/>
                </a:lnTo>
                <a:lnTo>
                  <a:pt x="298411" y="602774"/>
                </a:lnTo>
                <a:lnTo>
                  <a:pt x="299093" y="604213"/>
                </a:lnTo>
                <a:lnTo>
                  <a:pt x="299774" y="605651"/>
                </a:lnTo>
                <a:lnTo>
                  <a:pt x="300455" y="607090"/>
                </a:lnTo>
                <a:lnTo>
                  <a:pt x="301136" y="608529"/>
                </a:lnTo>
                <a:lnTo>
                  <a:pt x="301818" y="609967"/>
                </a:lnTo>
                <a:lnTo>
                  <a:pt x="302499" y="611406"/>
                </a:lnTo>
                <a:lnTo>
                  <a:pt x="303180" y="612845"/>
                </a:lnTo>
                <a:lnTo>
                  <a:pt x="303862" y="614284"/>
                </a:lnTo>
                <a:lnTo>
                  <a:pt x="304543" y="615723"/>
                </a:lnTo>
                <a:lnTo>
                  <a:pt x="305224" y="617162"/>
                </a:lnTo>
                <a:lnTo>
                  <a:pt x="305906" y="618602"/>
                </a:lnTo>
                <a:lnTo>
                  <a:pt x="306587" y="620041"/>
                </a:lnTo>
                <a:lnTo>
                  <a:pt x="307268" y="621480"/>
                </a:lnTo>
                <a:lnTo>
                  <a:pt x="307950" y="622920"/>
                </a:lnTo>
                <a:lnTo>
                  <a:pt x="308631" y="624359"/>
                </a:lnTo>
                <a:lnTo>
                  <a:pt x="309312" y="625799"/>
                </a:lnTo>
                <a:lnTo>
                  <a:pt x="309993" y="627238"/>
                </a:lnTo>
                <a:lnTo>
                  <a:pt x="310675" y="628678"/>
                </a:lnTo>
                <a:lnTo>
                  <a:pt x="311356" y="630118"/>
                </a:lnTo>
                <a:lnTo>
                  <a:pt x="312037" y="631557"/>
                </a:lnTo>
                <a:lnTo>
                  <a:pt x="312719" y="632997"/>
                </a:lnTo>
                <a:lnTo>
                  <a:pt x="313400" y="634437"/>
                </a:lnTo>
                <a:lnTo>
                  <a:pt x="314081" y="635877"/>
                </a:lnTo>
                <a:lnTo>
                  <a:pt x="314763" y="637317"/>
                </a:lnTo>
                <a:lnTo>
                  <a:pt x="315444" y="638757"/>
                </a:lnTo>
                <a:lnTo>
                  <a:pt x="316125" y="640197"/>
                </a:lnTo>
                <a:lnTo>
                  <a:pt x="316806" y="641637"/>
                </a:lnTo>
                <a:lnTo>
                  <a:pt x="317488" y="643077"/>
                </a:lnTo>
                <a:lnTo>
                  <a:pt x="318169" y="644517"/>
                </a:lnTo>
                <a:lnTo>
                  <a:pt x="318850" y="645958"/>
                </a:lnTo>
                <a:lnTo>
                  <a:pt x="319532" y="647398"/>
                </a:lnTo>
                <a:lnTo>
                  <a:pt x="320213" y="648838"/>
                </a:lnTo>
                <a:lnTo>
                  <a:pt x="320894" y="650279"/>
                </a:lnTo>
                <a:lnTo>
                  <a:pt x="321576" y="651719"/>
                </a:lnTo>
                <a:lnTo>
                  <a:pt x="322257" y="653160"/>
                </a:lnTo>
                <a:lnTo>
                  <a:pt x="322938" y="654600"/>
                </a:lnTo>
                <a:lnTo>
                  <a:pt x="323620" y="656040"/>
                </a:lnTo>
                <a:lnTo>
                  <a:pt x="324301" y="657481"/>
                </a:lnTo>
                <a:lnTo>
                  <a:pt x="324982" y="658922"/>
                </a:lnTo>
                <a:lnTo>
                  <a:pt x="325663" y="660362"/>
                </a:lnTo>
                <a:lnTo>
                  <a:pt x="326345" y="661803"/>
                </a:lnTo>
                <a:lnTo>
                  <a:pt x="327026" y="663243"/>
                </a:lnTo>
                <a:lnTo>
                  <a:pt x="327707" y="664684"/>
                </a:lnTo>
                <a:lnTo>
                  <a:pt x="328389" y="666125"/>
                </a:lnTo>
                <a:lnTo>
                  <a:pt x="329070" y="667566"/>
                </a:lnTo>
                <a:lnTo>
                  <a:pt x="329751" y="669006"/>
                </a:lnTo>
                <a:lnTo>
                  <a:pt x="330433" y="670447"/>
                </a:lnTo>
                <a:lnTo>
                  <a:pt x="331114" y="671888"/>
                </a:lnTo>
                <a:lnTo>
                  <a:pt x="331795" y="673329"/>
                </a:lnTo>
                <a:lnTo>
                  <a:pt x="332477" y="674770"/>
                </a:lnTo>
                <a:lnTo>
                  <a:pt x="333158" y="676210"/>
                </a:lnTo>
                <a:lnTo>
                  <a:pt x="333839" y="677651"/>
                </a:lnTo>
                <a:lnTo>
                  <a:pt x="334520" y="679092"/>
                </a:lnTo>
                <a:lnTo>
                  <a:pt x="335202" y="680533"/>
                </a:lnTo>
                <a:lnTo>
                  <a:pt x="335883" y="681974"/>
                </a:lnTo>
                <a:lnTo>
                  <a:pt x="336564" y="683415"/>
                </a:lnTo>
                <a:lnTo>
                  <a:pt x="337246" y="684856"/>
                </a:lnTo>
                <a:lnTo>
                  <a:pt x="337927" y="686297"/>
                </a:lnTo>
                <a:lnTo>
                  <a:pt x="338608" y="687737"/>
                </a:lnTo>
                <a:lnTo>
                  <a:pt x="339290" y="689178"/>
                </a:lnTo>
                <a:lnTo>
                  <a:pt x="339971" y="690619"/>
                </a:lnTo>
                <a:lnTo>
                  <a:pt x="340652" y="692060"/>
                </a:lnTo>
                <a:lnTo>
                  <a:pt x="341333" y="693501"/>
                </a:lnTo>
                <a:lnTo>
                  <a:pt x="342015" y="694942"/>
                </a:lnTo>
                <a:lnTo>
                  <a:pt x="342696" y="696383"/>
                </a:lnTo>
                <a:lnTo>
                  <a:pt x="343377" y="697824"/>
                </a:lnTo>
                <a:lnTo>
                  <a:pt x="344059" y="699265"/>
                </a:lnTo>
                <a:lnTo>
                  <a:pt x="344740" y="700706"/>
                </a:lnTo>
                <a:lnTo>
                  <a:pt x="345421" y="702147"/>
                </a:lnTo>
                <a:lnTo>
                  <a:pt x="346103" y="703588"/>
                </a:lnTo>
                <a:lnTo>
                  <a:pt x="346784" y="705028"/>
                </a:lnTo>
                <a:lnTo>
                  <a:pt x="347465" y="706469"/>
                </a:lnTo>
                <a:lnTo>
                  <a:pt x="348147" y="707910"/>
                </a:lnTo>
                <a:lnTo>
                  <a:pt x="348828" y="709351"/>
                </a:lnTo>
                <a:lnTo>
                  <a:pt x="349509" y="710792"/>
                </a:lnTo>
                <a:lnTo>
                  <a:pt x="350190" y="712233"/>
                </a:lnTo>
                <a:lnTo>
                  <a:pt x="350872" y="713673"/>
                </a:lnTo>
                <a:lnTo>
                  <a:pt x="351553" y="715114"/>
                </a:lnTo>
                <a:lnTo>
                  <a:pt x="352234" y="716555"/>
                </a:lnTo>
                <a:lnTo>
                  <a:pt x="352916" y="717996"/>
                </a:lnTo>
                <a:lnTo>
                  <a:pt x="353597" y="719436"/>
                </a:lnTo>
                <a:lnTo>
                  <a:pt x="354278" y="720877"/>
                </a:lnTo>
                <a:lnTo>
                  <a:pt x="354960" y="722318"/>
                </a:lnTo>
                <a:lnTo>
                  <a:pt x="355641" y="723758"/>
                </a:lnTo>
                <a:lnTo>
                  <a:pt x="356322" y="725199"/>
                </a:lnTo>
                <a:lnTo>
                  <a:pt x="357004" y="726640"/>
                </a:lnTo>
                <a:lnTo>
                  <a:pt x="357685" y="728080"/>
                </a:lnTo>
                <a:lnTo>
                  <a:pt x="358366" y="729521"/>
                </a:lnTo>
                <a:lnTo>
                  <a:pt x="359047" y="730961"/>
                </a:lnTo>
                <a:lnTo>
                  <a:pt x="359729" y="732402"/>
                </a:lnTo>
                <a:lnTo>
                  <a:pt x="360410" y="733842"/>
                </a:lnTo>
                <a:lnTo>
                  <a:pt x="361091" y="735282"/>
                </a:lnTo>
                <a:lnTo>
                  <a:pt x="361773" y="736723"/>
                </a:lnTo>
                <a:lnTo>
                  <a:pt x="362454" y="738163"/>
                </a:lnTo>
                <a:lnTo>
                  <a:pt x="363135" y="739603"/>
                </a:lnTo>
                <a:lnTo>
                  <a:pt x="363817" y="741043"/>
                </a:lnTo>
                <a:lnTo>
                  <a:pt x="364498" y="742484"/>
                </a:lnTo>
                <a:lnTo>
                  <a:pt x="365179" y="743924"/>
                </a:lnTo>
                <a:lnTo>
                  <a:pt x="365860" y="745364"/>
                </a:lnTo>
                <a:lnTo>
                  <a:pt x="366542" y="746804"/>
                </a:lnTo>
                <a:lnTo>
                  <a:pt x="367223" y="748244"/>
                </a:lnTo>
                <a:lnTo>
                  <a:pt x="367904" y="749684"/>
                </a:lnTo>
                <a:lnTo>
                  <a:pt x="368586" y="751124"/>
                </a:lnTo>
                <a:lnTo>
                  <a:pt x="369267" y="752563"/>
                </a:lnTo>
                <a:lnTo>
                  <a:pt x="369948" y="754003"/>
                </a:lnTo>
                <a:lnTo>
                  <a:pt x="370630" y="755443"/>
                </a:lnTo>
                <a:lnTo>
                  <a:pt x="371311" y="756883"/>
                </a:lnTo>
                <a:lnTo>
                  <a:pt x="371992" y="758322"/>
                </a:lnTo>
                <a:lnTo>
                  <a:pt x="372674" y="759762"/>
                </a:lnTo>
                <a:lnTo>
                  <a:pt x="373355" y="761201"/>
                </a:lnTo>
                <a:lnTo>
                  <a:pt x="374036" y="762641"/>
                </a:lnTo>
                <a:lnTo>
                  <a:pt x="374717" y="764080"/>
                </a:lnTo>
                <a:lnTo>
                  <a:pt x="375399" y="765519"/>
                </a:lnTo>
                <a:lnTo>
                  <a:pt x="376080" y="766959"/>
                </a:lnTo>
                <a:lnTo>
                  <a:pt x="376761" y="768398"/>
                </a:lnTo>
                <a:lnTo>
                  <a:pt x="377443" y="769837"/>
                </a:lnTo>
                <a:lnTo>
                  <a:pt x="378124" y="771276"/>
                </a:lnTo>
                <a:lnTo>
                  <a:pt x="378805" y="772715"/>
                </a:lnTo>
                <a:lnTo>
                  <a:pt x="379487" y="774154"/>
                </a:lnTo>
                <a:lnTo>
                  <a:pt x="380168" y="775593"/>
                </a:lnTo>
                <a:lnTo>
                  <a:pt x="380849" y="777031"/>
                </a:lnTo>
                <a:lnTo>
                  <a:pt x="381530" y="778470"/>
                </a:lnTo>
                <a:lnTo>
                  <a:pt x="382212" y="779909"/>
                </a:lnTo>
                <a:lnTo>
                  <a:pt x="382893" y="781347"/>
                </a:lnTo>
                <a:lnTo>
                  <a:pt x="383574" y="782786"/>
                </a:lnTo>
                <a:lnTo>
                  <a:pt x="384256" y="784224"/>
                </a:lnTo>
                <a:lnTo>
                  <a:pt x="384937" y="785662"/>
                </a:lnTo>
                <a:lnTo>
                  <a:pt x="385618" y="787101"/>
                </a:lnTo>
                <a:lnTo>
                  <a:pt x="386300" y="788539"/>
                </a:lnTo>
                <a:lnTo>
                  <a:pt x="386981" y="789977"/>
                </a:lnTo>
                <a:lnTo>
                  <a:pt x="387662" y="791415"/>
                </a:lnTo>
                <a:lnTo>
                  <a:pt x="388344" y="792853"/>
                </a:lnTo>
                <a:lnTo>
                  <a:pt x="389025" y="794290"/>
                </a:lnTo>
                <a:lnTo>
                  <a:pt x="389706" y="795728"/>
                </a:lnTo>
                <a:lnTo>
                  <a:pt x="390387" y="797166"/>
                </a:lnTo>
                <a:lnTo>
                  <a:pt x="391069" y="798603"/>
                </a:lnTo>
                <a:lnTo>
                  <a:pt x="391750" y="800041"/>
                </a:lnTo>
                <a:lnTo>
                  <a:pt x="392431" y="801478"/>
                </a:lnTo>
                <a:lnTo>
                  <a:pt x="393113" y="802915"/>
                </a:lnTo>
                <a:lnTo>
                  <a:pt x="393794" y="804352"/>
                </a:lnTo>
                <a:lnTo>
                  <a:pt x="394475" y="805790"/>
                </a:lnTo>
                <a:lnTo>
                  <a:pt x="395157" y="807226"/>
                </a:lnTo>
                <a:lnTo>
                  <a:pt x="395838" y="808663"/>
                </a:lnTo>
                <a:lnTo>
                  <a:pt x="396519" y="810100"/>
                </a:lnTo>
                <a:lnTo>
                  <a:pt x="397201" y="811537"/>
                </a:lnTo>
                <a:lnTo>
                  <a:pt x="397882" y="812973"/>
                </a:lnTo>
                <a:lnTo>
                  <a:pt x="398563" y="814410"/>
                </a:lnTo>
                <a:lnTo>
                  <a:pt x="399244" y="815846"/>
                </a:lnTo>
                <a:lnTo>
                  <a:pt x="399926" y="817282"/>
                </a:lnTo>
                <a:lnTo>
                  <a:pt x="400607" y="818718"/>
                </a:lnTo>
                <a:lnTo>
                  <a:pt x="401288" y="820154"/>
                </a:lnTo>
                <a:lnTo>
                  <a:pt x="401970" y="821590"/>
                </a:lnTo>
                <a:lnTo>
                  <a:pt x="402651" y="823026"/>
                </a:lnTo>
                <a:lnTo>
                  <a:pt x="403332" y="824462"/>
                </a:lnTo>
                <a:lnTo>
                  <a:pt x="404014" y="825897"/>
                </a:lnTo>
                <a:lnTo>
                  <a:pt x="404695" y="827333"/>
                </a:lnTo>
                <a:lnTo>
                  <a:pt x="405376" y="828768"/>
                </a:lnTo>
                <a:lnTo>
                  <a:pt x="406057" y="830203"/>
                </a:lnTo>
                <a:lnTo>
                  <a:pt x="406739" y="831638"/>
                </a:lnTo>
                <a:lnTo>
                  <a:pt x="407420" y="833073"/>
                </a:lnTo>
                <a:lnTo>
                  <a:pt x="408101" y="834508"/>
                </a:lnTo>
                <a:lnTo>
                  <a:pt x="408783" y="835943"/>
                </a:lnTo>
                <a:lnTo>
                  <a:pt x="409464" y="837378"/>
                </a:lnTo>
                <a:lnTo>
                  <a:pt x="410145" y="838812"/>
                </a:lnTo>
                <a:lnTo>
                  <a:pt x="410827" y="840246"/>
                </a:lnTo>
                <a:lnTo>
                  <a:pt x="411508" y="841681"/>
                </a:lnTo>
                <a:lnTo>
                  <a:pt x="412189" y="843115"/>
                </a:lnTo>
                <a:lnTo>
                  <a:pt x="412871" y="844549"/>
                </a:lnTo>
                <a:lnTo>
                  <a:pt x="413552" y="845983"/>
                </a:lnTo>
                <a:lnTo>
                  <a:pt x="414233" y="847416"/>
                </a:lnTo>
                <a:lnTo>
                  <a:pt x="414914" y="848850"/>
                </a:lnTo>
                <a:lnTo>
                  <a:pt x="415596" y="850283"/>
                </a:lnTo>
                <a:lnTo>
                  <a:pt x="416277" y="851717"/>
                </a:lnTo>
                <a:lnTo>
                  <a:pt x="416958" y="853150"/>
                </a:lnTo>
                <a:lnTo>
                  <a:pt x="417640" y="854583"/>
                </a:lnTo>
                <a:lnTo>
                  <a:pt x="418321" y="856016"/>
                </a:lnTo>
                <a:lnTo>
                  <a:pt x="419002" y="857448"/>
                </a:lnTo>
                <a:lnTo>
                  <a:pt x="419684" y="858881"/>
                </a:lnTo>
                <a:lnTo>
                  <a:pt x="420365" y="860314"/>
                </a:lnTo>
                <a:lnTo>
                  <a:pt x="421046" y="861746"/>
                </a:lnTo>
                <a:lnTo>
                  <a:pt x="421728" y="863178"/>
                </a:lnTo>
                <a:lnTo>
                  <a:pt x="422409" y="864610"/>
                </a:lnTo>
                <a:lnTo>
                  <a:pt x="423090" y="866042"/>
                </a:lnTo>
                <a:lnTo>
                  <a:pt x="423771" y="867474"/>
                </a:lnTo>
                <a:lnTo>
                  <a:pt x="424453" y="868905"/>
                </a:lnTo>
                <a:lnTo>
                  <a:pt x="425134" y="870337"/>
                </a:lnTo>
                <a:lnTo>
                  <a:pt x="425815" y="871768"/>
                </a:lnTo>
                <a:lnTo>
                  <a:pt x="426497" y="873199"/>
                </a:lnTo>
                <a:lnTo>
                  <a:pt x="427178" y="874630"/>
                </a:lnTo>
                <a:lnTo>
                  <a:pt x="427859" y="876061"/>
                </a:lnTo>
                <a:lnTo>
                  <a:pt x="428541" y="877492"/>
                </a:lnTo>
                <a:lnTo>
                  <a:pt x="429222" y="878922"/>
                </a:lnTo>
                <a:lnTo>
                  <a:pt x="429903" y="880353"/>
                </a:lnTo>
                <a:lnTo>
                  <a:pt x="430584" y="881783"/>
                </a:lnTo>
                <a:lnTo>
                  <a:pt x="431266" y="883213"/>
                </a:lnTo>
                <a:lnTo>
                  <a:pt x="431947" y="884643"/>
                </a:lnTo>
                <a:lnTo>
                  <a:pt x="432628" y="886072"/>
                </a:lnTo>
                <a:lnTo>
                  <a:pt x="433310" y="887502"/>
                </a:lnTo>
                <a:lnTo>
                  <a:pt x="433991" y="888931"/>
                </a:lnTo>
                <a:lnTo>
                  <a:pt x="434672" y="890361"/>
                </a:lnTo>
                <a:lnTo>
                  <a:pt x="435354" y="891790"/>
                </a:lnTo>
                <a:lnTo>
                  <a:pt x="436035" y="893218"/>
                </a:lnTo>
                <a:lnTo>
                  <a:pt x="436716" y="894647"/>
                </a:lnTo>
                <a:lnTo>
                  <a:pt x="437398" y="896076"/>
                </a:lnTo>
                <a:lnTo>
                  <a:pt x="438079" y="897504"/>
                </a:lnTo>
                <a:lnTo>
                  <a:pt x="438760" y="898932"/>
                </a:lnTo>
                <a:lnTo>
                  <a:pt x="439441" y="900360"/>
                </a:lnTo>
                <a:lnTo>
                  <a:pt x="440123" y="901788"/>
                </a:lnTo>
                <a:lnTo>
                  <a:pt x="440804" y="903216"/>
                </a:lnTo>
                <a:lnTo>
                  <a:pt x="441485" y="904643"/>
                </a:lnTo>
                <a:lnTo>
                  <a:pt x="442167" y="906070"/>
                </a:lnTo>
                <a:lnTo>
                  <a:pt x="442848" y="907498"/>
                </a:lnTo>
                <a:lnTo>
                  <a:pt x="443529" y="908925"/>
                </a:lnTo>
                <a:lnTo>
                  <a:pt x="444211" y="910351"/>
                </a:lnTo>
                <a:lnTo>
                  <a:pt x="444892" y="911778"/>
                </a:lnTo>
                <a:lnTo>
                  <a:pt x="445573" y="913204"/>
                </a:lnTo>
                <a:lnTo>
                  <a:pt x="446255" y="914630"/>
                </a:lnTo>
                <a:lnTo>
                  <a:pt x="446936" y="916056"/>
                </a:lnTo>
                <a:lnTo>
                  <a:pt x="447617" y="917482"/>
                </a:lnTo>
                <a:lnTo>
                  <a:pt x="448298" y="918908"/>
                </a:lnTo>
                <a:lnTo>
                  <a:pt x="448980" y="920333"/>
                </a:lnTo>
                <a:lnTo>
                  <a:pt x="449661" y="921759"/>
                </a:lnTo>
                <a:lnTo>
                  <a:pt x="450342" y="923184"/>
                </a:lnTo>
                <a:lnTo>
                  <a:pt x="451024" y="924609"/>
                </a:lnTo>
                <a:lnTo>
                  <a:pt x="451705" y="926033"/>
                </a:lnTo>
                <a:lnTo>
                  <a:pt x="452386" y="927458"/>
                </a:lnTo>
                <a:lnTo>
                  <a:pt x="453068" y="928882"/>
                </a:lnTo>
                <a:lnTo>
                  <a:pt x="453749" y="930306"/>
                </a:lnTo>
                <a:lnTo>
                  <a:pt x="454430" y="931730"/>
                </a:lnTo>
                <a:lnTo>
                  <a:pt x="455111" y="933154"/>
                </a:lnTo>
                <a:lnTo>
                  <a:pt x="455793" y="934577"/>
                </a:lnTo>
                <a:lnTo>
                  <a:pt x="456474" y="936000"/>
                </a:lnTo>
                <a:lnTo>
                  <a:pt x="457155" y="937423"/>
                </a:lnTo>
                <a:lnTo>
                  <a:pt x="457837" y="938846"/>
                </a:lnTo>
                <a:lnTo>
                  <a:pt x="458518" y="940269"/>
                </a:lnTo>
                <a:lnTo>
                  <a:pt x="459199" y="941691"/>
                </a:lnTo>
                <a:lnTo>
                  <a:pt x="459881" y="943114"/>
                </a:lnTo>
                <a:lnTo>
                  <a:pt x="460562" y="944536"/>
                </a:lnTo>
                <a:lnTo>
                  <a:pt x="461243" y="945958"/>
                </a:lnTo>
                <a:lnTo>
                  <a:pt x="461925" y="947379"/>
                </a:lnTo>
                <a:lnTo>
                  <a:pt x="462606" y="948801"/>
                </a:lnTo>
                <a:lnTo>
                  <a:pt x="463287" y="950222"/>
                </a:lnTo>
                <a:lnTo>
                  <a:pt x="463968" y="951643"/>
                </a:lnTo>
                <a:lnTo>
                  <a:pt x="464650" y="953063"/>
                </a:lnTo>
                <a:lnTo>
                  <a:pt x="465331" y="954484"/>
                </a:lnTo>
                <a:lnTo>
                  <a:pt x="466012" y="955904"/>
                </a:lnTo>
                <a:lnTo>
                  <a:pt x="466694" y="957324"/>
                </a:lnTo>
                <a:lnTo>
                  <a:pt x="467375" y="958744"/>
                </a:lnTo>
                <a:lnTo>
                  <a:pt x="468056" y="960164"/>
                </a:lnTo>
                <a:lnTo>
                  <a:pt x="468738" y="961583"/>
                </a:lnTo>
                <a:lnTo>
                  <a:pt x="469419" y="963003"/>
                </a:lnTo>
                <a:lnTo>
                  <a:pt x="470100" y="964422"/>
                </a:lnTo>
                <a:lnTo>
                  <a:pt x="470781" y="965840"/>
                </a:lnTo>
                <a:lnTo>
                  <a:pt x="471463" y="967259"/>
                </a:lnTo>
                <a:lnTo>
                  <a:pt x="472144" y="968677"/>
                </a:lnTo>
                <a:lnTo>
                  <a:pt x="472825" y="970095"/>
                </a:lnTo>
                <a:lnTo>
                  <a:pt x="473507" y="971513"/>
                </a:lnTo>
                <a:lnTo>
                  <a:pt x="474188" y="972931"/>
                </a:lnTo>
                <a:lnTo>
                  <a:pt x="474869" y="974348"/>
                </a:lnTo>
                <a:lnTo>
                  <a:pt x="475551" y="975765"/>
                </a:lnTo>
                <a:lnTo>
                  <a:pt x="476232" y="977182"/>
                </a:lnTo>
                <a:lnTo>
                  <a:pt x="476913" y="978599"/>
                </a:lnTo>
                <a:lnTo>
                  <a:pt x="477595" y="980015"/>
                </a:lnTo>
                <a:lnTo>
                  <a:pt x="478276" y="981431"/>
                </a:lnTo>
                <a:lnTo>
                  <a:pt x="478957" y="982847"/>
                </a:lnTo>
                <a:lnTo>
                  <a:pt x="479638" y="984263"/>
                </a:lnTo>
                <a:lnTo>
                  <a:pt x="480320" y="985679"/>
                </a:lnTo>
                <a:lnTo>
                  <a:pt x="481001" y="987094"/>
                </a:lnTo>
                <a:lnTo>
                  <a:pt x="481682" y="988509"/>
                </a:lnTo>
                <a:lnTo>
                  <a:pt x="482364" y="989923"/>
                </a:lnTo>
                <a:lnTo>
                  <a:pt x="483045" y="991338"/>
                </a:lnTo>
                <a:lnTo>
                  <a:pt x="483726" y="992752"/>
                </a:lnTo>
                <a:lnTo>
                  <a:pt x="484408" y="994166"/>
                </a:lnTo>
                <a:lnTo>
                  <a:pt x="485089" y="995580"/>
                </a:lnTo>
                <a:lnTo>
                  <a:pt x="485770" y="996993"/>
                </a:lnTo>
                <a:lnTo>
                  <a:pt x="486452" y="998407"/>
                </a:lnTo>
                <a:lnTo>
                  <a:pt x="487133" y="999820"/>
                </a:lnTo>
                <a:lnTo>
                  <a:pt x="487814" y="1001233"/>
                </a:lnTo>
                <a:lnTo>
                  <a:pt x="488495" y="1002645"/>
                </a:lnTo>
                <a:lnTo>
                  <a:pt x="489177" y="1004057"/>
                </a:lnTo>
                <a:lnTo>
                  <a:pt x="489858" y="1005469"/>
                </a:lnTo>
                <a:lnTo>
                  <a:pt x="490539" y="1006881"/>
                </a:lnTo>
                <a:lnTo>
                  <a:pt x="491221" y="1008292"/>
                </a:lnTo>
                <a:lnTo>
                  <a:pt x="491902" y="1009704"/>
                </a:lnTo>
                <a:lnTo>
                  <a:pt x="492583" y="1011115"/>
                </a:lnTo>
                <a:lnTo>
                  <a:pt x="493265" y="1012525"/>
                </a:lnTo>
                <a:lnTo>
                  <a:pt x="493946" y="1013936"/>
                </a:lnTo>
                <a:lnTo>
                  <a:pt x="494627" y="1015346"/>
                </a:lnTo>
                <a:lnTo>
                  <a:pt x="495308" y="1016756"/>
                </a:lnTo>
                <a:lnTo>
                  <a:pt x="495990" y="1018165"/>
                </a:lnTo>
                <a:lnTo>
                  <a:pt x="496671" y="1019575"/>
                </a:lnTo>
                <a:lnTo>
                  <a:pt x="497352" y="1020984"/>
                </a:lnTo>
                <a:lnTo>
                  <a:pt x="498034" y="1022393"/>
                </a:lnTo>
                <a:lnTo>
                  <a:pt x="498715" y="1023801"/>
                </a:lnTo>
                <a:lnTo>
                  <a:pt x="499396" y="1025210"/>
                </a:lnTo>
                <a:lnTo>
                  <a:pt x="500078" y="1026618"/>
                </a:lnTo>
                <a:lnTo>
                  <a:pt x="500759" y="1028025"/>
                </a:lnTo>
                <a:lnTo>
                  <a:pt x="501440" y="1029433"/>
                </a:lnTo>
                <a:lnTo>
                  <a:pt x="502122" y="1030840"/>
                </a:lnTo>
                <a:lnTo>
                  <a:pt x="502803" y="1032247"/>
                </a:lnTo>
                <a:lnTo>
                  <a:pt x="503484" y="1033653"/>
                </a:lnTo>
                <a:lnTo>
                  <a:pt x="504165" y="1035060"/>
                </a:lnTo>
                <a:lnTo>
                  <a:pt x="504847" y="1036466"/>
                </a:lnTo>
                <a:lnTo>
                  <a:pt x="505528" y="1037872"/>
                </a:lnTo>
                <a:lnTo>
                  <a:pt x="506209" y="1039277"/>
                </a:lnTo>
                <a:lnTo>
                  <a:pt x="506891" y="1040682"/>
                </a:lnTo>
                <a:lnTo>
                  <a:pt x="507572" y="1042087"/>
                </a:lnTo>
                <a:lnTo>
                  <a:pt x="508253" y="1043492"/>
                </a:lnTo>
                <a:lnTo>
                  <a:pt x="508935" y="1044896"/>
                </a:lnTo>
                <a:lnTo>
                  <a:pt x="509616" y="1046301"/>
                </a:lnTo>
                <a:lnTo>
                  <a:pt x="510297" y="1047704"/>
                </a:lnTo>
                <a:lnTo>
                  <a:pt x="510979" y="1049108"/>
                </a:lnTo>
                <a:lnTo>
                  <a:pt x="511660" y="1050511"/>
                </a:lnTo>
                <a:lnTo>
                  <a:pt x="512341" y="1051914"/>
                </a:lnTo>
                <a:lnTo>
                  <a:pt x="513022" y="1053317"/>
                </a:lnTo>
                <a:lnTo>
                  <a:pt x="513704" y="1054719"/>
                </a:lnTo>
                <a:lnTo>
                  <a:pt x="514385" y="1056121"/>
                </a:lnTo>
                <a:lnTo>
                  <a:pt x="515066" y="1057523"/>
                </a:lnTo>
                <a:lnTo>
                  <a:pt x="515748" y="1058924"/>
                </a:lnTo>
                <a:lnTo>
                  <a:pt x="516429" y="1060326"/>
                </a:lnTo>
                <a:lnTo>
                  <a:pt x="517110" y="1061726"/>
                </a:lnTo>
                <a:lnTo>
                  <a:pt x="517792" y="1063127"/>
                </a:lnTo>
                <a:lnTo>
                  <a:pt x="518473" y="1064527"/>
                </a:lnTo>
                <a:lnTo>
                  <a:pt x="519154" y="1065927"/>
                </a:lnTo>
                <a:lnTo>
                  <a:pt x="519835" y="1067327"/>
                </a:lnTo>
                <a:lnTo>
                  <a:pt x="520517" y="1068726"/>
                </a:lnTo>
                <a:lnTo>
                  <a:pt x="521198" y="1070125"/>
                </a:lnTo>
                <a:lnTo>
                  <a:pt x="521879" y="1071524"/>
                </a:lnTo>
                <a:lnTo>
                  <a:pt x="522561" y="1072923"/>
                </a:lnTo>
                <a:lnTo>
                  <a:pt x="523242" y="1074321"/>
                </a:lnTo>
                <a:lnTo>
                  <a:pt x="523923" y="1075719"/>
                </a:lnTo>
                <a:lnTo>
                  <a:pt x="524605" y="1077116"/>
                </a:lnTo>
                <a:lnTo>
                  <a:pt x="525286" y="1078513"/>
                </a:lnTo>
                <a:lnTo>
                  <a:pt x="525967" y="1079910"/>
                </a:lnTo>
                <a:lnTo>
                  <a:pt x="526649" y="1081307"/>
                </a:lnTo>
                <a:lnTo>
                  <a:pt x="527330" y="1082703"/>
                </a:lnTo>
                <a:lnTo>
                  <a:pt x="528011" y="1084099"/>
                </a:lnTo>
                <a:lnTo>
                  <a:pt x="528692" y="1085495"/>
                </a:lnTo>
                <a:lnTo>
                  <a:pt x="529374" y="1086890"/>
                </a:lnTo>
                <a:lnTo>
                  <a:pt x="530055" y="1088285"/>
                </a:lnTo>
                <a:lnTo>
                  <a:pt x="530736" y="1089680"/>
                </a:lnTo>
                <a:lnTo>
                  <a:pt x="531418" y="1091074"/>
                </a:lnTo>
                <a:lnTo>
                  <a:pt x="532099" y="1092468"/>
                </a:lnTo>
                <a:lnTo>
                  <a:pt x="532780" y="1093862"/>
                </a:lnTo>
                <a:lnTo>
                  <a:pt x="533462" y="1095256"/>
                </a:lnTo>
                <a:lnTo>
                  <a:pt x="534143" y="1096649"/>
                </a:lnTo>
                <a:lnTo>
                  <a:pt x="534824" y="1098041"/>
                </a:lnTo>
                <a:lnTo>
                  <a:pt x="535506" y="1099434"/>
                </a:lnTo>
                <a:lnTo>
                  <a:pt x="536187" y="1100826"/>
                </a:lnTo>
                <a:lnTo>
                  <a:pt x="536868" y="1102218"/>
                </a:lnTo>
                <a:lnTo>
                  <a:pt x="537549" y="1103609"/>
                </a:lnTo>
                <a:lnTo>
                  <a:pt x="538231" y="1105000"/>
                </a:lnTo>
                <a:lnTo>
                  <a:pt x="538912" y="1106391"/>
                </a:lnTo>
                <a:lnTo>
                  <a:pt x="539593" y="1107782"/>
                </a:lnTo>
                <a:lnTo>
                  <a:pt x="540275" y="1109172"/>
                </a:lnTo>
                <a:lnTo>
                  <a:pt x="540956" y="1110562"/>
                </a:lnTo>
                <a:lnTo>
                  <a:pt x="541637" y="1111951"/>
                </a:lnTo>
                <a:lnTo>
                  <a:pt x="542319" y="1113340"/>
                </a:lnTo>
                <a:lnTo>
                  <a:pt x="543000" y="1114729"/>
                </a:lnTo>
                <a:lnTo>
                  <a:pt x="543681" y="1116118"/>
                </a:lnTo>
                <a:lnTo>
                  <a:pt x="544362" y="1117506"/>
                </a:lnTo>
                <a:lnTo>
                  <a:pt x="545044" y="1118894"/>
                </a:lnTo>
                <a:lnTo>
                  <a:pt x="545725" y="1120281"/>
                </a:lnTo>
                <a:lnTo>
                  <a:pt x="546406" y="1121668"/>
                </a:lnTo>
                <a:lnTo>
                  <a:pt x="547088" y="1123055"/>
                </a:lnTo>
                <a:lnTo>
                  <a:pt x="547769" y="1124442"/>
                </a:lnTo>
                <a:lnTo>
                  <a:pt x="548450" y="1125828"/>
                </a:lnTo>
                <a:lnTo>
                  <a:pt x="549132" y="1127213"/>
                </a:lnTo>
                <a:lnTo>
                  <a:pt x="549813" y="1128599"/>
                </a:lnTo>
                <a:lnTo>
                  <a:pt x="550494" y="1129984"/>
                </a:lnTo>
                <a:lnTo>
                  <a:pt x="551176" y="1131369"/>
                </a:lnTo>
                <a:lnTo>
                  <a:pt x="551857" y="1132753"/>
                </a:lnTo>
                <a:lnTo>
                  <a:pt x="552538" y="1134137"/>
                </a:lnTo>
                <a:lnTo>
                  <a:pt x="553219" y="1135521"/>
                </a:lnTo>
                <a:lnTo>
                  <a:pt x="553901" y="1136904"/>
                </a:lnTo>
                <a:lnTo>
                  <a:pt x="554582" y="1138287"/>
                </a:lnTo>
                <a:lnTo>
                  <a:pt x="555263" y="1139670"/>
                </a:lnTo>
                <a:lnTo>
                  <a:pt x="555945" y="1141052"/>
                </a:lnTo>
                <a:lnTo>
                  <a:pt x="556626" y="1142434"/>
                </a:lnTo>
                <a:lnTo>
                  <a:pt x="557307" y="1143815"/>
                </a:lnTo>
                <a:lnTo>
                  <a:pt x="557989" y="1145197"/>
                </a:lnTo>
                <a:lnTo>
                  <a:pt x="558670" y="1146577"/>
                </a:lnTo>
                <a:lnTo>
                  <a:pt x="559351" y="1147958"/>
                </a:lnTo>
                <a:lnTo>
                  <a:pt x="560032" y="1149338"/>
                </a:lnTo>
                <a:lnTo>
                  <a:pt x="560714" y="1150718"/>
                </a:lnTo>
                <a:lnTo>
                  <a:pt x="561395" y="1152097"/>
                </a:lnTo>
                <a:lnTo>
                  <a:pt x="562076" y="1153476"/>
                </a:lnTo>
                <a:lnTo>
                  <a:pt x="562758" y="1154855"/>
                </a:lnTo>
                <a:lnTo>
                  <a:pt x="563439" y="1156233"/>
                </a:lnTo>
                <a:lnTo>
                  <a:pt x="564120" y="1157611"/>
                </a:lnTo>
                <a:lnTo>
                  <a:pt x="564802" y="1158989"/>
                </a:lnTo>
                <a:lnTo>
                  <a:pt x="565483" y="1160366"/>
                </a:lnTo>
                <a:lnTo>
                  <a:pt x="566164" y="1161743"/>
                </a:lnTo>
                <a:lnTo>
                  <a:pt x="566846" y="1163119"/>
                </a:lnTo>
                <a:lnTo>
                  <a:pt x="567527" y="1164496"/>
                </a:lnTo>
                <a:lnTo>
                  <a:pt x="568208" y="1165871"/>
                </a:lnTo>
                <a:lnTo>
                  <a:pt x="568889" y="1167247"/>
                </a:lnTo>
                <a:lnTo>
                  <a:pt x="569571" y="1168622"/>
                </a:lnTo>
                <a:lnTo>
                  <a:pt x="570252" y="1169996"/>
                </a:lnTo>
                <a:lnTo>
                  <a:pt x="570933" y="1171371"/>
                </a:lnTo>
                <a:lnTo>
                  <a:pt x="571615" y="1172744"/>
                </a:lnTo>
                <a:lnTo>
                  <a:pt x="572296" y="1174118"/>
                </a:lnTo>
                <a:lnTo>
                  <a:pt x="572977" y="1175491"/>
                </a:lnTo>
                <a:lnTo>
                  <a:pt x="573659" y="1176864"/>
                </a:lnTo>
                <a:lnTo>
                  <a:pt x="574340" y="1178236"/>
                </a:lnTo>
                <a:lnTo>
                  <a:pt x="575021" y="1179608"/>
                </a:lnTo>
                <a:lnTo>
                  <a:pt x="575703" y="1180980"/>
                </a:lnTo>
                <a:lnTo>
                  <a:pt x="576384" y="1182351"/>
                </a:lnTo>
                <a:lnTo>
                  <a:pt x="577065" y="1183722"/>
                </a:lnTo>
                <a:lnTo>
                  <a:pt x="577746" y="1185092"/>
                </a:lnTo>
                <a:lnTo>
                  <a:pt x="578428" y="1186462"/>
                </a:lnTo>
                <a:lnTo>
                  <a:pt x="579109" y="1187832"/>
                </a:lnTo>
                <a:lnTo>
                  <a:pt x="579790" y="1189201"/>
                </a:lnTo>
                <a:lnTo>
                  <a:pt x="580472" y="1190570"/>
                </a:lnTo>
                <a:lnTo>
                  <a:pt x="581153" y="1191939"/>
                </a:lnTo>
                <a:lnTo>
                  <a:pt x="581834" y="1193307"/>
                </a:lnTo>
                <a:lnTo>
                  <a:pt x="582516" y="1194675"/>
                </a:lnTo>
                <a:lnTo>
                  <a:pt x="583197" y="1196042"/>
                </a:lnTo>
                <a:lnTo>
                  <a:pt x="583878" y="1197409"/>
                </a:lnTo>
                <a:lnTo>
                  <a:pt x="584559" y="1198776"/>
                </a:lnTo>
                <a:lnTo>
                  <a:pt x="585241" y="1200142"/>
                </a:lnTo>
                <a:lnTo>
                  <a:pt x="585922" y="1201508"/>
                </a:lnTo>
                <a:lnTo>
                  <a:pt x="586603" y="1202873"/>
                </a:lnTo>
                <a:lnTo>
                  <a:pt x="587285" y="1204238"/>
                </a:lnTo>
                <a:lnTo>
                  <a:pt x="587966" y="1205603"/>
                </a:lnTo>
                <a:lnTo>
                  <a:pt x="588647" y="1206967"/>
                </a:lnTo>
                <a:lnTo>
                  <a:pt x="589329" y="1208331"/>
                </a:lnTo>
                <a:lnTo>
                  <a:pt x="590010" y="1209694"/>
                </a:lnTo>
                <a:lnTo>
                  <a:pt x="590691" y="1211057"/>
                </a:lnTo>
                <a:lnTo>
                  <a:pt x="591373" y="1212420"/>
                </a:lnTo>
                <a:lnTo>
                  <a:pt x="592054" y="1213782"/>
                </a:lnTo>
                <a:lnTo>
                  <a:pt x="592735" y="1215144"/>
                </a:lnTo>
                <a:lnTo>
                  <a:pt x="593416" y="1216505"/>
                </a:lnTo>
                <a:lnTo>
                  <a:pt x="594098" y="1217866"/>
                </a:lnTo>
                <a:lnTo>
                  <a:pt x="594779" y="1219227"/>
                </a:lnTo>
                <a:lnTo>
                  <a:pt x="595460" y="1220587"/>
                </a:lnTo>
                <a:lnTo>
                  <a:pt x="596142" y="1221947"/>
                </a:lnTo>
                <a:lnTo>
                  <a:pt x="596823" y="1223306"/>
                </a:lnTo>
                <a:lnTo>
                  <a:pt x="597504" y="1224665"/>
                </a:lnTo>
                <a:lnTo>
                  <a:pt x="598186" y="1226024"/>
                </a:lnTo>
                <a:lnTo>
                  <a:pt x="598867" y="1227382"/>
                </a:lnTo>
                <a:lnTo>
                  <a:pt x="599548" y="1228740"/>
                </a:lnTo>
                <a:lnTo>
                  <a:pt x="600230" y="1230097"/>
                </a:lnTo>
                <a:lnTo>
                  <a:pt x="600911" y="1231454"/>
                </a:lnTo>
                <a:lnTo>
                  <a:pt x="601592" y="1232810"/>
                </a:lnTo>
                <a:lnTo>
                  <a:pt x="602273" y="1234167"/>
                </a:lnTo>
                <a:lnTo>
                  <a:pt x="602955" y="1235522"/>
                </a:lnTo>
                <a:lnTo>
                  <a:pt x="603636" y="1236877"/>
                </a:lnTo>
                <a:lnTo>
                  <a:pt x="604317" y="1238232"/>
                </a:lnTo>
                <a:lnTo>
                  <a:pt x="604999" y="1239587"/>
                </a:lnTo>
                <a:lnTo>
                  <a:pt x="605680" y="1240941"/>
                </a:lnTo>
                <a:lnTo>
                  <a:pt x="606361" y="1242294"/>
                </a:lnTo>
                <a:lnTo>
                  <a:pt x="607043" y="1243647"/>
                </a:lnTo>
                <a:lnTo>
                  <a:pt x="607724" y="1245000"/>
                </a:lnTo>
                <a:lnTo>
                  <a:pt x="608405" y="1246353"/>
                </a:lnTo>
                <a:lnTo>
                  <a:pt x="609086" y="1247704"/>
                </a:lnTo>
                <a:lnTo>
                  <a:pt x="609768" y="1249056"/>
                </a:lnTo>
                <a:lnTo>
                  <a:pt x="610449" y="1250407"/>
                </a:lnTo>
                <a:lnTo>
                  <a:pt x="611130" y="1251758"/>
                </a:lnTo>
                <a:lnTo>
                  <a:pt x="611812" y="1253108"/>
                </a:lnTo>
                <a:lnTo>
                  <a:pt x="612493" y="1254458"/>
                </a:lnTo>
                <a:lnTo>
                  <a:pt x="613174" y="1255807"/>
                </a:lnTo>
                <a:lnTo>
                  <a:pt x="613856" y="1257156"/>
                </a:lnTo>
                <a:lnTo>
                  <a:pt x="614537" y="1258504"/>
                </a:lnTo>
                <a:lnTo>
                  <a:pt x="615218" y="1259852"/>
                </a:lnTo>
                <a:lnTo>
                  <a:pt x="615900" y="1261200"/>
                </a:lnTo>
                <a:lnTo>
                  <a:pt x="616581" y="1262547"/>
                </a:lnTo>
                <a:lnTo>
                  <a:pt x="617262" y="1263894"/>
                </a:lnTo>
                <a:lnTo>
                  <a:pt x="617943" y="1265240"/>
                </a:lnTo>
                <a:lnTo>
                  <a:pt x="618625" y="1266586"/>
                </a:lnTo>
                <a:lnTo>
                  <a:pt x="619306" y="1267931"/>
                </a:lnTo>
                <a:lnTo>
                  <a:pt x="619987" y="1269276"/>
                </a:lnTo>
                <a:lnTo>
                  <a:pt x="620669" y="1270621"/>
                </a:lnTo>
                <a:lnTo>
                  <a:pt x="621350" y="1271965"/>
                </a:lnTo>
                <a:lnTo>
                  <a:pt x="622031" y="1273309"/>
                </a:lnTo>
                <a:lnTo>
                  <a:pt x="622713" y="1274652"/>
                </a:lnTo>
                <a:lnTo>
                  <a:pt x="623394" y="1275995"/>
                </a:lnTo>
                <a:lnTo>
                  <a:pt x="624075" y="1277337"/>
                </a:lnTo>
                <a:lnTo>
                  <a:pt x="624757" y="1278679"/>
                </a:lnTo>
                <a:lnTo>
                  <a:pt x="625438" y="1280021"/>
                </a:lnTo>
                <a:lnTo>
                  <a:pt x="626119" y="1281362"/>
                </a:lnTo>
                <a:lnTo>
                  <a:pt x="626800" y="1282702"/>
                </a:lnTo>
                <a:lnTo>
                  <a:pt x="627482" y="1284042"/>
                </a:lnTo>
                <a:lnTo>
                  <a:pt x="628163" y="1285382"/>
                </a:lnTo>
                <a:lnTo>
                  <a:pt x="628844" y="1286721"/>
                </a:lnTo>
                <a:lnTo>
                  <a:pt x="629526" y="1288060"/>
                </a:lnTo>
                <a:lnTo>
                  <a:pt x="630207" y="1289399"/>
                </a:lnTo>
                <a:lnTo>
                  <a:pt x="630888" y="1290736"/>
                </a:lnTo>
                <a:lnTo>
                  <a:pt x="631570" y="1292074"/>
                </a:lnTo>
                <a:lnTo>
                  <a:pt x="632251" y="1293411"/>
                </a:lnTo>
                <a:lnTo>
                  <a:pt x="632932" y="1294747"/>
                </a:lnTo>
                <a:lnTo>
                  <a:pt x="633613" y="1296084"/>
                </a:lnTo>
                <a:lnTo>
                  <a:pt x="634295" y="1297419"/>
                </a:lnTo>
                <a:lnTo>
                  <a:pt x="634976" y="1298754"/>
                </a:lnTo>
                <a:lnTo>
                  <a:pt x="635657" y="1300089"/>
                </a:lnTo>
                <a:lnTo>
                  <a:pt x="636339" y="1301423"/>
                </a:lnTo>
                <a:lnTo>
                  <a:pt x="637020" y="1302757"/>
                </a:lnTo>
                <a:lnTo>
                  <a:pt x="637701" y="1304091"/>
                </a:lnTo>
                <a:lnTo>
                  <a:pt x="638383" y="1305424"/>
                </a:lnTo>
                <a:lnTo>
                  <a:pt x="639064" y="1306756"/>
                </a:lnTo>
                <a:lnTo>
                  <a:pt x="639745" y="1308088"/>
                </a:lnTo>
                <a:lnTo>
                  <a:pt x="640427" y="1309419"/>
                </a:lnTo>
                <a:lnTo>
                  <a:pt x="641108" y="1310751"/>
                </a:lnTo>
                <a:lnTo>
                  <a:pt x="641789" y="1312081"/>
                </a:lnTo>
                <a:lnTo>
                  <a:pt x="642470" y="1313411"/>
                </a:lnTo>
                <a:lnTo>
                  <a:pt x="643152" y="1314741"/>
                </a:lnTo>
                <a:lnTo>
                  <a:pt x="643833" y="1316070"/>
                </a:lnTo>
                <a:lnTo>
                  <a:pt x="644514" y="1317399"/>
                </a:lnTo>
                <a:lnTo>
                  <a:pt x="645196" y="1318727"/>
                </a:lnTo>
                <a:lnTo>
                  <a:pt x="645877" y="1320055"/>
                </a:lnTo>
                <a:lnTo>
                  <a:pt x="646558" y="1321382"/>
                </a:lnTo>
                <a:lnTo>
                  <a:pt x="647240" y="1322709"/>
                </a:lnTo>
                <a:lnTo>
                  <a:pt x="647921" y="1324036"/>
                </a:lnTo>
                <a:lnTo>
                  <a:pt x="648602" y="1325362"/>
                </a:lnTo>
                <a:lnTo>
                  <a:pt x="649283" y="1326687"/>
                </a:lnTo>
                <a:lnTo>
                  <a:pt x="649965" y="1328012"/>
                </a:lnTo>
                <a:lnTo>
                  <a:pt x="650646" y="1329337"/>
                </a:lnTo>
                <a:lnTo>
                  <a:pt x="651327" y="1330661"/>
                </a:lnTo>
                <a:lnTo>
                  <a:pt x="652009" y="1331984"/>
                </a:lnTo>
                <a:lnTo>
                  <a:pt x="652690" y="1333307"/>
                </a:lnTo>
                <a:lnTo>
                  <a:pt x="653371" y="1334630"/>
                </a:lnTo>
                <a:lnTo>
                  <a:pt x="654053" y="1335952"/>
                </a:lnTo>
                <a:lnTo>
                  <a:pt x="654734" y="1337274"/>
                </a:lnTo>
                <a:lnTo>
                  <a:pt x="655415" y="1338595"/>
                </a:lnTo>
                <a:lnTo>
                  <a:pt x="656097" y="1339916"/>
                </a:lnTo>
                <a:lnTo>
                  <a:pt x="656778" y="1341236"/>
                </a:lnTo>
                <a:lnTo>
                  <a:pt x="657459" y="1342556"/>
                </a:lnTo>
                <a:lnTo>
                  <a:pt x="658140" y="1343875"/>
                </a:lnTo>
                <a:lnTo>
                  <a:pt x="658822" y="1345194"/>
                </a:lnTo>
                <a:lnTo>
                  <a:pt x="659503" y="1346512"/>
                </a:lnTo>
                <a:lnTo>
                  <a:pt x="660184" y="1347830"/>
                </a:lnTo>
                <a:lnTo>
                  <a:pt x="660866" y="1349147"/>
                </a:lnTo>
                <a:lnTo>
                  <a:pt x="661547" y="1350464"/>
                </a:lnTo>
                <a:lnTo>
                  <a:pt x="662228" y="1351780"/>
                </a:lnTo>
                <a:lnTo>
                  <a:pt x="662910" y="1353096"/>
                </a:lnTo>
                <a:lnTo>
                  <a:pt x="663591" y="1354412"/>
                </a:lnTo>
                <a:lnTo>
                  <a:pt x="664272" y="1355727"/>
                </a:lnTo>
                <a:lnTo>
                  <a:pt x="664954" y="1357041"/>
                </a:lnTo>
                <a:lnTo>
                  <a:pt x="665635" y="1358355"/>
                </a:lnTo>
                <a:lnTo>
                  <a:pt x="666316" y="1359668"/>
                </a:lnTo>
                <a:lnTo>
                  <a:pt x="666997" y="1360981"/>
                </a:lnTo>
                <a:lnTo>
                  <a:pt x="667679" y="1362294"/>
                </a:lnTo>
                <a:lnTo>
                  <a:pt x="668360" y="1363606"/>
                </a:lnTo>
                <a:lnTo>
                  <a:pt x="669041" y="1364917"/>
                </a:lnTo>
                <a:lnTo>
                  <a:pt x="669723" y="1366228"/>
                </a:lnTo>
                <a:lnTo>
                  <a:pt x="670404" y="1367539"/>
                </a:lnTo>
                <a:lnTo>
                  <a:pt x="671085" y="1368849"/>
                </a:lnTo>
                <a:lnTo>
                  <a:pt x="671767" y="1370158"/>
                </a:lnTo>
                <a:lnTo>
                  <a:pt x="672448" y="1371467"/>
                </a:lnTo>
                <a:lnTo>
                  <a:pt x="673129" y="1372776"/>
                </a:lnTo>
                <a:lnTo>
                  <a:pt x="673810" y="1374084"/>
                </a:lnTo>
                <a:lnTo>
                  <a:pt x="674492" y="1375391"/>
                </a:lnTo>
                <a:lnTo>
                  <a:pt x="675173" y="1376698"/>
                </a:lnTo>
                <a:lnTo>
                  <a:pt x="675854" y="1378005"/>
                </a:lnTo>
                <a:lnTo>
                  <a:pt x="676536" y="1379311"/>
                </a:lnTo>
                <a:lnTo>
                  <a:pt x="677217" y="1380616"/>
                </a:lnTo>
                <a:lnTo>
                  <a:pt x="677898" y="1381921"/>
                </a:lnTo>
                <a:lnTo>
                  <a:pt x="678580" y="1383226"/>
                </a:lnTo>
                <a:lnTo>
                  <a:pt x="679261" y="1384530"/>
                </a:lnTo>
                <a:lnTo>
                  <a:pt x="679942" y="1385833"/>
                </a:lnTo>
                <a:lnTo>
                  <a:pt x="680624" y="1387136"/>
                </a:lnTo>
                <a:lnTo>
                  <a:pt x="681305" y="1388439"/>
                </a:lnTo>
                <a:lnTo>
                  <a:pt x="681305" y="2853448"/>
                </a:lnTo>
                <a:close/>
              </a:path>
            </a:pathLst>
          </a:custGeom>
          <a:solidFill>
            <a:srgbClr val="999999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8" name="pg129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7303016" y="3333014"/>
            <a:ext cx="424731" cy="893629"/>
          </a:xfrm>
          <a:custGeom>
            <a:avLst/>
            <a:gdLst/>
            <a:ahLst/>
            <a:cxnLst/>
            <a:rect l="0" t="0" r="0" b="0"/>
            <a:pathLst>
              <a:path w="681305" h="1465009">
                <a:moveTo>
                  <a:pt x="0" y="1465009"/>
                </a:moveTo>
                <a:lnTo>
                  <a:pt x="0" y="0"/>
                </a:lnTo>
                <a:lnTo>
                  <a:pt x="681" y="1301"/>
                </a:lnTo>
                <a:lnTo>
                  <a:pt x="1362" y="2603"/>
                </a:lnTo>
                <a:lnTo>
                  <a:pt x="2043" y="3904"/>
                </a:lnTo>
                <a:lnTo>
                  <a:pt x="2725" y="5204"/>
                </a:lnTo>
                <a:lnTo>
                  <a:pt x="3406" y="6504"/>
                </a:lnTo>
                <a:lnTo>
                  <a:pt x="4087" y="7804"/>
                </a:lnTo>
                <a:lnTo>
                  <a:pt x="4769" y="9103"/>
                </a:lnTo>
                <a:lnTo>
                  <a:pt x="5450" y="10401"/>
                </a:lnTo>
                <a:lnTo>
                  <a:pt x="6131" y="11699"/>
                </a:lnTo>
                <a:lnTo>
                  <a:pt x="6813" y="12996"/>
                </a:lnTo>
                <a:lnTo>
                  <a:pt x="7494" y="14293"/>
                </a:lnTo>
                <a:lnTo>
                  <a:pt x="8175" y="15590"/>
                </a:lnTo>
                <a:lnTo>
                  <a:pt x="8856" y="16885"/>
                </a:lnTo>
                <a:lnTo>
                  <a:pt x="9538" y="18181"/>
                </a:lnTo>
                <a:lnTo>
                  <a:pt x="10219" y="19476"/>
                </a:lnTo>
                <a:lnTo>
                  <a:pt x="10900" y="20770"/>
                </a:lnTo>
                <a:lnTo>
                  <a:pt x="11582" y="22064"/>
                </a:lnTo>
                <a:lnTo>
                  <a:pt x="12263" y="23357"/>
                </a:lnTo>
                <a:lnTo>
                  <a:pt x="12944" y="24650"/>
                </a:lnTo>
                <a:lnTo>
                  <a:pt x="13626" y="25942"/>
                </a:lnTo>
                <a:lnTo>
                  <a:pt x="14307" y="27234"/>
                </a:lnTo>
                <a:lnTo>
                  <a:pt x="14988" y="28525"/>
                </a:lnTo>
                <a:lnTo>
                  <a:pt x="15670" y="29815"/>
                </a:lnTo>
                <a:lnTo>
                  <a:pt x="16351" y="31106"/>
                </a:lnTo>
                <a:lnTo>
                  <a:pt x="17032" y="32395"/>
                </a:lnTo>
                <a:lnTo>
                  <a:pt x="17713" y="33684"/>
                </a:lnTo>
                <a:lnTo>
                  <a:pt x="18395" y="34973"/>
                </a:lnTo>
                <a:lnTo>
                  <a:pt x="19076" y="36261"/>
                </a:lnTo>
                <a:lnTo>
                  <a:pt x="19757" y="37548"/>
                </a:lnTo>
                <a:lnTo>
                  <a:pt x="20439" y="38835"/>
                </a:lnTo>
                <a:lnTo>
                  <a:pt x="21120" y="40122"/>
                </a:lnTo>
                <a:lnTo>
                  <a:pt x="21801" y="41408"/>
                </a:lnTo>
                <a:lnTo>
                  <a:pt x="22483" y="42693"/>
                </a:lnTo>
                <a:lnTo>
                  <a:pt x="23164" y="43978"/>
                </a:lnTo>
                <a:lnTo>
                  <a:pt x="23845" y="45262"/>
                </a:lnTo>
                <a:lnTo>
                  <a:pt x="24526" y="46546"/>
                </a:lnTo>
                <a:lnTo>
                  <a:pt x="25208" y="47830"/>
                </a:lnTo>
                <a:lnTo>
                  <a:pt x="25889" y="49112"/>
                </a:lnTo>
                <a:lnTo>
                  <a:pt x="26570" y="50394"/>
                </a:lnTo>
                <a:lnTo>
                  <a:pt x="27252" y="51676"/>
                </a:lnTo>
                <a:lnTo>
                  <a:pt x="27933" y="52957"/>
                </a:lnTo>
                <a:lnTo>
                  <a:pt x="28614" y="54238"/>
                </a:lnTo>
                <a:lnTo>
                  <a:pt x="29296" y="55518"/>
                </a:lnTo>
                <a:lnTo>
                  <a:pt x="29977" y="56798"/>
                </a:lnTo>
                <a:lnTo>
                  <a:pt x="30658" y="58077"/>
                </a:lnTo>
                <a:lnTo>
                  <a:pt x="31340" y="59355"/>
                </a:lnTo>
                <a:lnTo>
                  <a:pt x="32021" y="60633"/>
                </a:lnTo>
                <a:lnTo>
                  <a:pt x="32702" y="61910"/>
                </a:lnTo>
                <a:lnTo>
                  <a:pt x="33383" y="63187"/>
                </a:lnTo>
                <a:lnTo>
                  <a:pt x="34065" y="64464"/>
                </a:lnTo>
                <a:lnTo>
                  <a:pt x="34746" y="65739"/>
                </a:lnTo>
                <a:lnTo>
                  <a:pt x="35427" y="67015"/>
                </a:lnTo>
                <a:lnTo>
                  <a:pt x="36109" y="68289"/>
                </a:lnTo>
                <a:lnTo>
                  <a:pt x="36790" y="69563"/>
                </a:lnTo>
                <a:lnTo>
                  <a:pt x="37471" y="70837"/>
                </a:lnTo>
                <a:lnTo>
                  <a:pt x="38153" y="72110"/>
                </a:lnTo>
                <a:lnTo>
                  <a:pt x="38834" y="73383"/>
                </a:lnTo>
                <a:lnTo>
                  <a:pt x="39515" y="74655"/>
                </a:lnTo>
                <a:lnTo>
                  <a:pt x="40197" y="75926"/>
                </a:lnTo>
                <a:lnTo>
                  <a:pt x="40878" y="77197"/>
                </a:lnTo>
                <a:lnTo>
                  <a:pt x="41559" y="78467"/>
                </a:lnTo>
                <a:lnTo>
                  <a:pt x="42240" y="79737"/>
                </a:lnTo>
                <a:lnTo>
                  <a:pt x="42922" y="81006"/>
                </a:lnTo>
                <a:lnTo>
                  <a:pt x="43603" y="82275"/>
                </a:lnTo>
                <a:lnTo>
                  <a:pt x="44284" y="83543"/>
                </a:lnTo>
                <a:lnTo>
                  <a:pt x="44966" y="84811"/>
                </a:lnTo>
                <a:lnTo>
                  <a:pt x="45647" y="86078"/>
                </a:lnTo>
                <a:lnTo>
                  <a:pt x="46328" y="87344"/>
                </a:lnTo>
                <a:lnTo>
                  <a:pt x="47010" y="88610"/>
                </a:lnTo>
                <a:lnTo>
                  <a:pt x="47691" y="89876"/>
                </a:lnTo>
                <a:lnTo>
                  <a:pt x="48372" y="91141"/>
                </a:lnTo>
                <a:lnTo>
                  <a:pt x="49053" y="92405"/>
                </a:lnTo>
                <a:lnTo>
                  <a:pt x="49735" y="93669"/>
                </a:lnTo>
                <a:lnTo>
                  <a:pt x="50416" y="94932"/>
                </a:lnTo>
                <a:lnTo>
                  <a:pt x="51097" y="96194"/>
                </a:lnTo>
                <a:lnTo>
                  <a:pt x="51779" y="97457"/>
                </a:lnTo>
                <a:lnTo>
                  <a:pt x="52460" y="98718"/>
                </a:lnTo>
                <a:lnTo>
                  <a:pt x="53141" y="99979"/>
                </a:lnTo>
                <a:lnTo>
                  <a:pt x="53823" y="101239"/>
                </a:lnTo>
                <a:lnTo>
                  <a:pt x="54504" y="102499"/>
                </a:lnTo>
                <a:lnTo>
                  <a:pt x="55185" y="103759"/>
                </a:lnTo>
                <a:lnTo>
                  <a:pt x="55867" y="105017"/>
                </a:lnTo>
                <a:lnTo>
                  <a:pt x="56548" y="106275"/>
                </a:lnTo>
                <a:lnTo>
                  <a:pt x="57229" y="107533"/>
                </a:lnTo>
                <a:lnTo>
                  <a:pt x="57910" y="108790"/>
                </a:lnTo>
                <a:lnTo>
                  <a:pt x="58592" y="110047"/>
                </a:lnTo>
                <a:lnTo>
                  <a:pt x="59273" y="111302"/>
                </a:lnTo>
                <a:lnTo>
                  <a:pt x="59954" y="112558"/>
                </a:lnTo>
                <a:lnTo>
                  <a:pt x="60636" y="113813"/>
                </a:lnTo>
                <a:lnTo>
                  <a:pt x="61317" y="115067"/>
                </a:lnTo>
                <a:lnTo>
                  <a:pt x="61998" y="116321"/>
                </a:lnTo>
                <a:lnTo>
                  <a:pt x="62680" y="117574"/>
                </a:lnTo>
                <a:lnTo>
                  <a:pt x="63361" y="118826"/>
                </a:lnTo>
                <a:lnTo>
                  <a:pt x="64042" y="120078"/>
                </a:lnTo>
                <a:lnTo>
                  <a:pt x="64724" y="121330"/>
                </a:lnTo>
                <a:lnTo>
                  <a:pt x="65405" y="122580"/>
                </a:lnTo>
                <a:lnTo>
                  <a:pt x="66086" y="123831"/>
                </a:lnTo>
                <a:lnTo>
                  <a:pt x="66767" y="125080"/>
                </a:lnTo>
                <a:lnTo>
                  <a:pt x="67449" y="126329"/>
                </a:lnTo>
                <a:lnTo>
                  <a:pt x="68130" y="127578"/>
                </a:lnTo>
                <a:lnTo>
                  <a:pt x="68811" y="128826"/>
                </a:lnTo>
                <a:lnTo>
                  <a:pt x="69493" y="130073"/>
                </a:lnTo>
                <a:lnTo>
                  <a:pt x="70174" y="131320"/>
                </a:lnTo>
                <a:lnTo>
                  <a:pt x="70855" y="132566"/>
                </a:lnTo>
                <a:lnTo>
                  <a:pt x="71537" y="133812"/>
                </a:lnTo>
                <a:lnTo>
                  <a:pt x="72218" y="135057"/>
                </a:lnTo>
                <a:lnTo>
                  <a:pt x="72899" y="136302"/>
                </a:lnTo>
                <a:lnTo>
                  <a:pt x="73580" y="137546"/>
                </a:lnTo>
                <a:lnTo>
                  <a:pt x="74262" y="138789"/>
                </a:lnTo>
                <a:lnTo>
                  <a:pt x="74943" y="140032"/>
                </a:lnTo>
                <a:lnTo>
                  <a:pt x="75624" y="141274"/>
                </a:lnTo>
                <a:lnTo>
                  <a:pt x="76306" y="142516"/>
                </a:lnTo>
                <a:lnTo>
                  <a:pt x="76987" y="143757"/>
                </a:lnTo>
                <a:lnTo>
                  <a:pt x="77668" y="144998"/>
                </a:lnTo>
                <a:lnTo>
                  <a:pt x="78350" y="146237"/>
                </a:lnTo>
                <a:lnTo>
                  <a:pt x="79031" y="147477"/>
                </a:lnTo>
                <a:lnTo>
                  <a:pt x="79712" y="148716"/>
                </a:lnTo>
                <a:lnTo>
                  <a:pt x="80394" y="149954"/>
                </a:lnTo>
                <a:lnTo>
                  <a:pt x="81075" y="151191"/>
                </a:lnTo>
                <a:lnTo>
                  <a:pt x="81756" y="152428"/>
                </a:lnTo>
                <a:lnTo>
                  <a:pt x="82437" y="153665"/>
                </a:lnTo>
                <a:lnTo>
                  <a:pt x="83119" y="154901"/>
                </a:lnTo>
                <a:lnTo>
                  <a:pt x="83800" y="156136"/>
                </a:lnTo>
                <a:lnTo>
                  <a:pt x="84481" y="157371"/>
                </a:lnTo>
                <a:lnTo>
                  <a:pt x="85163" y="158605"/>
                </a:lnTo>
                <a:lnTo>
                  <a:pt x="85844" y="159838"/>
                </a:lnTo>
                <a:lnTo>
                  <a:pt x="86525" y="161071"/>
                </a:lnTo>
                <a:lnTo>
                  <a:pt x="87207" y="162304"/>
                </a:lnTo>
                <a:lnTo>
                  <a:pt x="87888" y="163536"/>
                </a:lnTo>
                <a:lnTo>
                  <a:pt x="88569" y="164767"/>
                </a:lnTo>
                <a:lnTo>
                  <a:pt x="89251" y="165997"/>
                </a:lnTo>
                <a:lnTo>
                  <a:pt x="89932" y="167227"/>
                </a:lnTo>
                <a:lnTo>
                  <a:pt x="90613" y="168457"/>
                </a:lnTo>
                <a:lnTo>
                  <a:pt x="91294" y="169686"/>
                </a:lnTo>
                <a:lnTo>
                  <a:pt x="91976" y="170914"/>
                </a:lnTo>
                <a:lnTo>
                  <a:pt x="92657" y="172141"/>
                </a:lnTo>
                <a:lnTo>
                  <a:pt x="93338" y="173369"/>
                </a:lnTo>
                <a:lnTo>
                  <a:pt x="94020" y="174595"/>
                </a:lnTo>
                <a:lnTo>
                  <a:pt x="94701" y="175821"/>
                </a:lnTo>
                <a:lnTo>
                  <a:pt x="95382" y="177046"/>
                </a:lnTo>
                <a:lnTo>
                  <a:pt x="96064" y="178271"/>
                </a:lnTo>
                <a:lnTo>
                  <a:pt x="96745" y="179495"/>
                </a:lnTo>
                <a:lnTo>
                  <a:pt x="97426" y="180719"/>
                </a:lnTo>
                <a:lnTo>
                  <a:pt x="98107" y="181941"/>
                </a:lnTo>
                <a:lnTo>
                  <a:pt x="98789" y="183164"/>
                </a:lnTo>
                <a:lnTo>
                  <a:pt x="99470" y="184385"/>
                </a:lnTo>
                <a:lnTo>
                  <a:pt x="100151" y="185607"/>
                </a:lnTo>
                <a:lnTo>
                  <a:pt x="100833" y="186827"/>
                </a:lnTo>
                <a:lnTo>
                  <a:pt x="101514" y="188047"/>
                </a:lnTo>
                <a:lnTo>
                  <a:pt x="102195" y="189266"/>
                </a:lnTo>
                <a:lnTo>
                  <a:pt x="102877" y="190485"/>
                </a:lnTo>
                <a:lnTo>
                  <a:pt x="103558" y="191703"/>
                </a:lnTo>
                <a:lnTo>
                  <a:pt x="104239" y="192921"/>
                </a:lnTo>
                <a:lnTo>
                  <a:pt x="104921" y="194138"/>
                </a:lnTo>
                <a:lnTo>
                  <a:pt x="105602" y="195354"/>
                </a:lnTo>
                <a:lnTo>
                  <a:pt x="106283" y="196570"/>
                </a:lnTo>
                <a:lnTo>
                  <a:pt x="106964" y="197785"/>
                </a:lnTo>
                <a:lnTo>
                  <a:pt x="107646" y="199000"/>
                </a:lnTo>
                <a:lnTo>
                  <a:pt x="108327" y="200214"/>
                </a:lnTo>
                <a:lnTo>
                  <a:pt x="109008" y="201427"/>
                </a:lnTo>
                <a:lnTo>
                  <a:pt x="109690" y="202640"/>
                </a:lnTo>
                <a:lnTo>
                  <a:pt x="110371" y="203852"/>
                </a:lnTo>
                <a:lnTo>
                  <a:pt x="111052" y="205063"/>
                </a:lnTo>
                <a:lnTo>
                  <a:pt x="111734" y="206274"/>
                </a:lnTo>
                <a:lnTo>
                  <a:pt x="112415" y="207485"/>
                </a:lnTo>
                <a:lnTo>
                  <a:pt x="113096" y="208694"/>
                </a:lnTo>
                <a:lnTo>
                  <a:pt x="113777" y="209903"/>
                </a:lnTo>
                <a:lnTo>
                  <a:pt x="114459" y="211112"/>
                </a:lnTo>
                <a:lnTo>
                  <a:pt x="115140" y="212320"/>
                </a:lnTo>
                <a:lnTo>
                  <a:pt x="115821" y="213527"/>
                </a:lnTo>
                <a:lnTo>
                  <a:pt x="116503" y="214734"/>
                </a:lnTo>
                <a:lnTo>
                  <a:pt x="117184" y="215940"/>
                </a:lnTo>
                <a:lnTo>
                  <a:pt x="117865" y="217145"/>
                </a:lnTo>
                <a:lnTo>
                  <a:pt x="118547" y="218350"/>
                </a:lnTo>
                <a:lnTo>
                  <a:pt x="119228" y="219554"/>
                </a:lnTo>
                <a:lnTo>
                  <a:pt x="119909" y="220758"/>
                </a:lnTo>
                <a:lnTo>
                  <a:pt x="120591" y="221961"/>
                </a:lnTo>
                <a:lnTo>
                  <a:pt x="121272" y="223163"/>
                </a:lnTo>
                <a:lnTo>
                  <a:pt x="121953" y="224365"/>
                </a:lnTo>
                <a:lnTo>
                  <a:pt x="122634" y="225566"/>
                </a:lnTo>
                <a:lnTo>
                  <a:pt x="123316" y="226767"/>
                </a:lnTo>
                <a:lnTo>
                  <a:pt x="123997" y="227967"/>
                </a:lnTo>
                <a:lnTo>
                  <a:pt x="124678" y="229166"/>
                </a:lnTo>
                <a:lnTo>
                  <a:pt x="125360" y="230365"/>
                </a:lnTo>
                <a:lnTo>
                  <a:pt x="126041" y="231563"/>
                </a:lnTo>
                <a:lnTo>
                  <a:pt x="126722" y="232761"/>
                </a:lnTo>
                <a:lnTo>
                  <a:pt x="127404" y="233958"/>
                </a:lnTo>
                <a:lnTo>
                  <a:pt x="128085" y="235154"/>
                </a:lnTo>
                <a:lnTo>
                  <a:pt x="128766" y="236349"/>
                </a:lnTo>
                <a:lnTo>
                  <a:pt x="129448" y="237545"/>
                </a:lnTo>
                <a:lnTo>
                  <a:pt x="130129" y="238739"/>
                </a:lnTo>
                <a:lnTo>
                  <a:pt x="130810" y="239933"/>
                </a:lnTo>
                <a:lnTo>
                  <a:pt x="131491" y="241126"/>
                </a:lnTo>
                <a:lnTo>
                  <a:pt x="132173" y="242319"/>
                </a:lnTo>
                <a:lnTo>
                  <a:pt x="132854" y="243510"/>
                </a:lnTo>
                <a:lnTo>
                  <a:pt x="133535" y="244702"/>
                </a:lnTo>
                <a:lnTo>
                  <a:pt x="134217" y="245892"/>
                </a:lnTo>
                <a:lnTo>
                  <a:pt x="134898" y="247083"/>
                </a:lnTo>
                <a:lnTo>
                  <a:pt x="135579" y="248272"/>
                </a:lnTo>
                <a:lnTo>
                  <a:pt x="136261" y="249461"/>
                </a:lnTo>
                <a:lnTo>
                  <a:pt x="136942" y="250649"/>
                </a:lnTo>
                <a:lnTo>
                  <a:pt x="137623" y="251837"/>
                </a:lnTo>
                <a:lnTo>
                  <a:pt x="138304" y="253024"/>
                </a:lnTo>
                <a:lnTo>
                  <a:pt x="138986" y="254210"/>
                </a:lnTo>
                <a:lnTo>
                  <a:pt x="139667" y="255396"/>
                </a:lnTo>
                <a:lnTo>
                  <a:pt x="140348" y="256581"/>
                </a:lnTo>
                <a:lnTo>
                  <a:pt x="141030" y="257765"/>
                </a:lnTo>
                <a:lnTo>
                  <a:pt x="141711" y="258949"/>
                </a:lnTo>
                <a:lnTo>
                  <a:pt x="142392" y="260132"/>
                </a:lnTo>
                <a:lnTo>
                  <a:pt x="143074" y="261315"/>
                </a:lnTo>
                <a:lnTo>
                  <a:pt x="143755" y="262497"/>
                </a:lnTo>
                <a:lnTo>
                  <a:pt x="144436" y="263678"/>
                </a:lnTo>
                <a:lnTo>
                  <a:pt x="145118" y="264859"/>
                </a:lnTo>
                <a:lnTo>
                  <a:pt x="145799" y="266039"/>
                </a:lnTo>
                <a:lnTo>
                  <a:pt x="146480" y="267219"/>
                </a:lnTo>
                <a:lnTo>
                  <a:pt x="147161" y="268398"/>
                </a:lnTo>
                <a:lnTo>
                  <a:pt x="147843" y="269576"/>
                </a:lnTo>
                <a:lnTo>
                  <a:pt x="148524" y="270753"/>
                </a:lnTo>
                <a:lnTo>
                  <a:pt x="149205" y="271930"/>
                </a:lnTo>
                <a:lnTo>
                  <a:pt x="149887" y="273107"/>
                </a:lnTo>
                <a:lnTo>
                  <a:pt x="150568" y="274282"/>
                </a:lnTo>
                <a:lnTo>
                  <a:pt x="151249" y="275457"/>
                </a:lnTo>
                <a:lnTo>
                  <a:pt x="151931" y="276632"/>
                </a:lnTo>
                <a:lnTo>
                  <a:pt x="152612" y="277806"/>
                </a:lnTo>
                <a:lnTo>
                  <a:pt x="153293" y="278979"/>
                </a:lnTo>
                <a:lnTo>
                  <a:pt x="153975" y="280151"/>
                </a:lnTo>
                <a:lnTo>
                  <a:pt x="154656" y="281323"/>
                </a:lnTo>
                <a:lnTo>
                  <a:pt x="155337" y="282495"/>
                </a:lnTo>
                <a:lnTo>
                  <a:pt x="156018" y="283665"/>
                </a:lnTo>
                <a:lnTo>
                  <a:pt x="156700" y="284835"/>
                </a:lnTo>
                <a:lnTo>
                  <a:pt x="157381" y="286005"/>
                </a:lnTo>
                <a:lnTo>
                  <a:pt x="158062" y="287173"/>
                </a:lnTo>
                <a:lnTo>
                  <a:pt x="158744" y="288341"/>
                </a:lnTo>
                <a:lnTo>
                  <a:pt x="159425" y="289509"/>
                </a:lnTo>
                <a:lnTo>
                  <a:pt x="160106" y="290676"/>
                </a:lnTo>
                <a:lnTo>
                  <a:pt x="160788" y="291842"/>
                </a:lnTo>
                <a:lnTo>
                  <a:pt x="161469" y="293007"/>
                </a:lnTo>
                <a:lnTo>
                  <a:pt x="162150" y="294172"/>
                </a:lnTo>
                <a:lnTo>
                  <a:pt x="162831" y="295337"/>
                </a:lnTo>
                <a:lnTo>
                  <a:pt x="163513" y="296500"/>
                </a:lnTo>
                <a:lnTo>
                  <a:pt x="164194" y="297663"/>
                </a:lnTo>
                <a:lnTo>
                  <a:pt x="164875" y="298826"/>
                </a:lnTo>
                <a:lnTo>
                  <a:pt x="165557" y="299987"/>
                </a:lnTo>
                <a:lnTo>
                  <a:pt x="166238" y="301148"/>
                </a:lnTo>
                <a:lnTo>
                  <a:pt x="166919" y="302309"/>
                </a:lnTo>
                <a:lnTo>
                  <a:pt x="167601" y="303469"/>
                </a:lnTo>
                <a:lnTo>
                  <a:pt x="168282" y="304628"/>
                </a:lnTo>
                <a:lnTo>
                  <a:pt x="168963" y="305786"/>
                </a:lnTo>
                <a:lnTo>
                  <a:pt x="169645" y="306944"/>
                </a:lnTo>
                <a:lnTo>
                  <a:pt x="170326" y="308101"/>
                </a:lnTo>
                <a:lnTo>
                  <a:pt x="171007" y="309258"/>
                </a:lnTo>
                <a:lnTo>
                  <a:pt x="171688" y="310414"/>
                </a:lnTo>
                <a:lnTo>
                  <a:pt x="172370" y="311569"/>
                </a:lnTo>
                <a:lnTo>
                  <a:pt x="173051" y="312724"/>
                </a:lnTo>
                <a:lnTo>
                  <a:pt x="173732" y="313878"/>
                </a:lnTo>
                <a:lnTo>
                  <a:pt x="174414" y="315031"/>
                </a:lnTo>
                <a:lnTo>
                  <a:pt x="175095" y="316184"/>
                </a:lnTo>
                <a:lnTo>
                  <a:pt x="175776" y="317336"/>
                </a:lnTo>
                <a:lnTo>
                  <a:pt x="176458" y="318487"/>
                </a:lnTo>
                <a:lnTo>
                  <a:pt x="177139" y="319638"/>
                </a:lnTo>
                <a:lnTo>
                  <a:pt x="177820" y="320788"/>
                </a:lnTo>
                <a:lnTo>
                  <a:pt x="178502" y="321938"/>
                </a:lnTo>
                <a:lnTo>
                  <a:pt x="179183" y="323087"/>
                </a:lnTo>
                <a:lnTo>
                  <a:pt x="179864" y="324235"/>
                </a:lnTo>
                <a:lnTo>
                  <a:pt x="180545" y="325382"/>
                </a:lnTo>
                <a:lnTo>
                  <a:pt x="181227" y="326529"/>
                </a:lnTo>
                <a:lnTo>
                  <a:pt x="181908" y="327676"/>
                </a:lnTo>
                <a:lnTo>
                  <a:pt x="182589" y="328821"/>
                </a:lnTo>
                <a:lnTo>
                  <a:pt x="183271" y="329966"/>
                </a:lnTo>
                <a:lnTo>
                  <a:pt x="183952" y="331110"/>
                </a:lnTo>
                <a:lnTo>
                  <a:pt x="184633" y="332254"/>
                </a:lnTo>
                <a:lnTo>
                  <a:pt x="185315" y="333397"/>
                </a:lnTo>
                <a:lnTo>
                  <a:pt x="185996" y="334539"/>
                </a:lnTo>
                <a:lnTo>
                  <a:pt x="186677" y="335681"/>
                </a:lnTo>
                <a:lnTo>
                  <a:pt x="187358" y="336822"/>
                </a:lnTo>
                <a:lnTo>
                  <a:pt x="188040" y="337963"/>
                </a:lnTo>
                <a:lnTo>
                  <a:pt x="188721" y="339102"/>
                </a:lnTo>
                <a:lnTo>
                  <a:pt x="189402" y="340241"/>
                </a:lnTo>
                <a:lnTo>
                  <a:pt x="190084" y="341380"/>
                </a:lnTo>
                <a:lnTo>
                  <a:pt x="190765" y="342518"/>
                </a:lnTo>
                <a:lnTo>
                  <a:pt x="191446" y="343655"/>
                </a:lnTo>
                <a:lnTo>
                  <a:pt x="192128" y="344791"/>
                </a:lnTo>
                <a:lnTo>
                  <a:pt x="192809" y="345927"/>
                </a:lnTo>
                <a:lnTo>
                  <a:pt x="193490" y="347062"/>
                </a:lnTo>
                <a:lnTo>
                  <a:pt x="194172" y="348197"/>
                </a:lnTo>
                <a:lnTo>
                  <a:pt x="194853" y="349331"/>
                </a:lnTo>
                <a:lnTo>
                  <a:pt x="195534" y="350464"/>
                </a:lnTo>
                <a:lnTo>
                  <a:pt x="196215" y="351596"/>
                </a:lnTo>
                <a:lnTo>
                  <a:pt x="196897" y="352728"/>
                </a:lnTo>
                <a:lnTo>
                  <a:pt x="197578" y="353859"/>
                </a:lnTo>
                <a:lnTo>
                  <a:pt x="198259" y="354990"/>
                </a:lnTo>
                <a:lnTo>
                  <a:pt x="198941" y="356120"/>
                </a:lnTo>
                <a:lnTo>
                  <a:pt x="199622" y="357249"/>
                </a:lnTo>
                <a:lnTo>
                  <a:pt x="200303" y="358378"/>
                </a:lnTo>
                <a:lnTo>
                  <a:pt x="200985" y="359506"/>
                </a:lnTo>
                <a:lnTo>
                  <a:pt x="201666" y="360633"/>
                </a:lnTo>
                <a:lnTo>
                  <a:pt x="202347" y="361760"/>
                </a:lnTo>
                <a:lnTo>
                  <a:pt x="203028" y="362886"/>
                </a:lnTo>
                <a:lnTo>
                  <a:pt x="203710" y="364011"/>
                </a:lnTo>
                <a:lnTo>
                  <a:pt x="204391" y="365136"/>
                </a:lnTo>
                <a:lnTo>
                  <a:pt x="205072" y="366260"/>
                </a:lnTo>
                <a:lnTo>
                  <a:pt x="205754" y="367383"/>
                </a:lnTo>
                <a:lnTo>
                  <a:pt x="206435" y="368506"/>
                </a:lnTo>
                <a:lnTo>
                  <a:pt x="207116" y="369628"/>
                </a:lnTo>
                <a:lnTo>
                  <a:pt x="207798" y="370749"/>
                </a:lnTo>
                <a:lnTo>
                  <a:pt x="208479" y="371870"/>
                </a:lnTo>
                <a:lnTo>
                  <a:pt x="209160" y="372990"/>
                </a:lnTo>
                <a:lnTo>
                  <a:pt x="209842" y="374109"/>
                </a:lnTo>
                <a:lnTo>
                  <a:pt x="210523" y="375228"/>
                </a:lnTo>
                <a:lnTo>
                  <a:pt x="211204" y="376346"/>
                </a:lnTo>
                <a:lnTo>
                  <a:pt x="211885" y="377463"/>
                </a:lnTo>
                <a:lnTo>
                  <a:pt x="212567" y="378580"/>
                </a:lnTo>
                <a:lnTo>
                  <a:pt x="213248" y="379696"/>
                </a:lnTo>
                <a:lnTo>
                  <a:pt x="213929" y="380811"/>
                </a:lnTo>
                <a:lnTo>
                  <a:pt x="214611" y="381926"/>
                </a:lnTo>
                <a:lnTo>
                  <a:pt x="215292" y="383040"/>
                </a:lnTo>
                <a:lnTo>
                  <a:pt x="215973" y="384153"/>
                </a:lnTo>
                <a:lnTo>
                  <a:pt x="216655" y="385266"/>
                </a:lnTo>
                <a:lnTo>
                  <a:pt x="217336" y="386378"/>
                </a:lnTo>
                <a:lnTo>
                  <a:pt x="218017" y="387489"/>
                </a:lnTo>
                <a:lnTo>
                  <a:pt x="218699" y="388600"/>
                </a:lnTo>
                <a:lnTo>
                  <a:pt x="219380" y="389710"/>
                </a:lnTo>
                <a:lnTo>
                  <a:pt x="220061" y="390819"/>
                </a:lnTo>
                <a:lnTo>
                  <a:pt x="220742" y="391928"/>
                </a:lnTo>
                <a:lnTo>
                  <a:pt x="221424" y="393036"/>
                </a:lnTo>
                <a:lnTo>
                  <a:pt x="222105" y="394144"/>
                </a:lnTo>
                <a:lnTo>
                  <a:pt x="222786" y="395250"/>
                </a:lnTo>
                <a:lnTo>
                  <a:pt x="223468" y="396356"/>
                </a:lnTo>
                <a:lnTo>
                  <a:pt x="224149" y="397462"/>
                </a:lnTo>
                <a:lnTo>
                  <a:pt x="224830" y="398566"/>
                </a:lnTo>
                <a:lnTo>
                  <a:pt x="225512" y="399670"/>
                </a:lnTo>
                <a:lnTo>
                  <a:pt x="226193" y="400774"/>
                </a:lnTo>
                <a:lnTo>
                  <a:pt x="226874" y="401876"/>
                </a:lnTo>
                <a:lnTo>
                  <a:pt x="227555" y="402978"/>
                </a:lnTo>
                <a:lnTo>
                  <a:pt x="228237" y="404080"/>
                </a:lnTo>
                <a:lnTo>
                  <a:pt x="228918" y="405180"/>
                </a:lnTo>
                <a:lnTo>
                  <a:pt x="229599" y="406280"/>
                </a:lnTo>
                <a:lnTo>
                  <a:pt x="230281" y="407380"/>
                </a:lnTo>
                <a:lnTo>
                  <a:pt x="230962" y="408478"/>
                </a:lnTo>
                <a:lnTo>
                  <a:pt x="231643" y="409576"/>
                </a:lnTo>
                <a:lnTo>
                  <a:pt x="232325" y="410674"/>
                </a:lnTo>
                <a:lnTo>
                  <a:pt x="233006" y="411770"/>
                </a:lnTo>
                <a:lnTo>
                  <a:pt x="233687" y="412866"/>
                </a:lnTo>
                <a:lnTo>
                  <a:pt x="234369" y="413962"/>
                </a:lnTo>
                <a:lnTo>
                  <a:pt x="235050" y="415056"/>
                </a:lnTo>
                <a:lnTo>
                  <a:pt x="235731" y="416150"/>
                </a:lnTo>
                <a:lnTo>
                  <a:pt x="236412" y="417244"/>
                </a:lnTo>
                <a:lnTo>
                  <a:pt x="237094" y="418336"/>
                </a:lnTo>
                <a:lnTo>
                  <a:pt x="237775" y="419428"/>
                </a:lnTo>
                <a:lnTo>
                  <a:pt x="238456" y="420519"/>
                </a:lnTo>
                <a:lnTo>
                  <a:pt x="239138" y="421610"/>
                </a:lnTo>
                <a:lnTo>
                  <a:pt x="239819" y="422700"/>
                </a:lnTo>
                <a:lnTo>
                  <a:pt x="240500" y="423789"/>
                </a:lnTo>
                <a:lnTo>
                  <a:pt x="241182" y="424878"/>
                </a:lnTo>
                <a:lnTo>
                  <a:pt x="241863" y="425965"/>
                </a:lnTo>
                <a:lnTo>
                  <a:pt x="242544" y="427053"/>
                </a:lnTo>
                <a:lnTo>
                  <a:pt x="243226" y="428139"/>
                </a:lnTo>
                <a:lnTo>
                  <a:pt x="243907" y="429225"/>
                </a:lnTo>
                <a:lnTo>
                  <a:pt x="244588" y="430310"/>
                </a:lnTo>
                <a:lnTo>
                  <a:pt x="245269" y="431395"/>
                </a:lnTo>
                <a:lnTo>
                  <a:pt x="245951" y="432478"/>
                </a:lnTo>
                <a:lnTo>
                  <a:pt x="246632" y="433562"/>
                </a:lnTo>
                <a:lnTo>
                  <a:pt x="247313" y="434644"/>
                </a:lnTo>
                <a:lnTo>
                  <a:pt x="247995" y="435726"/>
                </a:lnTo>
                <a:lnTo>
                  <a:pt x="248676" y="436807"/>
                </a:lnTo>
                <a:lnTo>
                  <a:pt x="249357" y="437887"/>
                </a:lnTo>
                <a:lnTo>
                  <a:pt x="250039" y="438967"/>
                </a:lnTo>
                <a:lnTo>
                  <a:pt x="250720" y="440046"/>
                </a:lnTo>
                <a:lnTo>
                  <a:pt x="251401" y="441124"/>
                </a:lnTo>
                <a:lnTo>
                  <a:pt x="252082" y="442202"/>
                </a:lnTo>
                <a:lnTo>
                  <a:pt x="252764" y="443279"/>
                </a:lnTo>
                <a:lnTo>
                  <a:pt x="253445" y="444355"/>
                </a:lnTo>
                <a:lnTo>
                  <a:pt x="254126" y="445431"/>
                </a:lnTo>
                <a:lnTo>
                  <a:pt x="254808" y="446506"/>
                </a:lnTo>
                <a:lnTo>
                  <a:pt x="255489" y="447580"/>
                </a:lnTo>
                <a:lnTo>
                  <a:pt x="256170" y="448654"/>
                </a:lnTo>
                <a:lnTo>
                  <a:pt x="256852" y="449727"/>
                </a:lnTo>
                <a:lnTo>
                  <a:pt x="257533" y="450799"/>
                </a:lnTo>
                <a:lnTo>
                  <a:pt x="258214" y="451871"/>
                </a:lnTo>
                <a:lnTo>
                  <a:pt x="258896" y="452942"/>
                </a:lnTo>
                <a:lnTo>
                  <a:pt x="259577" y="454012"/>
                </a:lnTo>
                <a:lnTo>
                  <a:pt x="260258" y="455081"/>
                </a:lnTo>
                <a:lnTo>
                  <a:pt x="260939" y="456150"/>
                </a:lnTo>
                <a:lnTo>
                  <a:pt x="261621" y="457218"/>
                </a:lnTo>
                <a:lnTo>
                  <a:pt x="262302" y="458286"/>
                </a:lnTo>
                <a:lnTo>
                  <a:pt x="262983" y="459353"/>
                </a:lnTo>
                <a:lnTo>
                  <a:pt x="263665" y="460419"/>
                </a:lnTo>
                <a:lnTo>
                  <a:pt x="264346" y="461484"/>
                </a:lnTo>
                <a:lnTo>
                  <a:pt x="265027" y="462549"/>
                </a:lnTo>
                <a:lnTo>
                  <a:pt x="265709" y="463613"/>
                </a:lnTo>
                <a:lnTo>
                  <a:pt x="266390" y="464676"/>
                </a:lnTo>
                <a:lnTo>
                  <a:pt x="267071" y="465739"/>
                </a:lnTo>
                <a:lnTo>
                  <a:pt x="267753" y="466801"/>
                </a:lnTo>
                <a:lnTo>
                  <a:pt x="268434" y="467862"/>
                </a:lnTo>
                <a:lnTo>
                  <a:pt x="269115" y="468923"/>
                </a:lnTo>
                <a:lnTo>
                  <a:pt x="269796" y="469983"/>
                </a:lnTo>
                <a:lnTo>
                  <a:pt x="270478" y="471042"/>
                </a:lnTo>
                <a:lnTo>
                  <a:pt x="271159" y="472101"/>
                </a:lnTo>
                <a:lnTo>
                  <a:pt x="271840" y="473158"/>
                </a:lnTo>
                <a:lnTo>
                  <a:pt x="272522" y="474216"/>
                </a:lnTo>
                <a:lnTo>
                  <a:pt x="273203" y="475272"/>
                </a:lnTo>
                <a:lnTo>
                  <a:pt x="273884" y="476328"/>
                </a:lnTo>
                <a:lnTo>
                  <a:pt x="274566" y="477383"/>
                </a:lnTo>
                <a:lnTo>
                  <a:pt x="275247" y="478438"/>
                </a:lnTo>
                <a:lnTo>
                  <a:pt x="275928" y="479491"/>
                </a:lnTo>
                <a:lnTo>
                  <a:pt x="276609" y="480544"/>
                </a:lnTo>
                <a:lnTo>
                  <a:pt x="277291" y="481597"/>
                </a:lnTo>
                <a:lnTo>
                  <a:pt x="277972" y="482648"/>
                </a:lnTo>
                <a:lnTo>
                  <a:pt x="278653" y="483699"/>
                </a:lnTo>
                <a:lnTo>
                  <a:pt x="279335" y="484750"/>
                </a:lnTo>
                <a:lnTo>
                  <a:pt x="280016" y="485799"/>
                </a:lnTo>
                <a:lnTo>
                  <a:pt x="280697" y="486848"/>
                </a:lnTo>
                <a:lnTo>
                  <a:pt x="281379" y="487897"/>
                </a:lnTo>
                <a:lnTo>
                  <a:pt x="282060" y="488944"/>
                </a:lnTo>
                <a:lnTo>
                  <a:pt x="282741" y="489991"/>
                </a:lnTo>
                <a:lnTo>
                  <a:pt x="283423" y="491037"/>
                </a:lnTo>
                <a:lnTo>
                  <a:pt x="284104" y="492083"/>
                </a:lnTo>
                <a:lnTo>
                  <a:pt x="284785" y="493127"/>
                </a:lnTo>
                <a:lnTo>
                  <a:pt x="285466" y="494172"/>
                </a:lnTo>
                <a:lnTo>
                  <a:pt x="286148" y="495215"/>
                </a:lnTo>
                <a:lnTo>
                  <a:pt x="286829" y="496258"/>
                </a:lnTo>
                <a:lnTo>
                  <a:pt x="287510" y="497300"/>
                </a:lnTo>
                <a:lnTo>
                  <a:pt x="288192" y="498341"/>
                </a:lnTo>
                <a:lnTo>
                  <a:pt x="288873" y="499382"/>
                </a:lnTo>
                <a:lnTo>
                  <a:pt x="289554" y="500422"/>
                </a:lnTo>
                <a:lnTo>
                  <a:pt x="290236" y="501461"/>
                </a:lnTo>
                <a:lnTo>
                  <a:pt x="290917" y="502499"/>
                </a:lnTo>
                <a:lnTo>
                  <a:pt x="291598" y="503537"/>
                </a:lnTo>
                <a:lnTo>
                  <a:pt x="292279" y="504575"/>
                </a:lnTo>
                <a:lnTo>
                  <a:pt x="292961" y="505611"/>
                </a:lnTo>
                <a:lnTo>
                  <a:pt x="293642" y="506647"/>
                </a:lnTo>
                <a:lnTo>
                  <a:pt x="294323" y="507682"/>
                </a:lnTo>
                <a:lnTo>
                  <a:pt x="295005" y="508716"/>
                </a:lnTo>
                <a:lnTo>
                  <a:pt x="295686" y="509750"/>
                </a:lnTo>
                <a:lnTo>
                  <a:pt x="296367" y="510783"/>
                </a:lnTo>
                <a:lnTo>
                  <a:pt x="297049" y="511815"/>
                </a:lnTo>
                <a:lnTo>
                  <a:pt x="297730" y="512847"/>
                </a:lnTo>
                <a:lnTo>
                  <a:pt x="298411" y="513878"/>
                </a:lnTo>
                <a:lnTo>
                  <a:pt x="299093" y="514908"/>
                </a:lnTo>
                <a:lnTo>
                  <a:pt x="299774" y="515938"/>
                </a:lnTo>
                <a:lnTo>
                  <a:pt x="300455" y="516967"/>
                </a:lnTo>
                <a:lnTo>
                  <a:pt x="301136" y="517995"/>
                </a:lnTo>
                <a:lnTo>
                  <a:pt x="301818" y="519022"/>
                </a:lnTo>
                <a:lnTo>
                  <a:pt x="302499" y="520049"/>
                </a:lnTo>
                <a:lnTo>
                  <a:pt x="303180" y="521075"/>
                </a:lnTo>
                <a:lnTo>
                  <a:pt x="303862" y="522101"/>
                </a:lnTo>
                <a:lnTo>
                  <a:pt x="304543" y="523125"/>
                </a:lnTo>
                <a:lnTo>
                  <a:pt x="305224" y="524149"/>
                </a:lnTo>
                <a:lnTo>
                  <a:pt x="305906" y="525173"/>
                </a:lnTo>
                <a:lnTo>
                  <a:pt x="306587" y="526195"/>
                </a:lnTo>
                <a:lnTo>
                  <a:pt x="307268" y="527217"/>
                </a:lnTo>
                <a:lnTo>
                  <a:pt x="307950" y="528238"/>
                </a:lnTo>
                <a:lnTo>
                  <a:pt x="308631" y="529259"/>
                </a:lnTo>
                <a:lnTo>
                  <a:pt x="309312" y="530279"/>
                </a:lnTo>
                <a:lnTo>
                  <a:pt x="309993" y="531298"/>
                </a:lnTo>
                <a:lnTo>
                  <a:pt x="310675" y="532316"/>
                </a:lnTo>
                <a:lnTo>
                  <a:pt x="311356" y="533334"/>
                </a:lnTo>
                <a:lnTo>
                  <a:pt x="312037" y="534351"/>
                </a:lnTo>
                <a:lnTo>
                  <a:pt x="312719" y="535367"/>
                </a:lnTo>
                <a:lnTo>
                  <a:pt x="313400" y="536383"/>
                </a:lnTo>
                <a:lnTo>
                  <a:pt x="314081" y="537398"/>
                </a:lnTo>
                <a:lnTo>
                  <a:pt x="314763" y="538412"/>
                </a:lnTo>
                <a:lnTo>
                  <a:pt x="315444" y="539426"/>
                </a:lnTo>
                <a:lnTo>
                  <a:pt x="316125" y="540439"/>
                </a:lnTo>
                <a:lnTo>
                  <a:pt x="316806" y="541451"/>
                </a:lnTo>
                <a:lnTo>
                  <a:pt x="317488" y="542462"/>
                </a:lnTo>
                <a:lnTo>
                  <a:pt x="318169" y="543473"/>
                </a:lnTo>
                <a:lnTo>
                  <a:pt x="318850" y="544483"/>
                </a:lnTo>
                <a:lnTo>
                  <a:pt x="319532" y="545493"/>
                </a:lnTo>
                <a:lnTo>
                  <a:pt x="320213" y="546501"/>
                </a:lnTo>
                <a:lnTo>
                  <a:pt x="320894" y="547509"/>
                </a:lnTo>
                <a:lnTo>
                  <a:pt x="321576" y="548516"/>
                </a:lnTo>
                <a:lnTo>
                  <a:pt x="322257" y="549523"/>
                </a:lnTo>
                <a:lnTo>
                  <a:pt x="322938" y="550529"/>
                </a:lnTo>
                <a:lnTo>
                  <a:pt x="323620" y="551534"/>
                </a:lnTo>
                <a:lnTo>
                  <a:pt x="324301" y="552539"/>
                </a:lnTo>
                <a:lnTo>
                  <a:pt x="324982" y="553542"/>
                </a:lnTo>
                <a:lnTo>
                  <a:pt x="325663" y="554545"/>
                </a:lnTo>
                <a:lnTo>
                  <a:pt x="326345" y="555548"/>
                </a:lnTo>
                <a:lnTo>
                  <a:pt x="327026" y="556549"/>
                </a:lnTo>
                <a:lnTo>
                  <a:pt x="327707" y="557550"/>
                </a:lnTo>
                <a:lnTo>
                  <a:pt x="328389" y="558551"/>
                </a:lnTo>
                <a:lnTo>
                  <a:pt x="329070" y="559550"/>
                </a:lnTo>
                <a:lnTo>
                  <a:pt x="329751" y="560549"/>
                </a:lnTo>
                <a:lnTo>
                  <a:pt x="330433" y="561547"/>
                </a:lnTo>
                <a:lnTo>
                  <a:pt x="331114" y="562545"/>
                </a:lnTo>
                <a:lnTo>
                  <a:pt x="331795" y="563542"/>
                </a:lnTo>
                <a:lnTo>
                  <a:pt x="332477" y="564538"/>
                </a:lnTo>
                <a:lnTo>
                  <a:pt x="333158" y="565533"/>
                </a:lnTo>
                <a:lnTo>
                  <a:pt x="333839" y="566528"/>
                </a:lnTo>
                <a:lnTo>
                  <a:pt x="334520" y="567522"/>
                </a:lnTo>
                <a:lnTo>
                  <a:pt x="335202" y="568515"/>
                </a:lnTo>
                <a:lnTo>
                  <a:pt x="335883" y="569507"/>
                </a:lnTo>
                <a:lnTo>
                  <a:pt x="336564" y="570499"/>
                </a:lnTo>
                <a:lnTo>
                  <a:pt x="337246" y="571490"/>
                </a:lnTo>
                <a:lnTo>
                  <a:pt x="337927" y="572481"/>
                </a:lnTo>
                <a:lnTo>
                  <a:pt x="338608" y="573471"/>
                </a:lnTo>
                <a:lnTo>
                  <a:pt x="339290" y="574460"/>
                </a:lnTo>
                <a:lnTo>
                  <a:pt x="339971" y="575448"/>
                </a:lnTo>
                <a:lnTo>
                  <a:pt x="340652" y="576436"/>
                </a:lnTo>
                <a:lnTo>
                  <a:pt x="341333" y="577423"/>
                </a:lnTo>
                <a:lnTo>
                  <a:pt x="342015" y="578409"/>
                </a:lnTo>
                <a:lnTo>
                  <a:pt x="342696" y="579394"/>
                </a:lnTo>
                <a:lnTo>
                  <a:pt x="343377" y="580379"/>
                </a:lnTo>
                <a:lnTo>
                  <a:pt x="344059" y="581363"/>
                </a:lnTo>
                <a:lnTo>
                  <a:pt x="344740" y="582347"/>
                </a:lnTo>
                <a:lnTo>
                  <a:pt x="345421" y="583330"/>
                </a:lnTo>
                <a:lnTo>
                  <a:pt x="346103" y="584312"/>
                </a:lnTo>
                <a:lnTo>
                  <a:pt x="346784" y="585293"/>
                </a:lnTo>
                <a:lnTo>
                  <a:pt x="347465" y="586274"/>
                </a:lnTo>
                <a:lnTo>
                  <a:pt x="348147" y="587254"/>
                </a:lnTo>
                <a:lnTo>
                  <a:pt x="348828" y="588233"/>
                </a:lnTo>
                <a:lnTo>
                  <a:pt x="349509" y="589211"/>
                </a:lnTo>
                <a:lnTo>
                  <a:pt x="350190" y="590189"/>
                </a:lnTo>
                <a:lnTo>
                  <a:pt x="350872" y="591166"/>
                </a:lnTo>
                <a:lnTo>
                  <a:pt x="351553" y="592143"/>
                </a:lnTo>
                <a:lnTo>
                  <a:pt x="352234" y="593118"/>
                </a:lnTo>
                <a:lnTo>
                  <a:pt x="352916" y="594093"/>
                </a:lnTo>
                <a:lnTo>
                  <a:pt x="353597" y="595068"/>
                </a:lnTo>
                <a:lnTo>
                  <a:pt x="354278" y="596041"/>
                </a:lnTo>
                <a:lnTo>
                  <a:pt x="354960" y="597014"/>
                </a:lnTo>
                <a:lnTo>
                  <a:pt x="355641" y="597986"/>
                </a:lnTo>
                <a:lnTo>
                  <a:pt x="356322" y="598958"/>
                </a:lnTo>
                <a:lnTo>
                  <a:pt x="357004" y="599929"/>
                </a:lnTo>
                <a:lnTo>
                  <a:pt x="357685" y="600899"/>
                </a:lnTo>
                <a:lnTo>
                  <a:pt x="358366" y="601868"/>
                </a:lnTo>
                <a:lnTo>
                  <a:pt x="359047" y="602837"/>
                </a:lnTo>
                <a:lnTo>
                  <a:pt x="359729" y="603805"/>
                </a:lnTo>
                <a:lnTo>
                  <a:pt x="360410" y="604772"/>
                </a:lnTo>
                <a:lnTo>
                  <a:pt x="361091" y="605739"/>
                </a:lnTo>
                <a:lnTo>
                  <a:pt x="361773" y="606704"/>
                </a:lnTo>
                <a:lnTo>
                  <a:pt x="362454" y="607670"/>
                </a:lnTo>
                <a:lnTo>
                  <a:pt x="363135" y="608634"/>
                </a:lnTo>
                <a:lnTo>
                  <a:pt x="363817" y="609598"/>
                </a:lnTo>
                <a:lnTo>
                  <a:pt x="364498" y="610561"/>
                </a:lnTo>
                <a:lnTo>
                  <a:pt x="365179" y="611523"/>
                </a:lnTo>
                <a:lnTo>
                  <a:pt x="365860" y="612485"/>
                </a:lnTo>
                <a:lnTo>
                  <a:pt x="366542" y="613446"/>
                </a:lnTo>
                <a:lnTo>
                  <a:pt x="367223" y="614406"/>
                </a:lnTo>
                <a:lnTo>
                  <a:pt x="367904" y="615365"/>
                </a:lnTo>
                <a:lnTo>
                  <a:pt x="368586" y="616324"/>
                </a:lnTo>
                <a:lnTo>
                  <a:pt x="369267" y="617282"/>
                </a:lnTo>
                <a:lnTo>
                  <a:pt x="369948" y="618240"/>
                </a:lnTo>
                <a:lnTo>
                  <a:pt x="370630" y="619196"/>
                </a:lnTo>
                <a:lnTo>
                  <a:pt x="371311" y="620152"/>
                </a:lnTo>
                <a:lnTo>
                  <a:pt x="371992" y="621108"/>
                </a:lnTo>
                <a:lnTo>
                  <a:pt x="372674" y="622062"/>
                </a:lnTo>
                <a:lnTo>
                  <a:pt x="373355" y="623016"/>
                </a:lnTo>
                <a:lnTo>
                  <a:pt x="374036" y="623969"/>
                </a:lnTo>
                <a:lnTo>
                  <a:pt x="374717" y="624922"/>
                </a:lnTo>
                <a:lnTo>
                  <a:pt x="375399" y="625873"/>
                </a:lnTo>
                <a:lnTo>
                  <a:pt x="376080" y="626824"/>
                </a:lnTo>
                <a:lnTo>
                  <a:pt x="376761" y="627775"/>
                </a:lnTo>
                <a:lnTo>
                  <a:pt x="377443" y="628724"/>
                </a:lnTo>
                <a:lnTo>
                  <a:pt x="378124" y="629673"/>
                </a:lnTo>
                <a:lnTo>
                  <a:pt x="378805" y="630621"/>
                </a:lnTo>
                <a:lnTo>
                  <a:pt x="379487" y="631569"/>
                </a:lnTo>
                <a:lnTo>
                  <a:pt x="380168" y="632516"/>
                </a:lnTo>
                <a:lnTo>
                  <a:pt x="380849" y="633462"/>
                </a:lnTo>
                <a:lnTo>
                  <a:pt x="381530" y="634407"/>
                </a:lnTo>
                <a:lnTo>
                  <a:pt x="382212" y="635352"/>
                </a:lnTo>
                <a:lnTo>
                  <a:pt x="382893" y="636296"/>
                </a:lnTo>
                <a:lnTo>
                  <a:pt x="383574" y="637239"/>
                </a:lnTo>
                <a:lnTo>
                  <a:pt x="384256" y="638182"/>
                </a:lnTo>
                <a:lnTo>
                  <a:pt x="384937" y="639124"/>
                </a:lnTo>
                <a:lnTo>
                  <a:pt x="385618" y="640065"/>
                </a:lnTo>
                <a:lnTo>
                  <a:pt x="386300" y="641005"/>
                </a:lnTo>
                <a:lnTo>
                  <a:pt x="386981" y="641945"/>
                </a:lnTo>
                <a:lnTo>
                  <a:pt x="387662" y="642884"/>
                </a:lnTo>
                <a:lnTo>
                  <a:pt x="388344" y="643822"/>
                </a:lnTo>
                <a:lnTo>
                  <a:pt x="389025" y="644760"/>
                </a:lnTo>
                <a:lnTo>
                  <a:pt x="389706" y="645697"/>
                </a:lnTo>
                <a:lnTo>
                  <a:pt x="390387" y="646633"/>
                </a:lnTo>
                <a:lnTo>
                  <a:pt x="391069" y="647569"/>
                </a:lnTo>
                <a:lnTo>
                  <a:pt x="391750" y="648503"/>
                </a:lnTo>
                <a:lnTo>
                  <a:pt x="392431" y="649437"/>
                </a:lnTo>
                <a:lnTo>
                  <a:pt x="393113" y="650371"/>
                </a:lnTo>
                <a:lnTo>
                  <a:pt x="393794" y="651304"/>
                </a:lnTo>
                <a:lnTo>
                  <a:pt x="394475" y="652236"/>
                </a:lnTo>
                <a:lnTo>
                  <a:pt x="395157" y="653167"/>
                </a:lnTo>
                <a:lnTo>
                  <a:pt x="395838" y="654097"/>
                </a:lnTo>
                <a:lnTo>
                  <a:pt x="396519" y="655027"/>
                </a:lnTo>
                <a:lnTo>
                  <a:pt x="397201" y="655956"/>
                </a:lnTo>
                <a:lnTo>
                  <a:pt x="397882" y="656885"/>
                </a:lnTo>
                <a:lnTo>
                  <a:pt x="398563" y="657813"/>
                </a:lnTo>
                <a:lnTo>
                  <a:pt x="399244" y="658740"/>
                </a:lnTo>
                <a:lnTo>
                  <a:pt x="399926" y="659666"/>
                </a:lnTo>
                <a:lnTo>
                  <a:pt x="400607" y="660591"/>
                </a:lnTo>
                <a:lnTo>
                  <a:pt x="401288" y="661516"/>
                </a:lnTo>
                <a:lnTo>
                  <a:pt x="401970" y="662441"/>
                </a:lnTo>
                <a:lnTo>
                  <a:pt x="402651" y="663364"/>
                </a:lnTo>
                <a:lnTo>
                  <a:pt x="403332" y="664287"/>
                </a:lnTo>
                <a:lnTo>
                  <a:pt x="404014" y="665209"/>
                </a:lnTo>
                <a:lnTo>
                  <a:pt x="404695" y="666130"/>
                </a:lnTo>
                <a:lnTo>
                  <a:pt x="405376" y="667051"/>
                </a:lnTo>
                <a:lnTo>
                  <a:pt x="406057" y="667971"/>
                </a:lnTo>
                <a:lnTo>
                  <a:pt x="406739" y="668890"/>
                </a:lnTo>
                <a:lnTo>
                  <a:pt x="407420" y="669809"/>
                </a:lnTo>
                <a:lnTo>
                  <a:pt x="408101" y="670727"/>
                </a:lnTo>
                <a:lnTo>
                  <a:pt x="408783" y="671644"/>
                </a:lnTo>
                <a:lnTo>
                  <a:pt x="409464" y="672560"/>
                </a:lnTo>
                <a:lnTo>
                  <a:pt x="410145" y="673476"/>
                </a:lnTo>
                <a:lnTo>
                  <a:pt x="410827" y="674391"/>
                </a:lnTo>
                <a:lnTo>
                  <a:pt x="411508" y="675305"/>
                </a:lnTo>
                <a:lnTo>
                  <a:pt x="412189" y="676219"/>
                </a:lnTo>
                <a:lnTo>
                  <a:pt x="412871" y="677132"/>
                </a:lnTo>
                <a:lnTo>
                  <a:pt x="413552" y="678044"/>
                </a:lnTo>
                <a:lnTo>
                  <a:pt x="414233" y="678955"/>
                </a:lnTo>
                <a:lnTo>
                  <a:pt x="414914" y="679866"/>
                </a:lnTo>
                <a:lnTo>
                  <a:pt x="415596" y="680776"/>
                </a:lnTo>
                <a:lnTo>
                  <a:pt x="416277" y="681685"/>
                </a:lnTo>
                <a:lnTo>
                  <a:pt x="416958" y="682594"/>
                </a:lnTo>
                <a:lnTo>
                  <a:pt x="417640" y="683502"/>
                </a:lnTo>
                <a:lnTo>
                  <a:pt x="418321" y="684409"/>
                </a:lnTo>
                <a:lnTo>
                  <a:pt x="419002" y="685316"/>
                </a:lnTo>
                <a:lnTo>
                  <a:pt x="419684" y="686222"/>
                </a:lnTo>
                <a:lnTo>
                  <a:pt x="420365" y="687127"/>
                </a:lnTo>
                <a:lnTo>
                  <a:pt x="421046" y="688031"/>
                </a:lnTo>
                <a:lnTo>
                  <a:pt x="421728" y="688935"/>
                </a:lnTo>
                <a:lnTo>
                  <a:pt x="422409" y="689838"/>
                </a:lnTo>
                <a:lnTo>
                  <a:pt x="423090" y="690740"/>
                </a:lnTo>
                <a:lnTo>
                  <a:pt x="423771" y="691642"/>
                </a:lnTo>
                <a:lnTo>
                  <a:pt x="424453" y="692543"/>
                </a:lnTo>
                <a:lnTo>
                  <a:pt x="425134" y="693443"/>
                </a:lnTo>
                <a:lnTo>
                  <a:pt x="425815" y="694342"/>
                </a:lnTo>
                <a:lnTo>
                  <a:pt x="426497" y="695241"/>
                </a:lnTo>
                <a:lnTo>
                  <a:pt x="427178" y="696139"/>
                </a:lnTo>
                <a:lnTo>
                  <a:pt x="427859" y="697036"/>
                </a:lnTo>
                <a:lnTo>
                  <a:pt x="428541" y="697933"/>
                </a:lnTo>
                <a:lnTo>
                  <a:pt x="429222" y="698829"/>
                </a:lnTo>
                <a:lnTo>
                  <a:pt x="429903" y="699724"/>
                </a:lnTo>
                <a:lnTo>
                  <a:pt x="430584" y="700619"/>
                </a:lnTo>
                <a:lnTo>
                  <a:pt x="431266" y="701513"/>
                </a:lnTo>
                <a:lnTo>
                  <a:pt x="431947" y="702406"/>
                </a:lnTo>
                <a:lnTo>
                  <a:pt x="432628" y="703298"/>
                </a:lnTo>
                <a:lnTo>
                  <a:pt x="433310" y="704190"/>
                </a:lnTo>
                <a:lnTo>
                  <a:pt x="433991" y="705081"/>
                </a:lnTo>
                <a:lnTo>
                  <a:pt x="434672" y="705971"/>
                </a:lnTo>
                <a:lnTo>
                  <a:pt x="435354" y="706861"/>
                </a:lnTo>
                <a:lnTo>
                  <a:pt x="436035" y="707749"/>
                </a:lnTo>
                <a:lnTo>
                  <a:pt x="436716" y="708638"/>
                </a:lnTo>
                <a:lnTo>
                  <a:pt x="437398" y="709525"/>
                </a:lnTo>
                <a:lnTo>
                  <a:pt x="438079" y="710412"/>
                </a:lnTo>
                <a:lnTo>
                  <a:pt x="438760" y="711298"/>
                </a:lnTo>
                <a:lnTo>
                  <a:pt x="439441" y="712183"/>
                </a:lnTo>
                <a:lnTo>
                  <a:pt x="440123" y="713068"/>
                </a:lnTo>
                <a:lnTo>
                  <a:pt x="440804" y="713952"/>
                </a:lnTo>
                <a:lnTo>
                  <a:pt x="441485" y="714835"/>
                </a:lnTo>
                <a:lnTo>
                  <a:pt x="442167" y="715718"/>
                </a:lnTo>
                <a:lnTo>
                  <a:pt x="442848" y="716599"/>
                </a:lnTo>
                <a:lnTo>
                  <a:pt x="443529" y="717480"/>
                </a:lnTo>
                <a:lnTo>
                  <a:pt x="444211" y="718361"/>
                </a:lnTo>
                <a:lnTo>
                  <a:pt x="444892" y="719241"/>
                </a:lnTo>
                <a:lnTo>
                  <a:pt x="445573" y="720120"/>
                </a:lnTo>
                <a:lnTo>
                  <a:pt x="446255" y="720998"/>
                </a:lnTo>
                <a:lnTo>
                  <a:pt x="446936" y="721875"/>
                </a:lnTo>
                <a:lnTo>
                  <a:pt x="447617" y="722752"/>
                </a:lnTo>
                <a:lnTo>
                  <a:pt x="448298" y="723628"/>
                </a:lnTo>
                <a:lnTo>
                  <a:pt x="448980" y="724504"/>
                </a:lnTo>
                <a:lnTo>
                  <a:pt x="449661" y="725379"/>
                </a:lnTo>
                <a:lnTo>
                  <a:pt x="450342" y="726253"/>
                </a:lnTo>
                <a:lnTo>
                  <a:pt x="451024" y="727126"/>
                </a:lnTo>
                <a:lnTo>
                  <a:pt x="451705" y="727999"/>
                </a:lnTo>
                <a:lnTo>
                  <a:pt x="452386" y="728871"/>
                </a:lnTo>
                <a:lnTo>
                  <a:pt x="453068" y="729742"/>
                </a:lnTo>
                <a:lnTo>
                  <a:pt x="453749" y="730612"/>
                </a:lnTo>
                <a:lnTo>
                  <a:pt x="454430" y="731482"/>
                </a:lnTo>
                <a:lnTo>
                  <a:pt x="455111" y="732351"/>
                </a:lnTo>
                <a:lnTo>
                  <a:pt x="455793" y="733220"/>
                </a:lnTo>
                <a:lnTo>
                  <a:pt x="456474" y="734088"/>
                </a:lnTo>
                <a:lnTo>
                  <a:pt x="457155" y="734955"/>
                </a:lnTo>
                <a:lnTo>
                  <a:pt x="457837" y="735821"/>
                </a:lnTo>
                <a:lnTo>
                  <a:pt x="458518" y="736686"/>
                </a:lnTo>
                <a:lnTo>
                  <a:pt x="459199" y="737551"/>
                </a:lnTo>
                <a:lnTo>
                  <a:pt x="459881" y="738416"/>
                </a:lnTo>
                <a:lnTo>
                  <a:pt x="460562" y="739279"/>
                </a:lnTo>
                <a:lnTo>
                  <a:pt x="461243" y="740142"/>
                </a:lnTo>
                <a:lnTo>
                  <a:pt x="461925" y="741004"/>
                </a:lnTo>
                <a:lnTo>
                  <a:pt x="462606" y="741865"/>
                </a:lnTo>
                <a:lnTo>
                  <a:pt x="463287" y="742726"/>
                </a:lnTo>
                <a:lnTo>
                  <a:pt x="463968" y="743586"/>
                </a:lnTo>
                <a:lnTo>
                  <a:pt x="464650" y="744445"/>
                </a:lnTo>
                <a:lnTo>
                  <a:pt x="465331" y="745304"/>
                </a:lnTo>
                <a:lnTo>
                  <a:pt x="466012" y="746162"/>
                </a:lnTo>
                <a:lnTo>
                  <a:pt x="466694" y="747019"/>
                </a:lnTo>
                <a:lnTo>
                  <a:pt x="467375" y="747875"/>
                </a:lnTo>
                <a:lnTo>
                  <a:pt x="468056" y="748731"/>
                </a:lnTo>
                <a:lnTo>
                  <a:pt x="468738" y="749586"/>
                </a:lnTo>
                <a:lnTo>
                  <a:pt x="469419" y="750440"/>
                </a:lnTo>
                <a:lnTo>
                  <a:pt x="470100" y="751294"/>
                </a:lnTo>
                <a:lnTo>
                  <a:pt x="470781" y="752147"/>
                </a:lnTo>
                <a:lnTo>
                  <a:pt x="471463" y="752999"/>
                </a:lnTo>
                <a:lnTo>
                  <a:pt x="472144" y="753851"/>
                </a:lnTo>
                <a:lnTo>
                  <a:pt x="472825" y="754701"/>
                </a:lnTo>
                <a:lnTo>
                  <a:pt x="473507" y="755552"/>
                </a:lnTo>
                <a:lnTo>
                  <a:pt x="474188" y="756401"/>
                </a:lnTo>
                <a:lnTo>
                  <a:pt x="474869" y="757250"/>
                </a:lnTo>
                <a:lnTo>
                  <a:pt x="475551" y="758098"/>
                </a:lnTo>
                <a:lnTo>
                  <a:pt x="476232" y="758945"/>
                </a:lnTo>
                <a:lnTo>
                  <a:pt x="476913" y="759792"/>
                </a:lnTo>
                <a:lnTo>
                  <a:pt x="477595" y="760638"/>
                </a:lnTo>
                <a:lnTo>
                  <a:pt x="478276" y="761483"/>
                </a:lnTo>
                <a:lnTo>
                  <a:pt x="478957" y="762327"/>
                </a:lnTo>
                <a:lnTo>
                  <a:pt x="479638" y="763171"/>
                </a:lnTo>
                <a:lnTo>
                  <a:pt x="480320" y="764014"/>
                </a:lnTo>
                <a:lnTo>
                  <a:pt x="481001" y="764857"/>
                </a:lnTo>
                <a:lnTo>
                  <a:pt x="481682" y="765698"/>
                </a:lnTo>
                <a:lnTo>
                  <a:pt x="482364" y="766539"/>
                </a:lnTo>
                <a:lnTo>
                  <a:pt x="483045" y="767380"/>
                </a:lnTo>
                <a:lnTo>
                  <a:pt x="483726" y="768219"/>
                </a:lnTo>
                <a:lnTo>
                  <a:pt x="484408" y="769058"/>
                </a:lnTo>
                <a:lnTo>
                  <a:pt x="485089" y="769896"/>
                </a:lnTo>
                <a:lnTo>
                  <a:pt x="485770" y="770734"/>
                </a:lnTo>
                <a:lnTo>
                  <a:pt x="486452" y="771571"/>
                </a:lnTo>
                <a:lnTo>
                  <a:pt x="487133" y="772407"/>
                </a:lnTo>
                <a:lnTo>
                  <a:pt x="487814" y="773242"/>
                </a:lnTo>
                <a:lnTo>
                  <a:pt x="488495" y="774077"/>
                </a:lnTo>
                <a:lnTo>
                  <a:pt x="489177" y="774911"/>
                </a:lnTo>
                <a:lnTo>
                  <a:pt x="489858" y="775744"/>
                </a:lnTo>
                <a:lnTo>
                  <a:pt x="490539" y="776577"/>
                </a:lnTo>
                <a:lnTo>
                  <a:pt x="491221" y="777408"/>
                </a:lnTo>
                <a:lnTo>
                  <a:pt x="491902" y="778240"/>
                </a:lnTo>
                <a:lnTo>
                  <a:pt x="492583" y="779070"/>
                </a:lnTo>
                <a:lnTo>
                  <a:pt x="493265" y="779900"/>
                </a:lnTo>
                <a:lnTo>
                  <a:pt x="493946" y="780729"/>
                </a:lnTo>
                <a:lnTo>
                  <a:pt x="494627" y="781557"/>
                </a:lnTo>
                <a:lnTo>
                  <a:pt x="495308" y="782385"/>
                </a:lnTo>
                <a:lnTo>
                  <a:pt x="495990" y="783212"/>
                </a:lnTo>
                <a:lnTo>
                  <a:pt x="496671" y="784038"/>
                </a:lnTo>
                <a:lnTo>
                  <a:pt x="497352" y="784864"/>
                </a:lnTo>
                <a:lnTo>
                  <a:pt x="498034" y="785689"/>
                </a:lnTo>
                <a:lnTo>
                  <a:pt x="498715" y="786513"/>
                </a:lnTo>
                <a:lnTo>
                  <a:pt x="499396" y="787337"/>
                </a:lnTo>
                <a:lnTo>
                  <a:pt x="500078" y="788159"/>
                </a:lnTo>
                <a:lnTo>
                  <a:pt x="500759" y="788981"/>
                </a:lnTo>
                <a:lnTo>
                  <a:pt x="501440" y="789803"/>
                </a:lnTo>
                <a:lnTo>
                  <a:pt x="502122" y="790624"/>
                </a:lnTo>
                <a:lnTo>
                  <a:pt x="502803" y="791444"/>
                </a:lnTo>
                <a:lnTo>
                  <a:pt x="503484" y="792263"/>
                </a:lnTo>
                <a:lnTo>
                  <a:pt x="504165" y="793081"/>
                </a:lnTo>
                <a:lnTo>
                  <a:pt x="504847" y="793899"/>
                </a:lnTo>
                <a:lnTo>
                  <a:pt x="505528" y="794717"/>
                </a:lnTo>
                <a:lnTo>
                  <a:pt x="506209" y="795533"/>
                </a:lnTo>
                <a:lnTo>
                  <a:pt x="506891" y="796349"/>
                </a:lnTo>
                <a:lnTo>
                  <a:pt x="507572" y="797164"/>
                </a:lnTo>
                <a:lnTo>
                  <a:pt x="508253" y="797978"/>
                </a:lnTo>
                <a:lnTo>
                  <a:pt x="508935" y="798792"/>
                </a:lnTo>
                <a:lnTo>
                  <a:pt x="509616" y="799605"/>
                </a:lnTo>
                <a:lnTo>
                  <a:pt x="510297" y="800418"/>
                </a:lnTo>
                <a:lnTo>
                  <a:pt x="510979" y="801229"/>
                </a:lnTo>
                <a:lnTo>
                  <a:pt x="511660" y="802040"/>
                </a:lnTo>
                <a:lnTo>
                  <a:pt x="512341" y="802850"/>
                </a:lnTo>
                <a:lnTo>
                  <a:pt x="513022" y="803660"/>
                </a:lnTo>
                <a:lnTo>
                  <a:pt x="513704" y="804469"/>
                </a:lnTo>
                <a:lnTo>
                  <a:pt x="514385" y="805277"/>
                </a:lnTo>
                <a:lnTo>
                  <a:pt x="515066" y="806084"/>
                </a:lnTo>
                <a:lnTo>
                  <a:pt x="515748" y="806891"/>
                </a:lnTo>
                <a:lnTo>
                  <a:pt x="516429" y="807697"/>
                </a:lnTo>
                <a:lnTo>
                  <a:pt x="517110" y="808503"/>
                </a:lnTo>
                <a:lnTo>
                  <a:pt x="517792" y="809307"/>
                </a:lnTo>
                <a:lnTo>
                  <a:pt x="518473" y="810111"/>
                </a:lnTo>
                <a:lnTo>
                  <a:pt x="519154" y="810914"/>
                </a:lnTo>
                <a:lnTo>
                  <a:pt x="519835" y="811717"/>
                </a:lnTo>
                <a:lnTo>
                  <a:pt x="520517" y="812519"/>
                </a:lnTo>
                <a:lnTo>
                  <a:pt x="521198" y="813320"/>
                </a:lnTo>
                <a:lnTo>
                  <a:pt x="521879" y="814121"/>
                </a:lnTo>
                <a:lnTo>
                  <a:pt x="522561" y="814921"/>
                </a:lnTo>
                <a:lnTo>
                  <a:pt x="523242" y="815720"/>
                </a:lnTo>
                <a:lnTo>
                  <a:pt x="523923" y="816518"/>
                </a:lnTo>
                <a:lnTo>
                  <a:pt x="524605" y="817316"/>
                </a:lnTo>
                <a:lnTo>
                  <a:pt x="525286" y="818113"/>
                </a:lnTo>
                <a:lnTo>
                  <a:pt x="525967" y="818909"/>
                </a:lnTo>
                <a:lnTo>
                  <a:pt x="526649" y="819705"/>
                </a:lnTo>
                <a:lnTo>
                  <a:pt x="527330" y="820500"/>
                </a:lnTo>
                <a:lnTo>
                  <a:pt x="528011" y="821294"/>
                </a:lnTo>
                <a:lnTo>
                  <a:pt x="528692" y="822088"/>
                </a:lnTo>
                <a:lnTo>
                  <a:pt x="529374" y="822880"/>
                </a:lnTo>
                <a:lnTo>
                  <a:pt x="530055" y="823673"/>
                </a:lnTo>
                <a:lnTo>
                  <a:pt x="530736" y="824464"/>
                </a:lnTo>
                <a:lnTo>
                  <a:pt x="531418" y="825255"/>
                </a:lnTo>
                <a:lnTo>
                  <a:pt x="532099" y="826045"/>
                </a:lnTo>
                <a:lnTo>
                  <a:pt x="532780" y="826834"/>
                </a:lnTo>
                <a:lnTo>
                  <a:pt x="533462" y="827623"/>
                </a:lnTo>
                <a:lnTo>
                  <a:pt x="534143" y="828411"/>
                </a:lnTo>
                <a:lnTo>
                  <a:pt x="534824" y="829199"/>
                </a:lnTo>
                <a:lnTo>
                  <a:pt x="535506" y="829985"/>
                </a:lnTo>
                <a:lnTo>
                  <a:pt x="536187" y="830771"/>
                </a:lnTo>
                <a:lnTo>
                  <a:pt x="536868" y="831556"/>
                </a:lnTo>
                <a:lnTo>
                  <a:pt x="537549" y="832341"/>
                </a:lnTo>
                <a:lnTo>
                  <a:pt x="538231" y="833125"/>
                </a:lnTo>
                <a:lnTo>
                  <a:pt x="538912" y="833908"/>
                </a:lnTo>
                <a:lnTo>
                  <a:pt x="539593" y="834691"/>
                </a:lnTo>
                <a:lnTo>
                  <a:pt x="540275" y="835472"/>
                </a:lnTo>
                <a:lnTo>
                  <a:pt x="540956" y="836253"/>
                </a:lnTo>
                <a:lnTo>
                  <a:pt x="541637" y="837034"/>
                </a:lnTo>
                <a:lnTo>
                  <a:pt x="542319" y="837814"/>
                </a:lnTo>
                <a:lnTo>
                  <a:pt x="543000" y="838593"/>
                </a:lnTo>
                <a:lnTo>
                  <a:pt x="543681" y="839371"/>
                </a:lnTo>
                <a:lnTo>
                  <a:pt x="544362" y="840149"/>
                </a:lnTo>
                <a:lnTo>
                  <a:pt x="545044" y="840926"/>
                </a:lnTo>
                <a:lnTo>
                  <a:pt x="545725" y="841702"/>
                </a:lnTo>
                <a:lnTo>
                  <a:pt x="546406" y="842478"/>
                </a:lnTo>
                <a:lnTo>
                  <a:pt x="547088" y="843253"/>
                </a:lnTo>
                <a:lnTo>
                  <a:pt x="547769" y="844027"/>
                </a:lnTo>
                <a:lnTo>
                  <a:pt x="548450" y="844800"/>
                </a:lnTo>
                <a:lnTo>
                  <a:pt x="549132" y="845573"/>
                </a:lnTo>
                <a:lnTo>
                  <a:pt x="549813" y="846345"/>
                </a:lnTo>
                <a:lnTo>
                  <a:pt x="550494" y="847117"/>
                </a:lnTo>
                <a:lnTo>
                  <a:pt x="551176" y="847888"/>
                </a:lnTo>
                <a:lnTo>
                  <a:pt x="551857" y="848658"/>
                </a:lnTo>
                <a:lnTo>
                  <a:pt x="552538" y="849427"/>
                </a:lnTo>
                <a:lnTo>
                  <a:pt x="553219" y="850196"/>
                </a:lnTo>
                <a:lnTo>
                  <a:pt x="553901" y="850964"/>
                </a:lnTo>
                <a:lnTo>
                  <a:pt x="554582" y="851731"/>
                </a:lnTo>
                <a:lnTo>
                  <a:pt x="555263" y="852498"/>
                </a:lnTo>
                <a:lnTo>
                  <a:pt x="555945" y="853264"/>
                </a:lnTo>
                <a:lnTo>
                  <a:pt x="556626" y="854029"/>
                </a:lnTo>
                <a:lnTo>
                  <a:pt x="557307" y="854794"/>
                </a:lnTo>
                <a:lnTo>
                  <a:pt x="557989" y="855558"/>
                </a:lnTo>
                <a:lnTo>
                  <a:pt x="558670" y="856321"/>
                </a:lnTo>
                <a:lnTo>
                  <a:pt x="559351" y="857083"/>
                </a:lnTo>
                <a:lnTo>
                  <a:pt x="560032" y="857845"/>
                </a:lnTo>
                <a:lnTo>
                  <a:pt x="560714" y="858606"/>
                </a:lnTo>
                <a:lnTo>
                  <a:pt x="561395" y="859367"/>
                </a:lnTo>
                <a:lnTo>
                  <a:pt x="562076" y="860127"/>
                </a:lnTo>
                <a:lnTo>
                  <a:pt x="562758" y="860886"/>
                </a:lnTo>
                <a:lnTo>
                  <a:pt x="563439" y="861644"/>
                </a:lnTo>
                <a:lnTo>
                  <a:pt x="564120" y="862402"/>
                </a:lnTo>
                <a:lnTo>
                  <a:pt x="564802" y="863159"/>
                </a:lnTo>
                <a:lnTo>
                  <a:pt x="565483" y="863915"/>
                </a:lnTo>
                <a:lnTo>
                  <a:pt x="566164" y="864671"/>
                </a:lnTo>
                <a:lnTo>
                  <a:pt x="566846" y="865426"/>
                </a:lnTo>
                <a:lnTo>
                  <a:pt x="567527" y="866181"/>
                </a:lnTo>
                <a:lnTo>
                  <a:pt x="568208" y="866934"/>
                </a:lnTo>
                <a:lnTo>
                  <a:pt x="568889" y="867687"/>
                </a:lnTo>
                <a:lnTo>
                  <a:pt x="569571" y="868439"/>
                </a:lnTo>
                <a:lnTo>
                  <a:pt x="570252" y="869191"/>
                </a:lnTo>
                <a:lnTo>
                  <a:pt x="570933" y="869942"/>
                </a:lnTo>
                <a:lnTo>
                  <a:pt x="571615" y="870692"/>
                </a:lnTo>
                <a:lnTo>
                  <a:pt x="572296" y="871442"/>
                </a:lnTo>
                <a:lnTo>
                  <a:pt x="572977" y="872191"/>
                </a:lnTo>
                <a:lnTo>
                  <a:pt x="573659" y="872939"/>
                </a:lnTo>
                <a:lnTo>
                  <a:pt x="574340" y="873686"/>
                </a:lnTo>
                <a:lnTo>
                  <a:pt x="575021" y="874433"/>
                </a:lnTo>
                <a:lnTo>
                  <a:pt x="575703" y="875179"/>
                </a:lnTo>
                <a:lnTo>
                  <a:pt x="576384" y="875925"/>
                </a:lnTo>
                <a:lnTo>
                  <a:pt x="577065" y="876670"/>
                </a:lnTo>
                <a:lnTo>
                  <a:pt x="577746" y="877414"/>
                </a:lnTo>
                <a:lnTo>
                  <a:pt x="578428" y="878157"/>
                </a:lnTo>
                <a:lnTo>
                  <a:pt x="579109" y="878900"/>
                </a:lnTo>
                <a:lnTo>
                  <a:pt x="579790" y="879642"/>
                </a:lnTo>
                <a:lnTo>
                  <a:pt x="580472" y="880383"/>
                </a:lnTo>
                <a:lnTo>
                  <a:pt x="581153" y="881124"/>
                </a:lnTo>
                <a:lnTo>
                  <a:pt x="581834" y="881864"/>
                </a:lnTo>
                <a:lnTo>
                  <a:pt x="582516" y="882603"/>
                </a:lnTo>
                <a:lnTo>
                  <a:pt x="583197" y="883342"/>
                </a:lnTo>
                <a:lnTo>
                  <a:pt x="583878" y="884080"/>
                </a:lnTo>
                <a:lnTo>
                  <a:pt x="584559" y="884817"/>
                </a:lnTo>
                <a:lnTo>
                  <a:pt x="585241" y="885554"/>
                </a:lnTo>
                <a:lnTo>
                  <a:pt x="585922" y="886290"/>
                </a:lnTo>
                <a:lnTo>
                  <a:pt x="586603" y="887025"/>
                </a:lnTo>
                <a:lnTo>
                  <a:pt x="587285" y="887760"/>
                </a:lnTo>
                <a:lnTo>
                  <a:pt x="587966" y="888494"/>
                </a:lnTo>
                <a:lnTo>
                  <a:pt x="588647" y="889227"/>
                </a:lnTo>
                <a:lnTo>
                  <a:pt x="589329" y="889960"/>
                </a:lnTo>
                <a:lnTo>
                  <a:pt x="590010" y="890691"/>
                </a:lnTo>
                <a:lnTo>
                  <a:pt x="590691" y="891423"/>
                </a:lnTo>
                <a:lnTo>
                  <a:pt x="591373" y="892153"/>
                </a:lnTo>
                <a:lnTo>
                  <a:pt x="592054" y="892883"/>
                </a:lnTo>
                <a:lnTo>
                  <a:pt x="592735" y="893612"/>
                </a:lnTo>
                <a:lnTo>
                  <a:pt x="593416" y="894341"/>
                </a:lnTo>
                <a:lnTo>
                  <a:pt x="594098" y="895069"/>
                </a:lnTo>
                <a:lnTo>
                  <a:pt x="594779" y="895796"/>
                </a:lnTo>
                <a:lnTo>
                  <a:pt x="595460" y="896522"/>
                </a:lnTo>
                <a:lnTo>
                  <a:pt x="596142" y="897248"/>
                </a:lnTo>
                <a:lnTo>
                  <a:pt x="596823" y="897973"/>
                </a:lnTo>
                <a:lnTo>
                  <a:pt x="597504" y="898698"/>
                </a:lnTo>
                <a:lnTo>
                  <a:pt x="598186" y="899421"/>
                </a:lnTo>
                <a:lnTo>
                  <a:pt x="598867" y="900144"/>
                </a:lnTo>
                <a:lnTo>
                  <a:pt x="599548" y="900867"/>
                </a:lnTo>
                <a:lnTo>
                  <a:pt x="600230" y="901589"/>
                </a:lnTo>
                <a:lnTo>
                  <a:pt x="600911" y="902310"/>
                </a:lnTo>
                <a:lnTo>
                  <a:pt x="601592" y="903030"/>
                </a:lnTo>
                <a:lnTo>
                  <a:pt x="602273" y="903750"/>
                </a:lnTo>
                <a:lnTo>
                  <a:pt x="602955" y="904469"/>
                </a:lnTo>
                <a:lnTo>
                  <a:pt x="603636" y="905187"/>
                </a:lnTo>
                <a:lnTo>
                  <a:pt x="604317" y="905905"/>
                </a:lnTo>
                <a:lnTo>
                  <a:pt x="604999" y="906622"/>
                </a:lnTo>
                <a:lnTo>
                  <a:pt x="605680" y="907339"/>
                </a:lnTo>
                <a:lnTo>
                  <a:pt x="606361" y="908054"/>
                </a:lnTo>
                <a:lnTo>
                  <a:pt x="607043" y="908769"/>
                </a:lnTo>
                <a:lnTo>
                  <a:pt x="607724" y="909484"/>
                </a:lnTo>
                <a:lnTo>
                  <a:pt x="608405" y="910197"/>
                </a:lnTo>
                <a:lnTo>
                  <a:pt x="609086" y="910910"/>
                </a:lnTo>
                <a:lnTo>
                  <a:pt x="609768" y="911623"/>
                </a:lnTo>
                <a:lnTo>
                  <a:pt x="610449" y="912334"/>
                </a:lnTo>
                <a:lnTo>
                  <a:pt x="611130" y="913046"/>
                </a:lnTo>
                <a:lnTo>
                  <a:pt x="611812" y="913756"/>
                </a:lnTo>
                <a:lnTo>
                  <a:pt x="612493" y="914466"/>
                </a:lnTo>
                <a:lnTo>
                  <a:pt x="613174" y="915175"/>
                </a:lnTo>
                <a:lnTo>
                  <a:pt x="613856" y="915883"/>
                </a:lnTo>
                <a:lnTo>
                  <a:pt x="614537" y="916591"/>
                </a:lnTo>
                <a:lnTo>
                  <a:pt x="615218" y="917298"/>
                </a:lnTo>
                <a:lnTo>
                  <a:pt x="615900" y="918004"/>
                </a:lnTo>
                <a:lnTo>
                  <a:pt x="616581" y="918710"/>
                </a:lnTo>
                <a:lnTo>
                  <a:pt x="617262" y="919415"/>
                </a:lnTo>
                <a:lnTo>
                  <a:pt x="617943" y="920119"/>
                </a:lnTo>
                <a:lnTo>
                  <a:pt x="618625" y="920823"/>
                </a:lnTo>
                <a:lnTo>
                  <a:pt x="619306" y="921526"/>
                </a:lnTo>
                <a:lnTo>
                  <a:pt x="619987" y="922228"/>
                </a:lnTo>
                <a:lnTo>
                  <a:pt x="620669" y="922930"/>
                </a:lnTo>
                <a:lnTo>
                  <a:pt x="621350" y="923631"/>
                </a:lnTo>
                <a:lnTo>
                  <a:pt x="622031" y="924331"/>
                </a:lnTo>
                <a:lnTo>
                  <a:pt x="622713" y="925031"/>
                </a:lnTo>
                <a:lnTo>
                  <a:pt x="623394" y="925730"/>
                </a:lnTo>
                <a:lnTo>
                  <a:pt x="624075" y="926428"/>
                </a:lnTo>
                <a:lnTo>
                  <a:pt x="624757" y="927126"/>
                </a:lnTo>
                <a:lnTo>
                  <a:pt x="625438" y="927823"/>
                </a:lnTo>
                <a:lnTo>
                  <a:pt x="626119" y="928519"/>
                </a:lnTo>
                <a:lnTo>
                  <a:pt x="626800" y="929215"/>
                </a:lnTo>
                <a:lnTo>
                  <a:pt x="627482" y="929910"/>
                </a:lnTo>
                <a:lnTo>
                  <a:pt x="628163" y="930604"/>
                </a:lnTo>
                <a:lnTo>
                  <a:pt x="628844" y="931298"/>
                </a:lnTo>
                <a:lnTo>
                  <a:pt x="629526" y="931991"/>
                </a:lnTo>
                <a:lnTo>
                  <a:pt x="630207" y="932683"/>
                </a:lnTo>
                <a:lnTo>
                  <a:pt x="630888" y="933375"/>
                </a:lnTo>
                <a:lnTo>
                  <a:pt x="631570" y="934066"/>
                </a:lnTo>
                <a:lnTo>
                  <a:pt x="632251" y="934756"/>
                </a:lnTo>
                <a:lnTo>
                  <a:pt x="632932" y="935446"/>
                </a:lnTo>
                <a:lnTo>
                  <a:pt x="633613" y="936135"/>
                </a:lnTo>
                <a:lnTo>
                  <a:pt x="634295" y="936823"/>
                </a:lnTo>
                <a:lnTo>
                  <a:pt x="634976" y="937511"/>
                </a:lnTo>
                <a:lnTo>
                  <a:pt x="635657" y="938198"/>
                </a:lnTo>
                <a:lnTo>
                  <a:pt x="636339" y="938884"/>
                </a:lnTo>
                <a:lnTo>
                  <a:pt x="637020" y="939570"/>
                </a:lnTo>
                <a:lnTo>
                  <a:pt x="637701" y="940255"/>
                </a:lnTo>
                <a:lnTo>
                  <a:pt x="638383" y="940940"/>
                </a:lnTo>
                <a:lnTo>
                  <a:pt x="639064" y="941623"/>
                </a:lnTo>
                <a:lnTo>
                  <a:pt x="639745" y="942306"/>
                </a:lnTo>
                <a:lnTo>
                  <a:pt x="640427" y="942989"/>
                </a:lnTo>
                <a:lnTo>
                  <a:pt x="641108" y="943671"/>
                </a:lnTo>
                <a:lnTo>
                  <a:pt x="641789" y="944352"/>
                </a:lnTo>
                <a:lnTo>
                  <a:pt x="642470" y="945032"/>
                </a:lnTo>
                <a:lnTo>
                  <a:pt x="643152" y="945712"/>
                </a:lnTo>
                <a:lnTo>
                  <a:pt x="643833" y="946391"/>
                </a:lnTo>
                <a:lnTo>
                  <a:pt x="644514" y="947070"/>
                </a:lnTo>
                <a:lnTo>
                  <a:pt x="645196" y="947747"/>
                </a:lnTo>
                <a:lnTo>
                  <a:pt x="645877" y="948425"/>
                </a:lnTo>
                <a:lnTo>
                  <a:pt x="646558" y="949101"/>
                </a:lnTo>
                <a:lnTo>
                  <a:pt x="647240" y="949777"/>
                </a:lnTo>
                <a:lnTo>
                  <a:pt x="647921" y="950452"/>
                </a:lnTo>
                <a:lnTo>
                  <a:pt x="648602" y="951127"/>
                </a:lnTo>
                <a:lnTo>
                  <a:pt x="649283" y="951801"/>
                </a:lnTo>
                <a:lnTo>
                  <a:pt x="649965" y="952474"/>
                </a:lnTo>
                <a:lnTo>
                  <a:pt x="650646" y="953146"/>
                </a:lnTo>
                <a:lnTo>
                  <a:pt x="651327" y="953818"/>
                </a:lnTo>
                <a:lnTo>
                  <a:pt x="652009" y="954490"/>
                </a:lnTo>
                <a:lnTo>
                  <a:pt x="652690" y="955160"/>
                </a:lnTo>
                <a:lnTo>
                  <a:pt x="653371" y="955830"/>
                </a:lnTo>
                <a:lnTo>
                  <a:pt x="654053" y="956499"/>
                </a:lnTo>
                <a:lnTo>
                  <a:pt x="654734" y="957168"/>
                </a:lnTo>
                <a:lnTo>
                  <a:pt x="655415" y="957836"/>
                </a:lnTo>
                <a:lnTo>
                  <a:pt x="656097" y="958503"/>
                </a:lnTo>
                <a:lnTo>
                  <a:pt x="656778" y="959170"/>
                </a:lnTo>
                <a:lnTo>
                  <a:pt x="657459" y="959836"/>
                </a:lnTo>
                <a:lnTo>
                  <a:pt x="658140" y="960502"/>
                </a:lnTo>
                <a:lnTo>
                  <a:pt x="658822" y="961166"/>
                </a:lnTo>
                <a:lnTo>
                  <a:pt x="659503" y="961830"/>
                </a:lnTo>
                <a:lnTo>
                  <a:pt x="660184" y="962494"/>
                </a:lnTo>
                <a:lnTo>
                  <a:pt x="660866" y="963157"/>
                </a:lnTo>
                <a:lnTo>
                  <a:pt x="661547" y="963819"/>
                </a:lnTo>
                <a:lnTo>
                  <a:pt x="662228" y="964480"/>
                </a:lnTo>
                <a:lnTo>
                  <a:pt x="662910" y="965141"/>
                </a:lnTo>
                <a:lnTo>
                  <a:pt x="663591" y="965801"/>
                </a:lnTo>
                <a:lnTo>
                  <a:pt x="664272" y="966461"/>
                </a:lnTo>
                <a:lnTo>
                  <a:pt x="664954" y="967120"/>
                </a:lnTo>
                <a:lnTo>
                  <a:pt x="665635" y="967778"/>
                </a:lnTo>
                <a:lnTo>
                  <a:pt x="666316" y="968435"/>
                </a:lnTo>
                <a:lnTo>
                  <a:pt x="666997" y="969092"/>
                </a:lnTo>
                <a:lnTo>
                  <a:pt x="667679" y="969748"/>
                </a:lnTo>
                <a:lnTo>
                  <a:pt x="668360" y="970404"/>
                </a:lnTo>
                <a:lnTo>
                  <a:pt x="669041" y="971059"/>
                </a:lnTo>
                <a:lnTo>
                  <a:pt x="669723" y="971713"/>
                </a:lnTo>
                <a:lnTo>
                  <a:pt x="670404" y="972367"/>
                </a:lnTo>
                <a:lnTo>
                  <a:pt x="671085" y="973020"/>
                </a:lnTo>
                <a:lnTo>
                  <a:pt x="671767" y="973672"/>
                </a:lnTo>
                <a:lnTo>
                  <a:pt x="672448" y="974324"/>
                </a:lnTo>
                <a:lnTo>
                  <a:pt x="673129" y="974975"/>
                </a:lnTo>
                <a:lnTo>
                  <a:pt x="673810" y="975626"/>
                </a:lnTo>
                <a:lnTo>
                  <a:pt x="674492" y="976276"/>
                </a:lnTo>
                <a:lnTo>
                  <a:pt x="675173" y="976925"/>
                </a:lnTo>
                <a:lnTo>
                  <a:pt x="675854" y="977573"/>
                </a:lnTo>
                <a:lnTo>
                  <a:pt x="676536" y="978221"/>
                </a:lnTo>
                <a:lnTo>
                  <a:pt x="677217" y="978868"/>
                </a:lnTo>
                <a:lnTo>
                  <a:pt x="677898" y="979515"/>
                </a:lnTo>
                <a:lnTo>
                  <a:pt x="678580" y="980161"/>
                </a:lnTo>
                <a:lnTo>
                  <a:pt x="679261" y="980806"/>
                </a:lnTo>
                <a:lnTo>
                  <a:pt x="679942" y="981451"/>
                </a:lnTo>
                <a:lnTo>
                  <a:pt x="680624" y="982095"/>
                </a:lnTo>
                <a:lnTo>
                  <a:pt x="681305" y="982738"/>
                </a:lnTo>
                <a:lnTo>
                  <a:pt x="681305" y="1465009"/>
                </a:lnTo>
                <a:close/>
              </a:path>
            </a:pathLst>
          </a:custGeom>
          <a:solidFill>
            <a:srgbClr val="B3B3B3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9" name="pg130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5179359" y="3333014"/>
            <a:ext cx="424731" cy="893629"/>
          </a:xfrm>
          <a:custGeom>
            <a:avLst/>
            <a:gdLst/>
            <a:ahLst/>
            <a:cxnLst/>
            <a:rect l="0" t="0" r="0" b="0"/>
            <a:pathLst>
              <a:path w="681305" h="1465009">
                <a:moveTo>
                  <a:pt x="0" y="1465009"/>
                </a:moveTo>
                <a:lnTo>
                  <a:pt x="0" y="982738"/>
                </a:lnTo>
                <a:lnTo>
                  <a:pt x="681" y="982095"/>
                </a:lnTo>
                <a:lnTo>
                  <a:pt x="1362" y="981451"/>
                </a:lnTo>
                <a:lnTo>
                  <a:pt x="2043" y="980806"/>
                </a:lnTo>
                <a:lnTo>
                  <a:pt x="2725" y="980161"/>
                </a:lnTo>
                <a:lnTo>
                  <a:pt x="3406" y="979515"/>
                </a:lnTo>
                <a:lnTo>
                  <a:pt x="4087" y="978868"/>
                </a:lnTo>
                <a:lnTo>
                  <a:pt x="4769" y="978221"/>
                </a:lnTo>
                <a:lnTo>
                  <a:pt x="5450" y="977573"/>
                </a:lnTo>
                <a:lnTo>
                  <a:pt x="6131" y="976925"/>
                </a:lnTo>
                <a:lnTo>
                  <a:pt x="6813" y="976276"/>
                </a:lnTo>
                <a:lnTo>
                  <a:pt x="7494" y="975626"/>
                </a:lnTo>
                <a:lnTo>
                  <a:pt x="8175" y="974975"/>
                </a:lnTo>
                <a:lnTo>
                  <a:pt x="8856" y="974324"/>
                </a:lnTo>
                <a:lnTo>
                  <a:pt x="9538" y="973672"/>
                </a:lnTo>
                <a:lnTo>
                  <a:pt x="10219" y="973020"/>
                </a:lnTo>
                <a:lnTo>
                  <a:pt x="10900" y="972367"/>
                </a:lnTo>
                <a:lnTo>
                  <a:pt x="11582" y="971713"/>
                </a:lnTo>
                <a:lnTo>
                  <a:pt x="12263" y="971059"/>
                </a:lnTo>
                <a:lnTo>
                  <a:pt x="12944" y="970404"/>
                </a:lnTo>
                <a:lnTo>
                  <a:pt x="13626" y="969748"/>
                </a:lnTo>
                <a:lnTo>
                  <a:pt x="14307" y="969092"/>
                </a:lnTo>
                <a:lnTo>
                  <a:pt x="14988" y="968435"/>
                </a:lnTo>
                <a:lnTo>
                  <a:pt x="15670" y="967778"/>
                </a:lnTo>
                <a:lnTo>
                  <a:pt x="16351" y="967120"/>
                </a:lnTo>
                <a:lnTo>
                  <a:pt x="17032" y="966461"/>
                </a:lnTo>
                <a:lnTo>
                  <a:pt x="17713" y="965801"/>
                </a:lnTo>
                <a:lnTo>
                  <a:pt x="18395" y="965141"/>
                </a:lnTo>
                <a:lnTo>
                  <a:pt x="19076" y="964480"/>
                </a:lnTo>
                <a:lnTo>
                  <a:pt x="19757" y="963819"/>
                </a:lnTo>
                <a:lnTo>
                  <a:pt x="20439" y="963157"/>
                </a:lnTo>
                <a:lnTo>
                  <a:pt x="21120" y="962494"/>
                </a:lnTo>
                <a:lnTo>
                  <a:pt x="21801" y="961830"/>
                </a:lnTo>
                <a:lnTo>
                  <a:pt x="22483" y="961166"/>
                </a:lnTo>
                <a:lnTo>
                  <a:pt x="23164" y="960502"/>
                </a:lnTo>
                <a:lnTo>
                  <a:pt x="23845" y="959836"/>
                </a:lnTo>
                <a:lnTo>
                  <a:pt x="24526" y="959170"/>
                </a:lnTo>
                <a:lnTo>
                  <a:pt x="25208" y="958503"/>
                </a:lnTo>
                <a:lnTo>
                  <a:pt x="25889" y="957836"/>
                </a:lnTo>
                <a:lnTo>
                  <a:pt x="26570" y="957168"/>
                </a:lnTo>
                <a:lnTo>
                  <a:pt x="27252" y="956499"/>
                </a:lnTo>
                <a:lnTo>
                  <a:pt x="27933" y="955830"/>
                </a:lnTo>
                <a:lnTo>
                  <a:pt x="28614" y="955160"/>
                </a:lnTo>
                <a:lnTo>
                  <a:pt x="29296" y="954490"/>
                </a:lnTo>
                <a:lnTo>
                  <a:pt x="29977" y="953818"/>
                </a:lnTo>
                <a:lnTo>
                  <a:pt x="30658" y="953146"/>
                </a:lnTo>
                <a:lnTo>
                  <a:pt x="31340" y="952474"/>
                </a:lnTo>
                <a:lnTo>
                  <a:pt x="32021" y="951801"/>
                </a:lnTo>
                <a:lnTo>
                  <a:pt x="32702" y="951127"/>
                </a:lnTo>
                <a:lnTo>
                  <a:pt x="33383" y="950452"/>
                </a:lnTo>
                <a:lnTo>
                  <a:pt x="34065" y="949777"/>
                </a:lnTo>
                <a:lnTo>
                  <a:pt x="34746" y="949101"/>
                </a:lnTo>
                <a:lnTo>
                  <a:pt x="35427" y="948425"/>
                </a:lnTo>
                <a:lnTo>
                  <a:pt x="36109" y="947747"/>
                </a:lnTo>
                <a:lnTo>
                  <a:pt x="36790" y="947070"/>
                </a:lnTo>
                <a:lnTo>
                  <a:pt x="37471" y="946391"/>
                </a:lnTo>
                <a:lnTo>
                  <a:pt x="38153" y="945712"/>
                </a:lnTo>
                <a:lnTo>
                  <a:pt x="38834" y="945032"/>
                </a:lnTo>
                <a:lnTo>
                  <a:pt x="39515" y="944352"/>
                </a:lnTo>
                <a:lnTo>
                  <a:pt x="40197" y="943671"/>
                </a:lnTo>
                <a:lnTo>
                  <a:pt x="40878" y="942989"/>
                </a:lnTo>
                <a:lnTo>
                  <a:pt x="41559" y="942306"/>
                </a:lnTo>
                <a:lnTo>
                  <a:pt x="42240" y="941623"/>
                </a:lnTo>
                <a:lnTo>
                  <a:pt x="42922" y="940940"/>
                </a:lnTo>
                <a:lnTo>
                  <a:pt x="43603" y="940255"/>
                </a:lnTo>
                <a:lnTo>
                  <a:pt x="44284" y="939570"/>
                </a:lnTo>
                <a:lnTo>
                  <a:pt x="44966" y="938884"/>
                </a:lnTo>
                <a:lnTo>
                  <a:pt x="45647" y="938198"/>
                </a:lnTo>
                <a:lnTo>
                  <a:pt x="46328" y="937511"/>
                </a:lnTo>
                <a:lnTo>
                  <a:pt x="47010" y="936823"/>
                </a:lnTo>
                <a:lnTo>
                  <a:pt x="47691" y="936135"/>
                </a:lnTo>
                <a:lnTo>
                  <a:pt x="48372" y="935446"/>
                </a:lnTo>
                <a:lnTo>
                  <a:pt x="49053" y="934756"/>
                </a:lnTo>
                <a:lnTo>
                  <a:pt x="49735" y="934066"/>
                </a:lnTo>
                <a:lnTo>
                  <a:pt x="50416" y="933375"/>
                </a:lnTo>
                <a:lnTo>
                  <a:pt x="51097" y="932683"/>
                </a:lnTo>
                <a:lnTo>
                  <a:pt x="51779" y="931991"/>
                </a:lnTo>
                <a:lnTo>
                  <a:pt x="52460" y="931298"/>
                </a:lnTo>
                <a:lnTo>
                  <a:pt x="53141" y="930604"/>
                </a:lnTo>
                <a:lnTo>
                  <a:pt x="53823" y="929910"/>
                </a:lnTo>
                <a:lnTo>
                  <a:pt x="54504" y="929215"/>
                </a:lnTo>
                <a:lnTo>
                  <a:pt x="55185" y="928519"/>
                </a:lnTo>
                <a:lnTo>
                  <a:pt x="55867" y="927823"/>
                </a:lnTo>
                <a:lnTo>
                  <a:pt x="56548" y="927126"/>
                </a:lnTo>
                <a:lnTo>
                  <a:pt x="57229" y="926428"/>
                </a:lnTo>
                <a:lnTo>
                  <a:pt x="57910" y="925730"/>
                </a:lnTo>
                <a:lnTo>
                  <a:pt x="58592" y="925031"/>
                </a:lnTo>
                <a:lnTo>
                  <a:pt x="59273" y="924331"/>
                </a:lnTo>
                <a:lnTo>
                  <a:pt x="59954" y="923631"/>
                </a:lnTo>
                <a:lnTo>
                  <a:pt x="60636" y="922930"/>
                </a:lnTo>
                <a:lnTo>
                  <a:pt x="61317" y="922228"/>
                </a:lnTo>
                <a:lnTo>
                  <a:pt x="61998" y="921526"/>
                </a:lnTo>
                <a:lnTo>
                  <a:pt x="62680" y="920823"/>
                </a:lnTo>
                <a:lnTo>
                  <a:pt x="63361" y="920119"/>
                </a:lnTo>
                <a:lnTo>
                  <a:pt x="64042" y="919415"/>
                </a:lnTo>
                <a:lnTo>
                  <a:pt x="64724" y="918710"/>
                </a:lnTo>
                <a:lnTo>
                  <a:pt x="65405" y="918004"/>
                </a:lnTo>
                <a:lnTo>
                  <a:pt x="66086" y="917298"/>
                </a:lnTo>
                <a:lnTo>
                  <a:pt x="66767" y="916591"/>
                </a:lnTo>
                <a:lnTo>
                  <a:pt x="67449" y="915883"/>
                </a:lnTo>
                <a:lnTo>
                  <a:pt x="68130" y="915175"/>
                </a:lnTo>
                <a:lnTo>
                  <a:pt x="68811" y="914466"/>
                </a:lnTo>
                <a:lnTo>
                  <a:pt x="69493" y="913756"/>
                </a:lnTo>
                <a:lnTo>
                  <a:pt x="70174" y="913046"/>
                </a:lnTo>
                <a:lnTo>
                  <a:pt x="70855" y="912334"/>
                </a:lnTo>
                <a:lnTo>
                  <a:pt x="71537" y="911623"/>
                </a:lnTo>
                <a:lnTo>
                  <a:pt x="72218" y="910910"/>
                </a:lnTo>
                <a:lnTo>
                  <a:pt x="72899" y="910197"/>
                </a:lnTo>
                <a:lnTo>
                  <a:pt x="73580" y="909484"/>
                </a:lnTo>
                <a:lnTo>
                  <a:pt x="74262" y="908769"/>
                </a:lnTo>
                <a:lnTo>
                  <a:pt x="74943" y="908054"/>
                </a:lnTo>
                <a:lnTo>
                  <a:pt x="75624" y="907339"/>
                </a:lnTo>
                <a:lnTo>
                  <a:pt x="76306" y="906622"/>
                </a:lnTo>
                <a:lnTo>
                  <a:pt x="76987" y="905905"/>
                </a:lnTo>
                <a:lnTo>
                  <a:pt x="77668" y="905187"/>
                </a:lnTo>
                <a:lnTo>
                  <a:pt x="78350" y="904469"/>
                </a:lnTo>
                <a:lnTo>
                  <a:pt x="79031" y="903750"/>
                </a:lnTo>
                <a:lnTo>
                  <a:pt x="79712" y="903030"/>
                </a:lnTo>
                <a:lnTo>
                  <a:pt x="80394" y="902310"/>
                </a:lnTo>
                <a:lnTo>
                  <a:pt x="81075" y="901589"/>
                </a:lnTo>
                <a:lnTo>
                  <a:pt x="81756" y="900867"/>
                </a:lnTo>
                <a:lnTo>
                  <a:pt x="82437" y="900144"/>
                </a:lnTo>
                <a:lnTo>
                  <a:pt x="83119" y="899421"/>
                </a:lnTo>
                <a:lnTo>
                  <a:pt x="83800" y="898698"/>
                </a:lnTo>
                <a:lnTo>
                  <a:pt x="84481" y="897973"/>
                </a:lnTo>
                <a:lnTo>
                  <a:pt x="85163" y="897248"/>
                </a:lnTo>
                <a:lnTo>
                  <a:pt x="85844" y="896522"/>
                </a:lnTo>
                <a:lnTo>
                  <a:pt x="86525" y="895796"/>
                </a:lnTo>
                <a:lnTo>
                  <a:pt x="87207" y="895069"/>
                </a:lnTo>
                <a:lnTo>
                  <a:pt x="87888" y="894341"/>
                </a:lnTo>
                <a:lnTo>
                  <a:pt x="88569" y="893612"/>
                </a:lnTo>
                <a:lnTo>
                  <a:pt x="89251" y="892883"/>
                </a:lnTo>
                <a:lnTo>
                  <a:pt x="89932" y="892153"/>
                </a:lnTo>
                <a:lnTo>
                  <a:pt x="90613" y="891423"/>
                </a:lnTo>
                <a:lnTo>
                  <a:pt x="91294" y="890691"/>
                </a:lnTo>
                <a:lnTo>
                  <a:pt x="91976" y="889960"/>
                </a:lnTo>
                <a:lnTo>
                  <a:pt x="92657" y="889227"/>
                </a:lnTo>
                <a:lnTo>
                  <a:pt x="93338" y="888494"/>
                </a:lnTo>
                <a:lnTo>
                  <a:pt x="94020" y="887760"/>
                </a:lnTo>
                <a:lnTo>
                  <a:pt x="94701" y="887025"/>
                </a:lnTo>
                <a:lnTo>
                  <a:pt x="95382" y="886290"/>
                </a:lnTo>
                <a:lnTo>
                  <a:pt x="96064" y="885554"/>
                </a:lnTo>
                <a:lnTo>
                  <a:pt x="96745" y="884817"/>
                </a:lnTo>
                <a:lnTo>
                  <a:pt x="97426" y="884080"/>
                </a:lnTo>
                <a:lnTo>
                  <a:pt x="98107" y="883342"/>
                </a:lnTo>
                <a:lnTo>
                  <a:pt x="98789" y="882603"/>
                </a:lnTo>
                <a:lnTo>
                  <a:pt x="99470" y="881864"/>
                </a:lnTo>
                <a:lnTo>
                  <a:pt x="100151" y="881124"/>
                </a:lnTo>
                <a:lnTo>
                  <a:pt x="100833" y="880383"/>
                </a:lnTo>
                <a:lnTo>
                  <a:pt x="101514" y="879642"/>
                </a:lnTo>
                <a:lnTo>
                  <a:pt x="102195" y="878900"/>
                </a:lnTo>
                <a:lnTo>
                  <a:pt x="102877" y="878157"/>
                </a:lnTo>
                <a:lnTo>
                  <a:pt x="103558" y="877414"/>
                </a:lnTo>
                <a:lnTo>
                  <a:pt x="104239" y="876670"/>
                </a:lnTo>
                <a:lnTo>
                  <a:pt x="104921" y="875925"/>
                </a:lnTo>
                <a:lnTo>
                  <a:pt x="105602" y="875179"/>
                </a:lnTo>
                <a:lnTo>
                  <a:pt x="106283" y="874433"/>
                </a:lnTo>
                <a:lnTo>
                  <a:pt x="106964" y="873686"/>
                </a:lnTo>
                <a:lnTo>
                  <a:pt x="107646" y="872939"/>
                </a:lnTo>
                <a:lnTo>
                  <a:pt x="108327" y="872191"/>
                </a:lnTo>
                <a:lnTo>
                  <a:pt x="109008" y="871442"/>
                </a:lnTo>
                <a:lnTo>
                  <a:pt x="109690" y="870692"/>
                </a:lnTo>
                <a:lnTo>
                  <a:pt x="110371" y="869942"/>
                </a:lnTo>
                <a:lnTo>
                  <a:pt x="111052" y="869191"/>
                </a:lnTo>
                <a:lnTo>
                  <a:pt x="111734" y="868439"/>
                </a:lnTo>
                <a:lnTo>
                  <a:pt x="112415" y="867687"/>
                </a:lnTo>
                <a:lnTo>
                  <a:pt x="113096" y="866934"/>
                </a:lnTo>
                <a:lnTo>
                  <a:pt x="113777" y="866181"/>
                </a:lnTo>
                <a:lnTo>
                  <a:pt x="114459" y="865426"/>
                </a:lnTo>
                <a:lnTo>
                  <a:pt x="115140" y="864671"/>
                </a:lnTo>
                <a:lnTo>
                  <a:pt x="115821" y="863915"/>
                </a:lnTo>
                <a:lnTo>
                  <a:pt x="116503" y="863159"/>
                </a:lnTo>
                <a:lnTo>
                  <a:pt x="117184" y="862402"/>
                </a:lnTo>
                <a:lnTo>
                  <a:pt x="117865" y="861644"/>
                </a:lnTo>
                <a:lnTo>
                  <a:pt x="118547" y="860886"/>
                </a:lnTo>
                <a:lnTo>
                  <a:pt x="119228" y="860127"/>
                </a:lnTo>
                <a:lnTo>
                  <a:pt x="119909" y="859367"/>
                </a:lnTo>
                <a:lnTo>
                  <a:pt x="120591" y="858606"/>
                </a:lnTo>
                <a:lnTo>
                  <a:pt x="121272" y="857845"/>
                </a:lnTo>
                <a:lnTo>
                  <a:pt x="121953" y="857083"/>
                </a:lnTo>
                <a:lnTo>
                  <a:pt x="122634" y="856321"/>
                </a:lnTo>
                <a:lnTo>
                  <a:pt x="123316" y="855558"/>
                </a:lnTo>
                <a:lnTo>
                  <a:pt x="123997" y="854794"/>
                </a:lnTo>
                <a:lnTo>
                  <a:pt x="124678" y="854029"/>
                </a:lnTo>
                <a:lnTo>
                  <a:pt x="125360" y="853264"/>
                </a:lnTo>
                <a:lnTo>
                  <a:pt x="126041" y="852498"/>
                </a:lnTo>
                <a:lnTo>
                  <a:pt x="126722" y="851731"/>
                </a:lnTo>
                <a:lnTo>
                  <a:pt x="127404" y="850964"/>
                </a:lnTo>
                <a:lnTo>
                  <a:pt x="128085" y="850196"/>
                </a:lnTo>
                <a:lnTo>
                  <a:pt x="128766" y="849427"/>
                </a:lnTo>
                <a:lnTo>
                  <a:pt x="129448" y="848658"/>
                </a:lnTo>
                <a:lnTo>
                  <a:pt x="130129" y="847888"/>
                </a:lnTo>
                <a:lnTo>
                  <a:pt x="130810" y="847117"/>
                </a:lnTo>
                <a:lnTo>
                  <a:pt x="131491" y="846345"/>
                </a:lnTo>
                <a:lnTo>
                  <a:pt x="132173" y="845573"/>
                </a:lnTo>
                <a:lnTo>
                  <a:pt x="132854" y="844800"/>
                </a:lnTo>
                <a:lnTo>
                  <a:pt x="133535" y="844027"/>
                </a:lnTo>
                <a:lnTo>
                  <a:pt x="134217" y="843253"/>
                </a:lnTo>
                <a:lnTo>
                  <a:pt x="134898" y="842478"/>
                </a:lnTo>
                <a:lnTo>
                  <a:pt x="135579" y="841702"/>
                </a:lnTo>
                <a:lnTo>
                  <a:pt x="136261" y="840926"/>
                </a:lnTo>
                <a:lnTo>
                  <a:pt x="136942" y="840149"/>
                </a:lnTo>
                <a:lnTo>
                  <a:pt x="137623" y="839371"/>
                </a:lnTo>
                <a:lnTo>
                  <a:pt x="138304" y="838593"/>
                </a:lnTo>
                <a:lnTo>
                  <a:pt x="138986" y="837814"/>
                </a:lnTo>
                <a:lnTo>
                  <a:pt x="139667" y="837034"/>
                </a:lnTo>
                <a:lnTo>
                  <a:pt x="140348" y="836253"/>
                </a:lnTo>
                <a:lnTo>
                  <a:pt x="141030" y="835472"/>
                </a:lnTo>
                <a:lnTo>
                  <a:pt x="141711" y="834691"/>
                </a:lnTo>
                <a:lnTo>
                  <a:pt x="142392" y="833908"/>
                </a:lnTo>
                <a:lnTo>
                  <a:pt x="143074" y="833125"/>
                </a:lnTo>
                <a:lnTo>
                  <a:pt x="143755" y="832341"/>
                </a:lnTo>
                <a:lnTo>
                  <a:pt x="144436" y="831556"/>
                </a:lnTo>
                <a:lnTo>
                  <a:pt x="145118" y="830771"/>
                </a:lnTo>
                <a:lnTo>
                  <a:pt x="145799" y="829985"/>
                </a:lnTo>
                <a:lnTo>
                  <a:pt x="146480" y="829199"/>
                </a:lnTo>
                <a:lnTo>
                  <a:pt x="147161" y="828411"/>
                </a:lnTo>
                <a:lnTo>
                  <a:pt x="147843" y="827623"/>
                </a:lnTo>
                <a:lnTo>
                  <a:pt x="148524" y="826834"/>
                </a:lnTo>
                <a:lnTo>
                  <a:pt x="149205" y="826045"/>
                </a:lnTo>
                <a:lnTo>
                  <a:pt x="149887" y="825255"/>
                </a:lnTo>
                <a:lnTo>
                  <a:pt x="150568" y="824464"/>
                </a:lnTo>
                <a:lnTo>
                  <a:pt x="151249" y="823673"/>
                </a:lnTo>
                <a:lnTo>
                  <a:pt x="151931" y="822880"/>
                </a:lnTo>
                <a:lnTo>
                  <a:pt x="152612" y="822088"/>
                </a:lnTo>
                <a:lnTo>
                  <a:pt x="153293" y="821294"/>
                </a:lnTo>
                <a:lnTo>
                  <a:pt x="153975" y="820500"/>
                </a:lnTo>
                <a:lnTo>
                  <a:pt x="154656" y="819705"/>
                </a:lnTo>
                <a:lnTo>
                  <a:pt x="155337" y="818909"/>
                </a:lnTo>
                <a:lnTo>
                  <a:pt x="156018" y="818113"/>
                </a:lnTo>
                <a:lnTo>
                  <a:pt x="156700" y="817316"/>
                </a:lnTo>
                <a:lnTo>
                  <a:pt x="157381" y="816518"/>
                </a:lnTo>
                <a:lnTo>
                  <a:pt x="158062" y="815720"/>
                </a:lnTo>
                <a:lnTo>
                  <a:pt x="158744" y="814921"/>
                </a:lnTo>
                <a:lnTo>
                  <a:pt x="159425" y="814121"/>
                </a:lnTo>
                <a:lnTo>
                  <a:pt x="160106" y="813320"/>
                </a:lnTo>
                <a:lnTo>
                  <a:pt x="160788" y="812519"/>
                </a:lnTo>
                <a:lnTo>
                  <a:pt x="161469" y="811717"/>
                </a:lnTo>
                <a:lnTo>
                  <a:pt x="162150" y="810914"/>
                </a:lnTo>
                <a:lnTo>
                  <a:pt x="162831" y="810111"/>
                </a:lnTo>
                <a:lnTo>
                  <a:pt x="163513" y="809307"/>
                </a:lnTo>
                <a:lnTo>
                  <a:pt x="164194" y="808503"/>
                </a:lnTo>
                <a:lnTo>
                  <a:pt x="164875" y="807697"/>
                </a:lnTo>
                <a:lnTo>
                  <a:pt x="165557" y="806891"/>
                </a:lnTo>
                <a:lnTo>
                  <a:pt x="166238" y="806084"/>
                </a:lnTo>
                <a:lnTo>
                  <a:pt x="166919" y="805277"/>
                </a:lnTo>
                <a:lnTo>
                  <a:pt x="167601" y="804469"/>
                </a:lnTo>
                <a:lnTo>
                  <a:pt x="168282" y="803660"/>
                </a:lnTo>
                <a:lnTo>
                  <a:pt x="168963" y="802850"/>
                </a:lnTo>
                <a:lnTo>
                  <a:pt x="169645" y="802040"/>
                </a:lnTo>
                <a:lnTo>
                  <a:pt x="170326" y="801229"/>
                </a:lnTo>
                <a:lnTo>
                  <a:pt x="171007" y="800418"/>
                </a:lnTo>
                <a:lnTo>
                  <a:pt x="171688" y="799605"/>
                </a:lnTo>
                <a:lnTo>
                  <a:pt x="172370" y="798792"/>
                </a:lnTo>
                <a:lnTo>
                  <a:pt x="173051" y="797978"/>
                </a:lnTo>
                <a:lnTo>
                  <a:pt x="173732" y="797164"/>
                </a:lnTo>
                <a:lnTo>
                  <a:pt x="174414" y="796349"/>
                </a:lnTo>
                <a:lnTo>
                  <a:pt x="175095" y="795533"/>
                </a:lnTo>
                <a:lnTo>
                  <a:pt x="175776" y="794717"/>
                </a:lnTo>
                <a:lnTo>
                  <a:pt x="176458" y="793899"/>
                </a:lnTo>
                <a:lnTo>
                  <a:pt x="177139" y="793081"/>
                </a:lnTo>
                <a:lnTo>
                  <a:pt x="177820" y="792263"/>
                </a:lnTo>
                <a:lnTo>
                  <a:pt x="178502" y="791444"/>
                </a:lnTo>
                <a:lnTo>
                  <a:pt x="179183" y="790624"/>
                </a:lnTo>
                <a:lnTo>
                  <a:pt x="179864" y="789803"/>
                </a:lnTo>
                <a:lnTo>
                  <a:pt x="180545" y="788981"/>
                </a:lnTo>
                <a:lnTo>
                  <a:pt x="181227" y="788159"/>
                </a:lnTo>
                <a:lnTo>
                  <a:pt x="181908" y="787337"/>
                </a:lnTo>
                <a:lnTo>
                  <a:pt x="182589" y="786513"/>
                </a:lnTo>
                <a:lnTo>
                  <a:pt x="183271" y="785689"/>
                </a:lnTo>
                <a:lnTo>
                  <a:pt x="183952" y="784864"/>
                </a:lnTo>
                <a:lnTo>
                  <a:pt x="184633" y="784038"/>
                </a:lnTo>
                <a:lnTo>
                  <a:pt x="185315" y="783212"/>
                </a:lnTo>
                <a:lnTo>
                  <a:pt x="185996" y="782385"/>
                </a:lnTo>
                <a:lnTo>
                  <a:pt x="186677" y="781557"/>
                </a:lnTo>
                <a:lnTo>
                  <a:pt x="187358" y="780729"/>
                </a:lnTo>
                <a:lnTo>
                  <a:pt x="188040" y="779900"/>
                </a:lnTo>
                <a:lnTo>
                  <a:pt x="188721" y="779070"/>
                </a:lnTo>
                <a:lnTo>
                  <a:pt x="189402" y="778240"/>
                </a:lnTo>
                <a:lnTo>
                  <a:pt x="190084" y="777408"/>
                </a:lnTo>
                <a:lnTo>
                  <a:pt x="190765" y="776577"/>
                </a:lnTo>
                <a:lnTo>
                  <a:pt x="191446" y="775744"/>
                </a:lnTo>
                <a:lnTo>
                  <a:pt x="192128" y="774911"/>
                </a:lnTo>
                <a:lnTo>
                  <a:pt x="192809" y="774077"/>
                </a:lnTo>
                <a:lnTo>
                  <a:pt x="193490" y="773242"/>
                </a:lnTo>
                <a:lnTo>
                  <a:pt x="194172" y="772407"/>
                </a:lnTo>
                <a:lnTo>
                  <a:pt x="194853" y="771571"/>
                </a:lnTo>
                <a:lnTo>
                  <a:pt x="195534" y="770734"/>
                </a:lnTo>
                <a:lnTo>
                  <a:pt x="196215" y="769896"/>
                </a:lnTo>
                <a:lnTo>
                  <a:pt x="196897" y="769058"/>
                </a:lnTo>
                <a:lnTo>
                  <a:pt x="197578" y="768219"/>
                </a:lnTo>
                <a:lnTo>
                  <a:pt x="198259" y="767380"/>
                </a:lnTo>
                <a:lnTo>
                  <a:pt x="198941" y="766539"/>
                </a:lnTo>
                <a:lnTo>
                  <a:pt x="199622" y="765698"/>
                </a:lnTo>
                <a:lnTo>
                  <a:pt x="200303" y="764857"/>
                </a:lnTo>
                <a:lnTo>
                  <a:pt x="200985" y="764014"/>
                </a:lnTo>
                <a:lnTo>
                  <a:pt x="201666" y="763171"/>
                </a:lnTo>
                <a:lnTo>
                  <a:pt x="202347" y="762327"/>
                </a:lnTo>
                <a:lnTo>
                  <a:pt x="203028" y="761483"/>
                </a:lnTo>
                <a:lnTo>
                  <a:pt x="203710" y="760638"/>
                </a:lnTo>
                <a:lnTo>
                  <a:pt x="204391" y="759792"/>
                </a:lnTo>
                <a:lnTo>
                  <a:pt x="205072" y="758945"/>
                </a:lnTo>
                <a:lnTo>
                  <a:pt x="205754" y="758098"/>
                </a:lnTo>
                <a:lnTo>
                  <a:pt x="206435" y="757250"/>
                </a:lnTo>
                <a:lnTo>
                  <a:pt x="207116" y="756401"/>
                </a:lnTo>
                <a:lnTo>
                  <a:pt x="207798" y="755552"/>
                </a:lnTo>
                <a:lnTo>
                  <a:pt x="208479" y="754701"/>
                </a:lnTo>
                <a:lnTo>
                  <a:pt x="209160" y="753851"/>
                </a:lnTo>
                <a:lnTo>
                  <a:pt x="209842" y="752999"/>
                </a:lnTo>
                <a:lnTo>
                  <a:pt x="210523" y="752147"/>
                </a:lnTo>
                <a:lnTo>
                  <a:pt x="211204" y="751294"/>
                </a:lnTo>
                <a:lnTo>
                  <a:pt x="211885" y="750440"/>
                </a:lnTo>
                <a:lnTo>
                  <a:pt x="212567" y="749586"/>
                </a:lnTo>
                <a:lnTo>
                  <a:pt x="213248" y="748731"/>
                </a:lnTo>
                <a:lnTo>
                  <a:pt x="213929" y="747875"/>
                </a:lnTo>
                <a:lnTo>
                  <a:pt x="214611" y="747019"/>
                </a:lnTo>
                <a:lnTo>
                  <a:pt x="215292" y="746162"/>
                </a:lnTo>
                <a:lnTo>
                  <a:pt x="215973" y="745304"/>
                </a:lnTo>
                <a:lnTo>
                  <a:pt x="216655" y="744445"/>
                </a:lnTo>
                <a:lnTo>
                  <a:pt x="217336" y="743586"/>
                </a:lnTo>
                <a:lnTo>
                  <a:pt x="218017" y="742726"/>
                </a:lnTo>
                <a:lnTo>
                  <a:pt x="218699" y="741865"/>
                </a:lnTo>
                <a:lnTo>
                  <a:pt x="219380" y="741004"/>
                </a:lnTo>
                <a:lnTo>
                  <a:pt x="220061" y="740142"/>
                </a:lnTo>
                <a:lnTo>
                  <a:pt x="220742" y="739279"/>
                </a:lnTo>
                <a:lnTo>
                  <a:pt x="221424" y="738416"/>
                </a:lnTo>
                <a:lnTo>
                  <a:pt x="222105" y="737551"/>
                </a:lnTo>
                <a:lnTo>
                  <a:pt x="222786" y="736686"/>
                </a:lnTo>
                <a:lnTo>
                  <a:pt x="223468" y="735821"/>
                </a:lnTo>
                <a:lnTo>
                  <a:pt x="224149" y="734955"/>
                </a:lnTo>
                <a:lnTo>
                  <a:pt x="224830" y="734088"/>
                </a:lnTo>
                <a:lnTo>
                  <a:pt x="225512" y="733220"/>
                </a:lnTo>
                <a:lnTo>
                  <a:pt x="226193" y="732351"/>
                </a:lnTo>
                <a:lnTo>
                  <a:pt x="226874" y="731482"/>
                </a:lnTo>
                <a:lnTo>
                  <a:pt x="227555" y="730612"/>
                </a:lnTo>
                <a:lnTo>
                  <a:pt x="228237" y="729742"/>
                </a:lnTo>
                <a:lnTo>
                  <a:pt x="228918" y="728871"/>
                </a:lnTo>
                <a:lnTo>
                  <a:pt x="229599" y="727999"/>
                </a:lnTo>
                <a:lnTo>
                  <a:pt x="230281" y="727126"/>
                </a:lnTo>
                <a:lnTo>
                  <a:pt x="230962" y="726253"/>
                </a:lnTo>
                <a:lnTo>
                  <a:pt x="231643" y="725379"/>
                </a:lnTo>
                <a:lnTo>
                  <a:pt x="232325" y="724504"/>
                </a:lnTo>
                <a:lnTo>
                  <a:pt x="233006" y="723628"/>
                </a:lnTo>
                <a:lnTo>
                  <a:pt x="233687" y="722752"/>
                </a:lnTo>
                <a:lnTo>
                  <a:pt x="234369" y="721875"/>
                </a:lnTo>
                <a:lnTo>
                  <a:pt x="235050" y="720998"/>
                </a:lnTo>
                <a:lnTo>
                  <a:pt x="235731" y="720120"/>
                </a:lnTo>
                <a:lnTo>
                  <a:pt x="236412" y="719241"/>
                </a:lnTo>
                <a:lnTo>
                  <a:pt x="237094" y="718361"/>
                </a:lnTo>
                <a:lnTo>
                  <a:pt x="237775" y="717480"/>
                </a:lnTo>
                <a:lnTo>
                  <a:pt x="238456" y="716599"/>
                </a:lnTo>
                <a:lnTo>
                  <a:pt x="239138" y="715718"/>
                </a:lnTo>
                <a:lnTo>
                  <a:pt x="239819" y="714835"/>
                </a:lnTo>
                <a:lnTo>
                  <a:pt x="240500" y="713952"/>
                </a:lnTo>
                <a:lnTo>
                  <a:pt x="241182" y="713068"/>
                </a:lnTo>
                <a:lnTo>
                  <a:pt x="241863" y="712183"/>
                </a:lnTo>
                <a:lnTo>
                  <a:pt x="242544" y="711298"/>
                </a:lnTo>
                <a:lnTo>
                  <a:pt x="243226" y="710412"/>
                </a:lnTo>
                <a:lnTo>
                  <a:pt x="243907" y="709525"/>
                </a:lnTo>
                <a:lnTo>
                  <a:pt x="244588" y="708638"/>
                </a:lnTo>
                <a:lnTo>
                  <a:pt x="245269" y="707749"/>
                </a:lnTo>
                <a:lnTo>
                  <a:pt x="245951" y="706861"/>
                </a:lnTo>
                <a:lnTo>
                  <a:pt x="246632" y="705971"/>
                </a:lnTo>
                <a:lnTo>
                  <a:pt x="247313" y="705081"/>
                </a:lnTo>
                <a:lnTo>
                  <a:pt x="247995" y="704190"/>
                </a:lnTo>
                <a:lnTo>
                  <a:pt x="248676" y="703298"/>
                </a:lnTo>
                <a:lnTo>
                  <a:pt x="249357" y="702406"/>
                </a:lnTo>
                <a:lnTo>
                  <a:pt x="250039" y="701513"/>
                </a:lnTo>
                <a:lnTo>
                  <a:pt x="250720" y="700619"/>
                </a:lnTo>
                <a:lnTo>
                  <a:pt x="251401" y="699724"/>
                </a:lnTo>
                <a:lnTo>
                  <a:pt x="252082" y="698829"/>
                </a:lnTo>
                <a:lnTo>
                  <a:pt x="252764" y="697933"/>
                </a:lnTo>
                <a:lnTo>
                  <a:pt x="253445" y="697036"/>
                </a:lnTo>
                <a:lnTo>
                  <a:pt x="254126" y="696139"/>
                </a:lnTo>
                <a:lnTo>
                  <a:pt x="254808" y="695241"/>
                </a:lnTo>
                <a:lnTo>
                  <a:pt x="255489" y="694342"/>
                </a:lnTo>
                <a:lnTo>
                  <a:pt x="256170" y="693443"/>
                </a:lnTo>
                <a:lnTo>
                  <a:pt x="256852" y="692543"/>
                </a:lnTo>
                <a:lnTo>
                  <a:pt x="257533" y="691642"/>
                </a:lnTo>
                <a:lnTo>
                  <a:pt x="258214" y="690740"/>
                </a:lnTo>
                <a:lnTo>
                  <a:pt x="258896" y="689838"/>
                </a:lnTo>
                <a:lnTo>
                  <a:pt x="259577" y="688935"/>
                </a:lnTo>
                <a:lnTo>
                  <a:pt x="260258" y="688031"/>
                </a:lnTo>
                <a:lnTo>
                  <a:pt x="260939" y="687127"/>
                </a:lnTo>
                <a:lnTo>
                  <a:pt x="261621" y="686222"/>
                </a:lnTo>
                <a:lnTo>
                  <a:pt x="262302" y="685316"/>
                </a:lnTo>
                <a:lnTo>
                  <a:pt x="262983" y="684409"/>
                </a:lnTo>
                <a:lnTo>
                  <a:pt x="263665" y="683502"/>
                </a:lnTo>
                <a:lnTo>
                  <a:pt x="264346" y="682594"/>
                </a:lnTo>
                <a:lnTo>
                  <a:pt x="265027" y="681685"/>
                </a:lnTo>
                <a:lnTo>
                  <a:pt x="265709" y="680776"/>
                </a:lnTo>
                <a:lnTo>
                  <a:pt x="266390" y="679866"/>
                </a:lnTo>
                <a:lnTo>
                  <a:pt x="267071" y="678955"/>
                </a:lnTo>
                <a:lnTo>
                  <a:pt x="267753" y="678044"/>
                </a:lnTo>
                <a:lnTo>
                  <a:pt x="268434" y="677132"/>
                </a:lnTo>
                <a:lnTo>
                  <a:pt x="269115" y="676219"/>
                </a:lnTo>
                <a:lnTo>
                  <a:pt x="269796" y="675305"/>
                </a:lnTo>
                <a:lnTo>
                  <a:pt x="270478" y="674391"/>
                </a:lnTo>
                <a:lnTo>
                  <a:pt x="271159" y="673476"/>
                </a:lnTo>
                <a:lnTo>
                  <a:pt x="271840" y="672560"/>
                </a:lnTo>
                <a:lnTo>
                  <a:pt x="272522" y="671644"/>
                </a:lnTo>
                <a:lnTo>
                  <a:pt x="273203" y="670727"/>
                </a:lnTo>
                <a:lnTo>
                  <a:pt x="273884" y="669809"/>
                </a:lnTo>
                <a:lnTo>
                  <a:pt x="274566" y="668890"/>
                </a:lnTo>
                <a:lnTo>
                  <a:pt x="275247" y="667971"/>
                </a:lnTo>
                <a:lnTo>
                  <a:pt x="275928" y="667051"/>
                </a:lnTo>
                <a:lnTo>
                  <a:pt x="276609" y="666130"/>
                </a:lnTo>
                <a:lnTo>
                  <a:pt x="277291" y="665209"/>
                </a:lnTo>
                <a:lnTo>
                  <a:pt x="277972" y="664287"/>
                </a:lnTo>
                <a:lnTo>
                  <a:pt x="278653" y="663364"/>
                </a:lnTo>
                <a:lnTo>
                  <a:pt x="279335" y="662441"/>
                </a:lnTo>
                <a:lnTo>
                  <a:pt x="280016" y="661516"/>
                </a:lnTo>
                <a:lnTo>
                  <a:pt x="280697" y="660591"/>
                </a:lnTo>
                <a:lnTo>
                  <a:pt x="281379" y="659666"/>
                </a:lnTo>
                <a:lnTo>
                  <a:pt x="282060" y="658740"/>
                </a:lnTo>
                <a:lnTo>
                  <a:pt x="282741" y="657813"/>
                </a:lnTo>
                <a:lnTo>
                  <a:pt x="283423" y="656885"/>
                </a:lnTo>
                <a:lnTo>
                  <a:pt x="284104" y="655956"/>
                </a:lnTo>
                <a:lnTo>
                  <a:pt x="284785" y="655027"/>
                </a:lnTo>
                <a:lnTo>
                  <a:pt x="285466" y="654097"/>
                </a:lnTo>
                <a:lnTo>
                  <a:pt x="286148" y="653167"/>
                </a:lnTo>
                <a:lnTo>
                  <a:pt x="286829" y="652236"/>
                </a:lnTo>
                <a:lnTo>
                  <a:pt x="287510" y="651304"/>
                </a:lnTo>
                <a:lnTo>
                  <a:pt x="288192" y="650371"/>
                </a:lnTo>
                <a:lnTo>
                  <a:pt x="288873" y="649437"/>
                </a:lnTo>
                <a:lnTo>
                  <a:pt x="289554" y="648503"/>
                </a:lnTo>
                <a:lnTo>
                  <a:pt x="290236" y="647569"/>
                </a:lnTo>
                <a:lnTo>
                  <a:pt x="290917" y="646633"/>
                </a:lnTo>
                <a:lnTo>
                  <a:pt x="291598" y="645697"/>
                </a:lnTo>
                <a:lnTo>
                  <a:pt x="292279" y="644760"/>
                </a:lnTo>
                <a:lnTo>
                  <a:pt x="292961" y="643822"/>
                </a:lnTo>
                <a:lnTo>
                  <a:pt x="293642" y="642884"/>
                </a:lnTo>
                <a:lnTo>
                  <a:pt x="294323" y="641945"/>
                </a:lnTo>
                <a:lnTo>
                  <a:pt x="295005" y="641005"/>
                </a:lnTo>
                <a:lnTo>
                  <a:pt x="295686" y="640065"/>
                </a:lnTo>
                <a:lnTo>
                  <a:pt x="296367" y="639124"/>
                </a:lnTo>
                <a:lnTo>
                  <a:pt x="297049" y="638182"/>
                </a:lnTo>
                <a:lnTo>
                  <a:pt x="297730" y="637239"/>
                </a:lnTo>
                <a:lnTo>
                  <a:pt x="298411" y="636296"/>
                </a:lnTo>
                <a:lnTo>
                  <a:pt x="299093" y="635352"/>
                </a:lnTo>
                <a:lnTo>
                  <a:pt x="299774" y="634407"/>
                </a:lnTo>
                <a:lnTo>
                  <a:pt x="300455" y="633462"/>
                </a:lnTo>
                <a:lnTo>
                  <a:pt x="301136" y="632516"/>
                </a:lnTo>
                <a:lnTo>
                  <a:pt x="301818" y="631569"/>
                </a:lnTo>
                <a:lnTo>
                  <a:pt x="302499" y="630621"/>
                </a:lnTo>
                <a:lnTo>
                  <a:pt x="303180" y="629673"/>
                </a:lnTo>
                <a:lnTo>
                  <a:pt x="303862" y="628724"/>
                </a:lnTo>
                <a:lnTo>
                  <a:pt x="304543" y="627775"/>
                </a:lnTo>
                <a:lnTo>
                  <a:pt x="305224" y="626824"/>
                </a:lnTo>
                <a:lnTo>
                  <a:pt x="305906" y="625873"/>
                </a:lnTo>
                <a:lnTo>
                  <a:pt x="306587" y="624922"/>
                </a:lnTo>
                <a:lnTo>
                  <a:pt x="307268" y="623969"/>
                </a:lnTo>
                <a:lnTo>
                  <a:pt x="307950" y="623016"/>
                </a:lnTo>
                <a:lnTo>
                  <a:pt x="308631" y="622062"/>
                </a:lnTo>
                <a:lnTo>
                  <a:pt x="309312" y="621108"/>
                </a:lnTo>
                <a:lnTo>
                  <a:pt x="309993" y="620152"/>
                </a:lnTo>
                <a:lnTo>
                  <a:pt x="310675" y="619196"/>
                </a:lnTo>
                <a:lnTo>
                  <a:pt x="311356" y="618240"/>
                </a:lnTo>
                <a:lnTo>
                  <a:pt x="312037" y="617282"/>
                </a:lnTo>
                <a:lnTo>
                  <a:pt x="312719" y="616324"/>
                </a:lnTo>
                <a:lnTo>
                  <a:pt x="313400" y="615365"/>
                </a:lnTo>
                <a:lnTo>
                  <a:pt x="314081" y="614406"/>
                </a:lnTo>
                <a:lnTo>
                  <a:pt x="314763" y="613446"/>
                </a:lnTo>
                <a:lnTo>
                  <a:pt x="315444" y="612485"/>
                </a:lnTo>
                <a:lnTo>
                  <a:pt x="316125" y="611523"/>
                </a:lnTo>
                <a:lnTo>
                  <a:pt x="316806" y="610561"/>
                </a:lnTo>
                <a:lnTo>
                  <a:pt x="317488" y="609598"/>
                </a:lnTo>
                <a:lnTo>
                  <a:pt x="318169" y="608634"/>
                </a:lnTo>
                <a:lnTo>
                  <a:pt x="318850" y="607670"/>
                </a:lnTo>
                <a:lnTo>
                  <a:pt x="319532" y="606704"/>
                </a:lnTo>
                <a:lnTo>
                  <a:pt x="320213" y="605739"/>
                </a:lnTo>
                <a:lnTo>
                  <a:pt x="320894" y="604772"/>
                </a:lnTo>
                <a:lnTo>
                  <a:pt x="321576" y="603805"/>
                </a:lnTo>
                <a:lnTo>
                  <a:pt x="322257" y="602837"/>
                </a:lnTo>
                <a:lnTo>
                  <a:pt x="322938" y="601868"/>
                </a:lnTo>
                <a:lnTo>
                  <a:pt x="323620" y="600899"/>
                </a:lnTo>
                <a:lnTo>
                  <a:pt x="324301" y="599929"/>
                </a:lnTo>
                <a:lnTo>
                  <a:pt x="324982" y="598958"/>
                </a:lnTo>
                <a:lnTo>
                  <a:pt x="325663" y="597986"/>
                </a:lnTo>
                <a:lnTo>
                  <a:pt x="326345" y="597014"/>
                </a:lnTo>
                <a:lnTo>
                  <a:pt x="327026" y="596041"/>
                </a:lnTo>
                <a:lnTo>
                  <a:pt x="327707" y="595068"/>
                </a:lnTo>
                <a:lnTo>
                  <a:pt x="328389" y="594093"/>
                </a:lnTo>
                <a:lnTo>
                  <a:pt x="329070" y="593118"/>
                </a:lnTo>
                <a:lnTo>
                  <a:pt x="329751" y="592143"/>
                </a:lnTo>
                <a:lnTo>
                  <a:pt x="330433" y="591166"/>
                </a:lnTo>
                <a:lnTo>
                  <a:pt x="331114" y="590189"/>
                </a:lnTo>
                <a:lnTo>
                  <a:pt x="331795" y="589211"/>
                </a:lnTo>
                <a:lnTo>
                  <a:pt x="332477" y="588233"/>
                </a:lnTo>
                <a:lnTo>
                  <a:pt x="333158" y="587254"/>
                </a:lnTo>
                <a:lnTo>
                  <a:pt x="333839" y="586274"/>
                </a:lnTo>
                <a:lnTo>
                  <a:pt x="334520" y="585293"/>
                </a:lnTo>
                <a:lnTo>
                  <a:pt x="335202" y="584312"/>
                </a:lnTo>
                <a:lnTo>
                  <a:pt x="335883" y="583330"/>
                </a:lnTo>
                <a:lnTo>
                  <a:pt x="336564" y="582347"/>
                </a:lnTo>
                <a:lnTo>
                  <a:pt x="337246" y="581363"/>
                </a:lnTo>
                <a:lnTo>
                  <a:pt x="337927" y="580379"/>
                </a:lnTo>
                <a:lnTo>
                  <a:pt x="338608" y="579394"/>
                </a:lnTo>
                <a:lnTo>
                  <a:pt x="339290" y="578409"/>
                </a:lnTo>
                <a:lnTo>
                  <a:pt x="339971" y="577423"/>
                </a:lnTo>
                <a:lnTo>
                  <a:pt x="340652" y="576436"/>
                </a:lnTo>
                <a:lnTo>
                  <a:pt x="341333" y="575448"/>
                </a:lnTo>
                <a:lnTo>
                  <a:pt x="342015" y="574460"/>
                </a:lnTo>
                <a:lnTo>
                  <a:pt x="342696" y="573471"/>
                </a:lnTo>
                <a:lnTo>
                  <a:pt x="343377" y="572481"/>
                </a:lnTo>
                <a:lnTo>
                  <a:pt x="344059" y="571490"/>
                </a:lnTo>
                <a:lnTo>
                  <a:pt x="344740" y="570499"/>
                </a:lnTo>
                <a:lnTo>
                  <a:pt x="345421" y="569507"/>
                </a:lnTo>
                <a:lnTo>
                  <a:pt x="346103" y="568515"/>
                </a:lnTo>
                <a:lnTo>
                  <a:pt x="346784" y="567522"/>
                </a:lnTo>
                <a:lnTo>
                  <a:pt x="347465" y="566528"/>
                </a:lnTo>
                <a:lnTo>
                  <a:pt x="348147" y="565533"/>
                </a:lnTo>
                <a:lnTo>
                  <a:pt x="348828" y="564538"/>
                </a:lnTo>
                <a:lnTo>
                  <a:pt x="349509" y="563542"/>
                </a:lnTo>
                <a:lnTo>
                  <a:pt x="350190" y="562545"/>
                </a:lnTo>
                <a:lnTo>
                  <a:pt x="350872" y="561547"/>
                </a:lnTo>
                <a:lnTo>
                  <a:pt x="351553" y="560549"/>
                </a:lnTo>
                <a:lnTo>
                  <a:pt x="352234" y="559550"/>
                </a:lnTo>
                <a:lnTo>
                  <a:pt x="352916" y="558551"/>
                </a:lnTo>
                <a:lnTo>
                  <a:pt x="353597" y="557550"/>
                </a:lnTo>
                <a:lnTo>
                  <a:pt x="354278" y="556549"/>
                </a:lnTo>
                <a:lnTo>
                  <a:pt x="354960" y="555548"/>
                </a:lnTo>
                <a:lnTo>
                  <a:pt x="355641" y="554545"/>
                </a:lnTo>
                <a:lnTo>
                  <a:pt x="356322" y="553542"/>
                </a:lnTo>
                <a:lnTo>
                  <a:pt x="357004" y="552539"/>
                </a:lnTo>
                <a:lnTo>
                  <a:pt x="357685" y="551534"/>
                </a:lnTo>
                <a:lnTo>
                  <a:pt x="358366" y="550529"/>
                </a:lnTo>
                <a:lnTo>
                  <a:pt x="359047" y="549523"/>
                </a:lnTo>
                <a:lnTo>
                  <a:pt x="359729" y="548516"/>
                </a:lnTo>
                <a:lnTo>
                  <a:pt x="360410" y="547509"/>
                </a:lnTo>
                <a:lnTo>
                  <a:pt x="361091" y="546501"/>
                </a:lnTo>
                <a:lnTo>
                  <a:pt x="361773" y="545493"/>
                </a:lnTo>
                <a:lnTo>
                  <a:pt x="362454" y="544483"/>
                </a:lnTo>
                <a:lnTo>
                  <a:pt x="363135" y="543473"/>
                </a:lnTo>
                <a:lnTo>
                  <a:pt x="363817" y="542462"/>
                </a:lnTo>
                <a:lnTo>
                  <a:pt x="364498" y="541451"/>
                </a:lnTo>
                <a:lnTo>
                  <a:pt x="365179" y="540439"/>
                </a:lnTo>
                <a:lnTo>
                  <a:pt x="365860" y="539426"/>
                </a:lnTo>
                <a:lnTo>
                  <a:pt x="366542" y="538412"/>
                </a:lnTo>
                <a:lnTo>
                  <a:pt x="367223" y="537398"/>
                </a:lnTo>
                <a:lnTo>
                  <a:pt x="367904" y="536383"/>
                </a:lnTo>
                <a:lnTo>
                  <a:pt x="368586" y="535367"/>
                </a:lnTo>
                <a:lnTo>
                  <a:pt x="369267" y="534351"/>
                </a:lnTo>
                <a:lnTo>
                  <a:pt x="369948" y="533334"/>
                </a:lnTo>
                <a:lnTo>
                  <a:pt x="370630" y="532316"/>
                </a:lnTo>
                <a:lnTo>
                  <a:pt x="371311" y="531298"/>
                </a:lnTo>
                <a:lnTo>
                  <a:pt x="371992" y="530279"/>
                </a:lnTo>
                <a:lnTo>
                  <a:pt x="372674" y="529259"/>
                </a:lnTo>
                <a:lnTo>
                  <a:pt x="373355" y="528238"/>
                </a:lnTo>
                <a:lnTo>
                  <a:pt x="374036" y="527217"/>
                </a:lnTo>
                <a:lnTo>
                  <a:pt x="374717" y="526195"/>
                </a:lnTo>
                <a:lnTo>
                  <a:pt x="375399" y="525173"/>
                </a:lnTo>
                <a:lnTo>
                  <a:pt x="376080" y="524149"/>
                </a:lnTo>
                <a:lnTo>
                  <a:pt x="376761" y="523125"/>
                </a:lnTo>
                <a:lnTo>
                  <a:pt x="377443" y="522101"/>
                </a:lnTo>
                <a:lnTo>
                  <a:pt x="378124" y="521075"/>
                </a:lnTo>
                <a:lnTo>
                  <a:pt x="378805" y="520049"/>
                </a:lnTo>
                <a:lnTo>
                  <a:pt x="379487" y="519022"/>
                </a:lnTo>
                <a:lnTo>
                  <a:pt x="380168" y="517995"/>
                </a:lnTo>
                <a:lnTo>
                  <a:pt x="380849" y="516967"/>
                </a:lnTo>
                <a:lnTo>
                  <a:pt x="381530" y="515938"/>
                </a:lnTo>
                <a:lnTo>
                  <a:pt x="382212" y="514908"/>
                </a:lnTo>
                <a:lnTo>
                  <a:pt x="382893" y="513878"/>
                </a:lnTo>
                <a:lnTo>
                  <a:pt x="383574" y="512847"/>
                </a:lnTo>
                <a:lnTo>
                  <a:pt x="384256" y="511815"/>
                </a:lnTo>
                <a:lnTo>
                  <a:pt x="384937" y="510783"/>
                </a:lnTo>
                <a:lnTo>
                  <a:pt x="385618" y="509750"/>
                </a:lnTo>
                <a:lnTo>
                  <a:pt x="386300" y="508716"/>
                </a:lnTo>
                <a:lnTo>
                  <a:pt x="386981" y="507682"/>
                </a:lnTo>
                <a:lnTo>
                  <a:pt x="387662" y="506647"/>
                </a:lnTo>
                <a:lnTo>
                  <a:pt x="388344" y="505611"/>
                </a:lnTo>
                <a:lnTo>
                  <a:pt x="389025" y="504575"/>
                </a:lnTo>
                <a:lnTo>
                  <a:pt x="389706" y="503537"/>
                </a:lnTo>
                <a:lnTo>
                  <a:pt x="390387" y="502499"/>
                </a:lnTo>
                <a:lnTo>
                  <a:pt x="391069" y="501461"/>
                </a:lnTo>
                <a:lnTo>
                  <a:pt x="391750" y="500422"/>
                </a:lnTo>
                <a:lnTo>
                  <a:pt x="392431" y="499382"/>
                </a:lnTo>
                <a:lnTo>
                  <a:pt x="393113" y="498341"/>
                </a:lnTo>
                <a:lnTo>
                  <a:pt x="393794" y="497300"/>
                </a:lnTo>
                <a:lnTo>
                  <a:pt x="394475" y="496258"/>
                </a:lnTo>
                <a:lnTo>
                  <a:pt x="395157" y="495215"/>
                </a:lnTo>
                <a:lnTo>
                  <a:pt x="395838" y="494172"/>
                </a:lnTo>
                <a:lnTo>
                  <a:pt x="396519" y="493127"/>
                </a:lnTo>
                <a:lnTo>
                  <a:pt x="397201" y="492083"/>
                </a:lnTo>
                <a:lnTo>
                  <a:pt x="397882" y="491037"/>
                </a:lnTo>
                <a:lnTo>
                  <a:pt x="398563" y="489991"/>
                </a:lnTo>
                <a:lnTo>
                  <a:pt x="399244" y="488944"/>
                </a:lnTo>
                <a:lnTo>
                  <a:pt x="399926" y="487897"/>
                </a:lnTo>
                <a:lnTo>
                  <a:pt x="400607" y="486848"/>
                </a:lnTo>
                <a:lnTo>
                  <a:pt x="401288" y="485799"/>
                </a:lnTo>
                <a:lnTo>
                  <a:pt x="401970" y="484750"/>
                </a:lnTo>
                <a:lnTo>
                  <a:pt x="402651" y="483699"/>
                </a:lnTo>
                <a:lnTo>
                  <a:pt x="403332" y="482648"/>
                </a:lnTo>
                <a:lnTo>
                  <a:pt x="404014" y="481597"/>
                </a:lnTo>
                <a:lnTo>
                  <a:pt x="404695" y="480544"/>
                </a:lnTo>
                <a:lnTo>
                  <a:pt x="405376" y="479491"/>
                </a:lnTo>
                <a:lnTo>
                  <a:pt x="406057" y="478438"/>
                </a:lnTo>
                <a:lnTo>
                  <a:pt x="406739" y="477383"/>
                </a:lnTo>
                <a:lnTo>
                  <a:pt x="407420" y="476328"/>
                </a:lnTo>
                <a:lnTo>
                  <a:pt x="408101" y="475272"/>
                </a:lnTo>
                <a:lnTo>
                  <a:pt x="408783" y="474216"/>
                </a:lnTo>
                <a:lnTo>
                  <a:pt x="409464" y="473158"/>
                </a:lnTo>
                <a:lnTo>
                  <a:pt x="410145" y="472101"/>
                </a:lnTo>
                <a:lnTo>
                  <a:pt x="410827" y="471042"/>
                </a:lnTo>
                <a:lnTo>
                  <a:pt x="411508" y="469983"/>
                </a:lnTo>
                <a:lnTo>
                  <a:pt x="412189" y="468923"/>
                </a:lnTo>
                <a:lnTo>
                  <a:pt x="412871" y="467862"/>
                </a:lnTo>
                <a:lnTo>
                  <a:pt x="413552" y="466801"/>
                </a:lnTo>
                <a:lnTo>
                  <a:pt x="414233" y="465739"/>
                </a:lnTo>
                <a:lnTo>
                  <a:pt x="414914" y="464676"/>
                </a:lnTo>
                <a:lnTo>
                  <a:pt x="415596" y="463613"/>
                </a:lnTo>
                <a:lnTo>
                  <a:pt x="416277" y="462549"/>
                </a:lnTo>
                <a:lnTo>
                  <a:pt x="416958" y="461484"/>
                </a:lnTo>
                <a:lnTo>
                  <a:pt x="417640" y="460419"/>
                </a:lnTo>
                <a:lnTo>
                  <a:pt x="418321" y="459353"/>
                </a:lnTo>
                <a:lnTo>
                  <a:pt x="419002" y="458286"/>
                </a:lnTo>
                <a:lnTo>
                  <a:pt x="419684" y="457218"/>
                </a:lnTo>
                <a:lnTo>
                  <a:pt x="420365" y="456150"/>
                </a:lnTo>
                <a:lnTo>
                  <a:pt x="421046" y="455081"/>
                </a:lnTo>
                <a:lnTo>
                  <a:pt x="421728" y="454012"/>
                </a:lnTo>
                <a:lnTo>
                  <a:pt x="422409" y="452942"/>
                </a:lnTo>
                <a:lnTo>
                  <a:pt x="423090" y="451871"/>
                </a:lnTo>
                <a:lnTo>
                  <a:pt x="423771" y="450799"/>
                </a:lnTo>
                <a:lnTo>
                  <a:pt x="424453" y="449727"/>
                </a:lnTo>
                <a:lnTo>
                  <a:pt x="425134" y="448654"/>
                </a:lnTo>
                <a:lnTo>
                  <a:pt x="425815" y="447580"/>
                </a:lnTo>
                <a:lnTo>
                  <a:pt x="426497" y="446506"/>
                </a:lnTo>
                <a:lnTo>
                  <a:pt x="427178" y="445431"/>
                </a:lnTo>
                <a:lnTo>
                  <a:pt x="427859" y="444355"/>
                </a:lnTo>
                <a:lnTo>
                  <a:pt x="428541" y="443279"/>
                </a:lnTo>
                <a:lnTo>
                  <a:pt x="429222" y="442202"/>
                </a:lnTo>
                <a:lnTo>
                  <a:pt x="429903" y="441124"/>
                </a:lnTo>
                <a:lnTo>
                  <a:pt x="430584" y="440046"/>
                </a:lnTo>
                <a:lnTo>
                  <a:pt x="431266" y="438967"/>
                </a:lnTo>
                <a:lnTo>
                  <a:pt x="431947" y="437887"/>
                </a:lnTo>
                <a:lnTo>
                  <a:pt x="432628" y="436807"/>
                </a:lnTo>
                <a:lnTo>
                  <a:pt x="433310" y="435726"/>
                </a:lnTo>
                <a:lnTo>
                  <a:pt x="433991" y="434644"/>
                </a:lnTo>
                <a:lnTo>
                  <a:pt x="434672" y="433562"/>
                </a:lnTo>
                <a:lnTo>
                  <a:pt x="435354" y="432478"/>
                </a:lnTo>
                <a:lnTo>
                  <a:pt x="436035" y="431395"/>
                </a:lnTo>
                <a:lnTo>
                  <a:pt x="436716" y="430310"/>
                </a:lnTo>
                <a:lnTo>
                  <a:pt x="437398" y="429225"/>
                </a:lnTo>
                <a:lnTo>
                  <a:pt x="438079" y="428139"/>
                </a:lnTo>
                <a:lnTo>
                  <a:pt x="438760" y="427053"/>
                </a:lnTo>
                <a:lnTo>
                  <a:pt x="439441" y="425965"/>
                </a:lnTo>
                <a:lnTo>
                  <a:pt x="440123" y="424878"/>
                </a:lnTo>
                <a:lnTo>
                  <a:pt x="440804" y="423789"/>
                </a:lnTo>
                <a:lnTo>
                  <a:pt x="441485" y="422700"/>
                </a:lnTo>
                <a:lnTo>
                  <a:pt x="442167" y="421610"/>
                </a:lnTo>
                <a:lnTo>
                  <a:pt x="442848" y="420519"/>
                </a:lnTo>
                <a:lnTo>
                  <a:pt x="443529" y="419428"/>
                </a:lnTo>
                <a:lnTo>
                  <a:pt x="444211" y="418336"/>
                </a:lnTo>
                <a:lnTo>
                  <a:pt x="444892" y="417244"/>
                </a:lnTo>
                <a:lnTo>
                  <a:pt x="445573" y="416150"/>
                </a:lnTo>
                <a:lnTo>
                  <a:pt x="446255" y="415056"/>
                </a:lnTo>
                <a:lnTo>
                  <a:pt x="446936" y="413962"/>
                </a:lnTo>
                <a:lnTo>
                  <a:pt x="447617" y="412866"/>
                </a:lnTo>
                <a:lnTo>
                  <a:pt x="448298" y="411770"/>
                </a:lnTo>
                <a:lnTo>
                  <a:pt x="448980" y="410674"/>
                </a:lnTo>
                <a:lnTo>
                  <a:pt x="449661" y="409576"/>
                </a:lnTo>
                <a:lnTo>
                  <a:pt x="450342" y="408478"/>
                </a:lnTo>
                <a:lnTo>
                  <a:pt x="451024" y="407380"/>
                </a:lnTo>
                <a:lnTo>
                  <a:pt x="451705" y="406280"/>
                </a:lnTo>
                <a:lnTo>
                  <a:pt x="452386" y="405180"/>
                </a:lnTo>
                <a:lnTo>
                  <a:pt x="453068" y="404080"/>
                </a:lnTo>
                <a:lnTo>
                  <a:pt x="453749" y="402978"/>
                </a:lnTo>
                <a:lnTo>
                  <a:pt x="454430" y="401876"/>
                </a:lnTo>
                <a:lnTo>
                  <a:pt x="455111" y="400774"/>
                </a:lnTo>
                <a:lnTo>
                  <a:pt x="455793" y="399670"/>
                </a:lnTo>
                <a:lnTo>
                  <a:pt x="456474" y="398566"/>
                </a:lnTo>
                <a:lnTo>
                  <a:pt x="457155" y="397462"/>
                </a:lnTo>
                <a:lnTo>
                  <a:pt x="457837" y="396356"/>
                </a:lnTo>
                <a:lnTo>
                  <a:pt x="458518" y="395250"/>
                </a:lnTo>
                <a:lnTo>
                  <a:pt x="459199" y="394144"/>
                </a:lnTo>
                <a:lnTo>
                  <a:pt x="459881" y="393036"/>
                </a:lnTo>
                <a:lnTo>
                  <a:pt x="460562" y="391928"/>
                </a:lnTo>
                <a:lnTo>
                  <a:pt x="461243" y="390819"/>
                </a:lnTo>
                <a:lnTo>
                  <a:pt x="461925" y="389710"/>
                </a:lnTo>
                <a:lnTo>
                  <a:pt x="462606" y="388600"/>
                </a:lnTo>
                <a:lnTo>
                  <a:pt x="463287" y="387489"/>
                </a:lnTo>
                <a:lnTo>
                  <a:pt x="463968" y="386378"/>
                </a:lnTo>
                <a:lnTo>
                  <a:pt x="464650" y="385266"/>
                </a:lnTo>
                <a:lnTo>
                  <a:pt x="465331" y="384153"/>
                </a:lnTo>
                <a:lnTo>
                  <a:pt x="466012" y="383040"/>
                </a:lnTo>
                <a:lnTo>
                  <a:pt x="466694" y="381926"/>
                </a:lnTo>
                <a:lnTo>
                  <a:pt x="467375" y="380811"/>
                </a:lnTo>
                <a:lnTo>
                  <a:pt x="468056" y="379696"/>
                </a:lnTo>
                <a:lnTo>
                  <a:pt x="468738" y="378580"/>
                </a:lnTo>
                <a:lnTo>
                  <a:pt x="469419" y="377463"/>
                </a:lnTo>
                <a:lnTo>
                  <a:pt x="470100" y="376346"/>
                </a:lnTo>
                <a:lnTo>
                  <a:pt x="470781" y="375228"/>
                </a:lnTo>
                <a:lnTo>
                  <a:pt x="471463" y="374109"/>
                </a:lnTo>
                <a:lnTo>
                  <a:pt x="472144" y="372990"/>
                </a:lnTo>
                <a:lnTo>
                  <a:pt x="472825" y="371870"/>
                </a:lnTo>
                <a:lnTo>
                  <a:pt x="473507" y="370749"/>
                </a:lnTo>
                <a:lnTo>
                  <a:pt x="474188" y="369628"/>
                </a:lnTo>
                <a:lnTo>
                  <a:pt x="474869" y="368506"/>
                </a:lnTo>
                <a:lnTo>
                  <a:pt x="475551" y="367383"/>
                </a:lnTo>
                <a:lnTo>
                  <a:pt x="476232" y="366260"/>
                </a:lnTo>
                <a:lnTo>
                  <a:pt x="476913" y="365136"/>
                </a:lnTo>
                <a:lnTo>
                  <a:pt x="477595" y="364011"/>
                </a:lnTo>
                <a:lnTo>
                  <a:pt x="478276" y="362886"/>
                </a:lnTo>
                <a:lnTo>
                  <a:pt x="478957" y="361760"/>
                </a:lnTo>
                <a:lnTo>
                  <a:pt x="479638" y="360633"/>
                </a:lnTo>
                <a:lnTo>
                  <a:pt x="480320" y="359506"/>
                </a:lnTo>
                <a:lnTo>
                  <a:pt x="481001" y="358378"/>
                </a:lnTo>
                <a:lnTo>
                  <a:pt x="481682" y="357249"/>
                </a:lnTo>
                <a:lnTo>
                  <a:pt x="482364" y="356120"/>
                </a:lnTo>
                <a:lnTo>
                  <a:pt x="483045" y="354990"/>
                </a:lnTo>
                <a:lnTo>
                  <a:pt x="483726" y="353859"/>
                </a:lnTo>
                <a:lnTo>
                  <a:pt x="484408" y="352728"/>
                </a:lnTo>
                <a:lnTo>
                  <a:pt x="485089" y="351596"/>
                </a:lnTo>
                <a:lnTo>
                  <a:pt x="485770" y="350464"/>
                </a:lnTo>
                <a:lnTo>
                  <a:pt x="486452" y="349331"/>
                </a:lnTo>
                <a:lnTo>
                  <a:pt x="487133" y="348197"/>
                </a:lnTo>
                <a:lnTo>
                  <a:pt x="487814" y="347062"/>
                </a:lnTo>
                <a:lnTo>
                  <a:pt x="488495" y="345927"/>
                </a:lnTo>
                <a:lnTo>
                  <a:pt x="489177" y="344791"/>
                </a:lnTo>
                <a:lnTo>
                  <a:pt x="489858" y="343655"/>
                </a:lnTo>
                <a:lnTo>
                  <a:pt x="490539" y="342518"/>
                </a:lnTo>
                <a:lnTo>
                  <a:pt x="491221" y="341380"/>
                </a:lnTo>
                <a:lnTo>
                  <a:pt x="491902" y="340241"/>
                </a:lnTo>
                <a:lnTo>
                  <a:pt x="492583" y="339102"/>
                </a:lnTo>
                <a:lnTo>
                  <a:pt x="493265" y="337963"/>
                </a:lnTo>
                <a:lnTo>
                  <a:pt x="493946" y="336822"/>
                </a:lnTo>
                <a:lnTo>
                  <a:pt x="494627" y="335681"/>
                </a:lnTo>
                <a:lnTo>
                  <a:pt x="495308" y="334539"/>
                </a:lnTo>
                <a:lnTo>
                  <a:pt x="495990" y="333397"/>
                </a:lnTo>
                <a:lnTo>
                  <a:pt x="496671" y="332254"/>
                </a:lnTo>
                <a:lnTo>
                  <a:pt x="497352" y="331110"/>
                </a:lnTo>
                <a:lnTo>
                  <a:pt x="498034" y="329966"/>
                </a:lnTo>
                <a:lnTo>
                  <a:pt x="498715" y="328821"/>
                </a:lnTo>
                <a:lnTo>
                  <a:pt x="499396" y="327676"/>
                </a:lnTo>
                <a:lnTo>
                  <a:pt x="500078" y="326529"/>
                </a:lnTo>
                <a:lnTo>
                  <a:pt x="500759" y="325382"/>
                </a:lnTo>
                <a:lnTo>
                  <a:pt x="501440" y="324235"/>
                </a:lnTo>
                <a:lnTo>
                  <a:pt x="502122" y="323087"/>
                </a:lnTo>
                <a:lnTo>
                  <a:pt x="502803" y="321938"/>
                </a:lnTo>
                <a:lnTo>
                  <a:pt x="503484" y="320788"/>
                </a:lnTo>
                <a:lnTo>
                  <a:pt x="504165" y="319638"/>
                </a:lnTo>
                <a:lnTo>
                  <a:pt x="504847" y="318487"/>
                </a:lnTo>
                <a:lnTo>
                  <a:pt x="505528" y="317336"/>
                </a:lnTo>
                <a:lnTo>
                  <a:pt x="506209" y="316184"/>
                </a:lnTo>
                <a:lnTo>
                  <a:pt x="506891" y="315031"/>
                </a:lnTo>
                <a:lnTo>
                  <a:pt x="507572" y="313878"/>
                </a:lnTo>
                <a:lnTo>
                  <a:pt x="508253" y="312724"/>
                </a:lnTo>
                <a:lnTo>
                  <a:pt x="508935" y="311569"/>
                </a:lnTo>
                <a:lnTo>
                  <a:pt x="509616" y="310414"/>
                </a:lnTo>
                <a:lnTo>
                  <a:pt x="510297" y="309258"/>
                </a:lnTo>
                <a:lnTo>
                  <a:pt x="510979" y="308101"/>
                </a:lnTo>
                <a:lnTo>
                  <a:pt x="511660" y="306944"/>
                </a:lnTo>
                <a:lnTo>
                  <a:pt x="512341" y="305786"/>
                </a:lnTo>
                <a:lnTo>
                  <a:pt x="513022" y="304628"/>
                </a:lnTo>
                <a:lnTo>
                  <a:pt x="513704" y="303469"/>
                </a:lnTo>
                <a:lnTo>
                  <a:pt x="514385" y="302309"/>
                </a:lnTo>
                <a:lnTo>
                  <a:pt x="515066" y="301148"/>
                </a:lnTo>
                <a:lnTo>
                  <a:pt x="515748" y="299987"/>
                </a:lnTo>
                <a:lnTo>
                  <a:pt x="516429" y="298826"/>
                </a:lnTo>
                <a:lnTo>
                  <a:pt x="517110" y="297663"/>
                </a:lnTo>
                <a:lnTo>
                  <a:pt x="517792" y="296500"/>
                </a:lnTo>
                <a:lnTo>
                  <a:pt x="518473" y="295337"/>
                </a:lnTo>
                <a:lnTo>
                  <a:pt x="519154" y="294172"/>
                </a:lnTo>
                <a:lnTo>
                  <a:pt x="519835" y="293007"/>
                </a:lnTo>
                <a:lnTo>
                  <a:pt x="520517" y="291842"/>
                </a:lnTo>
                <a:lnTo>
                  <a:pt x="521198" y="290676"/>
                </a:lnTo>
                <a:lnTo>
                  <a:pt x="521879" y="289509"/>
                </a:lnTo>
                <a:lnTo>
                  <a:pt x="522561" y="288341"/>
                </a:lnTo>
                <a:lnTo>
                  <a:pt x="523242" y="287173"/>
                </a:lnTo>
                <a:lnTo>
                  <a:pt x="523923" y="286005"/>
                </a:lnTo>
                <a:lnTo>
                  <a:pt x="524605" y="284835"/>
                </a:lnTo>
                <a:lnTo>
                  <a:pt x="525286" y="283665"/>
                </a:lnTo>
                <a:lnTo>
                  <a:pt x="525967" y="282495"/>
                </a:lnTo>
                <a:lnTo>
                  <a:pt x="526649" y="281323"/>
                </a:lnTo>
                <a:lnTo>
                  <a:pt x="527330" y="280151"/>
                </a:lnTo>
                <a:lnTo>
                  <a:pt x="528011" y="278979"/>
                </a:lnTo>
                <a:lnTo>
                  <a:pt x="528692" y="277806"/>
                </a:lnTo>
                <a:lnTo>
                  <a:pt x="529374" y="276632"/>
                </a:lnTo>
                <a:lnTo>
                  <a:pt x="530055" y="275457"/>
                </a:lnTo>
                <a:lnTo>
                  <a:pt x="530736" y="274282"/>
                </a:lnTo>
                <a:lnTo>
                  <a:pt x="531418" y="273107"/>
                </a:lnTo>
                <a:lnTo>
                  <a:pt x="532099" y="271930"/>
                </a:lnTo>
                <a:lnTo>
                  <a:pt x="532780" y="270753"/>
                </a:lnTo>
                <a:lnTo>
                  <a:pt x="533462" y="269576"/>
                </a:lnTo>
                <a:lnTo>
                  <a:pt x="534143" y="268398"/>
                </a:lnTo>
                <a:lnTo>
                  <a:pt x="534824" y="267219"/>
                </a:lnTo>
                <a:lnTo>
                  <a:pt x="535506" y="266039"/>
                </a:lnTo>
                <a:lnTo>
                  <a:pt x="536187" y="264859"/>
                </a:lnTo>
                <a:lnTo>
                  <a:pt x="536868" y="263678"/>
                </a:lnTo>
                <a:lnTo>
                  <a:pt x="537549" y="262497"/>
                </a:lnTo>
                <a:lnTo>
                  <a:pt x="538231" y="261315"/>
                </a:lnTo>
                <a:lnTo>
                  <a:pt x="538912" y="260132"/>
                </a:lnTo>
                <a:lnTo>
                  <a:pt x="539593" y="258949"/>
                </a:lnTo>
                <a:lnTo>
                  <a:pt x="540275" y="257765"/>
                </a:lnTo>
                <a:lnTo>
                  <a:pt x="540956" y="256581"/>
                </a:lnTo>
                <a:lnTo>
                  <a:pt x="541637" y="255396"/>
                </a:lnTo>
                <a:lnTo>
                  <a:pt x="542319" y="254210"/>
                </a:lnTo>
                <a:lnTo>
                  <a:pt x="543000" y="253024"/>
                </a:lnTo>
                <a:lnTo>
                  <a:pt x="543681" y="251837"/>
                </a:lnTo>
                <a:lnTo>
                  <a:pt x="544362" y="250649"/>
                </a:lnTo>
                <a:lnTo>
                  <a:pt x="545044" y="249461"/>
                </a:lnTo>
                <a:lnTo>
                  <a:pt x="545725" y="248272"/>
                </a:lnTo>
                <a:lnTo>
                  <a:pt x="546406" y="247083"/>
                </a:lnTo>
                <a:lnTo>
                  <a:pt x="547088" y="245892"/>
                </a:lnTo>
                <a:lnTo>
                  <a:pt x="547769" y="244702"/>
                </a:lnTo>
                <a:lnTo>
                  <a:pt x="548450" y="243510"/>
                </a:lnTo>
                <a:lnTo>
                  <a:pt x="549132" y="242319"/>
                </a:lnTo>
                <a:lnTo>
                  <a:pt x="549813" y="241126"/>
                </a:lnTo>
                <a:lnTo>
                  <a:pt x="550494" y="239933"/>
                </a:lnTo>
                <a:lnTo>
                  <a:pt x="551176" y="238739"/>
                </a:lnTo>
                <a:lnTo>
                  <a:pt x="551857" y="237545"/>
                </a:lnTo>
                <a:lnTo>
                  <a:pt x="552538" y="236349"/>
                </a:lnTo>
                <a:lnTo>
                  <a:pt x="553219" y="235154"/>
                </a:lnTo>
                <a:lnTo>
                  <a:pt x="553901" y="233958"/>
                </a:lnTo>
                <a:lnTo>
                  <a:pt x="554582" y="232761"/>
                </a:lnTo>
                <a:lnTo>
                  <a:pt x="555263" y="231563"/>
                </a:lnTo>
                <a:lnTo>
                  <a:pt x="555945" y="230365"/>
                </a:lnTo>
                <a:lnTo>
                  <a:pt x="556626" y="229166"/>
                </a:lnTo>
                <a:lnTo>
                  <a:pt x="557307" y="227967"/>
                </a:lnTo>
                <a:lnTo>
                  <a:pt x="557989" y="226767"/>
                </a:lnTo>
                <a:lnTo>
                  <a:pt x="558670" y="225566"/>
                </a:lnTo>
                <a:lnTo>
                  <a:pt x="559351" y="224365"/>
                </a:lnTo>
                <a:lnTo>
                  <a:pt x="560032" y="223163"/>
                </a:lnTo>
                <a:lnTo>
                  <a:pt x="560714" y="221961"/>
                </a:lnTo>
                <a:lnTo>
                  <a:pt x="561395" y="220758"/>
                </a:lnTo>
                <a:lnTo>
                  <a:pt x="562076" y="219554"/>
                </a:lnTo>
                <a:lnTo>
                  <a:pt x="562758" y="218350"/>
                </a:lnTo>
                <a:lnTo>
                  <a:pt x="563439" y="217145"/>
                </a:lnTo>
                <a:lnTo>
                  <a:pt x="564120" y="215940"/>
                </a:lnTo>
                <a:lnTo>
                  <a:pt x="564802" y="214734"/>
                </a:lnTo>
                <a:lnTo>
                  <a:pt x="565483" y="213527"/>
                </a:lnTo>
                <a:lnTo>
                  <a:pt x="566164" y="212320"/>
                </a:lnTo>
                <a:lnTo>
                  <a:pt x="566846" y="211112"/>
                </a:lnTo>
                <a:lnTo>
                  <a:pt x="567527" y="209903"/>
                </a:lnTo>
                <a:lnTo>
                  <a:pt x="568208" y="208694"/>
                </a:lnTo>
                <a:lnTo>
                  <a:pt x="568889" y="207485"/>
                </a:lnTo>
                <a:lnTo>
                  <a:pt x="569571" y="206274"/>
                </a:lnTo>
                <a:lnTo>
                  <a:pt x="570252" y="205063"/>
                </a:lnTo>
                <a:lnTo>
                  <a:pt x="570933" y="203852"/>
                </a:lnTo>
                <a:lnTo>
                  <a:pt x="571615" y="202640"/>
                </a:lnTo>
                <a:lnTo>
                  <a:pt x="572296" y="201427"/>
                </a:lnTo>
                <a:lnTo>
                  <a:pt x="572977" y="200214"/>
                </a:lnTo>
                <a:lnTo>
                  <a:pt x="573659" y="199000"/>
                </a:lnTo>
                <a:lnTo>
                  <a:pt x="574340" y="197785"/>
                </a:lnTo>
                <a:lnTo>
                  <a:pt x="575021" y="196570"/>
                </a:lnTo>
                <a:lnTo>
                  <a:pt x="575703" y="195354"/>
                </a:lnTo>
                <a:lnTo>
                  <a:pt x="576384" y="194138"/>
                </a:lnTo>
                <a:lnTo>
                  <a:pt x="577065" y="192921"/>
                </a:lnTo>
                <a:lnTo>
                  <a:pt x="577746" y="191703"/>
                </a:lnTo>
                <a:lnTo>
                  <a:pt x="578428" y="190485"/>
                </a:lnTo>
                <a:lnTo>
                  <a:pt x="579109" y="189266"/>
                </a:lnTo>
                <a:lnTo>
                  <a:pt x="579790" y="188047"/>
                </a:lnTo>
                <a:lnTo>
                  <a:pt x="580472" y="186827"/>
                </a:lnTo>
                <a:lnTo>
                  <a:pt x="581153" y="185607"/>
                </a:lnTo>
                <a:lnTo>
                  <a:pt x="581834" y="184385"/>
                </a:lnTo>
                <a:lnTo>
                  <a:pt x="582516" y="183164"/>
                </a:lnTo>
                <a:lnTo>
                  <a:pt x="583197" y="181941"/>
                </a:lnTo>
                <a:lnTo>
                  <a:pt x="583878" y="180719"/>
                </a:lnTo>
                <a:lnTo>
                  <a:pt x="584559" y="179495"/>
                </a:lnTo>
                <a:lnTo>
                  <a:pt x="585241" y="178271"/>
                </a:lnTo>
                <a:lnTo>
                  <a:pt x="585922" y="177046"/>
                </a:lnTo>
                <a:lnTo>
                  <a:pt x="586603" y="175821"/>
                </a:lnTo>
                <a:lnTo>
                  <a:pt x="587285" y="174595"/>
                </a:lnTo>
                <a:lnTo>
                  <a:pt x="587966" y="173369"/>
                </a:lnTo>
                <a:lnTo>
                  <a:pt x="588647" y="172141"/>
                </a:lnTo>
                <a:lnTo>
                  <a:pt x="589329" y="170914"/>
                </a:lnTo>
                <a:lnTo>
                  <a:pt x="590010" y="169686"/>
                </a:lnTo>
                <a:lnTo>
                  <a:pt x="590691" y="168457"/>
                </a:lnTo>
                <a:lnTo>
                  <a:pt x="591373" y="167227"/>
                </a:lnTo>
                <a:lnTo>
                  <a:pt x="592054" y="165997"/>
                </a:lnTo>
                <a:lnTo>
                  <a:pt x="592735" y="164767"/>
                </a:lnTo>
                <a:lnTo>
                  <a:pt x="593416" y="163536"/>
                </a:lnTo>
                <a:lnTo>
                  <a:pt x="594098" y="162304"/>
                </a:lnTo>
                <a:lnTo>
                  <a:pt x="594779" y="161071"/>
                </a:lnTo>
                <a:lnTo>
                  <a:pt x="595460" y="159838"/>
                </a:lnTo>
                <a:lnTo>
                  <a:pt x="596142" y="158605"/>
                </a:lnTo>
                <a:lnTo>
                  <a:pt x="596823" y="157371"/>
                </a:lnTo>
                <a:lnTo>
                  <a:pt x="597504" y="156136"/>
                </a:lnTo>
                <a:lnTo>
                  <a:pt x="598186" y="154901"/>
                </a:lnTo>
                <a:lnTo>
                  <a:pt x="598867" y="153665"/>
                </a:lnTo>
                <a:lnTo>
                  <a:pt x="599548" y="152428"/>
                </a:lnTo>
                <a:lnTo>
                  <a:pt x="600230" y="151191"/>
                </a:lnTo>
                <a:lnTo>
                  <a:pt x="600911" y="149954"/>
                </a:lnTo>
                <a:lnTo>
                  <a:pt x="601592" y="148716"/>
                </a:lnTo>
                <a:lnTo>
                  <a:pt x="602273" y="147477"/>
                </a:lnTo>
                <a:lnTo>
                  <a:pt x="602955" y="146237"/>
                </a:lnTo>
                <a:lnTo>
                  <a:pt x="603636" y="144998"/>
                </a:lnTo>
                <a:lnTo>
                  <a:pt x="604317" y="143757"/>
                </a:lnTo>
                <a:lnTo>
                  <a:pt x="604999" y="142516"/>
                </a:lnTo>
                <a:lnTo>
                  <a:pt x="605680" y="141274"/>
                </a:lnTo>
                <a:lnTo>
                  <a:pt x="606361" y="140032"/>
                </a:lnTo>
                <a:lnTo>
                  <a:pt x="607043" y="138789"/>
                </a:lnTo>
                <a:lnTo>
                  <a:pt x="607724" y="137546"/>
                </a:lnTo>
                <a:lnTo>
                  <a:pt x="608405" y="136302"/>
                </a:lnTo>
                <a:lnTo>
                  <a:pt x="609086" y="135057"/>
                </a:lnTo>
                <a:lnTo>
                  <a:pt x="609768" y="133812"/>
                </a:lnTo>
                <a:lnTo>
                  <a:pt x="610449" y="132566"/>
                </a:lnTo>
                <a:lnTo>
                  <a:pt x="611130" y="131320"/>
                </a:lnTo>
                <a:lnTo>
                  <a:pt x="611812" y="130073"/>
                </a:lnTo>
                <a:lnTo>
                  <a:pt x="612493" y="128826"/>
                </a:lnTo>
                <a:lnTo>
                  <a:pt x="613174" y="127578"/>
                </a:lnTo>
                <a:lnTo>
                  <a:pt x="613856" y="126329"/>
                </a:lnTo>
                <a:lnTo>
                  <a:pt x="614537" y="125080"/>
                </a:lnTo>
                <a:lnTo>
                  <a:pt x="615218" y="123831"/>
                </a:lnTo>
                <a:lnTo>
                  <a:pt x="615900" y="122580"/>
                </a:lnTo>
                <a:lnTo>
                  <a:pt x="616581" y="121330"/>
                </a:lnTo>
                <a:lnTo>
                  <a:pt x="617262" y="120078"/>
                </a:lnTo>
                <a:lnTo>
                  <a:pt x="617943" y="118826"/>
                </a:lnTo>
                <a:lnTo>
                  <a:pt x="618625" y="117574"/>
                </a:lnTo>
                <a:lnTo>
                  <a:pt x="619306" y="116321"/>
                </a:lnTo>
                <a:lnTo>
                  <a:pt x="619987" y="115067"/>
                </a:lnTo>
                <a:lnTo>
                  <a:pt x="620669" y="113813"/>
                </a:lnTo>
                <a:lnTo>
                  <a:pt x="621350" y="112558"/>
                </a:lnTo>
                <a:lnTo>
                  <a:pt x="622031" y="111302"/>
                </a:lnTo>
                <a:lnTo>
                  <a:pt x="622713" y="110047"/>
                </a:lnTo>
                <a:lnTo>
                  <a:pt x="623394" y="108790"/>
                </a:lnTo>
                <a:lnTo>
                  <a:pt x="624075" y="107533"/>
                </a:lnTo>
                <a:lnTo>
                  <a:pt x="624757" y="106275"/>
                </a:lnTo>
                <a:lnTo>
                  <a:pt x="625438" y="105017"/>
                </a:lnTo>
                <a:lnTo>
                  <a:pt x="626119" y="103759"/>
                </a:lnTo>
                <a:lnTo>
                  <a:pt x="626800" y="102499"/>
                </a:lnTo>
                <a:lnTo>
                  <a:pt x="627482" y="101239"/>
                </a:lnTo>
                <a:lnTo>
                  <a:pt x="628163" y="99979"/>
                </a:lnTo>
                <a:lnTo>
                  <a:pt x="628844" y="98718"/>
                </a:lnTo>
                <a:lnTo>
                  <a:pt x="629526" y="97457"/>
                </a:lnTo>
                <a:lnTo>
                  <a:pt x="630207" y="96194"/>
                </a:lnTo>
                <a:lnTo>
                  <a:pt x="630888" y="94932"/>
                </a:lnTo>
                <a:lnTo>
                  <a:pt x="631570" y="93669"/>
                </a:lnTo>
                <a:lnTo>
                  <a:pt x="632251" y="92405"/>
                </a:lnTo>
                <a:lnTo>
                  <a:pt x="632932" y="91141"/>
                </a:lnTo>
                <a:lnTo>
                  <a:pt x="633613" y="89876"/>
                </a:lnTo>
                <a:lnTo>
                  <a:pt x="634295" y="88610"/>
                </a:lnTo>
                <a:lnTo>
                  <a:pt x="634976" y="87344"/>
                </a:lnTo>
                <a:lnTo>
                  <a:pt x="635657" y="86078"/>
                </a:lnTo>
                <a:lnTo>
                  <a:pt x="636339" y="84811"/>
                </a:lnTo>
                <a:lnTo>
                  <a:pt x="637020" y="83543"/>
                </a:lnTo>
                <a:lnTo>
                  <a:pt x="637701" y="82275"/>
                </a:lnTo>
                <a:lnTo>
                  <a:pt x="638383" y="81006"/>
                </a:lnTo>
                <a:lnTo>
                  <a:pt x="639064" y="79737"/>
                </a:lnTo>
                <a:lnTo>
                  <a:pt x="639745" y="78467"/>
                </a:lnTo>
                <a:lnTo>
                  <a:pt x="640427" y="77197"/>
                </a:lnTo>
                <a:lnTo>
                  <a:pt x="641108" y="75926"/>
                </a:lnTo>
                <a:lnTo>
                  <a:pt x="641789" y="74655"/>
                </a:lnTo>
                <a:lnTo>
                  <a:pt x="642470" y="73383"/>
                </a:lnTo>
                <a:lnTo>
                  <a:pt x="643152" y="72110"/>
                </a:lnTo>
                <a:lnTo>
                  <a:pt x="643833" y="70837"/>
                </a:lnTo>
                <a:lnTo>
                  <a:pt x="644514" y="69563"/>
                </a:lnTo>
                <a:lnTo>
                  <a:pt x="645196" y="68289"/>
                </a:lnTo>
                <a:lnTo>
                  <a:pt x="645877" y="67015"/>
                </a:lnTo>
                <a:lnTo>
                  <a:pt x="646558" y="65739"/>
                </a:lnTo>
                <a:lnTo>
                  <a:pt x="647240" y="64464"/>
                </a:lnTo>
                <a:lnTo>
                  <a:pt x="647921" y="63187"/>
                </a:lnTo>
                <a:lnTo>
                  <a:pt x="648602" y="61910"/>
                </a:lnTo>
                <a:lnTo>
                  <a:pt x="649283" y="60633"/>
                </a:lnTo>
                <a:lnTo>
                  <a:pt x="649965" y="59355"/>
                </a:lnTo>
                <a:lnTo>
                  <a:pt x="650646" y="58077"/>
                </a:lnTo>
                <a:lnTo>
                  <a:pt x="651327" y="56798"/>
                </a:lnTo>
                <a:lnTo>
                  <a:pt x="652009" y="55518"/>
                </a:lnTo>
                <a:lnTo>
                  <a:pt x="652690" y="54238"/>
                </a:lnTo>
                <a:lnTo>
                  <a:pt x="653371" y="52957"/>
                </a:lnTo>
                <a:lnTo>
                  <a:pt x="654053" y="51676"/>
                </a:lnTo>
                <a:lnTo>
                  <a:pt x="654734" y="50394"/>
                </a:lnTo>
                <a:lnTo>
                  <a:pt x="655415" y="49112"/>
                </a:lnTo>
                <a:lnTo>
                  <a:pt x="656097" y="47830"/>
                </a:lnTo>
                <a:lnTo>
                  <a:pt x="656778" y="46546"/>
                </a:lnTo>
                <a:lnTo>
                  <a:pt x="657459" y="45262"/>
                </a:lnTo>
                <a:lnTo>
                  <a:pt x="658140" y="43978"/>
                </a:lnTo>
                <a:lnTo>
                  <a:pt x="658822" y="42693"/>
                </a:lnTo>
                <a:lnTo>
                  <a:pt x="659503" y="41408"/>
                </a:lnTo>
                <a:lnTo>
                  <a:pt x="660184" y="40122"/>
                </a:lnTo>
                <a:lnTo>
                  <a:pt x="660866" y="38835"/>
                </a:lnTo>
                <a:lnTo>
                  <a:pt x="661547" y="37548"/>
                </a:lnTo>
                <a:lnTo>
                  <a:pt x="662228" y="36261"/>
                </a:lnTo>
                <a:lnTo>
                  <a:pt x="662910" y="34973"/>
                </a:lnTo>
                <a:lnTo>
                  <a:pt x="663591" y="33684"/>
                </a:lnTo>
                <a:lnTo>
                  <a:pt x="664272" y="32395"/>
                </a:lnTo>
                <a:lnTo>
                  <a:pt x="664954" y="31106"/>
                </a:lnTo>
                <a:lnTo>
                  <a:pt x="665635" y="29815"/>
                </a:lnTo>
                <a:lnTo>
                  <a:pt x="666316" y="28525"/>
                </a:lnTo>
                <a:lnTo>
                  <a:pt x="666997" y="27234"/>
                </a:lnTo>
                <a:lnTo>
                  <a:pt x="667679" y="25942"/>
                </a:lnTo>
                <a:lnTo>
                  <a:pt x="668360" y="24650"/>
                </a:lnTo>
                <a:lnTo>
                  <a:pt x="669041" y="23357"/>
                </a:lnTo>
                <a:lnTo>
                  <a:pt x="669723" y="22064"/>
                </a:lnTo>
                <a:lnTo>
                  <a:pt x="670404" y="20770"/>
                </a:lnTo>
                <a:lnTo>
                  <a:pt x="671085" y="19476"/>
                </a:lnTo>
                <a:lnTo>
                  <a:pt x="671767" y="18181"/>
                </a:lnTo>
                <a:lnTo>
                  <a:pt x="672448" y="16885"/>
                </a:lnTo>
                <a:lnTo>
                  <a:pt x="673129" y="15590"/>
                </a:lnTo>
                <a:lnTo>
                  <a:pt x="673810" y="14293"/>
                </a:lnTo>
                <a:lnTo>
                  <a:pt x="674492" y="12996"/>
                </a:lnTo>
                <a:lnTo>
                  <a:pt x="675173" y="11699"/>
                </a:lnTo>
                <a:lnTo>
                  <a:pt x="675854" y="10401"/>
                </a:lnTo>
                <a:lnTo>
                  <a:pt x="676536" y="9103"/>
                </a:lnTo>
                <a:lnTo>
                  <a:pt x="677217" y="7804"/>
                </a:lnTo>
                <a:lnTo>
                  <a:pt x="677898" y="6504"/>
                </a:lnTo>
                <a:lnTo>
                  <a:pt x="678580" y="5204"/>
                </a:lnTo>
                <a:lnTo>
                  <a:pt x="679261" y="3904"/>
                </a:lnTo>
                <a:lnTo>
                  <a:pt x="679942" y="2603"/>
                </a:lnTo>
                <a:lnTo>
                  <a:pt x="680624" y="1301"/>
                </a:lnTo>
                <a:lnTo>
                  <a:pt x="681305" y="0"/>
                </a:lnTo>
                <a:lnTo>
                  <a:pt x="681305" y="1465009"/>
                </a:lnTo>
                <a:close/>
              </a:path>
            </a:pathLst>
          </a:custGeom>
          <a:solidFill>
            <a:srgbClr val="B3B3B3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60" name="pg131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4754628" y="3932467"/>
            <a:ext cx="424731" cy="294176"/>
          </a:xfrm>
          <a:custGeom>
            <a:avLst/>
            <a:gdLst/>
            <a:ahLst/>
            <a:cxnLst/>
            <a:rect l="0" t="0" r="0" b="0"/>
            <a:pathLst>
              <a:path w="681305" h="482270">
                <a:moveTo>
                  <a:pt x="0" y="482270"/>
                </a:moveTo>
                <a:lnTo>
                  <a:pt x="0" y="380476"/>
                </a:lnTo>
                <a:lnTo>
                  <a:pt x="681" y="380295"/>
                </a:lnTo>
                <a:lnTo>
                  <a:pt x="1362" y="380114"/>
                </a:lnTo>
                <a:lnTo>
                  <a:pt x="2043" y="379932"/>
                </a:lnTo>
                <a:lnTo>
                  <a:pt x="2725" y="379750"/>
                </a:lnTo>
                <a:lnTo>
                  <a:pt x="3406" y="379568"/>
                </a:lnTo>
                <a:lnTo>
                  <a:pt x="4087" y="379386"/>
                </a:lnTo>
                <a:lnTo>
                  <a:pt x="4769" y="379203"/>
                </a:lnTo>
                <a:lnTo>
                  <a:pt x="5450" y="379020"/>
                </a:lnTo>
                <a:lnTo>
                  <a:pt x="6131" y="378836"/>
                </a:lnTo>
                <a:lnTo>
                  <a:pt x="6813" y="378653"/>
                </a:lnTo>
                <a:lnTo>
                  <a:pt x="7494" y="378469"/>
                </a:lnTo>
                <a:lnTo>
                  <a:pt x="8175" y="378285"/>
                </a:lnTo>
                <a:lnTo>
                  <a:pt x="8856" y="378100"/>
                </a:lnTo>
                <a:lnTo>
                  <a:pt x="9538" y="377916"/>
                </a:lnTo>
                <a:lnTo>
                  <a:pt x="10219" y="377731"/>
                </a:lnTo>
                <a:lnTo>
                  <a:pt x="10900" y="377545"/>
                </a:lnTo>
                <a:lnTo>
                  <a:pt x="11582" y="377360"/>
                </a:lnTo>
                <a:lnTo>
                  <a:pt x="12263" y="377174"/>
                </a:lnTo>
                <a:lnTo>
                  <a:pt x="12944" y="376988"/>
                </a:lnTo>
                <a:lnTo>
                  <a:pt x="13626" y="376801"/>
                </a:lnTo>
                <a:lnTo>
                  <a:pt x="14307" y="376615"/>
                </a:lnTo>
                <a:lnTo>
                  <a:pt x="14988" y="376428"/>
                </a:lnTo>
                <a:lnTo>
                  <a:pt x="15670" y="376240"/>
                </a:lnTo>
                <a:lnTo>
                  <a:pt x="16351" y="376053"/>
                </a:lnTo>
                <a:lnTo>
                  <a:pt x="17032" y="375865"/>
                </a:lnTo>
                <a:lnTo>
                  <a:pt x="17713" y="375677"/>
                </a:lnTo>
                <a:lnTo>
                  <a:pt x="18395" y="375488"/>
                </a:lnTo>
                <a:lnTo>
                  <a:pt x="19076" y="375300"/>
                </a:lnTo>
                <a:lnTo>
                  <a:pt x="19757" y="375111"/>
                </a:lnTo>
                <a:lnTo>
                  <a:pt x="20439" y="374921"/>
                </a:lnTo>
                <a:lnTo>
                  <a:pt x="21120" y="374732"/>
                </a:lnTo>
                <a:lnTo>
                  <a:pt x="21801" y="374542"/>
                </a:lnTo>
                <a:lnTo>
                  <a:pt x="22483" y="374352"/>
                </a:lnTo>
                <a:lnTo>
                  <a:pt x="23164" y="374162"/>
                </a:lnTo>
                <a:lnTo>
                  <a:pt x="23845" y="373971"/>
                </a:lnTo>
                <a:lnTo>
                  <a:pt x="24526" y="373780"/>
                </a:lnTo>
                <a:lnTo>
                  <a:pt x="25208" y="373589"/>
                </a:lnTo>
                <a:lnTo>
                  <a:pt x="25889" y="373397"/>
                </a:lnTo>
                <a:lnTo>
                  <a:pt x="26570" y="373205"/>
                </a:lnTo>
                <a:lnTo>
                  <a:pt x="27252" y="373013"/>
                </a:lnTo>
                <a:lnTo>
                  <a:pt x="27933" y="372821"/>
                </a:lnTo>
                <a:lnTo>
                  <a:pt x="28614" y="372628"/>
                </a:lnTo>
                <a:lnTo>
                  <a:pt x="29296" y="372435"/>
                </a:lnTo>
                <a:lnTo>
                  <a:pt x="29977" y="372241"/>
                </a:lnTo>
                <a:lnTo>
                  <a:pt x="30658" y="372048"/>
                </a:lnTo>
                <a:lnTo>
                  <a:pt x="31340" y="371854"/>
                </a:lnTo>
                <a:lnTo>
                  <a:pt x="32021" y="371660"/>
                </a:lnTo>
                <a:lnTo>
                  <a:pt x="32702" y="371465"/>
                </a:lnTo>
                <a:lnTo>
                  <a:pt x="33383" y="371271"/>
                </a:lnTo>
                <a:lnTo>
                  <a:pt x="34065" y="371075"/>
                </a:lnTo>
                <a:lnTo>
                  <a:pt x="34746" y="370880"/>
                </a:lnTo>
                <a:lnTo>
                  <a:pt x="35427" y="370684"/>
                </a:lnTo>
                <a:lnTo>
                  <a:pt x="36109" y="370489"/>
                </a:lnTo>
                <a:lnTo>
                  <a:pt x="36790" y="370292"/>
                </a:lnTo>
                <a:lnTo>
                  <a:pt x="37471" y="370096"/>
                </a:lnTo>
                <a:lnTo>
                  <a:pt x="38153" y="369899"/>
                </a:lnTo>
                <a:lnTo>
                  <a:pt x="38834" y="369702"/>
                </a:lnTo>
                <a:lnTo>
                  <a:pt x="39515" y="369504"/>
                </a:lnTo>
                <a:lnTo>
                  <a:pt x="40197" y="369307"/>
                </a:lnTo>
                <a:lnTo>
                  <a:pt x="40878" y="369109"/>
                </a:lnTo>
                <a:lnTo>
                  <a:pt x="41559" y="368910"/>
                </a:lnTo>
                <a:lnTo>
                  <a:pt x="42240" y="368712"/>
                </a:lnTo>
                <a:lnTo>
                  <a:pt x="42922" y="368513"/>
                </a:lnTo>
                <a:lnTo>
                  <a:pt x="43603" y="368314"/>
                </a:lnTo>
                <a:lnTo>
                  <a:pt x="44284" y="368114"/>
                </a:lnTo>
                <a:lnTo>
                  <a:pt x="44966" y="367914"/>
                </a:lnTo>
                <a:lnTo>
                  <a:pt x="45647" y="367714"/>
                </a:lnTo>
                <a:lnTo>
                  <a:pt x="46328" y="367514"/>
                </a:lnTo>
                <a:lnTo>
                  <a:pt x="47010" y="367313"/>
                </a:lnTo>
                <a:lnTo>
                  <a:pt x="47691" y="367112"/>
                </a:lnTo>
                <a:lnTo>
                  <a:pt x="48372" y="366911"/>
                </a:lnTo>
                <a:lnTo>
                  <a:pt x="49053" y="366709"/>
                </a:lnTo>
                <a:lnTo>
                  <a:pt x="49735" y="366507"/>
                </a:lnTo>
                <a:lnTo>
                  <a:pt x="50416" y="366305"/>
                </a:lnTo>
                <a:lnTo>
                  <a:pt x="51097" y="366103"/>
                </a:lnTo>
                <a:lnTo>
                  <a:pt x="51779" y="365900"/>
                </a:lnTo>
                <a:lnTo>
                  <a:pt x="52460" y="365697"/>
                </a:lnTo>
                <a:lnTo>
                  <a:pt x="53141" y="365493"/>
                </a:lnTo>
                <a:lnTo>
                  <a:pt x="53823" y="365290"/>
                </a:lnTo>
                <a:lnTo>
                  <a:pt x="54504" y="365086"/>
                </a:lnTo>
                <a:lnTo>
                  <a:pt x="55185" y="364881"/>
                </a:lnTo>
                <a:lnTo>
                  <a:pt x="55867" y="364677"/>
                </a:lnTo>
                <a:lnTo>
                  <a:pt x="56548" y="364472"/>
                </a:lnTo>
                <a:lnTo>
                  <a:pt x="57229" y="364267"/>
                </a:lnTo>
                <a:lnTo>
                  <a:pt x="57910" y="364061"/>
                </a:lnTo>
                <a:lnTo>
                  <a:pt x="58592" y="363855"/>
                </a:lnTo>
                <a:lnTo>
                  <a:pt x="59273" y="363649"/>
                </a:lnTo>
                <a:lnTo>
                  <a:pt x="59954" y="363443"/>
                </a:lnTo>
                <a:lnTo>
                  <a:pt x="60636" y="363236"/>
                </a:lnTo>
                <a:lnTo>
                  <a:pt x="61317" y="363029"/>
                </a:lnTo>
                <a:lnTo>
                  <a:pt x="61998" y="362821"/>
                </a:lnTo>
                <a:lnTo>
                  <a:pt x="62680" y="362614"/>
                </a:lnTo>
                <a:lnTo>
                  <a:pt x="63361" y="362406"/>
                </a:lnTo>
                <a:lnTo>
                  <a:pt x="64042" y="362198"/>
                </a:lnTo>
                <a:lnTo>
                  <a:pt x="64724" y="361989"/>
                </a:lnTo>
                <a:lnTo>
                  <a:pt x="65405" y="361780"/>
                </a:lnTo>
                <a:lnTo>
                  <a:pt x="66086" y="361571"/>
                </a:lnTo>
                <a:lnTo>
                  <a:pt x="66767" y="361361"/>
                </a:lnTo>
                <a:lnTo>
                  <a:pt x="67449" y="361151"/>
                </a:lnTo>
                <a:lnTo>
                  <a:pt x="68130" y="360941"/>
                </a:lnTo>
                <a:lnTo>
                  <a:pt x="68811" y="360731"/>
                </a:lnTo>
                <a:lnTo>
                  <a:pt x="69493" y="360520"/>
                </a:lnTo>
                <a:lnTo>
                  <a:pt x="70174" y="360309"/>
                </a:lnTo>
                <a:lnTo>
                  <a:pt x="70855" y="360098"/>
                </a:lnTo>
                <a:lnTo>
                  <a:pt x="71537" y="359886"/>
                </a:lnTo>
                <a:lnTo>
                  <a:pt x="72218" y="359674"/>
                </a:lnTo>
                <a:lnTo>
                  <a:pt x="72899" y="359462"/>
                </a:lnTo>
                <a:lnTo>
                  <a:pt x="73580" y="359249"/>
                </a:lnTo>
                <a:lnTo>
                  <a:pt x="74262" y="359036"/>
                </a:lnTo>
                <a:lnTo>
                  <a:pt x="74943" y="358823"/>
                </a:lnTo>
                <a:lnTo>
                  <a:pt x="75624" y="358609"/>
                </a:lnTo>
                <a:lnTo>
                  <a:pt x="76306" y="358395"/>
                </a:lnTo>
                <a:lnTo>
                  <a:pt x="76987" y="358181"/>
                </a:lnTo>
                <a:lnTo>
                  <a:pt x="77668" y="357966"/>
                </a:lnTo>
                <a:lnTo>
                  <a:pt x="78350" y="357752"/>
                </a:lnTo>
                <a:lnTo>
                  <a:pt x="79031" y="357536"/>
                </a:lnTo>
                <a:lnTo>
                  <a:pt x="79712" y="357321"/>
                </a:lnTo>
                <a:lnTo>
                  <a:pt x="80394" y="357105"/>
                </a:lnTo>
                <a:lnTo>
                  <a:pt x="81075" y="356889"/>
                </a:lnTo>
                <a:lnTo>
                  <a:pt x="81756" y="356673"/>
                </a:lnTo>
                <a:lnTo>
                  <a:pt x="82437" y="356456"/>
                </a:lnTo>
                <a:lnTo>
                  <a:pt x="83119" y="356239"/>
                </a:lnTo>
                <a:lnTo>
                  <a:pt x="83800" y="356021"/>
                </a:lnTo>
                <a:lnTo>
                  <a:pt x="84481" y="355804"/>
                </a:lnTo>
                <a:lnTo>
                  <a:pt x="85163" y="355586"/>
                </a:lnTo>
                <a:lnTo>
                  <a:pt x="85844" y="355367"/>
                </a:lnTo>
                <a:lnTo>
                  <a:pt x="86525" y="355149"/>
                </a:lnTo>
                <a:lnTo>
                  <a:pt x="87207" y="354930"/>
                </a:lnTo>
                <a:lnTo>
                  <a:pt x="87888" y="354710"/>
                </a:lnTo>
                <a:lnTo>
                  <a:pt x="88569" y="354491"/>
                </a:lnTo>
                <a:lnTo>
                  <a:pt x="89251" y="354271"/>
                </a:lnTo>
                <a:lnTo>
                  <a:pt x="89932" y="354051"/>
                </a:lnTo>
                <a:lnTo>
                  <a:pt x="90613" y="353830"/>
                </a:lnTo>
                <a:lnTo>
                  <a:pt x="91294" y="353609"/>
                </a:lnTo>
                <a:lnTo>
                  <a:pt x="91976" y="353388"/>
                </a:lnTo>
                <a:lnTo>
                  <a:pt x="92657" y="353166"/>
                </a:lnTo>
                <a:lnTo>
                  <a:pt x="93338" y="352944"/>
                </a:lnTo>
                <a:lnTo>
                  <a:pt x="94020" y="352722"/>
                </a:lnTo>
                <a:lnTo>
                  <a:pt x="94701" y="352500"/>
                </a:lnTo>
                <a:lnTo>
                  <a:pt x="95382" y="352277"/>
                </a:lnTo>
                <a:lnTo>
                  <a:pt x="96064" y="352054"/>
                </a:lnTo>
                <a:lnTo>
                  <a:pt x="96745" y="351830"/>
                </a:lnTo>
                <a:lnTo>
                  <a:pt x="97426" y="351606"/>
                </a:lnTo>
                <a:lnTo>
                  <a:pt x="98107" y="351382"/>
                </a:lnTo>
                <a:lnTo>
                  <a:pt x="98789" y="351158"/>
                </a:lnTo>
                <a:lnTo>
                  <a:pt x="99470" y="350933"/>
                </a:lnTo>
                <a:lnTo>
                  <a:pt x="100151" y="350708"/>
                </a:lnTo>
                <a:lnTo>
                  <a:pt x="100833" y="350482"/>
                </a:lnTo>
                <a:lnTo>
                  <a:pt x="101514" y="350257"/>
                </a:lnTo>
                <a:lnTo>
                  <a:pt x="102195" y="350030"/>
                </a:lnTo>
                <a:lnTo>
                  <a:pt x="102877" y="349804"/>
                </a:lnTo>
                <a:lnTo>
                  <a:pt x="103558" y="349577"/>
                </a:lnTo>
                <a:lnTo>
                  <a:pt x="104239" y="349350"/>
                </a:lnTo>
                <a:lnTo>
                  <a:pt x="104921" y="349123"/>
                </a:lnTo>
                <a:lnTo>
                  <a:pt x="105602" y="348895"/>
                </a:lnTo>
                <a:lnTo>
                  <a:pt x="106283" y="348667"/>
                </a:lnTo>
                <a:lnTo>
                  <a:pt x="106964" y="348438"/>
                </a:lnTo>
                <a:lnTo>
                  <a:pt x="107646" y="348210"/>
                </a:lnTo>
                <a:lnTo>
                  <a:pt x="108327" y="347981"/>
                </a:lnTo>
                <a:lnTo>
                  <a:pt x="109008" y="347751"/>
                </a:lnTo>
                <a:lnTo>
                  <a:pt x="109690" y="347522"/>
                </a:lnTo>
                <a:lnTo>
                  <a:pt x="110371" y="347291"/>
                </a:lnTo>
                <a:lnTo>
                  <a:pt x="111052" y="347061"/>
                </a:lnTo>
                <a:lnTo>
                  <a:pt x="111734" y="346830"/>
                </a:lnTo>
                <a:lnTo>
                  <a:pt x="112415" y="346599"/>
                </a:lnTo>
                <a:lnTo>
                  <a:pt x="113096" y="346368"/>
                </a:lnTo>
                <a:lnTo>
                  <a:pt x="113777" y="346136"/>
                </a:lnTo>
                <a:lnTo>
                  <a:pt x="114459" y="345904"/>
                </a:lnTo>
                <a:lnTo>
                  <a:pt x="115140" y="345672"/>
                </a:lnTo>
                <a:lnTo>
                  <a:pt x="115821" y="345439"/>
                </a:lnTo>
                <a:lnTo>
                  <a:pt x="116503" y="345206"/>
                </a:lnTo>
                <a:lnTo>
                  <a:pt x="117184" y="344972"/>
                </a:lnTo>
                <a:lnTo>
                  <a:pt x="117865" y="344739"/>
                </a:lnTo>
                <a:lnTo>
                  <a:pt x="118547" y="344504"/>
                </a:lnTo>
                <a:lnTo>
                  <a:pt x="119228" y="344270"/>
                </a:lnTo>
                <a:lnTo>
                  <a:pt x="119909" y="344035"/>
                </a:lnTo>
                <a:lnTo>
                  <a:pt x="120591" y="343800"/>
                </a:lnTo>
                <a:lnTo>
                  <a:pt x="121272" y="343565"/>
                </a:lnTo>
                <a:lnTo>
                  <a:pt x="121953" y="343329"/>
                </a:lnTo>
                <a:lnTo>
                  <a:pt x="122634" y="343093"/>
                </a:lnTo>
                <a:lnTo>
                  <a:pt x="123316" y="342856"/>
                </a:lnTo>
                <a:lnTo>
                  <a:pt x="123997" y="342620"/>
                </a:lnTo>
                <a:lnTo>
                  <a:pt x="124678" y="342382"/>
                </a:lnTo>
                <a:lnTo>
                  <a:pt x="125360" y="342145"/>
                </a:lnTo>
                <a:lnTo>
                  <a:pt x="126041" y="341907"/>
                </a:lnTo>
                <a:lnTo>
                  <a:pt x="126722" y="341669"/>
                </a:lnTo>
                <a:lnTo>
                  <a:pt x="127404" y="341430"/>
                </a:lnTo>
                <a:lnTo>
                  <a:pt x="128085" y="341192"/>
                </a:lnTo>
                <a:lnTo>
                  <a:pt x="128766" y="340952"/>
                </a:lnTo>
                <a:lnTo>
                  <a:pt x="129448" y="340713"/>
                </a:lnTo>
                <a:lnTo>
                  <a:pt x="130129" y="340473"/>
                </a:lnTo>
                <a:lnTo>
                  <a:pt x="130810" y="340233"/>
                </a:lnTo>
                <a:lnTo>
                  <a:pt x="131491" y="339992"/>
                </a:lnTo>
                <a:lnTo>
                  <a:pt x="132173" y="339751"/>
                </a:lnTo>
                <a:lnTo>
                  <a:pt x="132854" y="339510"/>
                </a:lnTo>
                <a:lnTo>
                  <a:pt x="133535" y="339268"/>
                </a:lnTo>
                <a:lnTo>
                  <a:pt x="134217" y="339026"/>
                </a:lnTo>
                <a:lnTo>
                  <a:pt x="134898" y="338784"/>
                </a:lnTo>
                <a:lnTo>
                  <a:pt x="135579" y="338542"/>
                </a:lnTo>
                <a:lnTo>
                  <a:pt x="136261" y="338299"/>
                </a:lnTo>
                <a:lnTo>
                  <a:pt x="136942" y="338055"/>
                </a:lnTo>
                <a:lnTo>
                  <a:pt x="137623" y="337812"/>
                </a:lnTo>
                <a:lnTo>
                  <a:pt x="138304" y="337568"/>
                </a:lnTo>
                <a:lnTo>
                  <a:pt x="138986" y="337323"/>
                </a:lnTo>
                <a:lnTo>
                  <a:pt x="139667" y="337078"/>
                </a:lnTo>
                <a:lnTo>
                  <a:pt x="140348" y="336833"/>
                </a:lnTo>
                <a:lnTo>
                  <a:pt x="141030" y="336588"/>
                </a:lnTo>
                <a:lnTo>
                  <a:pt x="141711" y="336342"/>
                </a:lnTo>
                <a:lnTo>
                  <a:pt x="142392" y="336096"/>
                </a:lnTo>
                <a:lnTo>
                  <a:pt x="143074" y="335850"/>
                </a:lnTo>
                <a:lnTo>
                  <a:pt x="143755" y="335603"/>
                </a:lnTo>
                <a:lnTo>
                  <a:pt x="144436" y="335356"/>
                </a:lnTo>
                <a:lnTo>
                  <a:pt x="145118" y="335108"/>
                </a:lnTo>
                <a:lnTo>
                  <a:pt x="145799" y="334860"/>
                </a:lnTo>
                <a:lnTo>
                  <a:pt x="146480" y="334612"/>
                </a:lnTo>
                <a:lnTo>
                  <a:pt x="147161" y="334364"/>
                </a:lnTo>
                <a:lnTo>
                  <a:pt x="147843" y="334115"/>
                </a:lnTo>
                <a:lnTo>
                  <a:pt x="148524" y="333865"/>
                </a:lnTo>
                <a:lnTo>
                  <a:pt x="149205" y="333616"/>
                </a:lnTo>
                <a:lnTo>
                  <a:pt x="149887" y="333366"/>
                </a:lnTo>
                <a:lnTo>
                  <a:pt x="150568" y="333115"/>
                </a:lnTo>
                <a:lnTo>
                  <a:pt x="151249" y="332865"/>
                </a:lnTo>
                <a:lnTo>
                  <a:pt x="151931" y="332614"/>
                </a:lnTo>
                <a:lnTo>
                  <a:pt x="152612" y="332362"/>
                </a:lnTo>
                <a:lnTo>
                  <a:pt x="153293" y="332110"/>
                </a:lnTo>
                <a:lnTo>
                  <a:pt x="153975" y="331858"/>
                </a:lnTo>
                <a:lnTo>
                  <a:pt x="154656" y="331606"/>
                </a:lnTo>
                <a:lnTo>
                  <a:pt x="155337" y="331353"/>
                </a:lnTo>
                <a:lnTo>
                  <a:pt x="156018" y="331100"/>
                </a:lnTo>
                <a:lnTo>
                  <a:pt x="156700" y="330846"/>
                </a:lnTo>
                <a:lnTo>
                  <a:pt x="157381" y="330592"/>
                </a:lnTo>
                <a:lnTo>
                  <a:pt x="158062" y="330338"/>
                </a:lnTo>
                <a:lnTo>
                  <a:pt x="158744" y="330084"/>
                </a:lnTo>
                <a:lnTo>
                  <a:pt x="159425" y="329829"/>
                </a:lnTo>
                <a:lnTo>
                  <a:pt x="160106" y="329573"/>
                </a:lnTo>
                <a:lnTo>
                  <a:pt x="160788" y="329318"/>
                </a:lnTo>
                <a:lnTo>
                  <a:pt x="161469" y="329062"/>
                </a:lnTo>
                <a:lnTo>
                  <a:pt x="162150" y="328805"/>
                </a:lnTo>
                <a:lnTo>
                  <a:pt x="162831" y="328548"/>
                </a:lnTo>
                <a:lnTo>
                  <a:pt x="163513" y="328291"/>
                </a:lnTo>
                <a:lnTo>
                  <a:pt x="164194" y="328034"/>
                </a:lnTo>
                <a:lnTo>
                  <a:pt x="164875" y="327776"/>
                </a:lnTo>
                <a:lnTo>
                  <a:pt x="165557" y="327518"/>
                </a:lnTo>
                <a:lnTo>
                  <a:pt x="166238" y="327259"/>
                </a:lnTo>
                <a:lnTo>
                  <a:pt x="166919" y="327000"/>
                </a:lnTo>
                <a:lnTo>
                  <a:pt x="167601" y="326741"/>
                </a:lnTo>
                <a:lnTo>
                  <a:pt x="168282" y="326481"/>
                </a:lnTo>
                <a:lnTo>
                  <a:pt x="168963" y="326221"/>
                </a:lnTo>
                <a:lnTo>
                  <a:pt x="169645" y="325961"/>
                </a:lnTo>
                <a:lnTo>
                  <a:pt x="170326" y="325700"/>
                </a:lnTo>
                <a:lnTo>
                  <a:pt x="171007" y="325439"/>
                </a:lnTo>
                <a:lnTo>
                  <a:pt x="171688" y="325177"/>
                </a:lnTo>
                <a:lnTo>
                  <a:pt x="172370" y="324915"/>
                </a:lnTo>
                <a:lnTo>
                  <a:pt x="173051" y="324653"/>
                </a:lnTo>
                <a:lnTo>
                  <a:pt x="173732" y="324391"/>
                </a:lnTo>
                <a:lnTo>
                  <a:pt x="174414" y="324128"/>
                </a:lnTo>
                <a:lnTo>
                  <a:pt x="175095" y="323864"/>
                </a:lnTo>
                <a:lnTo>
                  <a:pt x="175776" y="323601"/>
                </a:lnTo>
                <a:lnTo>
                  <a:pt x="176458" y="323336"/>
                </a:lnTo>
                <a:lnTo>
                  <a:pt x="177139" y="323072"/>
                </a:lnTo>
                <a:lnTo>
                  <a:pt x="177820" y="322807"/>
                </a:lnTo>
                <a:lnTo>
                  <a:pt x="178502" y="322542"/>
                </a:lnTo>
                <a:lnTo>
                  <a:pt x="179183" y="322277"/>
                </a:lnTo>
                <a:lnTo>
                  <a:pt x="179864" y="322011"/>
                </a:lnTo>
                <a:lnTo>
                  <a:pt x="180545" y="321744"/>
                </a:lnTo>
                <a:lnTo>
                  <a:pt x="181227" y="321478"/>
                </a:lnTo>
                <a:lnTo>
                  <a:pt x="181908" y="321211"/>
                </a:lnTo>
                <a:lnTo>
                  <a:pt x="182589" y="320943"/>
                </a:lnTo>
                <a:lnTo>
                  <a:pt x="183271" y="320675"/>
                </a:lnTo>
                <a:lnTo>
                  <a:pt x="183952" y="320407"/>
                </a:lnTo>
                <a:lnTo>
                  <a:pt x="184633" y="320139"/>
                </a:lnTo>
                <a:lnTo>
                  <a:pt x="185315" y="319870"/>
                </a:lnTo>
                <a:lnTo>
                  <a:pt x="185996" y="319601"/>
                </a:lnTo>
                <a:lnTo>
                  <a:pt x="186677" y="319331"/>
                </a:lnTo>
                <a:lnTo>
                  <a:pt x="187358" y="319061"/>
                </a:lnTo>
                <a:lnTo>
                  <a:pt x="188040" y="318791"/>
                </a:lnTo>
                <a:lnTo>
                  <a:pt x="188721" y="318520"/>
                </a:lnTo>
                <a:lnTo>
                  <a:pt x="189402" y="318249"/>
                </a:lnTo>
                <a:lnTo>
                  <a:pt x="190084" y="317977"/>
                </a:lnTo>
                <a:lnTo>
                  <a:pt x="190765" y="317705"/>
                </a:lnTo>
                <a:lnTo>
                  <a:pt x="191446" y="317433"/>
                </a:lnTo>
                <a:lnTo>
                  <a:pt x="192128" y="317160"/>
                </a:lnTo>
                <a:lnTo>
                  <a:pt x="192809" y="316887"/>
                </a:lnTo>
                <a:lnTo>
                  <a:pt x="193490" y="316614"/>
                </a:lnTo>
                <a:lnTo>
                  <a:pt x="194172" y="316340"/>
                </a:lnTo>
                <a:lnTo>
                  <a:pt x="194853" y="316066"/>
                </a:lnTo>
                <a:lnTo>
                  <a:pt x="195534" y="315791"/>
                </a:lnTo>
                <a:lnTo>
                  <a:pt x="196215" y="315517"/>
                </a:lnTo>
                <a:lnTo>
                  <a:pt x="196897" y="315241"/>
                </a:lnTo>
                <a:lnTo>
                  <a:pt x="197578" y="314966"/>
                </a:lnTo>
                <a:lnTo>
                  <a:pt x="198259" y="314690"/>
                </a:lnTo>
                <a:lnTo>
                  <a:pt x="198941" y="314413"/>
                </a:lnTo>
                <a:lnTo>
                  <a:pt x="199622" y="314136"/>
                </a:lnTo>
                <a:lnTo>
                  <a:pt x="200303" y="313859"/>
                </a:lnTo>
                <a:lnTo>
                  <a:pt x="200985" y="313581"/>
                </a:lnTo>
                <a:lnTo>
                  <a:pt x="201666" y="313303"/>
                </a:lnTo>
                <a:lnTo>
                  <a:pt x="202347" y="313025"/>
                </a:lnTo>
                <a:lnTo>
                  <a:pt x="203028" y="312746"/>
                </a:lnTo>
                <a:lnTo>
                  <a:pt x="203710" y="312467"/>
                </a:lnTo>
                <a:lnTo>
                  <a:pt x="204391" y="312188"/>
                </a:lnTo>
                <a:lnTo>
                  <a:pt x="205072" y="311908"/>
                </a:lnTo>
                <a:lnTo>
                  <a:pt x="205754" y="311628"/>
                </a:lnTo>
                <a:lnTo>
                  <a:pt x="206435" y="311347"/>
                </a:lnTo>
                <a:lnTo>
                  <a:pt x="207116" y="311066"/>
                </a:lnTo>
                <a:lnTo>
                  <a:pt x="207798" y="310785"/>
                </a:lnTo>
                <a:lnTo>
                  <a:pt x="208479" y="310503"/>
                </a:lnTo>
                <a:lnTo>
                  <a:pt x="209160" y="310221"/>
                </a:lnTo>
                <a:lnTo>
                  <a:pt x="209842" y="309938"/>
                </a:lnTo>
                <a:lnTo>
                  <a:pt x="210523" y="309655"/>
                </a:lnTo>
                <a:lnTo>
                  <a:pt x="211204" y="309372"/>
                </a:lnTo>
                <a:lnTo>
                  <a:pt x="211885" y="309088"/>
                </a:lnTo>
                <a:lnTo>
                  <a:pt x="212567" y="308804"/>
                </a:lnTo>
                <a:lnTo>
                  <a:pt x="213248" y="308519"/>
                </a:lnTo>
                <a:lnTo>
                  <a:pt x="213929" y="308234"/>
                </a:lnTo>
                <a:lnTo>
                  <a:pt x="214611" y="307949"/>
                </a:lnTo>
                <a:lnTo>
                  <a:pt x="215292" y="307663"/>
                </a:lnTo>
                <a:lnTo>
                  <a:pt x="215973" y="307377"/>
                </a:lnTo>
                <a:lnTo>
                  <a:pt x="216655" y="307091"/>
                </a:lnTo>
                <a:lnTo>
                  <a:pt x="217336" y="306804"/>
                </a:lnTo>
                <a:lnTo>
                  <a:pt x="218017" y="306517"/>
                </a:lnTo>
                <a:lnTo>
                  <a:pt x="218699" y="306229"/>
                </a:lnTo>
                <a:lnTo>
                  <a:pt x="219380" y="305941"/>
                </a:lnTo>
                <a:lnTo>
                  <a:pt x="220061" y="305652"/>
                </a:lnTo>
                <a:lnTo>
                  <a:pt x="220742" y="305364"/>
                </a:lnTo>
                <a:lnTo>
                  <a:pt x="221424" y="305074"/>
                </a:lnTo>
                <a:lnTo>
                  <a:pt x="222105" y="304785"/>
                </a:lnTo>
                <a:lnTo>
                  <a:pt x="222786" y="304495"/>
                </a:lnTo>
                <a:lnTo>
                  <a:pt x="223468" y="304204"/>
                </a:lnTo>
                <a:lnTo>
                  <a:pt x="224149" y="303914"/>
                </a:lnTo>
                <a:lnTo>
                  <a:pt x="224830" y="303622"/>
                </a:lnTo>
                <a:lnTo>
                  <a:pt x="225512" y="303331"/>
                </a:lnTo>
                <a:lnTo>
                  <a:pt x="226193" y="303039"/>
                </a:lnTo>
                <a:lnTo>
                  <a:pt x="226874" y="302746"/>
                </a:lnTo>
                <a:lnTo>
                  <a:pt x="227555" y="302454"/>
                </a:lnTo>
                <a:lnTo>
                  <a:pt x="228237" y="302160"/>
                </a:lnTo>
                <a:lnTo>
                  <a:pt x="228918" y="301867"/>
                </a:lnTo>
                <a:lnTo>
                  <a:pt x="229599" y="301573"/>
                </a:lnTo>
                <a:lnTo>
                  <a:pt x="230281" y="301279"/>
                </a:lnTo>
                <a:lnTo>
                  <a:pt x="230962" y="300984"/>
                </a:lnTo>
                <a:lnTo>
                  <a:pt x="231643" y="300689"/>
                </a:lnTo>
                <a:lnTo>
                  <a:pt x="232325" y="300393"/>
                </a:lnTo>
                <a:lnTo>
                  <a:pt x="233006" y="300097"/>
                </a:lnTo>
                <a:lnTo>
                  <a:pt x="233687" y="299801"/>
                </a:lnTo>
                <a:lnTo>
                  <a:pt x="234369" y="299504"/>
                </a:lnTo>
                <a:lnTo>
                  <a:pt x="235050" y="299207"/>
                </a:lnTo>
                <a:lnTo>
                  <a:pt x="235731" y="298909"/>
                </a:lnTo>
                <a:lnTo>
                  <a:pt x="236412" y="298611"/>
                </a:lnTo>
                <a:lnTo>
                  <a:pt x="237094" y="298313"/>
                </a:lnTo>
                <a:lnTo>
                  <a:pt x="237775" y="298014"/>
                </a:lnTo>
                <a:lnTo>
                  <a:pt x="238456" y="297715"/>
                </a:lnTo>
                <a:lnTo>
                  <a:pt x="239138" y="297415"/>
                </a:lnTo>
                <a:lnTo>
                  <a:pt x="239819" y="297115"/>
                </a:lnTo>
                <a:lnTo>
                  <a:pt x="240500" y="296815"/>
                </a:lnTo>
                <a:lnTo>
                  <a:pt x="241182" y="296514"/>
                </a:lnTo>
                <a:lnTo>
                  <a:pt x="241863" y="296213"/>
                </a:lnTo>
                <a:lnTo>
                  <a:pt x="242544" y="295911"/>
                </a:lnTo>
                <a:lnTo>
                  <a:pt x="243226" y="295609"/>
                </a:lnTo>
                <a:lnTo>
                  <a:pt x="243907" y="295307"/>
                </a:lnTo>
                <a:lnTo>
                  <a:pt x="244588" y="295004"/>
                </a:lnTo>
                <a:lnTo>
                  <a:pt x="245269" y="294701"/>
                </a:lnTo>
                <a:lnTo>
                  <a:pt x="245951" y="294397"/>
                </a:lnTo>
                <a:lnTo>
                  <a:pt x="246632" y="294093"/>
                </a:lnTo>
                <a:lnTo>
                  <a:pt x="247313" y="293788"/>
                </a:lnTo>
                <a:lnTo>
                  <a:pt x="247995" y="293484"/>
                </a:lnTo>
                <a:lnTo>
                  <a:pt x="248676" y="293178"/>
                </a:lnTo>
                <a:lnTo>
                  <a:pt x="249357" y="292873"/>
                </a:lnTo>
                <a:lnTo>
                  <a:pt x="250039" y="292567"/>
                </a:lnTo>
                <a:lnTo>
                  <a:pt x="250720" y="292260"/>
                </a:lnTo>
                <a:lnTo>
                  <a:pt x="251401" y="291953"/>
                </a:lnTo>
                <a:lnTo>
                  <a:pt x="252082" y="291646"/>
                </a:lnTo>
                <a:lnTo>
                  <a:pt x="252764" y="291338"/>
                </a:lnTo>
                <a:lnTo>
                  <a:pt x="253445" y="291030"/>
                </a:lnTo>
                <a:lnTo>
                  <a:pt x="254126" y="290721"/>
                </a:lnTo>
                <a:lnTo>
                  <a:pt x="254808" y="290412"/>
                </a:lnTo>
                <a:lnTo>
                  <a:pt x="255489" y="290103"/>
                </a:lnTo>
                <a:lnTo>
                  <a:pt x="256170" y="289793"/>
                </a:lnTo>
                <a:lnTo>
                  <a:pt x="256852" y="289483"/>
                </a:lnTo>
                <a:lnTo>
                  <a:pt x="257533" y="289172"/>
                </a:lnTo>
                <a:lnTo>
                  <a:pt x="258214" y="288861"/>
                </a:lnTo>
                <a:lnTo>
                  <a:pt x="258896" y="288550"/>
                </a:lnTo>
                <a:lnTo>
                  <a:pt x="259577" y="288238"/>
                </a:lnTo>
                <a:lnTo>
                  <a:pt x="260258" y="287926"/>
                </a:lnTo>
                <a:lnTo>
                  <a:pt x="260939" y="287613"/>
                </a:lnTo>
                <a:lnTo>
                  <a:pt x="261621" y="287300"/>
                </a:lnTo>
                <a:lnTo>
                  <a:pt x="262302" y="286986"/>
                </a:lnTo>
                <a:lnTo>
                  <a:pt x="262983" y="286672"/>
                </a:lnTo>
                <a:lnTo>
                  <a:pt x="263665" y="286358"/>
                </a:lnTo>
                <a:lnTo>
                  <a:pt x="264346" y="286043"/>
                </a:lnTo>
                <a:lnTo>
                  <a:pt x="265027" y="285728"/>
                </a:lnTo>
                <a:lnTo>
                  <a:pt x="265709" y="285412"/>
                </a:lnTo>
                <a:lnTo>
                  <a:pt x="266390" y="285096"/>
                </a:lnTo>
                <a:lnTo>
                  <a:pt x="267071" y="284780"/>
                </a:lnTo>
                <a:lnTo>
                  <a:pt x="267753" y="284463"/>
                </a:lnTo>
                <a:lnTo>
                  <a:pt x="268434" y="284145"/>
                </a:lnTo>
                <a:lnTo>
                  <a:pt x="269115" y="283828"/>
                </a:lnTo>
                <a:lnTo>
                  <a:pt x="269796" y="283509"/>
                </a:lnTo>
                <a:lnTo>
                  <a:pt x="270478" y="283191"/>
                </a:lnTo>
                <a:lnTo>
                  <a:pt x="271159" y="282872"/>
                </a:lnTo>
                <a:lnTo>
                  <a:pt x="271840" y="282552"/>
                </a:lnTo>
                <a:lnTo>
                  <a:pt x="272522" y="282233"/>
                </a:lnTo>
                <a:lnTo>
                  <a:pt x="273203" y="281912"/>
                </a:lnTo>
                <a:lnTo>
                  <a:pt x="273884" y="281592"/>
                </a:lnTo>
                <a:lnTo>
                  <a:pt x="274566" y="281271"/>
                </a:lnTo>
                <a:lnTo>
                  <a:pt x="275247" y="280949"/>
                </a:lnTo>
                <a:lnTo>
                  <a:pt x="275928" y="280627"/>
                </a:lnTo>
                <a:lnTo>
                  <a:pt x="276609" y="280305"/>
                </a:lnTo>
                <a:lnTo>
                  <a:pt x="277291" y="279982"/>
                </a:lnTo>
                <a:lnTo>
                  <a:pt x="277972" y="279659"/>
                </a:lnTo>
                <a:lnTo>
                  <a:pt x="278653" y="279335"/>
                </a:lnTo>
                <a:lnTo>
                  <a:pt x="279335" y="279011"/>
                </a:lnTo>
                <a:lnTo>
                  <a:pt x="280016" y="278686"/>
                </a:lnTo>
                <a:lnTo>
                  <a:pt x="280697" y="278361"/>
                </a:lnTo>
                <a:lnTo>
                  <a:pt x="281379" y="278036"/>
                </a:lnTo>
                <a:lnTo>
                  <a:pt x="282060" y="277710"/>
                </a:lnTo>
                <a:lnTo>
                  <a:pt x="282741" y="277384"/>
                </a:lnTo>
                <a:lnTo>
                  <a:pt x="283423" y="277057"/>
                </a:lnTo>
                <a:lnTo>
                  <a:pt x="284104" y="276730"/>
                </a:lnTo>
                <a:lnTo>
                  <a:pt x="284785" y="276403"/>
                </a:lnTo>
                <a:lnTo>
                  <a:pt x="285466" y="276075"/>
                </a:lnTo>
                <a:lnTo>
                  <a:pt x="286148" y="275746"/>
                </a:lnTo>
                <a:lnTo>
                  <a:pt x="286829" y="275417"/>
                </a:lnTo>
                <a:lnTo>
                  <a:pt x="287510" y="275088"/>
                </a:lnTo>
                <a:lnTo>
                  <a:pt x="288192" y="274758"/>
                </a:lnTo>
                <a:lnTo>
                  <a:pt x="288873" y="274428"/>
                </a:lnTo>
                <a:lnTo>
                  <a:pt x="289554" y="274098"/>
                </a:lnTo>
                <a:lnTo>
                  <a:pt x="290236" y="273767"/>
                </a:lnTo>
                <a:lnTo>
                  <a:pt x="290917" y="273435"/>
                </a:lnTo>
                <a:lnTo>
                  <a:pt x="291598" y="273104"/>
                </a:lnTo>
                <a:lnTo>
                  <a:pt x="292279" y="272771"/>
                </a:lnTo>
                <a:lnTo>
                  <a:pt x="292961" y="272439"/>
                </a:lnTo>
                <a:lnTo>
                  <a:pt x="293642" y="272105"/>
                </a:lnTo>
                <a:lnTo>
                  <a:pt x="294323" y="271772"/>
                </a:lnTo>
                <a:lnTo>
                  <a:pt x="295005" y="271438"/>
                </a:lnTo>
                <a:lnTo>
                  <a:pt x="295686" y="271103"/>
                </a:lnTo>
                <a:lnTo>
                  <a:pt x="296367" y="270768"/>
                </a:lnTo>
                <a:lnTo>
                  <a:pt x="297049" y="270433"/>
                </a:lnTo>
                <a:lnTo>
                  <a:pt x="297730" y="270097"/>
                </a:lnTo>
                <a:lnTo>
                  <a:pt x="298411" y="269761"/>
                </a:lnTo>
                <a:lnTo>
                  <a:pt x="299093" y="269425"/>
                </a:lnTo>
                <a:lnTo>
                  <a:pt x="299774" y="269087"/>
                </a:lnTo>
                <a:lnTo>
                  <a:pt x="300455" y="268750"/>
                </a:lnTo>
                <a:lnTo>
                  <a:pt x="301136" y="268412"/>
                </a:lnTo>
                <a:lnTo>
                  <a:pt x="301818" y="268074"/>
                </a:lnTo>
                <a:lnTo>
                  <a:pt x="302499" y="267735"/>
                </a:lnTo>
                <a:lnTo>
                  <a:pt x="303180" y="267395"/>
                </a:lnTo>
                <a:lnTo>
                  <a:pt x="303862" y="267056"/>
                </a:lnTo>
                <a:lnTo>
                  <a:pt x="304543" y="266716"/>
                </a:lnTo>
                <a:lnTo>
                  <a:pt x="305224" y="266375"/>
                </a:lnTo>
                <a:lnTo>
                  <a:pt x="305906" y="266034"/>
                </a:lnTo>
                <a:lnTo>
                  <a:pt x="306587" y="265692"/>
                </a:lnTo>
                <a:lnTo>
                  <a:pt x="307268" y="265350"/>
                </a:lnTo>
                <a:lnTo>
                  <a:pt x="307950" y="265008"/>
                </a:lnTo>
                <a:lnTo>
                  <a:pt x="308631" y="264665"/>
                </a:lnTo>
                <a:lnTo>
                  <a:pt x="309312" y="264322"/>
                </a:lnTo>
                <a:lnTo>
                  <a:pt x="309993" y="263978"/>
                </a:lnTo>
                <a:lnTo>
                  <a:pt x="310675" y="263634"/>
                </a:lnTo>
                <a:lnTo>
                  <a:pt x="311356" y="263290"/>
                </a:lnTo>
                <a:lnTo>
                  <a:pt x="312037" y="262945"/>
                </a:lnTo>
                <a:lnTo>
                  <a:pt x="312719" y="262599"/>
                </a:lnTo>
                <a:lnTo>
                  <a:pt x="313400" y="262253"/>
                </a:lnTo>
                <a:lnTo>
                  <a:pt x="314081" y="261907"/>
                </a:lnTo>
                <a:lnTo>
                  <a:pt x="314763" y="261560"/>
                </a:lnTo>
                <a:lnTo>
                  <a:pt x="315444" y="261213"/>
                </a:lnTo>
                <a:lnTo>
                  <a:pt x="316125" y="260865"/>
                </a:lnTo>
                <a:lnTo>
                  <a:pt x="316806" y="260517"/>
                </a:lnTo>
                <a:lnTo>
                  <a:pt x="317488" y="260168"/>
                </a:lnTo>
                <a:lnTo>
                  <a:pt x="318169" y="259819"/>
                </a:lnTo>
                <a:lnTo>
                  <a:pt x="318850" y="259469"/>
                </a:lnTo>
                <a:lnTo>
                  <a:pt x="319532" y="259119"/>
                </a:lnTo>
                <a:lnTo>
                  <a:pt x="320213" y="258769"/>
                </a:lnTo>
                <a:lnTo>
                  <a:pt x="320894" y="258418"/>
                </a:lnTo>
                <a:lnTo>
                  <a:pt x="321576" y="258067"/>
                </a:lnTo>
                <a:lnTo>
                  <a:pt x="322257" y="257715"/>
                </a:lnTo>
                <a:lnTo>
                  <a:pt x="322938" y="257363"/>
                </a:lnTo>
                <a:lnTo>
                  <a:pt x="323620" y="257010"/>
                </a:lnTo>
                <a:lnTo>
                  <a:pt x="324301" y="256657"/>
                </a:lnTo>
                <a:lnTo>
                  <a:pt x="324982" y="256303"/>
                </a:lnTo>
                <a:lnTo>
                  <a:pt x="325663" y="255949"/>
                </a:lnTo>
                <a:lnTo>
                  <a:pt x="326345" y="255595"/>
                </a:lnTo>
                <a:lnTo>
                  <a:pt x="327026" y="255240"/>
                </a:lnTo>
                <a:lnTo>
                  <a:pt x="327707" y="254885"/>
                </a:lnTo>
                <a:lnTo>
                  <a:pt x="328389" y="254529"/>
                </a:lnTo>
                <a:lnTo>
                  <a:pt x="329070" y="254172"/>
                </a:lnTo>
                <a:lnTo>
                  <a:pt x="329751" y="253816"/>
                </a:lnTo>
                <a:lnTo>
                  <a:pt x="330433" y="253458"/>
                </a:lnTo>
                <a:lnTo>
                  <a:pt x="331114" y="253101"/>
                </a:lnTo>
                <a:lnTo>
                  <a:pt x="331795" y="252743"/>
                </a:lnTo>
                <a:lnTo>
                  <a:pt x="332477" y="252384"/>
                </a:lnTo>
                <a:lnTo>
                  <a:pt x="333158" y="252025"/>
                </a:lnTo>
                <a:lnTo>
                  <a:pt x="333839" y="251665"/>
                </a:lnTo>
                <a:lnTo>
                  <a:pt x="334520" y="251305"/>
                </a:lnTo>
                <a:lnTo>
                  <a:pt x="335202" y="250945"/>
                </a:lnTo>
                <a:lnTo>
                  <a:pt x="335883" y="250584"/>
                </a:lnTo>
                <a:lnTo>
                  <a:pt x="336564" y="250223"/>
                </a:lnTo>
                <a:lnTo>
                  <a:pt x="337246" y="249861"/>
                </a:lnTo>
                <a:lnTo>
                  <a:pt x="337927" y="249499"/>
                </a:lnTo>
                <a:lnTo>
                  <a:pt x="338608" y="249136"/>
                </a:lnTo>
                <a:lnTo>
                  <a:pt x="339290" y="248773"/>
                </a:lnTo>
                <a:lnTo>
                  <a:pt x="339971" y="248409"/>
                </a:lnTo>
                <a:lnTo>
                  <a:pt x="340652" y="248045"/>
                </a:lnTo>
                <a:lnTo>
                  <a:pt x="341333" y="247680"/>
                </a:lnTo>
                <a:lnTo>
                  <a:pt x="342015" y="247315"/>
                </a:lnTo>
                <a:lnTo>
                  <a:pt x="342696" y="246950"/>
                </a:lnTo>
                <a:lnTo>
                  <a:pt x="343377" y="246584"/>
                </a:lnTo>
                <a:lnTo>
                  <a:pt x="344059" y="246217"/>
                </a:lnTo>
                <a:lnTo>
                  <a:pt x="344740" y="245851"/>
                </a:lnTo>
                <a:lnTo>
                  <a:pt x="345421" y="245483"/>
                </a:lnTo>
                <a:lnTo>
                  <a:pt x="346103" y="245115"/>
                </a:lnTo>
                <a:lnTo>
                  <a:pt x="346784" y="244747"/>
                </a:lnTo>
                <a:lnTo>
                  <a:pt x="347465" y="244378"/>
                </a:lnTo>
                <a:lnTo>
                  <a:pt x="348147" y="244009"/>
                </a:lnTo>
                <a:lnTo>
                  <a:pt x="348828" y="243639"/>
                </a:lnTo>
                <a:lnTo>
                  <a:pt x="349509" y="243269"/>
                </a:lnTo>
                <a:lnTo>
                  <a:pt x="350190" y="242899"/>
                </a:lnTo>
                <a:lnTo>
                  <a:pt x="350872" y="242527"/>
                </a:lnTo>
                <a:lnTo>
                  <a:pt x="351553" y="242156"/>
                </a:lnTo>
                <a:lnTo>
                  <a:pt x="352234" y="241784"/>
                </a:lnTo>
                <a:lnTo>
                  <a:pt x="352916" y="241411"/>
                </a:lnTo>
                <a:lnTo>
                  <a:pt x="353597" y="241038"/>
                </a:lnTo>
                <a:lnTo>
                  <a:pt x="354278" y="240665"/>
                </a:lnTo>
                <a:lnTo>
                  <a:pt x="354960" y="240291"/>
                </a:lnTo>
                <a:lnTo>
                  <a:pt x="355641" y="239917"/>
                </a:lnTo>
                <a:lnTo>
                  <a:pt x="356322" y="239542"/>
                </a:lnTo>
                <a:lnTo>
                  <a:pt x="357004" y="239166"/>
                </a:lnTo>
                <a:lnTo>
                  <a:pt x="357685" y="238791"/>
                </a:lnTo>
                <a:lnTo>
                  <a:pt x="358366" y="238414"/>
                </a:lnTo>
                <a:lnTo>
                  <a:pt x="359047" y="238038"/>
                </a:lnTo>
                <a:lnTo>
                  <a:pt x="359729" y="237660"/>
                </a:lnTo>
                <a:lnTo>
                  <a:pt x="360410" y="237283"/>
                </a:lnTo>
                <a:lnTo>
                  <a:pt x="361091" y="236904"/>
                </a:lnTo>
                <a:lnTo>
                  <a:pt x="361773" y="236526"/>
                </a:lnTo>
                <a:lnTo>
                  <a:pt x="362454" y="236147"/>
                </a:lnTo>
                <a:lnTo>
                  <a:pt x="363135" y="235767"/>
                </a:lnTo>
                <a:lnTo>
                  <a:pt x="363817" y="235387"/>
                </a:lnTo>
                <a:lnTo>
                  <a:pt x="364498" y="235006"/>
                </a:lnTo>
                <a:lnTo>
                  <a:pt x="365179" y="234625"/>
                </a:lnTo>
                <a:lnTo>
                  <a:pt x="365860" y="234244"/>
                </a:lnTo>
                <a:lnTo>
                  <a:pt x="366542" y="233862"/>
                </a:lnTo>
                <a:lnTo>
                  <a:pt x="367223" y="233480"/>
                </a:lnTo>
                <a:lnTo>
                  <a:pt x="367904" y="233097"/>
                </a:lnTo>
                <a:lnTo>
                  <a:pt x="368586" y="232713"/>
                </a:lnTo>
                <a:lnTo>
                  <a:pt x="369267" y="232329"/>
                </a:lnTo>
                <a:lnTo>
                  <a:pt x="369948" y="231945"/>
                </a:lnTo>
                <a:lnTo>
                  <a:pt x="370630" y="231560"/>
                </a:lnTo>
                <a:lnTo>
                  <a:pt x="371311" y="231175"/>
                </a:lnTo>
                <a:lnTo>
                  <a:pt x="371992" y="230789"/>
                </a:lnTo>
                <a:lnTo>
                  <a:pt x="372674" y="230403"/>
                </a:lnTo>
                <a:lnTo>
                  <a:pt x="373355" y="230016"/>
                </a:lnTo>
                <a:lnTo>
                  <a:pt x="374036" y="229629"/>
                </a:lnTo>
                <a:lnTo>
                  <a:pt x="374717" y="229241"/>
                </a:lnTo>
                <a:lnTo>
                  <a:pt x="375399" y="228853"/>
                </a:lnTo>
                <a:lnTo>
                  <a:pt x="376080" y="228464"/>
                </a:lnTo>
                <a:lnTo>
                  <a:pt x="376761" y="228075"/>
                </a:lnTo>
                <a:lnTo>
                  <a:pt x="377443" y="227685"/>
                </a:lnTo>
                <a:lnTo>
                  <a:pt x="378124" y="227295"/>
                </a:lnTo>
                <a:lnTo>
                  <a:pt x="378805" y="226904"/>
                </a:lnTo>
                <a:lnTo>
                  <a:pt x="379487" y="226513"/>
                </a:lnTo>
                <a:lnTo>
                  <a:pt x="380168" y="226122"/>
                </a:lnTo>
                <a:lnTo>
                  <a:pt x="380849" y="225729"/>
                </a:lnTo>
                <a:lnTo>
                  <a:pt x="381530" y="225337"/>
                </a:lnTo>
                <a:lnTo>
                  <a:pt x="382212" y="224944"/>
                </a:lnTo>
                <a:lnTo>
                  <a:pt x="382893" y="224550"/>
                </a:lnTo>
                <a:lnTo>
                  <a:pt x="383574" y="224156"/>
                </a:lnTo>
                <a:lnTo>
                  <a:pt x="384256" y="223762"/>
                </a:lnTo>
                <a:lnTo>
                  <a:pt x="384937" y="223367"/>
                </a:lnTo>
                <a:lnTo>
                  <a:pt x="385618" y="222971"/>
                </a:lnTo>
                <a:lnTo>
                  <a:pt x="386300" y="222575"/>
                </a:lnTo>
                <a:lnTo>
                  <a:pt x="386981" y="222179"/>
                </a:lnTo>
                <a:lnTo>
                  <a:pt x="387662" y="221782"/>
                </a:lnTo>
                <a:lnTo>
                  <a:pt x="388344" y="221384"/>
                </a:lnTo>
                <a:lnTo>
                  <a:pt x="389025" y="220986"/>
                </a:lnTo>
                <a:lnTo>
                  <a:pt x="389706" y="220588"/>
                </a:lnTo>
                <a:lnTo>
                  <a:pt x="390387" y="220189"/>
                </a:lnTo>
                <a:lnTo>
                  <a:pt x="391069" y="219790"/>
                </a:lnTo>
                <a:lnTo>
                  <a:pt x="391750" y="219390"/>
                </a:lnTo>
                <a:lnTo>
                  <a:pt x="392431" y="218989"/>
                </a:lnTo>
                <a:lnTo>
                  <a:pt x="393113" y="218588"/>
                </a:lnTo>
                <a:lnTo>
                  <a:pt x="393794" y="218187"/>
                </a:lnTo>
                <a:lnTo>
                  <a:pt x="394475" y="217785"/>
                </a:lnTo>
                <a:lnTo>
                  <a:pt x="395157" y="217383"/>
                </a:lnTo>
                <a:lnTo>
                  <a:pt x="395838" y="216980"/>
                </a:lnTo>
                <a:lnTo>
                  <a:pt x="396519" y="216576"/>
                </a:lnTo>
                <a:lnTo>
                  <a:pt x="397201" y="216173"/>
                </a:lnTo>
                <a:lnTo>
                  <a:pt x="397882" y="215768"/>
                </a:lnTo>
                <a:lnTo>
                  <a:pt x="398563" y="215363"/>
                </a:lnTo>
                <a:lnTo>
                  <a:pt x="399244" y="214958"/>
                </a:lnTo>
                <a:lnTo>
                  <a:pt x="399926" y="214552"/>
                </a:lnTo>
                <a:lnTo>
                  <a:pt x="400607" y="214146"/>
                </a:lnTo>
                <a:lnTo>
                  <a:pt x="401288" y="213739"/>
                </a:lnTo>
                <a:lnTo>
                  <a:pt x="401970" y="213332"/>
                </a:lnTo>
                <a:lnTo>
                  <a:pt x="402651" y="212924"/>
                </a:lnTo>
                <a:lnTo>
                  <a:pt x="403332" y="212515"/>
                </a:lnTo>
                <a:lnTo>
                  <a:pt x="404014" y="212107"/>
                </a:lnTo>
                <a:lnTo>
                  <a:pt x="404695" y="211697"/>
                </a:lnTo>
                <a:lnTo>
                  <a:pt x="405376" y="211287"/>
                </a:lnTo>
                <a:lnTo>
                  <a:pt x="406057" y="210877"/>
                </a:lnTo>
                <a:lnTo>
                  <a:pt x="406739" y="210466"/>
                </a:lnTo>
                <a:lnTo>
                  <a:pt x="407420" y="210055"/>
                </a:lnTo>
                <a:lnTo>
                  <a:pt x="408101" y="209643"/>
                </a:lnTo>
                <a:lnTo>
                  <a:pt x="408783" y="209231"/>
                </a:lnTo>
                <a:lnTo>
                  <a:pt x="409464" y="208818"/>
                </a:lnTo>
                <a:lnTo>
                  <a:pt x="410145" y="208404"/>
                </a:lnTo>
                <a:lnTo>
                  <a:pt x="410827" y="207991"/>
                </a:lnTo>
                <a:lnTo>
                  <a:pt x="411508" y="207576"/>
                </a:lnTo>
                <a:lnTo>
                  <a:pt x="412189" y="207161"/>
                </a:lnTo>
                <a:lnTo>
                  <a:pt x="412871" y="206746"/>
                </a:lnTo>
                <a:lnTo>
                  <a:pt x="413552" y="206330"/>
                </a:lnTo>
                <a:lnTo>
                  <a:pt x="414233" y="205914"/>
                </a:lnTo>
                <a:lnTo>
                  <a:pt x="414914" y="205497"/>
                </a:lnTo>
                <a:lnTo>
                  <a:pt x="415596" y="205080"/>
                </a:lnTo>
                <a:lnTo>
                  <a:pt x="416277" y="204662"/>
                </a:lnTo>
                <a:lnTo>
                  <a:pt x="416958" y="204243"/>
                </a:lnTo>
                <a:lnTo>
                  <a:pt x="417640" y="203824"/>
                </a:lnTo>
                <a:lnTo>
                  <a:pt x="418321" y="203405"/>
                </a:lnTo>
                <a:lnTo>
                  <a:pt x="419002" y="202985"/>
                </a:lnTo>
                <a:lnTo>
                  <a:pt x="419684" y="202565"/>
                </a:lnTo>
                <a:lnTo>
                  <a:pt x="420365" y="202144"/>
                </a:lnTo>
                <a:lnTo>
                  <a:pt x="421046" y="201722"/>
                </a:lnTo>
                <a:lnTo>
                  <a:pt x="421728" y="201300"/>
                </a:lnTo>
                <a:lnTo>
                  <a:pt x="422409" y="200878"/>
                </a:lnTo>
                <a:lnTo>
                  <a:pt x="423090" y="200455"/>
                </a:lnTo>
                <a:lnTo>
                  <a:pt x="423771" y="200031"/>
                </a:lnTo>
                <a:lnTo>
                  <a:pt x="424453" y="199607"/>
                </a:lnTo>
                <a:lnTo>
                  <a:pt x="425134" y="199183"/>
                </a:lnTo>
                <a:lnTo>
                  <a:pt x="425815" y="198758"/>
                </a:lnTo>
                <a:lnTo>
                  <a:pt x="426497" y="198332"/>
                </a:lnTo>
                <a:lnTo>
                  <a:pt x="427178" y="197906"/>
                </a:lnTo>
                <a:lnTo>
                  <a:pt x="427859" y="197480"/>
                </a:lnTo>
                <a:lnTo>
                  <a:pt x="428541" y="197053"/>
                </a:lnTo>
                <a:lnTo>
                  <a:pt x="429222" y="196625"/>
                </a:lnTo>
                <a:lnTo>
                  <a:pt x="429903" y="196197"/>
                </a:lnTo>
                <a:lnTo>
                  <a:pt x="430584" y="195768"/>
                </a:lnTo>
                <a:lnTo>
                  <a:pt x="431266" y="195339"/>
                </a:lnTo>
                <a:lnTo>
                  <a:pt x="431947" y="194910"/>
                </a:lnTo>
                <a:lnTo>
                  <a:pt x="432628" y="194480"/>
                </a:lnTo>
                <a:lnTo>
                  <a:pt x="433310" y="194049"/>
                </a:lnTo>
                <a:lnTo>
                  <a:pt x="433991" y="193618"/>
                </a:lnTo>
                <a:lnTo>
                  <a:pt x="434672" y="193186"/>
                </a:lnTo>
                <a:lnTo>
                  <a:pt x="435354" y="192754"/>
                </a:lnTo>
                <a:lnTo>
                  <a:pt x="436035" y="192321"/>
                </a:lnTo>
                <a:lnTo>
                  <a:pt x="436716" y="191888"/>
                </a:lnTo>
                <a:lnTo>
                  <a:pt x="437398" y="191454"/>
                </a:lnTo>
                <a:lnTo>
                  <a:pt x="438079" y="191020"/>
                </a:lnTo>
                <a:lnTo>
                  <a:pt x="438760" y="190585"/>
                </a:lnTo>
                <a:lnTo>
                  <a:pt x="439441" y="190150"/>
                </a:lnTo>
                <a:lnTo>
                  <a:pt x="440123" y="189714"/>
                </a:lnTo>
                <a:lnTo>
                  <a:pt x="440804" y="189277"/>
                </a:lnTo>
                <a:lnTo>
                  <a:pt x="441485" y="188841"/>
                </a:lnTo>
                <a:lnTo>
                  <a:pt x="442167" y="188403"/>
                </a:lnTo>
                <a:lnTo>
                  <a:pt x="442848" y="187965"/>
                </a:lnTo>
                <a:lnTo>
                  <a:pt x="443529" y="187527"/>
                </a:lnTo>
                <a:lnTo>
                  <a:pt x="444211" y="187088"/>
                </a:lnTo>
                <a:lnTo>
                  <a:pt x="444892" y="186648"/>
                </a:lnTo>
                <a:lnTo>
                  <a:pt x="445573" y="186208"/>
                </a:lnTo>
                <a:lnTo>
                  <a:pt x="446255" y="185768"/>
                </a:lnTo>
                <a:lnTo>
                  <a:pt x="446936" y="185327"/>
                </a:lnTo>
                <a:lnTo>
                  <a:pt x="447617" y="184885"/>
                </a:lnTo>
                <a:lnTo>
                  <a:pt x="448298" y="184443"/>
                </a:lnTo>
                <a:lnTo>
                  <a:pt x="448980" y="184000"/>
                </a:lnTo>
                <a:lnTo>
                  <a:pt x="449661" y="183557"/>
                </a:lnTo>
                <a:lnTo>
                  <a:pt x="450342" y="183114"/>
                </a:lnTo>
                <a:lnTo>
                  <a:pt x="451024" y="182669"/>
                </a:lnTo>
                <a:lnTo>
                  <a:pt x="451705" y="182225"/>
                </a:lnTo>
                <a:lnTo>
                  <a:pt x="452386" y="181779"/>
                </a:lnTo>
                <a:lnTo>
                  <a:pt x="453068" y="181334"/>
                </a:lnTo>
                <a:lnTo>
                  <a:pt x="453749" y="180887"/>
                </a:lnTo>
                <a:lnTo>
                  <a:pt x="454430" y="180440"/>
                </a:lnTo>
                <a:lnTo>
                  <a:pt x="455111" y="179993"/>
                </a:lnTo>
                <a:lnTo>
                  <a:pt x="455793" y="179545"/>
                </a:lnTo>
                <a:lnTo>
                  <a:pt x="456474" y="179097"/>
                </a:lnTo>
                <a:lnTo>
                  <a:pt x="457155" y="178648"/>
                </a:lnTo>
                <a:lnTo>
                  <a:pt x="457837" y="178198"/>
                </a:lnTo>
                <a:lnTo>
                  <a:pt x="458518" y="177748"/>
                </a:lnTo>
                <a:lnTo>
                  <a:pt x="459199" y="177298"/>
                </a:lnTo>
                <a:lnTo>
                  <a:pt x="459881" y="176847"/>
                </a:lnTo>
                <a:lnTo>
                  <a:pt x="460562" y="176395"/>
                </a:lnTo>
                <a:lnTo>
                  <a:pt x="461243" y="175943"/>
                </a:lnTo>
                <a:lnTo>
                  <a:pt x="461925" y="175490"/>
                </a:lnTo>
                <a:lnTo>
                  <a:pt x="462606" y="175037"/>
                </a:lnTo>
                <a:lnTo>
                  <a:pt x="463287" y="174583"/>
                </a:lnTo>
                <a:lnTo>
                  <a:pt x="463968" y="174129"/>
                </a:lnTo>
                <a:lnTo>
                  <a:pt x="464650" y="173674"/>
                </a:lnTo>
                <a:lnTo>
                  <a:pt x="465331" y="173219"/>
                </a:lnTo>
                <a:lnTo>
                  <a:pt x="466012" y="172763"/>
                </a:lnTo>
                <a:lnTo>
                  <a:pt x="466694" y="172306"/>
                </a:lnTo>
                <a:lnTo>
                  <a:pt x="467375" y="171849"/>
                </a:lnTo>
                <a:lnTo>
                  <a:pt x="468056" y="171392"/>
                </a:lnTo>
                <a:lnTo>
                  <a:pt x="468738" y="170934"/>
                </a:lnTo>
                <a:lnTo>
                  <a:pt x="469419" y="170475"/>
                </a:lnTo>
                <a:lnTo>
                  <a:pt x="470100" y="170016"/>
                </a:lnTo>
                <a:lnTo>
                  <a:pt x="470781" y="169557"/>
                </a:lnTo>
                <a:lnTo>
                  <a:pt x="471463" y="169097"/>
                </a:lnTo>
                <a:lnTo>
                  <a:pt x="472144" y="168636"/>
                </a:lnTo>
                <a:lnTo>
                  <a:pt x="472825" y="168175"/>
                </a:lnTo>
                <a:lnTo>
                  <a:pt x="473507" y="167713"/>
                </a:lnTo>
                <a:lnTo>
                  <a:pt x="474188" y="167250"/>
                </a:lnTo>
                <a:lnTo>
                  <a:pt x="474869" y="166788"/>
                </a:lnTo>
                <a:lnTo>
                  <a:pt x="475551" y="166324"/>
                </a:lnTo>
                <a:lnTo>
                  <a:pt x="476232" y="165860"/>
                </a:lnTo>
                <a:lnTo>
                  <a:pt x="476913" y="165396"/>
                </a:lnTo>
                <a:lnTo>
                  <a:pt x="477595" y="164931"/>
                </a:lnTo>
                <a:lnTo>
                  <a:pt x="478276" y="164465"/>
                </a:lnTo>
                <a:lnTo>
                  <a:pt x="478957" y="163999"/>
                </a:lnTo>
                <a:lnTo>
                  <a:pt x="479638" y="163532"/>
                </a:lnTo>
                <a:lnTo>
                  <a:pt x="480320" y="163065"/>
                </a:lnTo>
                <a:lnTo>
                  <a:pt x="481001" y="162598"/>
                </a:lnTo>
                <a:lnTo>
                  <a:pt x="481682" y="162129"/>
                </a:lnTo>
                <a:lnTo>
                  <a:pt x="482364" y="161660"/>
                </a:lnTo>
                <a:lnTo>
                  <a:pt x="483045" y="161191"/>
                </a:lnTo>
                <a:lnTo>
                  <a:pt x="483726" y="160721"/>
                </a:lnTo>
                <a:lnTo>
                  <a:pt x="484408" y="160251"/>
                </a:lnTo>
                <a:lnTo>
                  <a:pt x="485089" y="159780"/>
                </a:lnTo>
                <a:lnTo>
                  <a:pt x="485770" y="159308"/>
                </a:lnTo>
                <a:lnTo>
                  <a:pt x="486452" y="158836"/>
                </a:lnTo>
                <a:lnTo>
                  <a:pt x="487133" y="158364"/>
                </a:lnTo>
                <a:lnTo>
                  <a:pt x="487814" y="157890"/>
                </a:lnTo>
                <a:lnTo>
                  <a:pt x="488495" y="157417"/>
                </a:lnTo>
                <a:lnTo>
                  <a:pt x="489177" y="156942"/>
                </a:lnTo>
                <a:lnTo>
                  <a:pt x="489858" y="156468"/>
                </a:lnTo>
                <a:lnTo>
                  <a:pt x="490539" y="155992"/>
                </a:lnTo>
                <a:lnTo>
                  <a:pt x="491221" y="155516"/>
                </a:lnTo>
                <a:lnTo>
                  <a:pt x="491902" y="155040"/>
                </a:lnTo>
                <a:lnTo>
                  <a:pt x="492583" y="154563"/>
                </a:lnTo>
                <a:lnTo>
                  <a:pt x="493265" y="154085"/>
                </a:lnTo>
                <a:lnTo>
                  <a:pt x="493946" y="153607"/>
                </a:lnTo>
                <a:lnTo>
                  <a:pt x="494627" y="153128"/>
                </a:lnTo>
                <a:lnTo>
                  <a:pt x="495308" y="152649"/>
                </a:lnTo>
                <a:lnTo>
                  <a:pt x="495990" y="152169"/>
                </a:lnTo>
                <a:lnTo>
                  <a:pt x="496671" y="151689"/>
                </a:lnTo>
                <a:lnTo>
                  <a:pt x="497352" y="151208"/>
                </a:lnTo>
                <a:lnTo>
                  <a:pt x="498034" y="150727"/>
                </a:lnTo>
                <a:lnTo>
                  <a:pt x="498715" y="150245"/>
                </a:lnTo>
                <a:lnTo>
                  <a:pt x="499396" y="149762"/>
                </a:lnTo>
                <a:lnTo>
                  <a:pt x="500078" y="149279"/>
                </a:lnTo>
                <a:lnTo>
                  <a:pt x="500759" y="148796"/>
                </a:lnTo>
                <a:lnTo>
                  <a:pt x="501440" y="148311"/>
                </a:lnTo>
                <a:lnTo>
                  <a:pt x="502122" y="147827"/>
                </a:lnTo>
                <a:lnTo>
                  <a:pt x="502803" y="147341"/>
                </a:lnTo>
                <a:lnTo>
                  <a:pt x="503484" y="146856"/>
                </a:lnTo>
                <a:lnTo>
                  <a:pt x="504165" y="146369"/>
                </a:lnTo>
                <a:lnTo>
                  <a:pt x="504847" y="145882"/>
                </a:lnTo>
                <a:lnTo>
                  <a:pt x="505528" y="145395"/>
                </a:lnTo>
                <a:lnTo>
                  <a:pt x="506209" y="144907"/>
                </a:lnTo>
                <a:lnTo>
                  <a:pt x="506891" y="144418"/>
                </a:lnTo>
                <a:lnTo>
                  <a:pt x="507572" y="143929"/>
                </a:lnTo>
                <a:lnTo>
                  <a:pt x="508253" y="143439"/>
                </a:lnTo>
                <a:lnTo>
                  <a:pt x="508935" y="142949"/>
                </a:lnTo>
                <a:lnTo>
                  <a:pt x="509616" y="142458"/>
                </a:lnTo>
                <a:lnTo>
                  <a:pt x="510297" y="141966"/>
                </a:lnTo>
                <a:lnTo>
                  <a:pt x="510979" y="141474"/>
                </a:lnTo>
                <a:lnTo>
                  <a:pt x="511660" y="140982"/>
                </a:lnTo>
                <a:lnTo>
                  <a:pt x="512341" y="140489"/>
                </a:lnTo>
                <a:lnTo>
                  <a:pt x="513022" y="139995"/>
                </a:lnTo>
                <a:lnTo>
                  <a:pt x="513704" y="139501"/>
                </a:lnTo>
                <a:lnTo>
                  <a:pt x="514385" y="139006"/>
                </a:lnTo>
                <a:lnTo>
                  <a:pt x="515066" y="138511"/>
                </a:lnTo>
                <a:lnTo>
                  <a:pt x="515748" y="138015"/>
                </a:lnTo>
                <a:lnTo>
                  <a:pt x="516429" y="137518"/>
                </a:lnTo>
                <a:lnTo>
                  <a:pt x="517110" y="137021"/>
                </a:lnTo>
                <a:lnTo>
                  <a:pt x="517792" y="136524"/>
                </a:lnTo>
                <a:lnTo>
                  <a:pt x="518473" y="136026"/>
                </a:lnTo>
                <a:lnTo>
                  <a:pt x="519154" y="135527"/>
                </a:lnTo>
                <a:lnTo>
                  <a:pt x="519835" y="135028"/>
                </a:lnTo>
                <a:lnTo>
                  <a:pt x="520517" y="134528"/>
                </a:lnTo>
                <a:lnTo>
                  <a:pt x="521198" y="134027"/>
                </a:lnTo>
                <a:lnTo>
                  <a:pt x="521879" y="133526"/>
                </a:lnTo>
                <a:lnTo>
                  <a:pt x="522561" y="133025"/>
                </a:lnTo>
                <a:lnTo>
                  <a:pt x="523242" y="132523"/>
                </a:lnTo>
                <a:lnTo>
                  <a:pt x="523923" y="132020"/>
                </a:lnTo>
                <a:lnTo>
                  <a:pt x="524605" y="131517"/>
                </a:lnTo>
                <a:lnTo>
                  <a:pt x="525286" y="131013"/>
                </a:lnTo>
                <a:lnTo>
                  <a:pt x="525967" y="130509"/>
                </a:lnTo>
                <a:lnTo>
                  <a:pt x="526649" y="130004"/>
                </a:lnTo>
                <a:lnTo>
                  <a:pt x="527330" y="129498"/>
                </a:lnTo>
                <a:lnTo>
                  <a:pt x="528011" y="128992"/>
                </a:lnTo>
                <a:lnTo>
                  <a:pt x="528692" y="128485"/>
                </a:lnTo>
                <a:lnTo>
                  <a:pt x="529374" y="127978"/>
                </a:lnTo>
                <a:lnTo>
                  <a:pt x="530055" y="127470"/>
                </a:lnTo>
                <a:lnTo>
                  <a:pt x="530736" y="126962"/>
                </a:lnTo>
                <a:lnTo>
                  <a:pt x="531418" y="126453"/>
                </a:lnTo>
                <a:lnTo>
                  <a:pt x="532099" y="125944"/>
                </a:lnTo>
                <a:lnTo>
                  <a:pt x="532780" y="125434"/>
                </a:lnTo>
                <a:lnTo>
                  <a:pt x="533462" y="124923"/>
                </a:lnTo>
                <a:lnTo>
                  <a:pt x="534143" y="124412"/>
                </a:lnTo>
                <a:lnTo>
                  <a:pt x="534824" y="123900"/>
                </a:lnTo>
                <a:lnTo>
                  <a:pt x="535506" y="123388"/>
                </a:lnTo>
                <a:lnTo>
                  <a:pt x="536187" y="122875"/>
                </a:lnTo>
                <a:lnTo>
                  <a:pt x="536868" y="122361"/>
                </a:lnTo>
                <a:lnTo>
                  <a:pt x="537549" y="121847"/>
                </a:lnTo>
                <a:lnTo>
                  <a:pt x="538231" y="121332"/>
                </a:lnTo>
                <a:lnTo>
                  <a:pt x="538912" y="120817"/>
                </a:lnTo>
                <a:lnTo>
                  <a:pt x="539593" y="120301"/>
                </a:lnTo>
                <a:lnTo>
                  <a:pt x="540275" y="119785"/>
                </a:lnTo>
                <a:lnTo>
                  <a:pt x="540956" y="119268"/>
                </a:lnTo>
                <a:lnTo>
                  <a:pt x="541637" y="118751"/>
                </a:lnTo>
                <a:lnTo>
                  <a:pt x="542319" y="118232"/>
                </a:lnTo>
                <a:lnTo>
                  <a:pt x="543000" y="117714"/>
                </a:lnTo>
                <a:lnTo>
                  <a:pt x="543681" y="117195"/>
                </a:lnTo>
                <a:lnTo>
                  <a:pt x="544362" y="116675"/>
                </a:lnTo>
                <a:lnTo>
                  <a:pt x="545044" y="116154"/>
                </a:lnTo>
                <a:lnTo>
                  <a:pt x="545725" y="115633"/>
                </a:lnTo>
                <a:lnTo>
                  <a:pt x="546406" y="115112"/>
                </a:lnTo>
                <a:lnTo>
                  <a:pt x="547088" y="114590"/>
                </a:lnTo>
                <a:lnTo>
                  <a:pt x="547769" y="114067"/>
                </a:lnTo>
                <a:lnTo>
                  <a:pt x="548450" y="113544"/>
                </a:lnTo>
                <a:lnTo>
                  <a:pt x="549132" y="113020"/>
                </a:lnTo>
                <a:lnTo>
                  <a:pt x="549813" y="112495"/>
                </a:lnTo>
                <a:lnTo>
                  <a:pt x="550494" y="111970"/>
                </a:lnTo>
                <a:lnTo>
                  <a:pt x="551176" y="111445"/>
                </a:lnTo>
                <a:lnTo>
                  <a:pt x="551857" y="110918"/>
                </a:lnTo>
                <a:lnTo>
                  <a:pt x="552538" y="110392"/>
                </a:lnTo>
                <a:lnTo>
                  <a:pt x="553219" y="109864"/>
                </a:lnTo>
                <a:lnTo>
                  <a:pt x="553901" y="109336"/>
                </a:lnTo>
                <a:lnTo>
                  <a:pt x="554582" y="108808"/>
                </a:lnTo>
                <a:lnTo>
                  <a:pt x="555263" y="108279"/>
                </a:lnTo>
                <a:lnTo>
                  <a:pt x="555945" y="107749"/>
                </a:lnTo>
                <a:lnTo>
                  <a:pt x="556626" y="107219"/>
                </a:lnTo>
                <a:lnTo>
                  <a:pt x="557307" y="106688"/>
                </a:lnTo>
                <a:lnTo>
                  <a:pt x="557989" y="106156"/>
                </a:lnTo>
                <a:lnTo>
                  <a:pt x="558670" y="105624"/>
                </a:lnTo>
                <a:lnTo>
                  <a:pt x="559351" y="105092"/>
                </a:lnTo>
                <a:lnTo>
                  <a:pt x="560032" y="104558"/>
                </a:lnTo>
                <a:lnTo>
                  <a:pt x="560714" y="104025"/>
                </a:lnTo>
                <a:lnTo>
                  <a:pt x="561395" y="103490"/>
                </a:lnTo>
                <a:lnTo>
                  <a:pt x="562076" y="102955"/>
                </a:lnTo>
                <a:lnTo>
                  <a:pt x="562758" y="102420"/>
                </a:lnTo>
                <a:lnTo>
                  <a:pt x="563439" y="101884"/>
                </a:lnTo>
                <a:lnTo>
                  <a:pt x="564120" y="101347"/>
                </a:lnTo>
                <a:lnTo>
                  <a:pt x="564802" y="100810"/>
                </a:lnTo>
                <a:lnTo>
                  <a:pt x="565483" y="100272"/>
                </a:lnTo>
                <a:lnTo>
                  <a:pt x="566164" y="99733"/>
                </a:lnTo>
                <a:lnTo>
                  <a:pt x="566846" y="99194"/>
                </a:lnTo>
                <a:lnTo>
                  <a:pt x="567527" y="98654"/>
                </a:lnTo>
                <a:lnTo>
                  <a:pt x="568208" y="98114"/>
                </a:lnTo>
                <a:lnTo>
                  <a:pt x="568889" y="97573"/>
                </a:lnTo>
                <a:lnTo>
                  <a:pt x="569571" y="97032"/>
                </a:lnTo>
                <a:lnTo>
                  <a:pt x="570252" y="96490"/>
                </a:lnTo>
                <a:lnTo>
                  <a:pt x="570933" y="95947"/>
                </a:lnTo>
                <a:lnTo>
                  <a:pt x="571615" y="95404"/>
                </a:lnTo>
                <a:lnTo>
                  <a:pt x="572296" y="94860"/>
                </a:lnTo>
                <a:lnTo>
                  <a:pt x="572977" y="94316"/>
                </a:lnTo>
                <a:lnTo>
                  <a:pt x="573659" y="93771"/>
                </a:lnTo>
                <a:lnTo>
                  <a:pt x="574340" y="93225"/>
                </a:lnTo>
                <a:lnTo>
                  <a:pt x="575021" y="92679"/>
                </a:lnTo>
                <a:lnTo>
                  <a:pt x="575703" y="92132"/>
                </a:lnTo>
                <a:lnTo>
                  <a:pt x="576384" y="91585"/>
                </a:lnTo>
                <a:lnTo>
                  <a:pt x="577065" y="91037"/>
                </a:lnTo>
                <a:lnTo>
                  <a:pt x="577746" y="90489"/>
                </a:lnTo>
                <a:lnTo>
                  <a:pt x="578428" y="89939"/>
                </a:lnTo>
                <a:lnTo>
                  <a:pt x="579109" y="89390"/>
                </a:lnTo>
                <a:lnTo>
                  <a:pt x="579790" y="88839"/>
                </a:lnTo>
                <a:lnTo>
                  <a:pt x="580472" y="88288"/>
                </a:lnTo>
                <a:lnTo>
                  <a:pt x="581153" y="87737"/>
                </a:lnTo>
                <a:lnTo>
                  <a:pt x="581834" y="87185"/>
                </a:lnTo>
                <a:lnTo>
                  <a:pt x="582516" y="86632"/>
                </a:lnTo>
                <a:lnTo>
                  <a:pt x="583197" y="86079"/>
                </a:lnTo>
                <a:lnTo>
                  <a:pt x="583878" y="85525"/>
                </a:lnTo>
                <a:lnTo>
                  <a:pt x="584559" y="84970"/>
                </a:lnTo>
                <a:lnTo>
                  <a:pt x="585241" y="84415"/>
                </a:lnTo>
                <a:lnTo>
                  <a:pt x="585922" y="83860"/>
                </a:lnTo>
                <a:lnTo>
                  <a:pt x="586603" y="83303"/>
                </a:lnTo>
                <a:lnTo>
                  <a:pt x="587285" y="82746"/>
                </a:lnTo>
                <a:lnTo>
                  <a:pt x="587966" y="82189"/>
                </a:lnTo>
                <a:lnTo>
                  <a:pt x="588647" y="81631"/>
                </a:lnTo>
                <a:lnTo>
                  <a:pt x="589329" y="81072"/>
                </a:lnTo>
                <a:lnTo>
                  <a:pt x="590010" y="80513"/>
                </a:lnTo>
                <a:lnTo>
                  <a:pt x="590691" y="79953"/>
                </a:lnTo>
                <a:lnTo>
                  <a:pt x="591373" y="79392"/>
                </a:lnTo>
                <a:lnTo>
                  <a:pt x="592054" y="78831"/>
                </a:lnTo>
                <a:lnTo>
                  <a:pt x="592735" y="78269"/>
                </a:lnTo>
                <a:lnTo>
                  <a:pt x="593416" y="77707"/>
                </a:lnTo>
                <a:lnTo>
                  <a:pt x="594098" y="77144"/>
                </a:lnTo>
                <a:lnTo>
                  <a:pt x="594779" y="76581"/>
                </a:lnTo>
                <a:lnTo>
                  <a:pt x="595460" y="76017"/>
                </a:lnTo>
                <a:lnTo>
                  <a:pt x="596142" y="75452"/>
                </a:lnTo>
                <a:lnTo>
                  <a:pt x="596823" y="74887"/>
                </a:lnTo>
                <a:lnTo>
                  <a:pt x="597504" y="74321"/>
                </a:lnTo>
                <a:lnTo>
                  <a:pt x="598186" y="73754"/>
                </a:lnTo>
                <a:lnTo>
                  <a:pt x="598867" y="73187"/>
                </a:lnTo>
                <a:lnTo>
                  <a:pt x="599548" y="72619"/>
                </a:lnTo>
                <a:lnTo>
                  <a:pt x="600230" y="72051"/>
                </a:lnTo>
                <a:lnTo>
                  <a:pt x="600911" y="71482"/>
                </a:lnTo>
                <a:lnTo>
                  <a:pt x="601592" y="70912"/>
                </a:lnTo>
                <a:lnTo>
                  <a:pt x="602273" y="70342"/>
                </a:lnTo>
                <a:lnTo>
                  <a:pt x="602955" y="69771"/>
                </a:lnTo>
                <a:lnTo>
                  <a:pt x="603636" y="69200"/>
                </a:lnTo>
                <a:lnTo>
                  <a:pt x="604317" y="68628"/>
                </a:lnTo>
                <a:lnTo>
                  <a:pt x="604999" y="68055"/>
                </a:lnTo>
                <a:lnTo>
                  <a:pt x="605680" y="67482"/>
                </a:lnTo>
                <a:lnTo>
                  <a:pt x="606361" y="66908"/>
                </a:lnTo>
                <a:lnTo>
                  <a:pt x="607043" y="66334"/>
                </a:lnTo>
                <a:lnTo>
                  <a:pt x="607724" y="65759"/>
                </a:lnTo>
                <a:lnTo>
                  <a:pt x="608405" y="65183"/>
                </a:lnTo>
                <a:lnTo>
                  <a:pt x="609086" y="64607"/>
                </a:lnTo>
                <a:lnTo>
                  <a:pt x="609768" y="64030"/>
                </a:lnTo>
                <a:lnTo>
                  <a:pt x="610449" y="63453"/>
                </a:lnTo>
                <a:lnTo>
                  <a:pt x="611130" y="62875"/>
                </a:lnTo>
                <a:lnTo>
                  <a:pt x="611812" y="62296"/>
                </a:lnTo>
                <a:lnTo>
                  <a:pt x="612493" y="61717"/>
                </a:lnTo>
                <a:lnTo>
                  <a:pt x="613174" y="61137"/>
                </a:lnTo>
                <a:lnTo>
                  <a:pt x="613856" y="60556"/>
                </a:lnTo>
                <a:lnTo>
                  <a:pt x="614537" y="59975"/>
                </a:lnTo>
                <a:lnTo>
                  <a:pt x="615218" y="59393"/>
                </a:lnTo>
                <a:lnTo>
                  <a:pt x="615900" y="58811"/>
                </a:lnTo>
                <a:lnTo>
                  <a:pt x="616581" y="58228"/>
                </a:lnTo>
                <a:lnTo>
                  <a:pt x="617262" y="57644"/>
                </a:lnTo>
                <a:lnTo>
                  <a:pt x="617943" y="57060"/>
                </a:lnTo>
                <a:lnTo>
                  <a:pt x="618625" y="56475"/>
                </a:lnTo>
                <a:lnTo>
                  <a:pt x="619306" y="55890"/>
                </a:lnTo>
                <a:lnTo>
                  <a:pt x="619987" y="55304"/>
                </a:lnTo>
                <a:lnTo>
                  <a:pt x="620669" y="54717"/>
                </a:lnTo>
                <a:lnTo>
                  <a:pt x="621350" y="54130"/>
                </a:lnTo>
                <a:lnTo>
                  <a:pt x="622031" y="53542"/>
                </a:lnTo>
                <a:lnTo>
                  <a:pt x="622713" y="52953"/>
                </a:lnTo>
                <a:lnTo>
                  <a:pt x="623394" y="52364"/>
                </a:lnTo>
                <a:lnTo>
                  <a:pt x="624075" y="51774"/>
                </a:lnTo>
                <a:lnTo>
                  <a:pt x="624757" y="51184"/>
                </a:lnTo>
                <a:lnTo>
                  <a:pt x="625438" y="50593"/>
                </a:lnTo>
                <a:lnTo>
                  <a:pt x="626119" y="50001"/>
                </a:lnTo>
                <a:lnTo>
                  <a:pt x="626800" y="49409"/>
                </a:lnTo>
                <a:lnTo>
                  <a:pt x="627482" y="48816"/>
                </a:lnTo>
                <a:lnTo>
                  <a:pt x="628163" y="48223"/>
                </a:lnTo>
                <a:lnTo>
                  <a:pt x="628844" y="47629"/>
                </a:lnTo>
                <a:lnTo>
                  <a:pt x="629526" y="47034"/>
                </a:lnTo>
                <a:lnTo>
                  <a:pt x="630207" y="46439"/>
                </a:lnTo>
                <a:lnTo>
                  <a:pt x="630888" y="45843"/>
                </a:lnTo>
                <a:lnTo>
                  <a:pt x="631570" y="45246"/>
                </a:lnTo>
                <a:lnTo>
                  <a:pt x="632251" y="44649"/>
                </a:lnTo>
                <a:lnTo>
                  <a:pt x="632932" y="44051"/>
                </a:lnTo>
                <a:lnTo>
                  <a:pt x="633613" y="43453"/>
                </a:lnTo>
                <a:lnTo>
                  <a:pt x="634295" y="42854"/>
                </a:lnTo>
                <a:lnTo>
                  <a:pt x="634976" y="42254"/>
                </a:lnTo>
                <a:lnTo>
                  <a:pt x="635657" y="41654"/>
                </a:lnTo>
                <a:lnTo>
                  <a:pt x="636339" y="41053"/>
                </a:lnTo>
                <a:lnTo>
                  <a:pt x="637020" y="40451"/>
                </a:lnTo>
                <a:lnTo>
                  <a:pt x="637701" y="39849"/>
                </a:lnTo>
                <a:lnTo>
                  <a:pt x="638383" y="39246"/>
                </a:lnTo>
                <a:lnTo>
                  <a:pt x="639064" y="38643"/>
                </a:lnTo>
                <a:lnTo>
                  <a:pt x="639745" y="38039"/>
                </a:lnTo>
                <a:lnTo>
                  <a:pt x="640427" y="37434"/>
                </a:lnTo>
                <a:lnTo>
                  <a:pt x="641108" y="36829"/>
                </a:lnTo>
                <a:lnTo>
                  <a:pt x="641789" y="36223"/>
                </a:lnTo>
                <a:lnTo>
                  <a:pt x="642470" y="35617"/>
                </a:lnTo>
                <a:lnTo>
                  <a:pt x="643152" y="35009"/>
                </a:lnTo>
                <a:lnTo>
                  <a:pt x="643833" y="34402"/>
                </a:lnTo>
                <a:lnTo>
                  <a:pt x="644514" y="33793"/>
                </a:lnTo>
                <a:lnTo>
                  <a:pt x="645196" y="33184"/>
                </a:lnTo>
                <a:lnTo>
                  <a:pt x="645877" y="32574"/>
                </a:lnTo>
                <a:lnTo>
                  <a:pt x="646558" y="31964"/>
                </a:lnTo>
                <a:lnTo>
                  <a:pt x="647240" y="31353"/>
                </a:lnTo>
                <a:lnTo>
                  <a:pt x="647921" y="30742"/>
                </a:lnTo>
                <a:lnTo>
                  <a:pt x="648602" y="30129"/>
                </a:lnTo>
                <a:lnTo>
                  <a:pt x="649283" y="29517"/>
                </a:lnTo>
                <a:lnTo>
                  <a:pt x="649965" y="28903"/>
                </a:lnTo>
                <a:lnTo>
                  <a:pt x="650646" y="28289"/>
                </a:lnTo>
                <a:lnTo>
                  <a:pt x="651327" y="27674"/>
                </a:lnTo>
                <a:lnTo>
                  <a:pt x="652009" y="27059"/>
                </a:lnTo>
                <a:lnTo>
                  <a:pt x="652690" y="26443"/>
                </a:lnTo>
                <a:lnTo>
                  <a:pt x="653371" y="25827"/>
                </a:lnTo>
                <a:lnTo>
                  <a:pt x="654053" y="25209"/>
                </a:lnTo>
                <a:lnTo>
                  <a:pt x="654734" y="24591"/>
                </a:lnTo>
                <a:lnTo>
                  <a:pt x="655415" y="23973"/>
                </a:lnTo>
                <a:lnTo>
                  <a:pt x="656097" y="23354"/>
                </a:lnTo>
                <a:lnTo>
                  <a:pt x="656778" y="22734"/>
                </a:lnTo>
                <a:lnTo>
                  <a:pt x="657459" y="22114"/>
                </a:lnTo>
                <a:lnTo>
                  <a:pt x="658140" y="21493"/>
                </a:lnTo>
                <a:lnTo>
                  <a:pt x="658822" y="20871"/>
                </a:lnTo>
                <a:lnTo>
                  <a:pt x="659503" y="20249"/>
                </a:lnTo>
                <a:lnTo>
                  <a:pt x="660184" y="19626"/>
                </a:lnTo>
                <a:lnTo>
                  <a:pt x="660866" y="19002"/>
                </a:lnTo>
                <a:lnTo>
                  <a:pt x="661547" y="18378"/>
                </a:lnTo>
                <a:lnTo>
                  <a:pt x="662228" y="17753"/>
                </a:lnTo>
                <a:lnTo>
                  <a:pt x="662910" y="17128"/>
                </a:lnTo>
                <a:lnTo>
                  <a:pt x="663591" y="16502"/>
                </a:lnTo>
                <a:lnTo>
                  <a:pt x="664272" y="15875"/>
                </a:lnTo>
                <a:lnTo>
                  <a:pt x="664954" y="15248"/>
                </a:lnTo>
                <a:lnTo>
                  <a:pt x="665635" y="14620"/>
                </a:lnTo>
                <a:lnTo>
                  <a:pt x="666316" y="13991"/>
                </a:lnTo>
                <a:lnTo>
                  <a:pt x="666997" y="13362"/>
                </a:lnTo>
                <a:lnTo>
                  <a:pt x="667679" y="12732"/>
                </a:lnTo>
                <a:lnTo>
                  <a:pt x="668360" y="12101"/>
                </a:lnTo>
                <a:lnTo>
                  <a:pt x="669041" y="11470"/>
                </a:lnTo>
                <a:lnTo>
                  <a:pt x="669723" y="10838"/>
                </a:lnTo>
                <a:lnTo>
                  <a:pt x="670404" y="10206"/>
                </a:lnTo>
                <a:lnTo>
                  <a:pt x="671085" y="9573"/>
                </a:lnTo>
                <a:lnTo>
                  <a:pt x="671767" y="8939"/>
                </a:lnTo>
                <a:lnTo>
                  <a:pt x="672448" y="8305"/>
                </a:lnTo>
                <a:lnTo>
                  <a:pt x="673129" y="7670"/>
                </a:lnTo>
                <a:lnTo>
                  <a:pt x="673810" y="7034"/>
                </a:lnTo>
                <a:lnTo>
                  <a:pt x="674492" y="6398"/>
                </a:lnTo>
                <a:lnTo>
                  <a:pt x="675173" y="5761"/>
                </a:lnTo>
                <a:lnTo>
                  <a:pt x="675854" y="5123"/>
                </a:lnTo>
                <a:lnTo>
                  <a:pt x="676536" y="4485"/>
                </a:lnTo>
                <a:lnTo>
                  <a:pt x="677217" y="3846"/>
                </a:lnTo>
                <a:lnTo>
                  <a:pt x="677898" y="3207"/>
                </a:lnTo>
                <a:lnTo>
                  <a:pt x="678580" y="2566"/>
                </a:lnTo>
                <a:lnTo>
                  <a:pt x="679261" y="1926"/>
                </a:lnTo>
                <a:lnTo>
                  <a:pt x="679942" y="1284"/>
                </a:lnTo>
                <a:lnTo>
                  <a:pt x="680624" y="642"/>
                </a:lnTo>
                <a:lnTo>
                  <a:pt x="681305" y="0"/>
                </a:lnTo>
                <a:lnTo>
                  <a:pt x="681305" y="482270"/>
                </a:lnTo>
                <a:close/>
              </a:path>
            </a:pathLst>
          </a:custGeom>
          <a:solidFill>
            <a:srgbClr val="CCCCCC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61" name="pg132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7727748" y="3932467"/>
            <a:ext cx="424731" cy="294176"/>
          </a:xfrm>
          <a:custGeom>
            <a:avLst/>
            <a:gdLst/>
            <a:ahLst/>
            <a:cxnLst/>
            <a:rect l="0" t="0" r="0" b="0"/>
            <a:pathLst>
              <a:path w="681305" h="482270">
                <a:moveTo>
                  <a:pt x="0" y="482270"/>
                </a:moveTo>
                <a:lnTo>
                  <a:pt x="0" y="0"/>
                </a:lnTo>
                <a:lnTo>
                  <a:pt x="681" y="642"/>
                </a:lnTo>
                <a:lnTo>
                  <a:pt x="1362" y="1284"/>
                </a:lnTo>
                <a:lnTo>
                  <a:pt x="2043" y="1926"/>
                </a:lnTo>
                <a:lnTo>
                  <a:pt x="2725" y="2566"/>
                </a:lnTo>
                <a:lnTo>
                  <a:pt x="3406" y="3207"/>
                </a:lnTo>
                <a:lnTo>
                  <a:pt x="4087" y="3846"/>
                </a:lnTo>
                <a:lnTo>
                  <a:pt x="4769" y="4485"/>
                </a:lnTo>
                <a:lnTo>
                  <a:pt x="5450" y="5123"/>
                </a:lnTo>
                <a:lnTo>
                  <a:pt x="6131" y="5761"/>
                </a:lnTo>
                <a:lnTo>
                  <a:pt x="6813" y="6398"/>
                </a:lnTo>
                <a:lnTo>
                  <a:pt x="7494" y="7034"/>
                </a:lnTo>
                <a:lnTo>
                  <a:pt x="8175" y="7670"/>
                </a:lnTo>
                <a:lnTo>
                  <a:pt x="8856" y="8305"/>
                </a:lnTo>
                <a:lnTo>
                  <a:pt x="9538" y="8939"/>
                </a:lnTo>
                <a:lnTo>
                  <a:pt x="10219" y="9573"/>
                </a:lnTo>
                <a:lnTo>
                  <a:pt x="10900" y="10206"/>
                </a:lnTo>
                <a:lnTo>
                  <a:pt x="11582" y="10838"/>
                </a:lnTo>
                <a:lnTo>
                  <a:pt x="12263" y="11470"/>
                </a:lnTo>
                <a:lnTo>
                  <a:pt x="12944" y="12101"/>
                </a:lnTo>
                <a:lnTo>
                  <a:pt x="13626" y="12732"/>
                </a:lnTo>
                <a:lnTo>
                  <a:pt x="14307" y="13362"/>
                </a:lnTo>
                <a:lnTo>
                  <a:pt x="14988" y="13991"/>
                </a:lnTo>
                <a:lnTo>
                  <a:pt x="15670" y="14620"/>
                </a:lnTo>
                <a:lnTo>
                  <a:pt x="16351" y="15248"/>
                </a:lnTo>
                <a:lnTo>
                  <a:pt x="17032" y="15875"/>
                </a:lnTo>
                <a:lnTo>
                  <a:pt x="17713" y="16502"/>
                </a:lnTo>
                <a:lnTo>
                  <a:pt x="18395" y="17128"/>
                </a:lnTo>
                <a:lnTo>
                  <a:pt x="19076" y="17753"/>
                </a:lnTo>
                <a:lnTo>
                  <a:pt x="19757" y="18378"/>
                </a:lnTo>
                <a:lnTo>
                  <a:pt x="20439" y="19002"/>
                </a:lnTo>
                <a:lnTo>
                  <a:pt x="21120" y="19626"/>
                </a:lnTo>
                <a:lnTo>
                  <a:pt x="21801" y="20249"/>
                </a:lnTo>
                <a:lnTo>
                  <a:pt x="22483" y="20871"/>
                </a:lnTo>
                <a:lnTo>
                  <a:pt x="23164" y="21493"/>
                </a:lnTo>
                <a:lnTo>
                  <a:pt x="23845" y="22114"/>
                </a:lnTo>
                <a:lnTo>
                  <a:pt x="24526" y="22734"/>
                </a:lnTo>
                <a:lnTo>
                  <a:pt x="25208" y="23354"/>
                </a:lnTo>
                <a:lnTo>
                  <a:pt x="25889" y="23973"/>
                </a:lnTo>
                <a:lnTo>
                  <a:pt x="26570" y="24591"/>
                </a:lnTo>
                <a:lnTo>
                  <a:pt x="27252" y="25209"/>
                </a:lnTo>
                <a:lnTo>
                  <a:pt x="27933" y="25827"/>
                </a:lnTo>
                <a:lnTo>
                  <a:pt x="28614" y="26443"/>
                </a:lnTo>
                <a:lnTo>
                  <a:pt x="29296" y="27059"/>
                </a:lnTo>
                <a:lnTo>
                  <a:pt x="29977" y="27674"/>
                </a:lnTo>
                <a:lnTo>
                  <a:pt x="30658" y="28289"/>
                </a:lnTo>
                <a:lnTo>
                  <a:pt x="31340" y="28903"/>
                </a:lnTo>
                <a:lnTo>
                  <a:pt x="32021" y="29517"/>
                </a:lnTo>
                <a:lnTo>
                  <a:pt x="32702" y="30129"/>
                </a:lnTo>
                <a:lnTo>
                  <a:pt x="33383" y="30742"/>
                </a:lnTo>
                <a:lnTo>
                  <a:pt x="34065" y="31353"/>
                </a:lnTo>
                <a:lnTo>
                  <a:pt x="34746" y="31964"/>
                </a:lnTo>
                <a:lnTo>
                  <a:pt x="35427" y="32574"/>
                </a:lnTo>
                <a:lnTo>
                  <a:pt x="36109" y="33184"/>
                </a:lnTo>
                <a:lnTo>
                  <a:pt x="36790" y="33793"/>
                </a:lnTo>
                <a:lnTo>
                  <a:pt x="37471" y="34402"/>
                </a:lnTo>
                <a:lnTo>
                  <a:pt x="38153" y="35009"/>
                </a:lnTo>
                <a:lnTo>
                  <a:pt x="38834" y="35617"/>
                </a:lnTo>
                <a:lnTo>
                  <a:pt x="39515" y="36223"/>
                </a:lnTo>
                <a:lnTo>
                  <a:pt x="40197" y="36829"/>
                </a:lnTo>
                <a:lnTo>
                  <a:pt x="40878" y="37434"/>
                </a:lnTo>
                <a:lnTo>
                  <a:pt x="41559" y="38039"/>
                </a:lnTo>
                <a:lnTo>
                  <a:pt x="42240" y="38643"/>
                </a:lnTo>
                <a:lnTo>
                  <a:pt x="42922" y="39246"/>
                </a:lnTo>
                <a:lnTo>
                  <a:pt x="43603" y="39849"/>
                </a:lnTo>
                <a:lnTo>
                  <a:pt x="44284" y="40451"/>
                </a:lnTo>
                <a:lnTo>
                  <a:pt x="44966" y="41053"/>
                </a:lnTo>
                <a:lnTo>
                  <a:pt x="45647" y="41654"/>
                </a:lnTo>
                <a:lnTo>
                  <a:pt x="46328" y="42254"/>
                </a:lnTo>
                <a:lnTo>
                  <a:pt x="47010" y="42854"/>
                </a:lnTo>
                <a:lnTo>
                  <a:pt x="47691" y="43453"/>
                </a:lnTo>
                <a:lnTo>
                  <a:pt x="48372" y="44051"/>
                </a:lnTo>
                <a:lnTo>
                  <a:pt x="49053" y="44649"/>
                </a:lnTo>
                <a:lnTo>
                  <a:pt x="49735" y="45246"/>
                </a:lnTo>
                <a:lnTo>
                  <a:pt x="50416" y="45843"/>
                </a:lnTo>
                <a:lnTo>
                  <a:pt x="51097" y="46439"/>
                </a:lnTo>
                <a:lnTo>
                  <a:pt x="51779" y="47034"/>
                </a:lnTo>
                <a:lnTo>
                  <a:pt x="52460" y="47629"/>
                </a:lnTo>
                <a:lnTo>
                  <a:pt x="53141" y="48223"/>
                </a:lnTo>
                <a:lnTo>
                  <a:pt x="53823" y="48816"/>
                </a:lnTo>
                <a:lnTo>
                  <a:pt x="54504" y="49409"/>
                </a:lnTo>
                <a:lnTo>
                  <a:pt x="55185" y="50001"/>
                </a:lnTo>
                <a:lnTo>
                  <a:pt x="55867" y="50593"/>
                </a:lnTo>
                <a:lnTo>
                  <a:pt x="56548" y="51184"/>
                </a:lnTo>
                <a:lnTo>
                  <a:pt x="57229" y="51774"/>
                </a:lnTo>
                <a:lnTo>
                  <a:pt x="57910" y="52364"/>
                </a:lnTo>
                <a:lnTo>
                  <a:pt x="58592" y="52953"/>
                </a:lnTo>
                <a:lnTo>
                  <a:pt x="59273" y="53542"/>
                </a:lnTo>
                <a:lnTo>
                  <a:pt x="59954" y="54130"/>
                </a:lnTo>
                <a:lnTo>
                  <a:pt x="60636" y="54717"/>
                </a:lnTo>
                <a:lnTo>
                  <a:pt x="61317" y="55304"/>
                </a:lnTo>
                <a:lnTo>
                  <a:pt x="61998" y="55890"/>
                </a:lnTo>
                <a:lnTo>
                  <a:pt x="62680" y="56475"/>
                </a:lnTo>
                <a:lnTo>
                  <a:pt x="63361" y="57060"/>
                </a:lnTo>
                <a:lnTo>
                  <a:pt x="64042" y="57644"/>
                </a:lnTo>
                <a:lnTo>
                  <a:pt x="64724" y="58228"/>
                </a:lnTo>
                <a:lnTo>
                  <a:pt x="65405" y="58811"/>
                </a:lnTo>
                <a:lnTo>
                  <a:pt x="66086" y="59393"/>
                </a:lnTo>
                <a:lnTo>
                  <a:pt x="66767" y="59975"/>
                </a:lnTo>
                <a:lnTo>
                  <a:pt x="67449" y="60556"/>
                </a:lnTo>
                <a:lnTo>
                  <a:pt x="68130" y="61137"/>
                </a:lnTo>
                <a:lnTo>
                  <a:pt x="68811" y="61717"/>
                </a:lnTo>
                <a:lnTo>
                  <a:pt x="69493" y="62296"/>
                </a:lnTo>
                <a:lnTo>
                  <a:pt x="70174" y="62875"/>
                </a:lnTo>
                <a:lnTo>
                  <a:pt x="70855" y="63453"/>
                </a:lnTo>
                <a:lnTo>
                  <a:pt x="71537" y="64030"/>
                </a:lnTo>
                <a:lnTo>
                  <a:pt x="72218" y="64607"/>
                </a:lnTo>
                <a:lnTo>
                  <a:pt x="72899" y="65183"/>
                </a:lnTo>
                <a:lnTo>
                  <a:pt x="73580" y="65759"/>
                </a:lnTo>
                <a:lnTo>
                  <a:pt x="74262" y="66334"/>
                </a:lnTo>
                <a:lnTo>
                  <a:pt x="74943" y="66908"/>
                </a:lnTo>
                <a:lnTo>
                  <a:pt x="75624" y="67482"/>
                </a:lnTo>
                <a:lnTo>
                  <a:pt x="76306" y="68055"/>
                </a:lnTo>
                <a:lnTo>
                  <a:pt x="76987" y="68628"/>
                </a:lnTo>
                <a:lnTo>
                  <a:pt x="77668" y="69200"/>
                </a:lnTo>
                <a:lnTo>
                  <a:pt x="78350" y="69771"/>
                </a:lnTo>
                <a:lnTo>
                  <a:pt x="79031" y="70342"/>
                </a:lnTo>
                <a:lnTo>
                  <a:pt x="79712" y="70912"/>
                </a:lnTo>
                <a:lnTo>
                  <a:pt x="80394" y="71482"/>
                </a:lnTo>
                <a:lnTo>
                  <a:pt x="81075" y="72051"/>
                </a:lnTo>
                <a:lnTo>
                  <a:pt x="81756" y="72619"/>
                </a:lnTo>
                <a:lnTo>
                  <a:pt x="82437" y="73187"/>
                </a:lnTo>
                <a:lnTo>
                  <a:pt x="83119" y="73754"/>
                </a:lnTo>
                <a:lnTo>
                  <a:pt x="83800" y="74321"/>
                </a:lnTo>
                <a:lnTo>
                  <a:pt x="84481" y="74887"/>
                </a:lnTo>
                <a:lnTo>
                  <a:pt x="85163" y="75452"/>
                </a:lnTo>
                <a:lnTo>
                  <a:pt x="85844" y="76017"/>
                </a:lnTo>
                <a:lnTo>
                  <a:pt x="86525" y="76581"/>
                </a:lnTo>
                <a:lnTo>
                  <a:pt x="87207" y="77144"/>
                </a:lnTo>
                <a:lnTo>
                  <a:pt x="87888" y="77707"/>
                </a:lnTo>
                <a:lnTo>
                  <a:pt x="88569" y="78269"/>
                </a:lnTo>
                <a:lnTo>
                  <a:pt x="89251" y="78831"/>
                </a:lnTo>
                <a:lnTo>
                  <a:pt x="89932" y="79392"/>
                </a:lnTo>
                <a:lnTo>
                  <a:pt x="90613" y="79953"/>
                </a:lnTo>
                <a:lnTo>
                  <a:pt x="91294" y="80513"/>
                </a:lnTo>
                <a:lnTo>
                  <a:pt x="91976" y="81072"/>
                </a:lnTo>
                <a:lnTo>
                  <a:pt x="92657" y="81631"/>
                </a:lnTo>
                <a:lnTo>
                  <a:pt x="93338" y="82189"/>
                </a:lnTo>
                <a:lnTo>
                  <a:pt x="94020" y="82746"/>
                </a:lnTo>
                <a:lnTo>
                  <a:pt x="94701" y="83303"/>
                </a:lnTo>
                <a:lnTo>
                  <a:pt x="95382" y="83860"/>
                </a:lnTo>
                <a:lnTo>
                  <a:pt x="96064" y="84415"/>
                </a:lnTo>
                <a:lnTo>
                  <a:pt x="96745" y="84970"/>
                </a:lnTo>
                <a:lnTo>
                  <a:pt x="97426" y="85525"/>
                </a:lnTo>
                <a:lnTo>
                  <a:pt x="98107" y="86079"/>
                </a:lnTo>
                <a:lnTo>
                  <a:pt x="98789" y="86632"/>
                </a:lnTo>
                <a:lnTo>
                  <a:pt x="99470" y="87185"/>
                </a:lnTo>
                <a:lnTo>
                  <a:pt x="100151" y="87737"/>
                </a:lnTo>
                <a:lnTo>
                  <a:pt x="100833" y="88288"/>
                </a:lnTo>
                <a:lnTo>
                  <a:pt x="101514" y="88839"/>
                </a:lnTo>
                <a:lnTo>
                  <a:pt x="102195" y="89390"/>
                </a:lnTo>
                <a:lnTo>
                  <a:pt x="102877" y="89939"/>
                </a:lnTo>
                <a:lnTo>
                  <a:pt x="103558" y="90489"/>
                </a:lnTo>
                <a:lnTo>
                  <a:pt x="104239" y="91037"/>
                </a:lnTo>
                <a:lnTo>
                  <a:pt x="104921" y="91585"/>
                </a:lnTo>
                <a:lnTo>
                  <a:pt x="105602" y="92132"/>
                </a:lnTo>
                <a:lnTo>
                  <a:pt x="106283" y="92679"/>
                </a:lnTo>
                <a:lnTo>
                  <a:pt x="106964" y="93225"/>
                </a:lnTo>
                <a:lnTo>
                  <a:pt x="107646" y="93771"/>
                </a:lnTo>
                <a:lnTo>
                  <a:pt x="108327" y="94316"/>
                </a:lnTo>
                <a:lnTo>
                  <a:pt x="109008" y="94860"/>
                </a:lnTo>
                <a:lnTo>
                  <a:pt x="109690" y="95404"/>
                </a:lnTo>
                <a:lnTo>
                  <a:pt x="110371" y="95947"/>
                </a:lnTo>
                <a:lnTo>
                  <a:pt x="111052" y="96490"/>
                </a:lnTo>
                <a:lnTo>
                  <a:pt x="111734" y="97032"/>
                </a:lnTo>
                <a:lnTo>
                  <a:pt x="112415" y="97573"/>
                </a:lnTo>
                <a:lnTo>
                  <a:pt x="113096" y="98114"/>
                </a:lnTo>
                <a:lnTo>
                  <a:pt x="113777" y="98654"/>
                </a:lnTo>
                <a:lnTo>
                  <a:pt x="114459" y="99194"/>
                </a:lnTo>
                <a:lnTo>
                  <a:pt x="115140" y="99733"/>
                </a:lnTo>
                <a:lnTo>
                  <a:pt x="115821" y="100272"/>
                </a:lnTo>
                <a:lnTo>
                  <a:pt x="116503" y="100810"/>
                </a:lnTo>
                <a:lnTo>
                  <a:pt x="117184" y="101347"/>
                </a:lnTo>
                <a:lnTo>
                  <a:pt x="117865" y="101884"/>
                </a:lnTo>
                <a:lnTo>
                  <a:pt x="118547" y="102420"/>
                </a:lnTo>
                <a:lnTo>
                  <a:pt x="119228" y="102955"/>
                </a:lnTo>
                <a:lnTo>
                  <a:pt x="119909" y="103490"/>
                </a:lnTo>
                <a:lnTo>
                  <a:pt x="120591" y="104025"/>
                </a:lnTo>
                <a:lnTo>
                  <a:pt x="121272" y="104558"/>
                </a:lnTo>
                <a:lnTo>
                  <a:pt x="121953" y="105092"/>
                </a:lnTo>
                <a:lnTo>
                  <a:pt x="122634" y="105624"/>
                </a:lnTo>
                <a:lnTo>
                  <a:pt x="123316" y="106156"/>
                </a:lnTo>
                <a:lnTo>
                  <a:pt x="123997" y="106688"/>
                </a:lnTo>
                <a:lnTo>
                  <a:pt x="124678" y="107219"/>
                </a:lnTo>
                <a:lnTo>
                  <a:pt x="125360" y="107749"/>
                </a:lnTo>
                <a:lnTo>
                  <a:pt x="126041" y="108279"/>
                </a:lnTo>
                <a:lnTo>
                  <a:pt x="126722" y="108808"/>
                </a:lnTo>
                <a:lnTo>
                  <a:pt x="127404" y="109336"/>
                </a:lnTo>
                <a:lnTo>
                  <a:pt x="128085" y="109864"/>
                </a:lnTo>
                <a:lnTo>
                  <a:pt x="128766" y="110392"/>
                </a:lnTo>
                <a:lnTo>
                  <a:pt x="129448" y="110918"/>
                </a:lnTo>
                <a:lnTo>
                  <a:pt x="130129" y="111445"/>
                </a:lnTo>
                <a:lnTo>
                  <a:pt x="130810" y="111970"/>
                </a:lnTo>
                <a:lnTo>
                  <a:pt x="131491" y="112495"/>
                </a:lnTo>
                <a:lnTo>
                  <a:pt x="132173" y="113020"/>
                </a:lnTo>
                <a:lnTo>
                  <a:pt x="132854" y="113544"/>
                </a:lnTo>
                <a:lnTo>
                  <a:pt x="133535" y="114067"/>
                </a:lnTo>
                <a:lnTo>
                  <a:pt x="134217" y="114590"/>
                </a:lnTo>
                <a:lnTo>
                  <a:pt x="134898" y="115112"/>
                </a:lnTo>
                <a:lnTo>
                  <a:pt x="135579" y="115633"/>
                </a:lnTo>
                <a:lnTo>
                  <a:pt x="136261" y="116154"/>
                </a:lnTo>
                <a:lnTo>
                  <a:pt x="136942" y="116675"/>
                </a:lnTo>
                <a:lnTo>
                  <a:pt x="137623" y="117195"/>
                </a:lnTo>
                <a:lnTo>
                  <a:pt x="138304" y="117714"/>
                </a:lnTo>
                <a:lnTo>
                  <a:pt x="138986" y="118232"/>
                </a:lnTo>
                <a:lnTo>
                  <a:pt x="139667" y="118751"/>
                </a:lnTo>
                <a:lnTo>
                  <a:pt x="140348" y="119268"/>
                </a:lnTo>
                <a:lnTo>
                  <a:pt x="141030" y="119785"/>
                </a:lnTo>
                <a:lnTo>
                  <a:pt x="141711" y="120301"/>
                </a:lnTo>
                <a:lnTo>
                  <a:pt x="142392" y="120817"/>
                </a:lnTo>
                <a:lnTo>
                  <a:pt x="143074" y="121332"/>
                </a:lnTo>
                <a:lnTo>
                  <a:pt x="143755" y="121847"/>
                </a:lnTo>
                <a:lnTo>
                  <a:pt x="144436" y="122361"/>
                </a:lnTo>
                <a:lnTo>
                  <a:pt x="145118" y="122875"/>
                </a:lnTo>
                <a:lnTo>
                  <a:pt x="145799" y="123388"/>
                </a:lnTo>
                <a:lnTo>
                  <a:pt x="146480" y="123900"/>
                </a:lnTo>
                <a:lnTo>
                  <a:pt x="147161" y="124412"/>
                </a:lnTo>
                <a:lnTo>
                  <a:pt x="147843" y="124923"/>
                </a:lnTo>
                <a:lnTo>
                  <a:pt x="148524" y="125434"/>
                </a:lnTo>
                <a:lnTo>
                  <a:pt x="149205" y="125944"/>
                </a:lnTo>
                <a:lnTo>
                  <a:pt x="149887" y="126453"/>
                </a:lnTo>
                <a:lnTo>
                  <a:pt x="150568" y="126962"/>
                </a:lnTo>
                <a:lnTo>
                  <a:pt x="151249" y="127470"/>
                </a:lnTo>
                <a:lnTo>
                  <a:pt x="151931" y="127978"/>
                </a:lnTo>
                <a:lnTo>
                  <a:pt x="152612" y="128485"/>
                </a:lnTo>
                <a:lnTo>
                  <a:pt x="153293" y="128992"/>
                </a:lnTo>
                <a:lnTo>
                  <a:pt x="153975" y="129498"/>
                </a:lnTo>
                <a:lnTo>
                  <a:pt x="154656" y="130004"/>
                </a:lnTo>
                <a:lnTo>
                  <a:pt x="155337" y="130509"/>
                </a:lnTo>
                <a:lnTo>
                  <a:pt x="156018" y="131013"/>
                </a:lnTo>
                <a:lnTo>
                  <a:pt x="156700" y="131517"/>
                </a:lnTo>
                <a:lnTo>
                  <a:pt x="157381" y="132020"/>
                </a:lnTo>
                <a:lnTo>
                  <a:pt x="158062" y="132523"/>
                </a:lnTo>
                <a:lnTo>
                  <a:pt x="158744" y="133025"/>
                </a:lnTo>
                <a:lnTo>
                  <a:pt x="159425" y="133526"/>
                </a:lnTo>
                <a:lnTo>
                  <a:pt x="160106" y="134027"/>
                </a:lnTo>
                <a:lnTo>
                  <a:pt x="160788" y="134528"/>
                </a:lnTo>
                <a:lnTo>
                  <a:pt x="161469" y="135028"/>
                </a:lnTo>
                <a:lnTo>
                  <a:pt x="162150" y="135527"/>
                </a:lnTo>
                <a:lnTo>
                  <a:pt x="162831" y="136026"/>
                </a:lnTo>
                <a:lnTo>
                  <a:pt x="163513" y="136524"/>
                </a:lnTo>
                <a:lnTo>
                  <a:pt x="164194" y="137021"/>
                </a:lnTo>
                <a:lnTo>
                  <a:pt x="164875" y="137518"/>
                </a:lnTo>
                <a:lnTo>
                  <a:pt x="165557" y="138015"/>
                </a:lnTo>
                <a:lnTo>
                  <a:pt x="166238" y="138511"/>
                </a:lnTo>
                <a:lnTo>
                  <a:pt x="166919" y="139006"/>
                </a:lnTo>
                <a:lnTo>
                  <a:pt x="167601" y="139501"/>
                </a:lnTo>
                <a:lnTo>
                  <a:pt x="168282" y="139995"/>
                </a:lnTo>
                <a:lnTo>
                  <a:pt x="168963" y="140489"/>
                </a:lnTo>
                <a:lnTo>
                  <a:pt x="169645" y="140982"/>
                </a:lnTo>
                <a:lnTo>
                  <a:pt x="170326" y="141474"/>
                </a:lnTo>
                <a:lnTo>
                  <a:pt x="171007" y="141966"/>
                </a:lnTo>
                <a:lnTo>
                  <a:pt x="171688" y="142458"/>
                </a:lnTo>
                <a:lnTo>
                  <a:pt x="172370" y="142949"/>
                </a:lnTo>
                <a:lnTo>
                  <a:pt x="173051" y="143439"/>
                </a:lnTo>
                <a:lnTo>
                  <a:pt x="173732" y="143929"/>
                </a:lnTo>
                <a:lnTo>
                  <a:pt x="174414" y="144418"/>
                </a:lnTo>
                <a:lnTo>
                  <a:pt x="175095" y="144907"/>
                </a:lnTo>
                <a:lnTo>
                  <a:pt x="175776" y="145395"/>
                </a:lnTo>
                <a:lnTo>
                  <a:pt x="176458" y="145882"/>
                </a:lnTo>
                <a:lnTo>
                  <a:pt x="177139" y="146369"/>
                </a:lnTo>
                <a:lnTo>
                  <a:pt x="177820" y="146856"/>
                </a:lnTo>
                <a:lnTo>
                  <a:pt x="178502" y="147341"/>
                </a:lnTo>
                <a:lnTo>
                  <a:pt x="179183" y="147827"/>
                </a:lnTo>
                <a:lnTo>
                  <a:pt x="179864" y="148311"/>
                </a:lnTo>
                <a:lnTo>
                  <a:pt x="180545" y="148796"/>
                </a:lnTo>
                <a:lnTo>
                  <a:pt x="181227" y="149279"/>
                </a:lnTo>
                <a:lnTo>
                  <a:pt x="181908" y="149762"/>
                </a:lnTo>
                <a:lnTo>
                  <a:pt x="182589" y="150245"/>
                </a:lnTo>
                <a:lnTo>
                  <a:pt x="183271" y="150727"/>
                </a:lnTo>
                <a:lnTo>
                  <a:pt x="183952" y="151208"/>
                </a:lnTo>
                <a:lnTo>
                  <a:pt x="184633" y="151689"/>
                </a:lnTo>
                <a:lnTo>
                  <a:pt x="185315" y="152169"/>
                </a:lnTo>
                <a:lnTo>
                  <a:pt x="185996" y="152649"/>
                </a:lnTo>
                <a:lnTo>
                  <a:pt x="186677" y="153128"/>
                </a:lnTo>
                <a:lnTo>
                  <a:pt x="187358" y="153607"/>
                </a:lnTo>
                <a:lnTo>
                  <a:pt x="188040" y="154085"/>
                </a:lnTo>
                <a:lnTo>
                  <a:pt x="188721" y="154563"/>
                </a:lnTo>
                <a:lnTo>
                  <a:pt x="189402" y="155040"/>
                </a:lnTo>
                <a:lnTo>
                  <a:pt x="190084" y="155516"/>
                </a:lnTo>
                <a:lnTo>
                  <a:pt x="190765" y="155992"/>
                </a:lnTo>
                <a:lnTo>
                  <a:pt x="191446" y="156468"/>
                </a:lnTo>
                <a:lnTo>
                  <a:pt x="192128" y="156942"/>
                </a:lnTo>
                <a:lnTo>
                  <a:pt x="192809" y="157417"/>
                </a:lnTo>
                <a:lnTo>
                  <a:pt x="193490" y="157890"/>
                </a:lnTo>
                <a:lnTo>
                  <a:pt x="194172" y="158364"/>
                </a:lnTo>
                <a:lnTo>
                  <a:pt x="194853" y="158836"/>
                </a:lnTo>
                <a:lnTo>
                  <a:pt x="195534" y="159308"/>
                </a:lnTo>
                <a:lnTo>
                  <a:pt x="196215" y="159780"/>
                </a:lnTo>
                <a:lnTo>
                  <a:pt x="196897" y="160251"/>
                </a:lnTo>
                <a:lnTo>
                  <a:pt x="197578" y="160721"/>
                </a:lnTo>
                <a:lnTo>
                  <a:pt x="198259" y="161191"/>
                </a:lnTo>
                <a:lnTo>
                  <a:pt x="198941" y="161660"/>
                </a:lnTo>
                <a:lnTo>
                  <a:pt x="199622" y="162129"/>
                </a:lnTo>
                <a:lnTo>
                  <a:pt x="200303" y="162598"/>
                </a:lnTo>
                <a:lnTo>
                  <a:pt x="200985" y="163065"/>
                </a:lnTo>
                <a:lnTo>
                  <a:pt x="201666" y="163532"/>
                </a:lnTo>
                <a:lnTo>
                  <a:pt x="202347" y="163999"/>
                </a:lnTo>
                <a:lnTo>
                  <a:pt x="203028" y="164465"/>
                </a:lnTo>
                <a:lnTo>
                  <a:pt x="203710" y="164931"/>
                </a:lnTo>
                <a:lnTo>
                  <a:pt x="204391" y="165396"/>
                </a:lnTo>
                <a:lnTo>
                  <a:pt x="205072" y="165860"/>
                </a:lnTo>
                <a:lnTo>
                  <a:pt x="205754" y="166324"/>
                </a:lnTo>
                <a:lnTo>
                  <a:pt x="206435" y="166788"/>
                </a:lnTo>
                <a:lnTo>
                  <a:pt x="207116" y="167250"/>
                </a:lnTo>
                <a:lnTo>
                  <a:pt x="207798" y="167713"/>
                </a:lnTo>
                <a:lnTo>
                  <a:pt x="208479" y="168175"/>
                </a:lnTo>
                <a:lnTo>
                  <a:pt x="209160" y="168636"/>
                </a:lnTo>
                <a:lnTo>
                  <a:pt x="209842" y="169097"/>
                </a:lnTo>
                <a:lnTo>
                  <a:pt x="210523" y="169557"/>
                </a:lnTo>
                <a:lnTo>
                  <a:pt x="211204" y="170016"/>
                </a:lnTo>
                <a:lnTo>
                  <a:pt x="211885" y="170475"/>
                </a:lnTo>
                <a:lnTo>
                  <a:pt x="212567" y="170934"/>
                </a:lnTo>
                <a:lnTo>
                  <a:pt x="213248" y="171392"/>
                </a:lnTo>
                <a:lnTo>
                  <a:pt x="213929" y="171849"/>
                </a:lnTo>
                <a:lnTo>
                  <a:pt x="214611" y="172306"/>
                </a:lnTo>
                <a:lnTo>
                  <a:pt x="215292" y="172763"/>
                </a:lnTo>
                <a:lnTo>
                  <a:pt x="215973" y="173219"/>
                </a:lnTo>
                <a:lnTo>
                  <a:pt x="216655" y="173674"/>
                </a:lnTo>
                <a:lnTo>
                  <a:pt x="217336" y="174129"/>
                </a:lnTo>
                <a:lnTo>
                  <a:pt x="218017" y="174583"/>
                </a:lnTo>
                <a:lnTo>
                  <a:pt x="218699" y="175037"/>
                </a:lnTo>
                <a:lnTo>
                  <a:pt x="219380" y="175490"/>
                </a:lnTo>
                <a:lnTo>
                  <a:pt x="220061" y="175943"/>
                </a:lnTo>
                <a:lnTo>
                  <a:pt x="220742" y="176395"/>
                </a:lnTo>
                <a:lnTo>
                  <a:pt x="221424" y="176847"/>
                </a:lnTo>
                <a:lnTo>
                  <a:pt x="222105" y="177298"/>
                </a:lnTo>
                <a:lnTo>
                  <a:pt x="222786" y="177748"/>
                </a:lnTo>
                <a:lnTo>
                  <a:pt x="223468" y="178198"/>
                </a:lnTo>
                <a:lnTo>
                  <a:pt x="224149" y="178648"/>
                </a:lnTo>
                <a:lnTo>
                  <a:pt x="224830" y="179097"/>
                </a:lnTo>
                <a:lnTo>
                  <a:pt x="225512" y="179545"/>
                </a:lnTo>
                <a:lnTo>
                  <a:pt x="226193" y="179993"/>
                </a:lnTo>
                <a:lnTo>
                  <a:pt x="226874" y="180440"/>
                </a:lnTo>
                <a:lnTo>
                  <a:pt x="227555" y="180887"/>
                </a:lnTo>
                <a:lnTo>
                  <a:pt x="228237" y="181334"/>
                </a:lnTo>
                <a:lnTo>
                  <a:pt x="228918" y="181779"/>
                </a:lnTo>
                <a:lnTo>
                  <a:pt x="229599" y="182225"/>
                </a:lnTo>
                <a:lnTo>
                  <a:pt x="230281" y="182669"/>
                </a:lnTo>
                <a:lnTo>
                  <a:pt x="230962" y="183114"/>
                </a:lnTo>
                <a:lnTo>
                  <a:pt x="231643" y="183557"/>
                </a:lnTo>
                <a:lnTo>
                  <a:pt x="232325" y="184000"/>
                </a:lnTo>
                <a:lnTo>
                  <a:pt x="233006" y="184443"/>
                </a:lnTo>
                <a:lnTo>
                  <a:pt x="233687" y="184885"/>
                </a:lnTo>
                <a:lnTo>
                  <a:pt x="234369" y="185327"/>
                </a:lnTo>
                <a:lnTo>
                  <a:pt x="235050" y="185768"/>
                </a:lnTo>
                <a:lnTo>
                  <a:pt x="235731" y="186208"/>
                </a:lnTo>
                <a:lnTo>
                  <a:pt x="236412" y="186648"/>
                </a:lnTo>
                <a:lnTo>
                  <a:pt x="237094" y="187088"/>
                </a:lnTo>
                <a:lnTo>
                  <a:pt x="237775" y="187527"/>
                </a:lnTo>
                <a:lnTo>
                  <a:pt x="238456" y="187965"/>
                </a:lnTo>
                <a:lnTo>
                  <a:pt x="239138" y="188403"/>
                </a:lnTo>
                <a:lnTo>
                  <a:pt x="239819" y="188841"/>
                </a:lnTo>
                <a:lnTo>
                  <a:pt x="240500" y="189277"/>
                </a:lnTo>
                <a:lnTo>
                  <a:pt x="241182" y="189714"/>
                </a:lnTo>
                <a:lnTo>
                  <a:pt x="241863" y="190150"/>
                </a:lnTo>
                <a:lnTo>
                  <a:pt x="242544" y="190585"/>
                </a:lnTo>
                <a:lnTo>
                  <a:pt x="243226" y="191020"/>
                </a:lnTo>
                <a:lnTo>
                  <a:pt x="243907" y="191454"/>
                </a:lnTo>
                <a:lnTo>
                  <a:pt x="244588" y="191888"/>
                </a:lnTo>
                <a:lnTo>
                  <a:pt x="245269" y="192321"/>
                </a:lnTo>
                <a:lnTo>
                  <a:pt x="245951" y="192754"/>
                </a:lnTo>
                <a:lnTo>
                  <a:pt x="246632" y="193186"/>
                </a:lnTo>
                <a:lnTo>
                  <a:pt x="247313" y="193618"/>
                </a:lnTo>
                <a:lnTo>
                  <a:pt x="247995" y="194049"/>
                </a:lnTo>
                <a:lnTo>
                  <a:pt x="248676" y="194480"/>
                </a:lnTo>
                <a:lnTo>
                  <a:pt x="249357" y="194910"/>
                </a:lnTo>
                <a:lnTo>
                  <a:pt x="250039" y="195339"/>
                </a:lnTo>
                <a:lnTo>
                  <a:pt x="250720" y="195768"/>
                </a:lnTo>
                <a:lnTo>
                  <a:pt x="251401" y="196197"/>
                </a:lnTo>
                <a:lnTo>
                  <a:pt x="252082" y="196625"/>
                </a:lnTo>
                <a:lnTo>
                  <a:pt x="252764" y="197053"/>
                </a:lnTo>
                <a:lnTo>
                  <a:pt x="253445" y="197480"/>
                </a:lnTo>
                <a:lnTo>
                  <a:pt x="254126" y="197906"/>
                </a:lnTo>
                <a:lnTo>
                  <a:pt x="254808" y="198332"/>
                </a:lnTo>
                <a:lnTo>
                  <a:pt x="255489" y="198758"/>
                </a:lnTo>
                <a:lnTo>
                  <a:pt x="256170" y="199183"/>
                </a:lnTo>
                <a:lnTo>
                  <a:pt x="256852" y="199607"/>
                </a:lnTo>
                <a:lnTo>
                  <a:pt x="257533" y="200031"/>
                </a:lnTo>
                <a:lnTo>
                  <a:pt x="258214" y="200455"/>
                </a:lnTo>
                <a:lnTo>
                  <a:pt x="258896" y="200878"/>
                </a:lnTo>
                <a:lnTo>
                  <a:pt x="259577" y="201300"/>
                </a:lnTo>
                <a:lnTo>
                  <a:pt x="260258" y="201722"/>
                </a:lnTo>
                <a:lnTo>
                  <a:pt x="260939" y="202144"/>
                </a:lnTo>
                <a:lnTo>
                  <a:pt x="261621" y="202565"/>
                </a:lnTo>
                <a:lnTo>
                  <a:pt x="262302" y="202985"/>
                </a:lnTo>
                <a:lnTo>
                  <a:pt x="262983" y="203405"/>
                </a:lnTo>
                <a:lnTo>
                  <a:pt x="263665" y="203824"/>
                </a:lnTo>
                <a:lnTo>
                  <a:pt x="264346" y="204243"/>
                </a:lnTo>
                <a:lnTo>
                  <a:pt x="265027" y="204662"/>
                </a:lnTo>
                <a:lnTo>
                  <a:pt x="265709" y="205080"/>
                </a:lnTo>
                <a:lnTo>
                  <a:pt x="266390" y="205497"/>
                </a:lnTo>
                <a:lnTo>
                  <a:pt x="267071" y="205914"/>
                </a:lnTo>
                <a:lnTo>
                  <a:pt x="267753" y="206330"/>
                </a:lnTo>
                <a:lnTo>
                  <a:pt x="268434" y="206746"/>
                </a:lnTo>
                <a:lnTo>
                  <a:pt x="269115" y="207161"/>
                </a:lnTo>
                <a:lnTo>
                  <a:pt x="269796" y="207576"/>
                </a:lnTo>
                <a:lnTo>
                  <a:pt x="270478" y="207991"/>
                </a:lnTo>
                <a:lnTo>
                  <a:pt x="271159" y="208404"/>
                </a:lnTo>
                <a:lnTo>
                  <a:pt x="271840" y="208818"/>
                </a:lnTo>
                <a:lnTo>
                  <a:pt x="272522" y="209231"/>
                </a:lnTo>
                <a:lnTo>
                  <a:pt x="273203" y="209643"/>
                </a:lnTo>
                <a:lnTo>
                  <a:pt x="273884" y="210055"/>
                </a:lnTo>
                <a:lnTo>
                  <a:pt x="274566" y="210466"/>
                </a:lnTo>
                <a:lnTo>
                  <a:pt x="275247" y="210877"/>
                </a:lnTo>
                <a:lnTo>
                  <a:pt x="275928" y="211287"/>
                </a:lnTo>
                <a:lnTo>
                  <a:pt x="276609" y="211697"/>
                </a:lnTo>
                <a:lnTo>
                  <a:pt x="277291" y="212107"/>
                </a:lnTo>
                <a:lnTo>
                  <a:pt x="277972" y="212515"/>
                </a:lnTo>
                <a:lnTo>
                  <a:pt x="278653" y="212924"/>
                </a:lnTo>
                <a:lnTo>
                  <a:pt x="279335" y="213332"/>
                </a:lnTo>
                <a:lnTo>
                  <a:pt x="280016" y="213739"/>
                </a:lnTo>
                <a:lnTo>
                  <a:pt x="280697" y="214146"/>
                </a:lnTo>
                <a:lnTo>
                  <a:pt x="281379" y="214552"/>
                </a:lnTo>
                <a:lnTo>
                  <a:pt x="282060" y="214958"/>
                </a:lnTo>
                <a:lnTo>
                  <a:pt x="282741" y="215363"/>
                </a:lnTo>
                <a:lnTo>
                  <a:pt x="283423" y="215768"/>
                </a:lnTo>
                <a:lnTo>
                  <a:pt x="284104" y="216173"/>
                </a:lnTo>
                <a:lnTo>
                  <a:pt x="284785" y="216576"/>
                </a:lnTo>
                <a:lnTo>
                  <a:pt x="285466" y="216980"/>
                </a:lnTo>
                <a:lnTo>
                  <a:pt x="286148" y="217383"/>
                </a:lnTo>
                <a:lnTo>
                  <a:pt x="286829" y="217785"/>
                </a:lnTo>
                <a:lnTo>
                  <a:pt x="287510" y="218187"/>
                </a:lnTo>
                <a:lnTo>
                  <a:pt x="288192" y="218588"/>
                </a:lnTo>
                <a:lnTo>
                  <a:pt x="288873" y="218989"/>
                </a:lnTo>
                <a:lnTo>
                  <a:pt x="289554" y="219390"/>
                </a:lnTo>
                <a:lnTo>
                  <a:pt x="290236" y="219790"/>
                </a:lnTo>
                <a:lnTo>
                  <a:pt x="290917" y="220189"/>
                </a:lnTo>
                <a:lnTo>
                  <a:pt x="291598" y="220588"/>
                </a:lnTo>
                <a:lnTo>
                  <a:pt x="292279" y="220986"/>
                </a:lnTo>
                <a:lnTo>
                  <a:pt x="292961" y="221384"/>
                </a:lnTo>
                <a:lnTo>
                  <a:pt x="293642" y="221782"/>
                </a:lnTo>
                <a:lnTo>
                  <a:pt x="294323" y="222179"/>
                </a:lnTo>
                <a:lnTo>
                  <a:pt x="295005" y="222575"/>
                </a:lnTo>
                <a:lnTo>
                  <a:pt x="295686" y="222971"/>
                </a:lnTo>
                <a:lnTo>
                  <a:pt x="296367" y="223367"/>
                </a:lnTo>
                <a:lnTo>
                  <a:pt x="297049" y="223762"/>
                </a:lnTo>
                <a:lnTo>
                  <a:pt x="297730" y="224156"/>
                </a:lnTo>
                <a:lnTo>
                  <a:pt x="298411" y="224550"/>
                </a:lnTo>
                <a:lnTo>
                  <a:pt x="299093" y="224944"/>
                </a:lnTo>
                <a:lnTo>
                  <a:pt x="299774" y="225337"/>
                </a:lnTo>
                <a:lnTo>
                  <a:pt x="300455" y="225729"/>
                </a:lnTo>
                <a:lnTo>
                  <a:pt x="301136" y="226122"/>
                </a:lnTo>
                <a:lnTo>
                  <a:pt x="301818" y="226513"/>
                </a:lnTo>
                <a:lnTo>
                  <a:pt x="302499" y="226904"/>
                </a:lnTo>
                <a:lnTo>
                  <a:pt x="303180" y="227295"/>
                </a:lnTo>
                <a:lnTo>
                  <a:pt x="303862" y="227685"/>
                </a:lnTo>
                <a:lnTo>
                  <a:pt x="304543" y="228075"/>
                </a:lnTo>
                <a:lnTo>
                  <a:pt x="305224" y="228464"/>
                </a:lnTo>
                <a:lnTo>
                  <a:pt x="305906" y="228853"/>
                </a:lnTo>
                <a:lnTo>
                  <a:pt x="306587" y="229241"/>
                </a:lnTo>
                <a:lnTo>
                  <a:pt x="307268" y="229629"/>
                </a:lnTo>
                <a:lnTo>
                  <a:pt x="307950" y="230016"/>
                </a:lnTo>
                <a:lnTo>
                  <a:pt x="308631" y="230403"/>
                </a:lnTo>
                <a:lnTo>
                  <a:pt x="309312" y="230789"/>
                </a:lnTo>
                <a:lnTo>
                  <a:pt x="309993" y="231175"/>
                </a:lnTo>
                <a:lnTo>
                  <a:pt x="310675" y="231560"/>
                </a:lnTo>
                <a:lnTo>
                  <a:pt x="311356" y="231945"/>
                </a:lnTo>
                <a:lnTo>
                  <a:pt x="312037" y="232329"/>
                </a:lnTo>
                <a:lnTo>
                  <a:pt x="312719" y="232713"/>
                </a:lnTo>
                <a:lnTo>
                  <a:pt x="313400" y="233097"/>
                </a:lnTo>
                <a:lnTo>
                  <a:pt x="314081" y="233480"/>
                </a:lnTo>
                <a:lnTo>
                  <a:pt x="314763" y="233862"/>
                </a:lnTo>
                <a:lnTo>
                  <a:pt x="315444" y="234244"/>
                </a:lnTo>
                <a:lnTo>
                  <a:pt x="316125" y="234625"/>
                </a:lnTo>
                <a:lnTo>
                  <a:pt x="316806" y="235006"/>
                </a:lnTo>
                <a:lnTo>
                  <a:pt x="317488" y="235387"/>
                </a:lnTo>
                <a:lnTo>
                  <a:pt x="318169" y="235767"/>
                </a:lnTo>
                <a:lnTo>
                  <a:pt x="318850" y="236147"/>
                </a:lnTo>
                <a:lnTo>
                  <a:pt x="319532" y="236526"/>
                </a:lnTo>
                <a:lnTo>
                  <a:pt x="320213" y="236904"/>
                </a:lnTo>
                <a:lnTo>
                  <a:pt x="320894" y="237283"/>
                </a:lnTo>
                <a:lnTo>
                  <a:pt x="321576" y="237660"/>
                </a:lnTo>
                <a:lnTo>
                  <a:pt x="322257" y="238038"/>
                </a:lnTo>
                <a:lnTo>
                  <a:pt x="322938" y="238414"/>
                </a:lnTo>
                <a:lnTo>
                  <a:pt x="323620" y="238791"/>
                </a:lnTo>
                <a:lnTo>
                  <a:pt x="324301" y="239166"/>
                </a:lnTo>
                <a:lnTo>
                  <a:pt x="324982" y="239542"/>
                </a:lnTo>
                <a:lnTo>
                  <a:pt x="325663" y="239917"/>
                </a:lnTo>
                <a:lnTo>
                  <a:pt x="326345" y="240291"/>
                </a:lnTo>
                <a:lnTo>
                  <a:pt x="327026" y="240665"/>
                </a:lnTo>
                <a:lnTo>
                  <a:pt x="327707" y="241038"/>
                </a:lnTo>
                <a:lnTo>
                  <a:pt x="328389" y="241411"/>
                </a:lnTo>
                <a:lnTo>
                  <a:pt x="329070" y="241784"/>
                </a:lnTo>
                <a:lnTo>
                  <a:pt x="329751" y="242156"/>
                </a:lnTo>
                <a:lnTo>
                  <a:pt x="330433" y="242527"/>
                </a:lnTo>
                <a:lnTo>
                  <a:pt x="331114" y="242899"/>
                </a:lnTo>
                <a:lnTo>
                  <a:pt x="331795" y="243269"/>
                </a:lnTo>
                <a:lnTo>
                  <a:pt x="332477" y="243639"/>
                </a:lnTo>
                <a:lnTo>
                  <a:pt x="333158" y="244009"/>
                </a:lnTo>
                <a:lnTo>
                  <a:pt x="333839" y="244378"/>
                </a:lnTo>
                <a:lnTo>
                  <a:pt x="334520" y="244747"/>
                </a:lnTo>
                <a:lnTo>
                  <a:pt x="335202" y="245115"/>
                </a:lnTo>
                <a:lnTo>
                  <a:pt x="335883" y="245483"/>
                </a:lnTo>
                <a:lnTo>
                  <a:pt x="336564" y="245851"/>
                </a:lnTo>
                <a:lnTo>
                  <a:pt x="337246" y="246217"/>
                </a:lnTo>
                <a:lnTo>
                  <a:pt x="337927" y="246584"/>
                </a:lnTo>
                <a:lnTo>
                  <a:pt x="338608" y="246950"/>
                </a:lnTo>
                <a:lnTo>
                  <a:pt x="339290" y="247315"/>
                </a:lnTo>
                <a:lnTo>
                  <a:pt x="339971" y="247680"/>
                </a:lnTo>
                <a:lnTo>
                  <a:pt x="340652" y="248045"/>
                </a:lnTo>
                <a:lnTo>
                  <a:pt x="341333" y="248409"/>
                </a:lnTo>
                <a:lnTo>
                  <a:pt x="342015" y="248773"/>
                </a:lnTo>
                <a:lnTo>
                  <a:pt x="342696" y="249136"/>
                </a:lnTo>
                <a:lnTo>
                  <a:pt x="343377" y="249499"/>
                </a:lnTo>
                <a:lnTo>
                  <a:pt x="344059" y="249861"/>
                </a:lnTo>
                <a:lnTo>
                  <a:pt x="344740" y="250223"/>
                </a:lnTo>
                <a:lnTo>
                  <a:pt x="345421" y="250584"/>
                </a:lnTo>
                <a:lnTo>
                  <a:pt x="346103" y="250945"/>
                </a:lnTo>
                <a:lnTo>
                  <a:pt x="346784" y="251305"/>
                </a:lnTo>
                <a:lnTo>
                  <a:pt x="347465" y="251665"/>
                </a:lnTo>
                <a:lnTo>
                  <a:pt x="348147" y="252025"/>
                </a:lnTo>
                <a:lnTo>
                  <a:pt x="348828" y="252384"/>
                </a:lnTo>
                <a:lnTo>
                  <a:pt x="349509" y="252743"/>
                </a:lnTo>
                <a:lnTo>
                  <a:pt x="350190" y="253101"/>
                </a:lnTo>
                <a:lnTo>
                  <a:pt x="350872" y="253458"/>
                </a:lnTo>
                <a:lnTo>
                  <a:pt x="351553" y="253816"/>
                </a:lnTo>
                <a:lnTo>
                  <a:pt x="352234" y="254172"/>
                </a:lnTo>
                <a:lnTo>
                  <a:pt x="352916" y="254529"/>
                </a:lnTo>
                <a:lnTo>
                  <a:pt x="353597" y="254885"/>
                </a:lnTo>
                <a:lnTo>
                  <a:pt x="354278" y="255240"/>
                </a:lnTo>
                <a:lnTo>
                  <a:pt x="354960" y="255595"/>
                </a:lnTo>
                <a:lnTo>
                  <a:pt x="355641" y="255949"/>
                </a:lnTo>
                <a:lnTo>
                  <a:pt x="356322" y="256303"/>
                </a:lnTo>
                <a:lnTo>
                  <a:pt x="357004" y="256657"/>
                </a:lnTo>
                <a:lnTo>
                  <a:pt x="357685" y="257010"/>
                </a:lnTo>
                <a:lnTo>
                  <a:pt x="358366" y="257363"/>
                </a:lnTo>
                <a:lnTo>
                  <a:pt x="359047" y="257715"/>
                </a:lnTo>
                <a:lnTo>
                  <a:pt x="359729" y="258067"/>
                </a:lnTo>
                <a:lnTo>
                  <a:pt x="360410" y="258418"/>
                </a:lnTo>
                <a:lnTo>
                  <a:pt x="361091" y="258769"/>
                </a:lnTo>
                <a:lnTo>
                  <a:pt x="361773" y="259119"/>
                </a:lnTo>
                <a:lnTo>
                  <a:pt x="362454" y="259469"/>
                </a:lnTo>
                <a:lnTo>
                  <a:pt x="363135" y="259819"/>
                </a:lnTo>
                <a:lnTo>
                  <a:pt x="363817" y="260168"/>
                </a:lnTo>
                <a:lnTo>
                  <a:pt x="364498" y="260517"/>
                </a:lnTo>
                <a:lnTo>
                  <a:pt x="365179" y="260865"/>
                </a:lnTo>
                <a:lnTo>
                  <a:pt x="365860" y="261213"/>
                </a:lnTo>
                <a:lnTo>
                  <a:pt x="366542" y="261560"/>
                </a:lnTo>
                <a:lnTo>
                  <a:pt x="367223" y="261907"/>
                </a:lnTo>
                <a:lnTo>
                  <a:pt x="367904" y="262253"/>
                </a:lnTo>
                <a:lnTo>
                  <a:pt x="368586" y="262599"/>
                </a:lnTo>
                <a:lnTo>
                  <a:pt x="369267" y="262945"/>
                </a:lnTo>
                <a:lnTo>
                  <a:pt x="369948" y="263290"/>
                </a:lnTo>
                <a:lnTo>
                  <a:pt x="370630" y="263634"/>
                </a:lnTo>
                <a:lnTo>
                  <a:pt x="371311" y="263978"/>
                </a:lnTo>
                <a:lnTo>
                  <a:pt x="371992" y="264322"/>
                </a:lnTo>
                <a:lnTo>
                  <a:pt x="372674" y="264665"/>
                </a:lnTo>
                <a:lnTo>
                  <a:pt x="373355" y="265008"/>
                </a:lnTo>
                <a:lnTo>
                  <a:pt x="374036" y="265350"/>
                </a:lnTo>
                <a:lnTo>
                  <a:pt x="374717" y="265692"/>
                </a:lnTo>
                <a:lnTo>
                  <a:pt x="375399" y="266034"/>
                </a:lnTo>
                <a:lnTo>
                  <a:pt x="376080" y="266375"/>
                </a:lnTo>
                <a:lnTo>
                  <a:pt x="376761" y="266716"/>
                </a:lnTo>
                <a:lnTo>
                  <a:pt x="377443" y="267056"/>
                </a:lnTo>
                <a:lnTo>
                  <a:pt x="378124" y="267395"/>
                </a:lnTo>
                <a:lnTo>
                  <a:pt x="378805" y="267735"/>
                </a:lnTo>
                <a:lnTo>
                  <a:pt x="379487" y="268074"/>
                </a:lnTo>
                <a:lnTo>
                  <a:pt x="380168" y="268412"/>
                </a:lnTo>
                <a:lnTo>
                  <a:pt x="380849" y="268750"/>
                </a:lnTo>
                <a:lnTo>
                  <a:pt x="381530" y="269087"/>
                </a:lnTo>
                <a:lnTo>
                  <a:pt x="382212" y="269425"/>
                </a:lnTo>
                <a:lnTo>
                  <a:pt x="382893" y="269761"/>
                </a:lnTo>
                <a:lnTo>
                  <a:pt x="383574" y="270097"/>
                </a:lnTo>
                <a:lnTo>
                  <a:pt x="384256" y="270433"/>
                </a:lnTo>
                <a:lnTo>
                  <a:pt x="384937" y="270768"/>
                </a:lnTo>
                <a:lnTo>
                  <a:pt x="385618" y="271103"/>
                </a:lnTo>
                <a:lnTo>
                  <a:pt x="386300" y="271438"/>
                </a:lnTo>
                <a:lnTo>
                  <a:pt x="386981" y="271772"/>
                </a:lnTo>
                <a:lnTo>
                  <a:pt x="387662" y="272105"/>
                </a:lnTo>
                <a:lnTo>
                  <a:pt x="388344" y="272439"/>
                </a:lnTo>
                <a:lnTo>
                  <a:pt x="389025" y="272771"/>
                </a:lnTo>
                <a:lnTo>
                  <a:pt x="389706" y="273104"/>
                </a:lnTo>
                <a:lnTo>
                  <a:pt x="390387" y="273435"/>
                </a:lnTo>
                <a:lnTo>
                  <a:pt x="391069" y="273767"/>
                </a:lnTo>
                <a:lnTo>
                  <a:pt x="391750" y="274098"/>
                </a:lnTo>
                <a:lnTo>
                  <a:pt x="392431" y="274428"/>
                </a:lnTo>
                <a:lnTo>
                  <a:pt x="393113" y="274758"/>
                </a:lnTo>
                <a:lnTo>
                  <a:pt x="393794" y="275088"/>
                </a:lnTo>
                <a:lnTo>
                  <a:pt x="394475" y="275417"/>
                </a:lnTo>
                <a:lnTo>
                  <a:pt x="395157" y="275746"/>
                </a:lnTo>
                <a:lnTo>
                  <a:pt x="395838" y="276075"/>
                </a:lnTo>
                <a:lnTo>
                  <a:pt x="396519" y="276403"/>
                </a:lnTo>
                <a:lnTo>
                  <a:pt x="397201" y="276730"/>
                </a:lnTo>
                <a:lnTo>
                  <a:pt x="397882" y="277057"/>
                </a:lnTo>
                <a:lnTo>
                  <a:pt x="398563" y="277384"/>
                </a:lnTo>
                <a:lnTo>
                  <a:pt x="399244" y="277710"/>
                </a:lnTo>
                <a:lnTo>
                  <a:pt x="399926" y="278036"/>
                </a:lnTo>
                <a:lnTo>
                  <a:pt x="400607" y="278361"/>
                </a:lnTo>
                <a:lnTo>
                  <a:pt x="401288" y="278686"/>
                </a:lnTo>
                <a:lnTo>
                  <a:pt x="401970" y="279011"/>
                </a:lnTo>
                <a:lnTo>
                  <a:pt x="402651" y="279335"/>
                </a:lnTo>
                <a:lnTo>
                  <a:pt x="403332" y="279659"/>
                </a:lnTo>
                <a:lnTo>
                  <a:pt x="404014" y="279982"/>
                </a:lnTo>
                <a:lnTo>
                  <a:pt x="404695" y="280305"/>
                </a:lnTo>
                <a:lnTo>
                  <a:pt x="405376" y="280627"/>
                </a:lnTo>
                <a:lnTo>
                  <a:pt x="406057" y="280949"/>
                </a:lnTo>
                <a:lnTo>
                  <a:pt x="406739" y="281271"/>
                </a:lnTo>
                <a:lnTo>
                  <a:pt x="407420" y="281592"/>
                </a:lnTo>
                <a:lnTo>
                  <a:pt x="408101" y="281912"/>
                </a:lnTo>
                <a:lnTo>
                  <a:pt x="408783" y="282233"/>
                </a:lnTo>
                <a:lnTo>
                  <a:pt x="409464" y="282552"/>
                </a:lnTo>
                <a:lnTo>
                  <a:pt x="410145" y="282872"/>
                </a:lnTo>
                <a:lnTo>
                  <a:pt x="410827" y="283191"/>
                </a:lnTo>
                <a:lnTo>
                  <a:pt x="411508" y="283509"/>
                </a:lnTo>
                <a:lnTo>
                  <a:pt x="412189" y="283828"/>
                </a:lnTo>
                <a:lnTo>
                  <a:pt x="412871" y="284145"/>
                </a:lnTo>
                <a:lnTo>
                  <a:pt x="413552" y="284463"/>
                </a:lnTo>
                <a:lnTo>
                  <a:pt x="414233" y="284780"/>
                </a:lnTo>
                <a:lnTo>
                  <a:pt x="414914" y="285096"/>
                </a:lnTo>
                <a:lnTo>
                  <a:pt x="415596" y="285412"/>
                </a:lnTo>
                <a:lnTo>
                  <a:pt x="416277" y="285728"/>
                </a:lnTo>
                <a:lnTo>
                  <a:pt x="416958" y="286043"/>
                </a:lnTo>
                <a:lnTo>
                  <a:pt x="417640" y="286358"/>
                </a:lnTo>
                <a:lnTo>
                  <a:pt x="418321" y="286672"/>
                </a:lnTo>
                <a:lnTo>
                  <a:pt x="419002" y="286986"/>
                </a:lnTo>
                <a:lnTo>
                  <a:pt x="419684" y="287300"/>
                </a:lnTo>
                <a:lnTo>
                  <a:pt x="420365" y="287613"/>
                </a:lnTo>
                <a:lnTo>
                  <a:pt x="421046" y="287926"/>
                </a:lnTo>
                <a:lnTo>
                  <a:pt x="421728" y="288238"/>
                </a:lnTo>
                <a:lnTo>
                  <a:pt x="422409" y="288550"/>
                </a:lnTo>
                <a:lnTo>
                  <a:pt x="423090" y="288861"/>
                </a:lnTo>
                <a:lnTo>
                  <a:pt x="423771" y="289172"/>
                </a:lnTo>
                <a:lnTo>
                  <a:pt x="424453" y="289483"/>
                </a:lnTo>
                <a:lnTo>
                  <a:pt x="425134" y="289793"/>
                </a:lnTo>
                <a:lnTo>
                  <a:pt x="425815" y="290103"/>
                </a:lnTo>
                <a:lnTo>
                  <a:pt x="426497" y="290412"/>
                </a:lnTo>
                <a:lnTo>
                  <a:pt x="427178" y="290721"/>
                </a:lnTo>
                <a:lnTo>
                  <a:pt x="427859" y="291030"/>
                </a:lnTo>
                <a:lnTo>
                  <a:pt x="428541" y="291338"/>
                </a:lnTo>
                <a:lnTo>
                  <a:pt x="429222" y="291646"/>
                </a:lnTo>
                <a:lnTo>
                  <a:pt x="429903" y="291953"/>
                </a:lnTo>
                <a:lnTo>
                  <a:pt x="430584" y="292260"/>
                </a:lnTo>
                <a:lnTo>
                  <a:pt x="431266" y="292567"/>
                </a:lnTo>
                <a:lnTo>
                  <a:pt x="431947" y="292873"/>
                </a:lnTo>
                <a:lnTo>
                  <a:pt x="432628" y="293178"/>
                </a:lnTo>
                <a:lnTo>
                  <a:pt x="433310" y="293484"/>
                </a:lnTo>
                <a:lnTo>
                  <a:pt x="433991" y="293788"/>
                </a:lnTo>
                <a:lnTo>
                  <a:pt x="434672" y="294093"/>
                </a:lnTo>
                <a:lnTo>
                  <a:pt x="435354" y="294397"/>
                </a:lnTo>
                <a:lnTo>
                  <a:pt x="436035" y="294701"/>
                </a:lnTo>
                <a:lnTo>
                  <a:pt x="436716" y="295004"/>
                </a:lnTo>
                <a:lnTo>
                  <a:pt x="437398" y="295307"/>
                </a:lnTo>
                <a:lnTo>
                  <a:pt x="438079" y="295609"/>
                </a:lnTo>
                <a:lnTo>
                  <a:pt x="438760" y="295911"/>
                </a:lnTo>
                <a:lnTo>
                  <a:pt x="439441" y="296213"/>
                </a:lnTo>
                <a:lnTo>
                  <a:pt x="440123" y="296514"/>
                </a:lnTo>
                <a:lnTo>
                  <a:pt x="440804" y="296815"/>
                </a:lnTo>
                <a:lnTo>
                  <a:pt x="441485" y="297115"/>
                </a:lnTo>
                <a:lnTo>
                  <a:pt x="442167" y="297415"/>
                </a:lnTo>
                <a:lnTo>
                  <a:pt x="442848" y="297715"/>
                </a:lnTo>
                <a:lnTo>
                  <a:pt x="443529" y="298014"/>
                </a:lnTo>
                <a:lnTo>
                  <a:pt x="444211" y="298313"/>
                </a:lnTo>
                <a:lnTo>
                  <a:pt x="444892" y="298611"/>
                </a:lnTo>
                <a:lnTo>
                  <a:pt x="445573" y="298909"/>
                </a:lnTo>
                <a:lnTo>
                  <a:pt x="446255" y="299207"/>
                </a:lnTo>
                <a:lnTo>
                  <a:pt x="446936" y="299504"/>
                </a:lnTo>
                <a:lnTo>
                  <a:pt x="447617" y="299801"/>
                </a:lnTo>
                <a:lnTo>
                  <a:pt x="448298" y="300097"/>
                </a:lnTo>
                <a:lnTo>
                  <a:pt x="448980" y="300393"/>
                </a:lnTo>
                <a:lnTo>
                  <a:pt x="449661" y="300689"/>
                </a:lnTo>
                <a:lnTo>
                  <a:pt x="450342" y="300984"/>
                </a:lnTo>
                <a:lnTo>
                  <a:pt x="451024" y="301279"/>
                </a:lnTo>
                <a:lnTo>
                  <a:pt x="451705" y="301573"/>
                </a:lnTo>
                <a:lnTo>
                  <a:pt x="452386" y="301867"/>
                </a:lnTo>
                <a:lnTo>
                  <a:pt x="453068" y="302160"/>
                </a:lnTo>
                <a:lnTo>
                  <a:pt x="453749" y="302454"/>
                </a:lnTo>
                <a:lnTo>
                  <a:pt x="454430" y="302746"/>
                </a:lnTo>
                <a:lnTo>
                  <a:pt x="455111" y="303039"/>
                </a:lnTo>
                <a:lnTo>
                  <a:pt x="455793" y="303331"/>
                </a:lnTo>
                <a:lnTo>
                  <a:pt x="456474" y="303622"/>
                </a:lnTo>
                <a:lnTo>
                  <a:pt x="457155" y="303914"/>
                </a:lnTo>
                <a:lnTo>
                  <a:pt x="457837" y="304204"/>
                </a:lnTo>
                <a:lnTo>
                  <a:pt x="458518" y="304495"/>
                </a:lnTo>
                <a:lnTo>
                  <a:pt x="459199" y="304785"/>
                </a:lnTo>
                <a:lnTo>
                  <a:pt x="459881" y="305074"/>
                </a:lnTo>
                <a:lnTo>
                  <a:pt x="460562" y="305364"/>
                </a:lnTo>
                <a:lnTo>
                  <a:pt x="461243" y="305652"/>
                </a:lnTo>
                <a:lnTo>
                  <a:pt x="461925" y="305941"/>
                </a:lnTo>
                <a:lnTo>
                  <a:pt x="462606" y="306229"/>
                </a:lnTo>
                <a:lnTo>
                  <a:pt x="463287" y="306517"/>
                </a:lnTo>
                <a:lnTo>
                  <a:pt x="463968" y="306804"/>
                </a:lnTo>
                <a:lnTo>
                  <a:pt x="464650" y="307091"/>
                </a:lnTo>
                <a:lnTo>
                  <a:pt x="465331" y="307377"/>
                </a:lnTo>
                <a:lnTo>
                  <a:pt x="466012" y="307663"/>
                </a:lnTo>
                <a:lnTo>
                  <a:pt x="466694" y="307949"/>
                </a:lnTo>
                <a:lnTo>
                  <a:pt x="467375" y="308234"/>
                </a:lnTo>
                <a:lnTo>
                  <a:pt x="468056" y="308519"/>
                </a:lnTo>
                <a:lnTo>
                  <a:pt x="468738" y="308804"/>
                </a:lnTo>
                <a:lnTo>
                  <a:pt x="469419" y="309088"/>
                </a:lnTo>
                <a:lnTo>
                  <a:pt x="470100" y="309372"/>
                </a:lnTo>
                <a:lnTo>
                  <a:pt x="470781" y="309655"/>
                </a:lnTo>
                <a:lnTo>
                  <a:pt x="471463" y="309938"/>
                </a:lnTo>
                <a:lnTo>
                  <a:pt x="472144" y="310221"/>
                </a:lnTo>
                <a:lnTo>
                  <a:pt x="472825" y="310503"/>
                </a:lnTo>
                <a:lnTo>
                  <a:pt x="473507" y="310785"/>
                </a:lnTo>
                <a:lnTo>
                  <a:pt x="474188" y="311066"/>
                </a:lnTo>
                <a:lnTo>
                  <a:pt x="474869" y="311347"/>
                </a:lnTo>
                <a:lnTo>
                  <a:pt x="475551" y="311628"/>
                </a:lnTo>
                <a:lnTo>
                  <a:pt x="476232" y="311908"/>
                </a:lnTo>
                <a:lnTo>
                  <a:pt x="476913" y="312188"/>
                </a:lnTo>
                <a:lnTo>
                  <a:pt x="477595" y="312467"/>
                </a:lnTo>
                <a:lnTo>
                  <a:pt x="478276" y="312746"/>
                </a:lnTo>
                <a:lnTo>
                  <a:pt x="478957" y="313025"/>
                </a:lnTo>
                <a:lnTo>
                  <a:pt x="479638" y="313303"/>
                </a:lnTo>
                <a:lnTo>
                  <a:pt x="480320" y="313581"/>
                </a:lnTo>
                <a:lnTo>
                  <a:pt x="481001" y="313859"/>
                </a:lnTo>
                <a:lnTo>
                  <a:pt x="481682" y="314136"/>
                </a:lnTo>
                <a:lnTo>
                  <a:pt x="482364" y="314413"/>
                </a:lnTo>
                <a:lnTo>
                  <a:pt x="483045" y="314690"/>
                </a:lnTo>
                <a:lnTo>
                  <a:pt x="483726" y="314966"/>
                </a:lnTo>
                <a:lnTo>
                  <a:pt x="484408" y="315241"/>
                </a:lnTo>
                <a:lnTo>
                  <a:pt x="485089" y="315517"/>
                </a:lnTo>
                <a:lnTo>
                  <a:pt x="485770" y="315791"/>
                </a:lnTo>
                <a:lnTo>
                  <a:pt x="486452" y="316066"/>
                </a:lnTo>
                <a:lnTo>
                  <a:pt x="487133" y="316340"/>
                </a:lnTo>
                <a:lnTo>
                  <a:pt x="487814" y="316614"/>
                </a:lnTo>
                <a:lnTo>
                  <a:pt x="488495" y="316887"/>
                </a:lnTo>
                <a:lnTo>
                  <a:pt x="489177" y="317160"/>
                </a:lnTo>
                <a:lnTo>
                  <a:pt x="489858" y="317433"/>
                </a:lnTo>
                <a:lnTo>
                  <a:pt x="490539" y="317705"/>
                </a:lnTo>
                <a:lnTo>
                  <a:pt x="491221" y="317977"/>
                </a:lnTo>
                <a:lnTo>
                  <a:pt x="491902" y="318249"/>
                </a:lnTo>
                <a:lnTo>
                  <a:pt x="492583" y="318520"/>
                </a:lnTo>
                <a:lnTo>
                  <a:pt x="493265" y="318791"/>
                </a:lnTo>
                <a:lnTo>
                  <a:pt x="493946" y="319061"/>
                </a:lnTo>
                <a:lnTo>
                  <a:pt x="494627" y="319331"/>
                </a:lnTo>
                <a:lnTo>
                  <a:pt x="495308" y="319601"/>
                </a:lnTo>
                <a:lnTo>
                  <a:pt x="495990" y="319870"/>
                </a:lnTo>
                <a:lnTo>
                  <a:pt x="496671" y="320139"/>
                </a:lnTo>
                <a:lnTo>
                  <a:pt x="497352" y="320407"/>
                </a:lnTo>
                <a:lnTo>
                  <a:pt x="498034" y="320675"/>
                </a:lnTo>
                <a:lnTo>
                  <a:pt x="498715" y="320943"/>
                </a:lnTo>
                <a:lnTo>
                  <a:pt x="499396" y="321211"/>
                </a:lnTo>
                <a:lnTo>
                  <a:pt x="500078" y="321478"/>
                </a:lnTo>
                <a:lnTo>
                  <a:pt x="500759" y="321744"/>
                </a:lnTo>
                <a:lnTo>
                  <a:pt x="501440" y="322011"/>
                </a:lnTo>
                <a:lnTo>
                  <a:pt x="502122" y="322277"/>
                </a:lnTo>
                <a:lnTo>
                  <a:pt x="502803" y="322542"/>
                </a:lnTo>
                <a:lnTo>
                  <a:pt x="503484" y="322807"/>
                </a:lnTo>
                <a:lnTo>
                  <a:pt x="504165" y="323072"/>
                </a:lnTo>
                <a:lnTo>
                  <a:pt x="504847" y="323336"/>
                </a:lnTo>
                <a:lnTo>
                  <a:pt x="505528" y="323601"/>
                </a:lnTo>
                <a:lnTo>
                  <a:pt x="506209" y="323864"/>
                </a:lnTo>
                <a:lnTo>
                  <a:pt x="506891" y="324128"/>
                </a:lnTo>
                <a:lnTo>
                  <a:pt x="507572" y="324391"/>
                </a:lnTo>
                <a:lnTo>
                  <a:pt x="508253" y="324653"/>
                </a:lnTo>
                <a:lnTo>
                  <a:pt x="508935" y="324915"/>
                </a:lnTo>
                <a:lnTo>
                  <a:pt x="509616" y="325177"/>
                </a:lnTo>
                <a:lnTo>
                  <a:pt x="510297" y="325439"/>
                </a:lnTo>
                <a:lnTo>
                  <a:pt x="510979" y="325700"/>
                </a:lnTo>
                <a:lnTo>
                  <a:pt x="511660" y="325961"/>
                </a:lnTo>
                <a:lnTo>
                  <a:pt x="512341" y="326221"/>
                </a:lnTo>
                <a:lnTo>
                  <a:pt x="513022" y="326481"/>
                </a:lnTo>
                <a:lnTo>
                  <a:pt x="513704" y="326741"/>
                </a:lnTo>
                <a:lnTo>
                  <a:pt x="514385" y="327000"/>
                </a:lnTo>
                <a:lnTo>
                  <a:pt x="515066" y="327259"/>
                </a:lnTo>
                <a:lnTo>
                  <a:pt x="515748" y="327518"/>
                </a:lnTo>
                <a:lnTo>
                  <a:pt x="516429" y="327776"/>
                </a:lnTo>
                <a:lnTo>
                  <a:pt x="517110" y="328034"/>
                </a:lnTo>
                <a:lnTo>
                  <a:pt x="517792" y="328291"/>
                </a:lnTo>
                <a:lnTo>
                  <a:pt x="518473" y="328548"/>
                </a:lnTo>
                <a:lnTo>
                  <a:pt x="519154" y="328805"/>
                </a:lnTo>
                <a:lnTo>
                  <a:pt x="519835" y="329062"/>
                </a:lnTo>
                <a:lnTo>
                  <a:pt x="520517" y="329318"/>
                </a:lnTo>
                <a:lnTo>
                  <a:pt x="521198" y="329573"/>
                </a:lnTo>
                <a:lnTo>
                  <a:pt x="521879" y="329829"/>
                </a:lnTo>
                <a:lnTo>
                  <a:pt x="522561" y="330084"/>
                </a:lnTo>
                <a:lnTo>
                  <a:pt x="523242" y="330338"/>
                </a:lnTo>
                <a:lnTo>
                  <a:pt x="523923" y="330592"/>
                </a:lnTo>
                <a:lnTo>
                  <a:pt x="524605" y="330846"/>
                </a:lnTo>
                <a:lnTo>
                  <a:pt x="525286" y="331100"/>
                </a:lnTo>
                <a:lnTo>
                  <a:pt x="525967" y="331353"/>
                </a:lnTo>
                <a:lnTo>
                  <a:pt x="526649" y="331606"/>
                </a:lnTo>
                <a:lnTo>
                  <a:pt x="527330" y="331858"/>
                </a:lnTo>
                <a:lnTo>
                  <a:pt x="528011" y="332110"/>
                </a:lnTo>
                <a:lnTo>
                  <a:pt x="528692" y="332362"/>
                </a:lnTo>
                <a:lnTo>
                  <a:pt x="529374" y="332614"/>
                </a:lnTo>
                <a:lnTo>
                  <a:pt x="530055" y="332865"/>
                </a:lnTo>
                <a:lnTo>
                  <a:pt x="530736" y="333115"/>
                </a:lnTo>
                <a:lnTo>
                  <a:pt x="531418" y="333366"/>
                </a:lnTo>
                <a:lnTo>
                  <a:pt x="532099" y="333616"/>
                </a:lnTo>
                <a:lnTo>
                  <a:pt x="532780" y="333865"/>
                </a:lnTo>
                <a:lnTo>
                  <a:pt x="533462" y="334115"/>
                </a:lnTo>
                <a:lnTo>
                  <a:pt x="534143" y="334364"/>
                </a:lnTo>
                <a:lnTo>
                  <a:pt x="534824" y="334612"/>
                </a:lnTo>
                <a:lnTo>
                  <a:pt x="535506" y="334860"/>
                </a:lnTo>
                <a:lnTo>
                  <a:pt x="536187" y="335108"/>
                </a:lnTo>
                <a:lnTo>
                  <a:pt x="536868" y="335356"/>
                </a:lnTo>
                <a:lnTo>
                  <a:pt x="537549" y="335603"/>
                </a:lnTo>
                <a:lnTo>
                  <a:pt x="538231" y="335850"/>
                </a:lnTo>
                <a:lnTo>
                  <a:pt x="538912" y="336096"/>
                </a:lnTo>
                <a:lnTo>
                  <a:pt x="539593" y="336342"/>
                </a:lnTo>
                <a:lnTo>
                  <a:pt x="540275" y="336588"/>
                </a:lnTo>
                <a:lnTo>
                  <a:pt x="540956" y="336833"/>
                </a:lnTo>
                <a:lnTo>
                  <a:pt x="541637" y="337078"/>
                </a:lnTo>
                <a:lnTo>
                  <a:pt x="542319" y="337323"/>
                </a:lnTo>
                <a:lnTo>
                  <a:pt x="543000" y="337568"/>
                </a:lnTo>
                <a:lnTo>
                  <a:pt x="543681" y="337812"/>
                </a:lnTo>
                <a:lnTo>
                  <a:pt x="544362" y="338055"/>
                </a:lnTo>
                <a:lnTo>
                  <a:pt x="545044" y="338299"/>
                </a:lnTo>
                <a:lnTo>
                  <a:pt x="545725" y="338542"/>
                </a:lnTo>
                <a:lnTo>
                  <a:pt x="546406" y="338784"/>
                </a:lnTo>
                <a:lnTo>
                  <a:pt x="547088" y="339026"/>
                </a:lnTo>
                <a:lnTo>
                  <a:pt x="547769" y="339268"/>
                </a:lnTo>
                <a:lnTo>
                  <a:pt x="548450" y="339510"/>
                </a:lnTo>
                <a:lnTo>
                  <a:pt x="549132" y="339751"/>
                </a:lnTo>
                <a:lnTo>
                  <a:pt x="549813" y="339992"/>
                </a:lnTo>
                <a:lnTo>
                  <a:pt x="550494" y="340233"/>
                </a:lnTo>
                <a:lnTo>
                  <a:pt x="551176" y="340473"/>
                </a:lnTo>
                <a:lnTo>
                  <a:pt x="551857" y="340713"/>
                </a:lnTo>
                <a:lnTo>
                  <a:pt x="552538" y="340952"/>
                </a:lnTo>
                <a:lnTo>
                  <a:pt x="553219" y="341192"/>
                </a:lnTo>
                <a:lnTo>
                  <a:pt x="553901" y="341430"/>
                </a:lnTo>
                <a:lnTo>
                  <a:pt x="554582" y="341669"/>
                </a:lnTo>
                <a:lnTo>
                  <a:pt x="555263" y="341907"/>
                </a:lnTo>
                <a:lnTo>
                  <a:pt x="555945" y="342145"/>
                </a:lnTo>
                <a:lnTo>
                  <a:pt x="556626" y="342382"/>
                </a:lnTo>
                <a:lnTo>
                  <a:pt x="557307" y="342620"/>
                </a:lnTo>
                <a:lnTo>
                  <a:pt x="557989" y="342856"/>
                </a:lnTo>
                <a:lnTo>
                  <a:pt x="558670" y="343093"/>
                </a:lnTo>
                <a:lnTo>
                  <a:pt x="559351" y="343329"/>
                </a:lnTo>
                <a:lnTo>
                  <a:pt x="560032" y="343565"/>
                </a:lnTo>
                <a:lnTo>
                  <a:pt x="560714" y="343800"/>
                </a:lnTo>
                <a:lnTo>
                  <a:pt x="561395" y="344035"/>
                </a:lnTo>
                <a:lnTo>
                  <a:pt x="562076" y="344270"/>
                </a:lnTo>
                <a:lnTo>
                  <a:pt x="562758" y="344504"/>
                </a:lnTo>
                <a:lnTo>
                  <a:pt x="563439" y="344739"/>
                </a:lnTo>
                <a:lnTo>
                  <a:pt x="564120" y="344972"/>
                </a:lnTo>
                <a:lnTo>
                  <a:pt x="564802" y="345206"/>
                </a:lnTo>
                <a:lnTo>
                  <a:pt x="565483" y="345439"/>
                </a:lnTo>
                <a:lnTo>
                  <a:pt x="566164" y="345672"/>
                </a:lnTo>
                <a:lnTo>
                  <a:pt x="566846" y="345904"/>
                </a:lnTo>
                <a:lnTo>
                  <a:pt x="567527" y="346136"/>
                </a:lnTo>
                <a:lnTo>
                  <a:pt x="568208" y="346368"/>
                </a:lnTo>
                <a:lnTo>
                  <a:pt x="568889" y="346599"/>
                </a:lnTo>
                <a:lnTo>
                  <a:pt x="569571" y="346830"/>
                </a:lnTo>
                <a:lnTo>
                  <a:pt x="570252" y="347061"/>
                </a:lnTo>
                <a:lnTo>
                  <a:pt x="570933" y="347291"/>
                </a:lnTo>
                <a:lnTo>
                  <a:pt x="571615" y="347522"/>
                </a:lnTo>
                <a:lnTo>
                  <a:pt x="572296" y="347751"/>
                </a:lnTo>
                <a:lnTo>
                  <a:pt x="572977" y="347981"/>
                </a:lnTo>
                <a:lnTo>
                  <a:pt x="573659" y="348210"/>
                </a:lnTo>
                <a:lnTo>
                  <a:pt x="574340" y="348438"/>
                </a:lnTo>
                <a:lnTo>
                  <a:pt x="575021" y="348667"/>
                </a:lnTo>
                <a:lnTo>
                  <a:pt x="575703" y="348895"/>
                </a:lnTo>
                <a:lnTo>
                  <a:pt x="576384" y="349123"/>
                </a:lnTo>
                <a:lnTo>
                  <a:pt x="577065" y="349350"/>
                </a:lnTo>
                <a:lnTo>
                  <a:pt x="577746" y="349577"/>
                </a:lnTo>
                <a:lnTo>
                  <a:pt x="578428" y="349804"/>
                </a:lnTo>
                <a:lnTo>
                  <a:pt x="579109" y="350030"/>
                </a:lnTo>
                <a:lnTo>
                  <a:pt x="579790" y="350257"/>
                </a:lnTo>
                <a:lnTo>
                  <a:pt x="580472" y="350482"/>
                </a:lnTo>
                <a:lnTo>
                  <a:pt x="581153" y="350708"/>
                </a:lnTo>
                <a:lnTo>
                  <a:pt x="581834" y="350933"/>
                </a:lnTo>
                <a:lnTo>
                  <a:pt x="582516" y="351158"/>
                </a:lnTo>
                <a:lnTo>
                  <a:pt x="583197" y="351382"/>
                </a:lnTo>
                <a:lnTo>
                  <a:pt x="583878" y="351606"/>
                </a:lnTo>
                <a:lnTo>
                  <a:pt x="584559" y="351830"/>
                </a:lnTo>
                <a:lnTo>
                  <a:pt x="585241" y="352054"/>
                </a:lnTo>
                <a:lnTo>
                  <a:pt x="585922" y="352277"/>
                </a:lnTo>
                <a:lnTo>
                  <a:pt x="586603" y="352500"/>
                </a:lnTo>
                <a:lnTo>
                  <a:pt x="587285" y="352722"/>
                </a:lnTo>
                <a:lnTo>
                  <a:pt x="587966" y="352944"/>
                </a:lnTo>
                <a:lnTo>
                  <a:pt x="588647" y="353166"/>
                </a:lnTo>
                <a:lnTo>
                  <a:pt x="589329" y="353388"/>
                </a:lnTo>
                <a:lnTo>
                  <a:pt x="590010" y="353609"/>
                </a:lnTo>
                <a:lnTo>
                  <a:pt x="590691" y="353830"/>
                </a:lnTo>
                <a:lnTo>
                  <a:pt x="591373" y="354051"/>
                </a:lnTo>
                <a:lnTo>
                  <a:pt x="592054" y="354271"/>
                </a:lnTo>
                <a:lnTo>
                  <a:pt x="592735" y="354491"/>
                </a:lnTo>
                <a:lnTo>
                  <a:pt x="593416" y="354710"/>
                </a:lnTo>
                <a:lnTo>
                  <a:pt x="594098" y="354930"/>
                </a:lnTo>
                <a:lnTo>
                  <a:pt x="594779" y="355149"/>
                </a:lnTo>
                <a:lnTo>
                  <a:pt x="595460" y="355367"/>
                </a:lnTo>
                <a:lnTo>
                  <a:pt x="596142" y="355586"/>
                </a:lnTo>
                <a:lnTo>
                  <a:pt x="596823" y="355804"/>
                </a:lnTo>
                <a:lnTo>
                  <a:pt x="597504" y="356021"/>
                </a:lnTo>
                <a:lnTo>
                  <a:pt x="598186" y="356239"/>
                </a:lnTo>
                <a:lnTo>
                  <a:pt x="598867" y="356456"/>
                </a:lnTo>
                <a:lnTo>
                  <a:pt x="599548" y="356673"/>
                </a:lnTo>
                <a:lnTo>
                  <a:pt x="600230" y="356889"/>
                </a:lnTo>
                <a:lnTo>
                  <a:pt x="600911" y="357105"/>
                </a:lnTo>
                <a:lnTo>
                  <a:pt x="601592" y="357321"/>
                </a:lnTo>
                <a:lnTo>
                  <a:pt x="602273" y="357536"/>
                </a:lnTo>
                <a:lnTo>
                  <a:pt x="602955" y="357752"/>
                </a:lnTo>
                <a:lnTo>
                  <a:pt x="603636" y="357966"/>
                </a:lnTo>
                <a:lnTo>
                  <a:pt x="604317" y="358181"/>
                </a:lnTo>
                <a:lnTo>
                  <a:pt x="604999" y="358395"/>
                </a:lnTo>
                <a:lnTo>
                  <a:pt x="605680" y="358609"/>
                </a:lnTo>
                <a:lnTo>
                  <a:pt x="606361" y="358823"/>
                </a:lnTo>
                <a:lnTo>
                  <a:pt x="607043" y="359036"/>
                </a:lnTo>
                <a:lnTo>
                  <a:pt x="607724" y="359249"/>
                </a:lnTo>
                <a:lnTo>
                  <a:pt x="608405" y="359462"/>
                </a:lnTo>
                <a:lnTo>
                  <a:pt x="609086" y="359674"/>
                </a:lnTo>
                <a:lnTo>
                  <a:pt x="609768" y="359886"/>
                </a:lnTo>
                <a:lnTo>
                  <a:pt x="610449" y="360098"/>
                </a:lnTo>
                <a:lnTo>
                  <a:pt x="611130" y="360309"/>
                </a:lnTo>
                <a:lnTo>
                  <a:pt x="611812" y="360520"/>
                </a:lnTo>
                <a:lnTo>
                  <a:pt x="612493" y="360731"/>
                </a:lnTo>
                <a:lnTo>
                  <a:pt x="613174" y="360941"/>
                </a:lnTo>
                <a:lnTo>
                  <a:pt x="613856" y="361151"/>
                </a:lnTo>
                <a:lnTo>
                  <a:pt x="614537" y="361361"/>
                </a:lnTo>
                <a:lnTo>
                  <a:pt x="615218" y="361571"/>
                </a:lnTo>
                <a:lnTo>
                  <a:pt x="615900" y="361780"/>
                </a:lnTo>
                <a:lnTo>
                  <a:pt x="616581" y="361989"/>
                </a:lnTo>
                <a:lnTo>
                  <a:pt x="617262" y="362198"/>
                </a:lnTo>
                <a:lnTo>
                  <a:pt x="617943" y="362406"/>
                </a:lnTo>
                <a:lnTo>
                  <a:pt x="618625" y="362614"/>
                </a:lnTo>
                <a:lnTo>
                  <a:pt x="619306" y="362821"/>
                </a:lnTo>
                <a:lnTo>
                  <a:pt x="619987" y="363029"/>
                </a:lnTo>
                <a:lnTo>
                  <a:pt x="620669" y="363236"/>
                </a:lnTo>
                <a:lnTo>
                  <a:pt x="621350" y="363443"/>
                </a:lnTo>
                <a:lnTo>
                  <a:pt x="622031" y="363649"/>
                </a:lnTo>
                <a:lnTo>
                  <a:pt x="622713" y="363855"/>
                </a:lnTo>
                <a:lnTo>
                  <a:pt x="623394" y="364061"/>
                </a:lnTo>
                <a:lnTo>
                  <a:pt x="624075" y="364267"/>
                </a:lnTo>
                <a:lnTo>
                  <a:pt x="624757" y="364472"/>
                </a:lnTo>
                <a:lnTo>
                  <a:pt x="625438" y="364677"/>
                </a:lnTo>
                <a:lnTo>
                  <a:pt x="626119" y="364881"/>
                </a:lnTo>
                <a:lnTo>
                  <a:pt x="626800" y="365086"/>
                </a:lnTo>
                <a:lnTo>
                  <a:pt x="627482" y="365290"/>
                </a:lnTo>
                <a:lnTo>
                  <a:pt x="628163" y="365493"/>
                </a:lnTo>
                <a:lnTo>
                  <a:pt x="628844" y="365697"/>
                </a:lnTo>
                <a:lnTo>
                  <a:pt x="629526" y="365900"/>
                </a:lnTo>
                <a:lnTo>
                  <a:pt x="630207" y="366103"/>
                </a:lnTo>
                <a:lnTo>
                  <a:pt x="630888" y="366305"/>
                </a:lnTo>
                <a:lnTo>
                  <a:pt x="631570" y="366507"/>
                </a:lnTo>
                <a:lnTo>
                  <a:pt x="632251" y="366709"/>
                </a:lnTo>
                <a:lnTo>
                  <a:pt x="632932" y="366911"/>
                </a:lnTo>
                <a:lnTo>
                  <a:pt x="633613" y="367112"/>
                </a:lnTo>
                <a:lnTo>
                  <a:pt x="634295" y="367313"/>
                </a:lnTo>
                <a:lnTo>
                  <a:pt x="634976" y="367514"/>
                </a:lnTo>
                <a:lnTo>
                  <a:pt x="635657" y="367714"/>
                </a:lnTo>
                <a:lnTo>
                  <a:pt x="636339" y="367914"/>
                </a:lnTo>
                <a:lnTo>
                  <a:pt x="637020" y="368114"/>
                </a:lnTo>
                <a:lnTo>
                  <a:pt x="637701" y="368314"/>
                </a:lnTo>
                <a:lnTo>
                  <a:pt x="638383" y="368513"/>
                </a:lnTo>
                <a:lnTo>
                  <a:pt x="639064" y="368712"/>
                </a:lnTo>
                <a:lnTo>
                  <a:pt x="639745" y="368910"/>
                </a:lnTo>
                <a:lnTo>
                  <a:pt x="640427" y="369109"/>
                </a:lnTo>
                <a:lnTo>
                  <a:pt x="641108" y="369307"/>
                </a:lnTo>
                <a:lnTo>
                  <a:pt x="641789" y="369504"/>
                </a:lnTo>
                <a:lnTo>
                  <a:pt x="642470" y="369702"/>
                </a:lnTo>
                <a:lnTo>
                  <a:pt x="643152" y="369899"/>
                </a:lnTo>
                <a:lnTo>
                  <a:pt x="643833" y="370096"/>
                </a:lnTo>
                <a:lnTo>
                  <a:pt x="644514" y="370292"/>
                </a:lnTo>
                <a:lnTo>
                  <a:pt x="645196" y="370489"/>
                </a:lnTo>
                <a:lnTo>
                  <a:pt x="645877" y="370684"/>
                </a:lnTo>
                <a:lnTo>
                  <a:pt x="646558" y="370880"/>
                </a:lnTo>
                <a:lnTo>
                  <a:pt x="647240" y="371075"/>
                </a:lnTo>
                <a:lnTo>
                  <a:pt x="647921" y="371271"/>
                </a:lnTo>
                <a:lnTo>
                  <a:pt x="648602" y="371465"/>
                </a:lnTo>
                <a:lnTo>
                  <a:pt x="649283" y="371660"/>
                </a:lnTo>
                <a:lnTo>
                  <a:pt x="649965" y="371854"/>
                </a:lnTo>
                <a:lnTo>
                  <a:pt x="650646" y="372048"/>
                </a:lnTo>
                <a:lnTo>
                  <a:pt x="651327" y="372241"/>
                </a:lnTo>
                <a:lnTo>
                  <a:pt x="652009" y="372435"/>
                </a:lnTo>
                <a:lnTo>
                  <a:pt x="652690" y="372628"/>
                </a:lnTo>
                <a:lnTo>
                  <a:pt x="653371" y="372821"/>
                </a:lnTo>
                <a:lnTo>
                  <a:pt x="654053" y="373013"/>
                </a:lnTo>
                <a:lnTo>
                  <a:pt x="654734" y="373205"/>
                </a:lnTo>
                <a:lnTo>
                  <a:pt x="655415" y="373397"/>
                </a:lnTo>
                <a:lnTo>
                  <a:pt x="656097" y="373589"/>
                </a:lnTo>
                <a:lnTo>
                  <a:pt x="656778" y="373780"/>
                </a:lnTo>
                <a:lnTo>
                  <a:pt x="657459" y="373971"/>
                </a:lnTo>
                <a:lnTo>
                  <a:pt x="658140" y="374162"/>
                </a:lnTo>
                <a:lnTo>
                  <a:pt x="658822" y="374352"/>
                </a:lnTo>
                <a:lnTo>
                  <a:pt x="659503" y="374542"/>
                </a:lnTo>
                <a:lnTo>
                  <a:pt x="660184" y="374732"/>
                </a:lnTo>
                <a:lnTo>
                  <a:pt x="660866" y="374921"/>
                </a:lnTo>
                <a:lnTo>
                  <a:pt x="661547" y="375111"/>
                </a:lnTo>
                <a:lnTo>
                  <a:pt x="662228" y="375300"/>
                </a:lnTo>
                <a:lnTo>
                  <a:pt x="662910" y="375488"/>
                </a:lnTo>
                <a:lnTo>
                  <a:pt x="663591" y="375677"/>
                </a:lnTo>
                <a:lnTo>
                  <a:pt x="664272" y="375865"/>
                </a:lnTo>
                <a:lnTo>
                  <a:pt x="664954" y="376053"/>
                </a:lnTo>
                <a:lnTo>
                  <a:pt x="665635" y="376240"/>
                </a:lnTo>
                <a:lnTo>
                  <a:pt x="666316" y="376428"/>
                </a:lnTo>
                <a:lnTo>
                  <a:pt x="666997" y="376615"/>
                </a:lnTo>
                <a:lnTo>
                  <a:pt x="667679" y="376801"/>
                </a:lnTo>
                <a:lnTo>
                  <a:pt x="668360" y="376988"/>
                </a:lnTo>
                <a:lnTo>
                  <a:pt x="669041" y="377174"/>
                </a:lnTo>
                <a:lnTo>
                  <a:pt x="669723" y="377360"/>
                </a:lnTo>
                <a:lnTo>
                  <a:pt x="670404" y="377545"/>
                </a:lnTo>
                <a:lnTo>
                  <a:pt x="671085" y="377731"/>
                </a:lnTo>
                <a:lnTo>
                  <a:pt x="671767" y="377916"/>
                </a:lnTo>
                <a:lnTo>
                  <a:pt x="672448" y="378100"/>
                </a:lnTo>
                <a:lnTo>
                  <a:pt x="673129" y="378285"/>
                </a:lnTo>
                <a:lnTo>
                  <a:pt x="673810" y="378469"/>
                </a:lnTo>
                <a:lnTo>
                  <a:pt x="674492" y="378653"/>
                </a:lnTo>
                <a:lnTo>
                  <a:pt x="675173" y="378836"/>
                </a:lnTo>
                <a:lnTo>
                  <a:pt x="675854" y="379020"/>
                </a:lnTo>
                <a:lnTo>
                  <a:pt x="676536" y="379203"/>
                </a:lnTo>
                <a:lnTo>
                  <a:pt x="677217" y="379386"/>
                </a:lnTo>
                <a:lnTo>
                  <a:pt x="677898" y="379568"/>
                </a:lnTo>
                <a:lnTo>
                  <a:pt x="678580" y="379750"/>
                </a:lnTo>
                <a:lnTo>
                  <a:pt x="679261" y="379932"/>
                </a:lnTo>
                <a:lnTo>
                  <a:pt x="679942" y="380114"/>
                </a:lnTo>
                <a:lnTo>
                  <a:pt x="680624" y="380295"/>
                </a:lnTo>
                <a:lnTo>
                  <a:pt x="681305" y="380476"/>
                </a:lnTo>
                <a:lnTo>
                  <a:pt x="681305" y="482270"/>
                </a:lnTo>
                <a:close/>
              </a:path>
            </a:pathLst>
          </a:custGeom>
          <a:solidFill>
            <a:srgbClr val="CCCCCC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62" name="pg133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>
            <a:off x="3905164" y="4164551"/>
            <a:ext cx="849462" cy="62092"/>
          </a:xfrm>
          <a:custGeom>
            <a:avLst/>
            <a:gdLst/>
            <a:ahLst/>
            <a:cxnLst/>
            <a:rect l="0" t="0" r="0" b="0"/>
            <a:pathLst>
              <a:path w="1362610" h="101793">
                <a:moveTo>
                  <a:pt x="0" y="101793"/>
                </a:moveTo>
                <a:lnTo>
                  <a:pt x="0" y="100598"/>
                </a:lnTo>
                <a:lnTo>
                  <a:pt x="681" y="100595"/>
                </a:lnTo>
                <a:lnTo>
                  <a:pt x="1362" y="100592"/>
                </a:lnTo>
                <a:lnTo>
                  <a:pt x="2043" y="100588"/>
                </a:lnTo>
                <a:lnTo>
                  <a:pt x="2725" y="100585"/>
                </a:lnTo>
                <a:lnTo>
                  <a:pt x="3406" y="100582"/>
                </a:lnTo>
                <a:lnTo>
                  <a:pt x="4087" y="100579"/>
                </a:lnTo>
                <a:lnTo>
                  <a:pt x="4769" y="100575"/>
                </a:lnTo>
                <a:lnTo>
                  <a:pt x="5450" y="100572"/>
                </a:lnTo>
                <a:lnTo>
                  <a:pt x="6131" y="100569"/>
                </a:lnTo>
                <a:lnTo>
                  <a:pt x="6813" y="100566"/>
                </a:lnTo>
                <a:lnTo>
                  <a:pt x="7494" y="100562"/>
                </a:lnTo>
                <a:lnTo>
                  <a:pt x="8175" y="100559"/>
                </a:lnTo>
                <a:lnTo>
                  <a:pt x="8856" y="100556"/>
                </a:lnTo>
                <a:lnTo>
                  <a:pt x="9538" y="100553"/>
                </a:lnTo>
                <a:lnTo>
                  <a:pt x="10219" y="100549"/>
                </a:lnTo>
                <a:lnTo>
                  <a:pt x="10900" y="100546"/>
                </a:lnTo>
                <a:lnTo>
                  <a:pt x="11582" y="100543"/>
                </a:lnTo>
                <a:lnTo>
                  <a:pt x="12263" y="100539"/>
                </a:lnTo>
                <a:lnTo>
                  <a:pt x="12944" y="100536"/>
                </a:lnTo>
                <a:lnTo>
                  <a:pt x="13626" y="100533"/>
                </a:lnTo>
                <a:lnTo>
                  <a:pt x="14307" y="100529"/>
                </a:lnTo>
                <a:lnTo>
                  <a:pt x="14988" y="100526"/>
                </a:lnTo>
                <a:lnTo>
                  <a:pt x="15670" y="100523"/>
                </a:lnTo>
                <a:lnTo>
                  <a:pt x="16351" y="100519"/>
                </a:lnTo>
                <a:lnTo>
                  <a:pt x="17032" y="100516"/>
                </a:lnTo>
                <a:lnTo>
                  <a:pt x="17713" y="100512"/>
                </a:lnTo>
                <a:lnTo>
                  <a:pt x="18395" y="100509"/>
                </a:lnTo>
                <a:lnTo>
                  <a:pt x="19076" y="100506"/>
                </a:lnTo>
                <a:lnTo>
                  <a:pt x="19757" y="100502"/>
                </a:lnTo>
                <a:lnTo>
                  <a:pt x="20439" y="100499"/>
                </a:lnTo>
                <a:lnTo>
                  <a:pt x="21120" y="100495"/>
                </a:lnTo>
                <a:lnTo>
                  <a:pt x="21801" y="100492"/>
                </a:lnTo>
                <a:lnTo>
                  <a:pt x="22483" y="100488"/>
                </a:lnTo>
                <a:lnTo>
                  <a:pt x="23164" y="100485"/>
                </a:lnTo>
                <a:lnTo>
                  <a:pt x="23845" y="100481"/>
                </a:lnTo>
                <a:lnTo>
                  <a:pt x="24526" y="100478"/>
                </a:lnTo>
                <a:lnTo>
                  <a:pt x="25208" y="100474"/>
                </a:lnTo>
                <a:lnTo>
                  <a:pt x="25889" y="100471"/>
                </a:lnTo>
                <a:lnTo>
                  <a:pt x="26570" y="100467"/>
                </a:lnTo>
                <a:lnTo>
                  <a:pt x="27252" y="100464"/>
                </a:lnTo>
                <a:lnTo>
                  <a:pt x="27933" y="100460"/>
                </a:lnTo>
                <a:lnTo>
                  <a:pt x="28614" y="100457"/>
                </a:lnTo>
                <a:lnTo>
                  <a:pt x="29296" y="100453"/>
                </a:lnTo>
                <a:lnTo>
                  <a:pt x="29977" y="100450"/>
                </a:lnTo>
                <a:lnTo>
                  <a:pt x="30658" y="100446"/>
                </a:lnTo>
                <a:lnTo>
                  <a:pt x="31340" y="100443"/>
                </a:lnTo>
                <a:lnTo>
                  <a:pt x="32021" y="100439"/>
                </a:lnTo>
                <a:lnTo>
                  <a:pt x="32702" y="100435"/>
                </a:lnTo>
                <a:lnTo>
                  <a:pt x="33383" y="100432"/>
                </a:lnTo>
                <a:lnTo>
                  <a:pt x="34065" y="100428"/>
                </a:lnTo>
                <a:lnTo>
                  <a:pt x="34746" y="100425"/>
                </a:lnTo>
                <a:lnTo>
                  <a:pt x="35427" y="100421"/>
                </a:lnTo>
                <a:lnTo>
                  <a:pt x="36109" y="100417"/>
                </a:lnTo>
                <a:lnTo>
                  <a:pt x="36790" y="100414"/>
                </a:lnTo>
                <a:lnTo>
                  <a:pt x="37471" y="100410"/>
                </a:lnTo>
                <a:lnTo>
                  <a:pt x="38153" y="100406"/>
                </a:lnTo>
                <a:lnTo>
                  <a:pt x="38834" y="100403"/>
                </a:lnTo>
                <a:lnTo>
                  <a:pt x="39515" y="100399"/>
                </a:lnTo>
                <a:lnTo>
                  <a:pt x="40197" y="100395"/>
                </a:lnTo>
                <a:lnTo>
                  <a:pt x="40878" y="100392"/>
                </a:lnTo>
                <a:lnTo>
                  <a:pt x="41559" y="100388"/>
                </a:lnTo>
                <a:lnTo>
                  <a:pt x="42240" y="100384"/>
                </a:lnTo>
                <a:lnTo>
                  <a:pt x="42922" y="100381"/>
                </a:lnTo>
                <a:lnTo>
                  <a:pt x="43603" y="100377"/>
                </a:lnTo>
                <a:lnTo>
                  <a:pt x="44284" y="100373"/>
                </a:lnTo>
                <a:lnTo>
                  <a:pt x="44966" y="100369"/>
                </a:lnTo>
                <a:lnTo>
                  <a:pt x="45647" y="100366"/>
                </a:lnTo>
                <a:lnTo>
                  <a:pt x="46328" y="100362"/>
                </a:lnTo>
                <a:lnTo>
                  <a:pt x="47010" y="100358"/>
                </a:lnTo>
                <a:lnTo>
                  <a:pt x="47691" y="100354"/>
                </a:lnTo>
                <a:lnTo>
                  <a:pt x="48372" y="100350"/>
                </a:lnTo>
                <a:lnTo>
                  <a:pt x="49053" y="100347"/>
                </a:lnTo>
                <a:lnTo>
                  <a:pt x="49735" y="100343"/>
                </a:lnTo>
                <a:lnTo>
                  <a:pt x="50416" y="100339"/>
                </a:lnTo>
                <a:lnTo>
                  <a:pt x="51097" y="100335"/>
                </a:lnTo>
                <a:lnTo>
                  <a:pt x="51779" y="100331"/>
                </a:lnTo>
                <a:lnTo>
                  <a:pt x="52460" y="100327"/>
                </a:lnTo>
                <a:lnTo>
                  <a:pt x="53141" y="100324"/>
                </a:lnTo>
                <a:lnTo>
                  <a:pt x="53823" y="100320"/>
                </a:lnTo>
                <a:lnTo>
                  <a:pt x="54504" y="100316"/>
                </a:lnTo>
                <a:lnTo>
                  <a:pt x="55185" y="100312"/>
                </a:lnTo>
                <a:lnTo>
                  <a:pt x="55867" y="100308"/>
                </a:lnTo>
                <a:lnTo>
                  <a:pt x="56548" y="100304"/>
                </a:lnTo>
                <a:lnTo>
                  <a:pt x="57229" y="100300"/>
                </a:lnTo>
                <a:lnTo>
                  <a:pt x="57910" y="100296"/>
                </a:lnTo>
                <a:lnTo>
                  <a:pt x="58592" y="100292"/>
                </a:lnTo>
                <a:lnTo>
                  <a:pt x="59273" y="100288"/>
                </a:lnTo>
                <a:lnTo>
                  <a:pt x="59954" y="100284"/>
                </a:lnTo>
                <a:lnTo>
                  <a:pt x="60636" y="100280"/>
                </a:lnTo>
                <a:lnTo>
                  <a:pt x="61317" y="100276"/>
                </a:lnTo>
                <a:lnTo>
                  <a:pt x="61998" y="100272"/>
                </a:lnTo>
                <a:lnTo>
                  <a:pt x="62680" y="100268"/>
                </a:lnTo>
                <a:lnTo>
                  <a:pt x="63361" y="100264"/>
                </a:lnTo>
                <a:lnTo>
                  <a:pt x="64042" y="100260"/>
                </a:lnTo>
                <a:lnTo>
                  <a:pt x="64724" y="100256"/>
                </a:lnTo>
                <a:lnTo>
                  <a:pt x="65405" y="100252"/>
                </a:lnTo>
                <a:lnTo>
                  <a:pt x="66086" y="100248"/>
                </a:lnTo>
                <a:lnTo>
                  <a:pt x="66767" y="100244"/>
                </a:lnTo>
                <a:lnTo>
                  <a:pt x="67449" y="100240"/>
                </a:lnTo>
                <a:lnTo>
                  <a:pt x="68130" y="100236"/>
                </a:lnTo>
                <a:lnTo>
                  <a:pt x="68811" y="100232"/>
                </a:lnTo>
                <a:lnTo>
                  <a:pt x="69493" y="100228"/>
                </a:lnTo>
                <a:lnTo>
                  <a:pt x="70174" y="100224"/>
                </a:lnTo>
                <a:lnTo>
                  <a:pt x="70855" y="100220"/>
                </a:lnTo>
                <a:lnTo>
                  <a:pt x="71537" y="100216"/>
                </a:lnTo>
                <a:lnTo>
                  <a:pt x="72218" y="100211"/>
                </a:lnTo>
                <a:lnTo>
                  <a:pt x="72899" y="100207"/>
                </a:lnTo>
                <a:lnTo>
                  <a:pt x="73580" y="100203"/>
                </a:lnTo>
                <a:lnTo>
                  <a:pt x="74262" y="100199"/>
                </a:lnTo>
                <a:lnTo>
                  <a:pt x="74943" y="100195"/>
                </a:lnTo>
                <a:lnTo>
                  <a:pt x="75624" y="100191"/>
                </a:lnTo>
                <a:lnTo>
                  <a:pt x="76306" y="100186"/>
                </a:lnTo>
                <a:lnTo>
                  <a:pt x="76987" y="100182"/>
                </a:lnTo>
                <a:lnTo>
                  <a:pt x="77668" y="100178"/>
                </a:lnTo>
                <a:lnTo>
                  <a:pt x="78350" y="100174"/>
                </a:lnTo>
                <a:lnTo>
                  <a:pt x="79031" y="100169"/>
                </a:lnTo>
                <a:lnTo>
                  <a:pt x="79712" y="100165"/>
                </a:lnTo>
                <a:lnTo>
                  <a:pt x="80394" y="100161"/>
                </a:lnTo>
                <a:lnTo>
                  <a:pt x="81075" y="100157"/>
                </a:lnTo>
                <a:lnTo>
                  <a:pt x="81756" y="100152"/>
                </a:lnTo>
                <a:lnTo>
                  <a:pt x="82437" y="100148"/>
                </a:lnTo>
                <a:lnTo>
                  <a:pt x="83119" y="100144"/>
                </a:lnTo>
                <a:lnTo>
                  <a:pt x="83800" y="100139"/>
                </a:lnTo>
                <a:lnTo>
                  <a:pt x="84481" y="100135"/>
                </a:lnTo>
                <a:lnTo>
                  <a:pt x="85163" y="100131"/>
                </a:lnTo>
                <a:lnTo>
                  <a:pt x="85844" y="100126"/>
                </a:lnTo>
                <a:lnTo>
                  <a:pt x="86525" y="100122"/>
                </a:lnTo>
                <a:lnTo>
                  <a:pt x="87207" y="100118"/>
                </a:lnTo>
                <a:lnTo>
                  <a:pt x="87888" y="100113"/>
                </a:lnTo>
                <a:lnTo>
                  <a:pt x="88569" y="100109"/>
                </a:lnTo>
                <a:lnTo>
                  <a:pt x="89251" y="100105"/>
                </a:lnTo>
                <a:lnTo>
                  <a:pt x="89932" y="100100"/>
                </a:lnTo>
                <a:lnTo>
                  <a:pt x="90613" y="100096"/>
                </a:lnTo>
                <a:lnTo>
                  <a:pt x="91294" y="100091"/>
                </a:lnTo>
                <a:lnTo>
                  <a:pt x="91976" y="100087"/>
                </a:lnTo>
                <a:lnTo>
                  <a:pt x="92657" y="100082"/>
                </a:lnTo>
                <a:lnTo>
                  <a:pt x="93338" y="100078"/>
                </a:lnTo>
                <a:lnTo>
                  <a:pt x="94020" y="100073"/>
                </a:lnTo>
                <a:lnTo>
                  <a:pt x="94701" y="100069"/>
                </a:lnTo>
                <a:lnTo>
                  <a:pt x="95382" y="100065"/>
                </a:lnTo>
                <a:lnTo>
                  <a:pt x="96064" y="100060"/>
                </a:lnTo>
                <a:lnTo>
                  <a:pt x="96745" y="100055"/>
                </a:lnTo>
                <a:lnTo>
                  <a:pt x="97426" y="100051"/>
                </a:lnTo>
                <a:lnTo>
                  <a:pt x="98107" y="100046"/>
                </a:lnTo>
                <a:lnTo>
                  <a:pt x="98789" y="100042"/>
                </a:lnTo>
                <a:lnTo>
                  <a:pt x="99470" y="100037"/>
                </a:lnTo>
                <a:lnTo>
                  <a:pt x="100151" y="100033"/>
                </a:lnTo>
                <a:lnTo>
                  <a:pt x="100833" y="100028"/>
                </a:lnTo>
                <a:lnTo>
                  <a:pt x="101514" y="100024"/>
                </a:lnTo>
                <a:lnTo>
                  <a:pt x="102195" y="100019"/>
                </a:lnTo>
                <a:lnTo>
                  <a:pt x="102877" y="100014"/>
                </a:lnTo>
                <a:lnTo>
                  <a:pt x="103558" y="100010"/>
                </a:lnTo>
                <a:lnTo>
                  <a:pt x="104239" y="100005"/>
                </a:lnTo>
                <a:lnTo>
                  <a:pt x="104921" y="100000"/>
                </a:lnTo>
                <a:lnTo>
                  <a:pt x="105602" y="99996"/>
                </a:lnTo>
                <a:lnTo>
                  <a:pt x="106283" y="99991"/>
                </a:lnTo>
                <a:lnTo>
                  <a:pt x="106964" y="99986"/>
                </a:lnTo>
                <a:lnTo>
                  <a:pt x="107646" y="99982"/>
                </a:lnTo>
                <a:lnTo>
                  <a:pt x="108327" y="99977"/>
                </a:lnTo>
                <a:lnTo>
                  <a:pt x="109008" y="99972"/>
                </a:lnTo>
                <a:lnTo>
                  <a:pt x="109690" y="99967"/>
                </a:lnTo>
                <a:lnTo>
                  <a:pt x="110371" y="99963"/>
                </a:lnTo>
                <a:lnTo>
                  <a:pt x="111052" y="99958"/>
                </a:lnTo>
                <a:lnTo>
                  <a:pt x="111734" y="99953"/>
                </a:lnTo>
                <a:lnTo>
                  <a:pt x="112415" y="99948"/>
                </a:lnTo>
                <a:lnTo>
                  <a:pt x="113096" y="99944"/>
                </a:lnTo>
                <a:lnTo>
                  <a:pt x="113777" y="99939"/>
                </a:lnTo>
                <a:lnTo>
                  <a:pt x="114459" y="99934"/>
                </a:lnTo>
                <a:lnTo>
                  <a:pt x="115140" y="99929"/>
                </a:lnTo>
                <a:lnTo>
                  <a:pt x="115821" y="99924"/>
                </a:lnTo>
                <a:lnTo>
                  <a:pt x="116503" y="99920"/>
                </a:lnTo>
                <a:lnTo>
                  <a:pt x="117184" y="99915"/>
                </a:lnTo>
                <a:lnTo>
                  <a:pt x="117865" y="99910"/>
                </a:lnTo>
                <a:lnTo>
                  <a:pt x="118547" y="99905"/>
                </a:lnTo>
                <a:lnTo>
                  <a:pt x="119228" y="99900"/>
                </a:lnTo>
                <a:lnTo>
                  <a:pt x="119909" y="99895"/>
                </a:lnTo>
                <a:lnTo>
                  <a:pt x="120591" y="99890"/>
                </a:lnTo>
                <a:lnTo>
                  <a:pt x="121272" y="99885"/>
                </a:lnTo>
                <a:lnTo>
                  <a:pt x="121953" y="99880"/>
                </a:lnTo>
                <a:lnTo>
                  <a:pt x="122634" y="99875"/>
                </a:lnTo>
                <a:lnTo>
                  <a:pt x="123316" y="99870"/>
                </a:lnTo>
                <a:lnTo>
                  <a:pt x="123997" y="99865"/>
                </a:lnTo>
                <a:lnTo>
                  <a:pt x="124678" y="99860"/>
                </a:lnTo>
                <a:lnTo>
                  <a:pt x="125360" y="99855"/>
                </a:lnTo>
                <a:lnTo>
                  <a:pt x="126041" y="99850"/>
                </a:lnTo>
                <a:lnTo>
                  <a:pt x="126722" y="99845"/>
                </a:lnTo>
                <a:lnTo>
                  <a:pt x="127404" y="99840"/>
                </a:lnTo>
                <a:lnTo>
                  <a:pt x="128085" y="99835"/>
                </a:lnTo>
                <a:lnTo>
                  <a:pt x="128766" y="99830"/>
                </a:lnTo>
                <a:lnTo>
                  <a:pt x="129448" y="99825"/>
                </a:lnTo>
                <a:lnTo>
                  <a:pt x="130129" y="99820"/>
                </a:lnTo>
                <a:lnTo>
                  <a:pt x="130810" y="99815"/>
                </a:lnTo>
                <a:lnTo>
                  <a:pt x="131491" y="99810"/>
                </a:lnTo>
                <a:lnTo>
                  <a:pt x="132173" y="99805"/>
                </a:lnTo>
                <a:lnTo>
                  <a:pt x="132854" y="99800"/>
                </a:lnTo>
                <a:lnTo>
                  <a:pt x="133535" y="99794"/>
                </a:lnTo>
                <a:lnTo>
                  <a:pt x="134217" y="99789"/>
                </a:lnTo>
                <a:lnTo>
                  <a:pt x="134898" y="99784"/>
                </a:lnTo>
                <a:lnTo>
                  <a:pt x="135579" y="99779"/>
                </a:lnTo>
                <a:lnTo>
                  <a:pt x="136261" y="99774"/>
                </a:lnTo>
                <a:lnTo>
                  <a:pt x="136942" y="99768"/>
                </a:lnTo>
                <a:lnTo>
                  <a:pt x="137623" y="99763"/>
                </a:lnTo>
                <a:lnTo>
                  <a:pt x="138304" y="99758"/>
                </a:lnTo>
                <a:lnTo>
                  <a:pt x="138986" y="99753"/>
                </a:lnTo>
                <a:lnTo>
                  <a:pt x="139667" y="99748"/>
                </a:lnTo>
                <a:lnTo>
                  <a:pt x="140348" y="99742"/>
                </a:lnTo>
                <a:lnTo>
                  <a:pt x="141030" y="99737"/>
                </a:lnTo>
                <a:lnTo>
                  <a:pt x="141711" y="99732"/>
                </a:lnTo>
                <a:lnTo>
                  <a:pt x="142392" y="99726"/>
                </a:lnTo>
                <a:lnTo>
                  <a:pt x="143074" y="99721"/>
                </a:lnTo>
                <a:lnTo>
                  <a:pt x="143755" y="99716"/>
                </a:lnTo>
                <a:lnTo>
                  <a:pt x="144436" y="99710"/>
                </a:lnTo>
                <a:lnTo>
                  <a:pt x="145118" y="99705"/>
                </a:lnTo>
                <a:lnTo>
                  <a:pt x="145799" y="99700"/>
                </a:lnTo>
                <a:lnTo>
                  <a:pt x="146480" y="99694"/>
                </a:lnTo>
                <a:lnTo>
                  <a:pt x="147161" y="99689"/>
                </a:lnTo>
                <a:lnTo>
                  <a:pt x="147843" y="99683"/>
                </a:lnTo>
                <a:lnTo>
                  <a:pt x="148524" y="99678"/>
                </a:lnTo>
                <a:lnTo>
                  <a:pt x="149205" y="99672"/>
                </a:lnTo>
                <a:lnTo>
                  <a:pt x="149887" y="99667"/>
                </a:lnTo>
                <a:lnTo>
                  <a:pt x="150568" y="99662"/>
                </a:lnTo>
                <a:lnTo>
                  <a:pt x="151249" y="99656"/>
                </a:lnTo>
                <a:lnTo>
                  <a:pt x="151931" y="99651"/>
                </a:lnTo>
                <a:lnTo>
                  <a:pt x="152612" y="99645"/>
                </a:lnTo>
                <a:lnTo>
                  <a:pt x="153293" y="99640"/>
                </a:lnTo>
                <a:lnTo>
                  <a:pt x="153975" y="99634"/>
                </a:lnTo>
                <a:lnTo>
                  <a:pt x="154656" y="99628"/>
                </a:lnTo>
                <a:lnTo>
                  <a:pt x="155337" y="99623"/>
                </a:lnTo>
                <a:lnTo>
                  <a:pt x="156018" y="99617"/>
                </a:lnTo>
                <a:lnTo>
                  <a:pt x="156700" y="99612"/>
                </a:lnTo>
                <a:lnTo>
                  <a:pt x="157381" y="99606"/>
                </a:lnTo>
                <a:lnTo>
                  <a:pt x="158062" y="99601"/>
                </a:lnTo>
                <a:lnTo>
                  <a:pt x="158744" y="99595"/>
                </a:lnTo>
                <a:lnTo>
                  <a:pt x="159425" y="99589"/>
                </a:lnTo>
                <a:lnTo>
                  <a:pt x="160106" y="99584"/>
                </a:lnTo>
                <a:lnTo>
                  <a:pt x="160788" y="99578"/>
                </a:lnTo>
                <a:lnTo>
                  <a:pt x="161469" y="99572"/>
                </a:lnTo>
                <a:lnTo>
                  <a:pt x="162150" y="99567"/>
                </a:lnTo>
                <a:lnTo>
                  <a:pt x="162831" y="99561"/>
                </a:lnTo>
                <a:lnTo>
                  <a:pt x="163513" y="99555"/>
                </a:lnTo>
                <a:lnTo>
                  <a:pt x="164194" y="99549"/>
                </a:lnTo>
                <a:lnTo>
                  <a:pt x="164875" y="99544"/>
                </a:lnTo>
                <a:lnTo>
                  <a:pt x="165557" y="99538"/>
                </a:lnTo>
                <a:lnTo>
                  <a:pt x="166238" y="99532"/>
                </a:lnTo>
                <a:lnTo>
                  <a:pt x="166919" y="99526"/>
                </a:lnTo>
                <a:lnTo>
                  <a:pt x="167601" y="99520"/>
                </a:lnTo>
                <a:lnTo>
                  <a:pt x="168282" y="99515"/>
                </a:lnTo>
                <a:lnTo>
                  <a:pt x="168963" y="99509"/>
                </a:lnTo>
                <a:lnTo>
                  <a:pt x="169645" y="99503"/>
                </a:lnTo>
                <a:lnTo>
                  <a:pt x="170326" y="99497"/>
                </a:lnTo>
                <a:lnTo>
                  <a:pt x="171007" y="99491"/>
                </a:lnTo>
                <a:lnTo>
                  <a:pt x="171688" y="99485"/>
                </a:lnTo>
                <a:lnTo>
                  <a:pt x="172370" y="99479"/>
                </a:lnTo>
                <a:lnTo>
                  <a:pt x="173051" y="99474"/>
                </a:lnTo>
                <a:lnTo>
                  <a:pt x="173732" y="99468"/>
                </a:lnTo>
                <a:lnTo>
                  <a:pt x="174414" y="99462"/>
                </a:lnTo>
                <a:lnTo>
                  <a:pt x="175095" y="99456"/>
                </a:lnTo>
                <a:lnTo>
                  <a:pt x="175776" y="99450"/>
                </a:lnTo>
                <a:lnTo>
                  <a:pt x="176458" y="99444"/>
                </a:lnTo>
                <a:lnTo>
                  <a:pt x="177139" y="99438"/>
                </a:lnTo>
                <a:lnTo>
                  <a:pt x="177820" y="99432"/>
                </a:lnTo>
                <a:lnTo>
                  <a:pt x="178502" y="99426"/>
                </a:lnTo>
                <a:lnTo>
                  <a:pt x="179183" y="99420"/>
                </a:lnTo>
                <a:lnTo>
                  <a:pt x="179864" y="99414"/>
                </a:lnTo>
                <a:lnTo>
                  <a:pt x="180545" y="99408"/>
                </a:lnTo>
                <a:lnTo>
                  <a:pt x="181227" y="99401"/>
                </a:lnTo>
                <a:lnTo>
                  <a:pt x="181908" y="99395"/>
                </a:lnTo>
                <a:lnTo>
                  <a:pt x="182589" y="99389"/>
                </a:lnTo>
                <a:lnTo>
                  <a:pt x="183271" y="99383"/>
                </a:lnTo>
                <a:lnTo>
                  <a:pt x="183952" y="99377"/>
                </a:lnTo>
                <a:lnTo>
                  <a:pt x="184633" y="99371"/>
                </a:lnTo>
                <a:lnTo>
                  <a:pt x="185315" y="99365"/>
                </a:lnTo>
                <a:lnTo>
                  <a:pt x="185996" y="99358"/>
                </a:lnTo>
                <a:lnTo>
                  <a:pt x="186677" y="99352"/>
                </a:lnTo>
                <a:lnTo>
                  <a:pt x="187358" y="99346"/>
                </a:lnTo>
                <a:lnTo>
                  <a:pt x="188040" y="99340"/>
                </a:lnTo>
                <a:lnTo>
                  <a:pt x="188721" y="99334"/>
                </a:lnTo>
                <a:lnTo>
                  <a:pt x="189402" y="99327"/>
                </a:lnTo>
                <a:lnTo>
                  <a:pt x="190084" y="99321"/>
                </a:lnTo>
                <a:lnTo>
                  <a:pt x="190765" y="99315"/>
                </a:lnTo>
                <a:lnTo>
                  <a:pt x="191446" y="99308"/>
                </a:lnTo>
                <a:lnTo>
                  <a:pt x="192128" y="99302"/>
                </a:lnTo>
                <a:lnTo>
                  <a:pt x="192809" y="99296"/>
                </a:lnTo>
                <a:lnTo>
                  <a:pt x="193490" y="99289"/>
                </a:lnTo>
                <a:lnTo>
                  <a:pt x="194172" y="99283"/>
                </a:lnTo>
                <a:lnTo>
                  <a:pt x="194853" y="99277"/>
                </a:lnTo>
                <a:lnTo>
                  <a:pt x="195534" y="99270"/>
                </a:lnTo>
                <a:lnTo>
                  <a:pt x="196215" y="99264"/>
                </a:lnTo>
                <a:lnTo>
                  <a:pt x="196897" y="99257"/>
                </a:lnTo>
                <a:lnTo>
                  <a:pt x="197578" y="99251"/>
                </a:lnTo>
                <a:lnTo>
                  <a:pt x="198259" y="99244"/>
                </a:lnTo>
                <a:lnTo>
                  <a:pt x="198941" y="99238"/>
                </a:lnTo>
                <a:lnTo>
                  <a:pt x="199622" y="99231"/>
                </a:lnTo>
                <a:lnTo>
                  <a:pt x="200303" y="99225"/>
                </a:lnTo>
                <a:lnTo>
                  <a:pt x="200985" y="99218"/>
                </a:lnTo>
                <a:lnTo>
                  <a:pt x="201666" y="99212"/>
                </a:lnTo>
                <a:lnTo>
                  <a:pt x="202347" y="99205"/>
                </a:lnTo>
                <a:lnTo>
                  <a:pt x="203028" y="99199"/>
                </a:lnTo>
                <a:lnTo>
                  <a:pt x="203710" y="99192"/>
                </a:lnTo>
                <a:lnTo>
                  <a:pt x="204391" y="99186"/>
                </a:lnTo>
                <a:lnTo>
                  <a:pt x="205072" y="99179"/>
                </a:lnTo>
                <a:lnTo>
                  <a:pt x="205754" y="99172"/>
                </a:lnTo>
                <a:lnTo>
                  <a:pt x="206435" y="99166"/>
                </a:lnTo>
                <a:lnTo>
                  <a:pt x="207116" y="99159"/>
                </a:lnTo>
                <a:lnTo>
                  <a:pt x="207798" y="99152"/>
                </a:lnTo>
                <a:lnTo>
                  <a:pt x="208479" y="99146"/>
                </a:lnTo>
                <a:lnTo>
                  <a:pt x="209160" y="99139"/>
                </a:lnTo>
                <a:lnTo>
                  <a:pt x="209842" y="99132"/>
                </a:lnTo>
                <a:lnTo>
                  <a:pt x="210523" y="99126"/>
                </a:lnTo>
                <a:lnTo>
                  <a:pt x="211204" y="99119"/>
                </a:lnTo>
                <a:lnTo>
                  <a:pt x="211885" y="99112"/>
                </a:lnTo>
                <a:lnTo>
                  <a:pt x="212567" y="99105"/>
                </a:lnTo>
                <a:lnTo>
                  <a:pt x="213248" y="99098"/>
                </a:lnTo>
                <a:lnTo>
                  <a:pt x="213929" y="99092"/>
                </a:lnTo>
                <a:lnTo>
                  <a:pt x="214611" y="99085"/>
                </a:lnTo>
                <a:lnTo>
                  <a:pt x="215292" y="99078"/>
                </a:lnTo>
                <a:lnTo>
                  <a:pt x="215973" y="99071"/>
                </a:lnTo>
                <a:lnTo>
                  <a:pt x="216655" y="99064"/>
                </a:lnTo>
                <a:lnTo>
                  <a:pt x="217336" y="99057"/>
                </a:lnTo>
                <a:lnTo>
                  <a:pt x="218017" y="99050"/>
                </a:lnTo>
                <a:lnTo>
                  <a:pt x="218699" y="99043"/>
                </a:lnTo>
                <a:lnTo>
                  <a:pt x="219380" y="99036"/>
                </a:lnTo>
                <a:lnTo>
                  <a:pt x="220061" y="99029"/>
                </a:lnTo>
                <a:lnTo>
                  <a:pt x="220742" y="99022"/>
                </a:lnTo>
                <a:lnTo>
                  <a:pt x="221424" y="99015"/>
                </a:lnTo>
                <a:lnTo>
                  <a:pt x="222105" y="99008"/>
                </a:lnTo>
                <a:lnTo>
                  <a:pt x="222786" y="99001"/>
                </a:lnTo>
                <a:lnTo>
                  <a:pt x="223468" y="98994"/>
                </a:lnTo>
                <a:lnTo>
                  <a:pt x="224149" y="98987"/>
                </a:lnTo>
                <a:lnTo>
                  <a:pt x="224830" y="98980"/>
                </a:lnTo>
                <a:lnTo>
                  <a:pt x="225512" y="98973"/>
                </a:lnTo>
                <a:lnTo>
                  <a:pt x="226193" y="98966"/>
                </a:lnTo>
                <a:lnTo>
                  <a:pt x="226874" y="98959"/>
                </a:lnTo>
                <a:lnTo>
                  <a:pt x="227555" y="98952"/>
                </a:lnTo>
                <a:lnTo>
                  <a:pt x="228237" y="98945"/>
                </a:lnTo>
                <a:lnTo>
                  <a:pt x="228918" y="98937"/>
                </a:lnTo>
                <a:lnTo>
                  <a:pt x="229599" y="98930"/>
                </a:lnTo>
                <a:lnTo>
                  <a:pt x="230281" y="98923"/>
                </a:lnTo>
                <a:lnTo>
                  <a:pt x="230962" y="98916"/>
                </a:lnTo>
                <a:lnTo>
                  <a:pt x="231643" y="98909"/>
                </a:lnTo>
                <a:lnTo>
                  <a:pt x="232325" y="98901"/>
                </a:lnTo>
                <a:lnTo>
                  <a:pt x="233006" y="98894"/>
                </a:lnTo>
                <a:lnTo>
                  <a:pt x="233687" y="98887"/>
                </a:lnTo>
                <a:lnTo>
                  <a:pt x="234369" y="98879"/>
                </a:lnTo>
                <a:lnTo>
                  <a:pt x="235050" y="98872"/>
                </a:lnTo>
                <a:lnTo>
                  <a:pt x="235731" y="98865"/>
                </a:lnTo>
                <a:lnTo>
                  <a:pt x="236412" y="98857"/>
                </a:lnTo>
                <a:lnTo>
                  <a:pt x="237094" y="98850"/>
                </a:lnTo>
                <a:lnTo>
                  <a:pt x="237775" y="98843"/>
                </a:lnTo>
                <a:lnTo>
                  <a:pt x="238456" y="98835"/>
                </a:lnTo>
                <a:lnTo>
                  <a:pt x="239138" y="98828"/>
                </a:lnTo>
                <a:lnTo>
                  <a:pt x="239819" y="98820"/>
                </a:lnTo>
                <a:lnTo>
                  <a:pt x="240500" y="98813"/>
                </a:lnTo>
                <a:lnTo>
                  <a:pt x="241182" y="98805"/>
                </a:lnTo>
                <a:lnTo>
                  <a:pt x="241863" y="98798"/>
                </a:lnTo>
                <a:lnTo>
                  <a:pt x="242544" y="98790"/>
                </a:lnTo>
                <a:lnTo>
                  <a:pt x="243226" y="98783"/>
                </a:lnTo>
                <a:lnTo>
                  <a:pt x="243907" y="98775"/>
                </a:lnTo>
                <a:lnTo>
                  <a:pt x="244588" y="98768"/>
                </a:lnTo>
                <a:lnTo>
                  <a:pt x="245269" y="98760"/>
                </a:lnTo>
                <a:lnTo>
                  <a:pt x="245951" y="98752"/>
                </a:lnTo>
                <a:lnTo>
                  <a:pt x="246632" y="98745"/>
                </a:lnTo>
                <a:lnTo>
                  <a:pt x="247313" y="98737"/>
                </a:lnTo>
                <a:lnTo>
                  <a:pt x="247995" y="98729"/>
                </a:lnTo>
                <a:lnTo>
                  <a:pt x="248676" y="98722"/>
                </a:lnTo>
                <a:lnTo>
                  <a:pt x="249357" y="98714"/>
                </a:lnTo>
                <a:lnTo>
                  <a:pt x="250039" y="98706"/>
                </a:lnTo>
                <a:lnTo>
                  <a:pt x="250720" y="98699"/>
                </a:lnTo>
                <a:lnTo>
                  <a:pt x="251401" y="98691"/>
                </a:lnTo>
                <a:lnTo>
                  <a:pt x="252082" y="98683"/>
                </a:lnTo>
                <a:lnTo>
                  <a:pt x="252764" y="98675"/>
                </a:lnTo>
                <a:lnTo>
                  <a:pt x="253445" y="98667"/>
                </a:lnTo>
                <a:lnTo>
                  <a:pt x="254126" y="98660"/>
                </a:lnTo>
                <a:lnTo>
                  <a:pt x="254808" y="98652"/>
                </a:lnTo>
                <a:lnTo>
                  <a:pt x="255489" y="98644"/>
                </a:lnTo>
                <a:lnTo>
                  <a:pt x="256170" y="98636"/>
                </a:lnTo>
                <a:lnTo>
                  <a:pt x="256852" y="98628"/>
                </a:lnTo>
                <a:lnTo>
                  <a:pt x="257533" y="98620"/>
                </a:lnTo>
                <a:lnTo>
                  <a:pt x="258214" y="98612"/>
                </a:lnTo>
                <a:lnTo>
                  <a:pt x="258896" y="98604"/>
                </a:lnTo>
                <a:lnTo>
                  <a:pt x="259577" y="98596"/>
                </a:lnTo>
                <a:lnTo>
                  <a:pt x="260258" y="98588"/>
                </a:lnTo>
                <a:lnTo>
                  <a:pt x="260939" y="98580"/>
                </a:lnTo>
                <a:lnTo>
                  <a:pt x="261621" y="98572"/>
                </a:lnTo>
                <a:lnTo>
                  <a:pt x="262302" y="98564"/>
                </a:lnTo>
                <a:lnTo>
                  <a:pt x="262983" y="98556"/>
                </a:lnTo>
                <a:lnTo>
                  <a:pt x="263665" y="98548"/>
                </a:lnTo>
                <a:lnTo>
                  <a:pt x="264346" y="98540"/>
                </a:lnTo>
                <a:lnTo>
                  <a:pt x="265027" y="98532"/>
                </a:lnTo>
                <a:lnTo>
                  <a:pt x="265709" y="98524"/>
                </a:lnTo>
                <a:lnTo>
                  <a:pt x="266390" y="98516"/>
                </a:lnTo>
                <a:lnTo>
                  <a:pt x="267071" y="98507"/>
                </a:lnTo>
                <a:lnTo>
                  <a:pt x="267753" y="98499"/>
                </a:lnTo>
                <a:lnTo>
                  <a:pt x="268434" y="98491"/>
                </a:lnTo>
                <a:lnTo>
                  <a:pt x="269115" y="98483"/>
                </a:lnTo>
                <a:lnTo>
                  <a:pt x="269796" y="98474"/>
                </a:lnTo>
                <a:lnTo>
                  <a:pt x="270478" y="98466"/>
                </a:lnTo>
                <a:lnTo>
                  <a:pt x="271159" y="98458"/>
                </a:lnTo>
                <a:lnTo>
                  <a:pt x="271840" y="98450"/>
                </a:lnTo>
                <a:lnTo>
                  <a:pt x="272522" y="98441"/>
                </a:lnTo>
                <a:lnTo>
                  <a:pt x="273203" y="98433"/>
                </a:lnTo>
                <a:lnTo>
                  <a:pt x="273884" y="98424"/>
                </a:lnTo>
                <a:lnTo>
                  <a:pt x="274566" y="98416"/>
                </a:lnTo>
                <a:lnTo>
                  <a:pt x="275247" y="98408"/>
                </a:lnTo>
                <a:lnTo>
                  <a:pt x="275928" y="98399"/>
                </a:lnTo>
                <a:lnTo>
                  <a:pt x="276609" y="98391"/>
                </a:lnTo>
                <a:lnTo>
                  <a:pt x="277291" y="98382"/>
                </a:lnTo>
                <a:lnTo>
                  <a:pt x="277972" y="98374"/>
                </a:lnTo>
                <a:lnTo>
                  <a:pt x="278653" y="98365"/>
                </a:lnTo>
                <a:lnTo>
                  <a:pt x="279335" y="98357"/>
                </a:lnTo>
                <a:lnTo>
                  <a:pt x="280016" y="98348"/>
                </a:lnTo>
                <a:lnTo>
                  <a:pt x="280697" y="98340"/>
                </a:lnTo>
                <a:lnTo>
                  <a:pt x="281379" y="98331"/>
                </a:lnTo>
                <a:lnTo>
                  <a:pt x="282060" y="98322"/>
                </a:lnTo>
                <a:lnTo>
                  <a:pt x="282741" y="98314"/>
                </a:lnTo>
                <a:lnTo>
                  <a:pt x="283423" y="98305"/>
                </a:lnTo>
                <a:lnTo>
                  <a:pt x="284104" y="98297"/>
                </a:lnTo>
                <a:lnTo>
                  <a:pt x="284785" y="98288"/>
                </a:lnTo>
                <a:lnTo>
                  <a:pt x="285466" y="98279"/>
                </a:lnTo>
                <a:lnTo>
                  <a:pt x="286148" y="98270"/>
                </a:lnTo>
                <a:lnTo>
                  <a:pt x="286829" y="98262"/>
                </a:lnTo>
                <a:lnTo>
                  <a:pt x="287510" y="98253"/>
                </a:lnTo>
                <a:lnTo>
                  <a:pt x="288192" y="98244"/>
                </a:lnTo>
                <a:lnTo>
                  <a:pt x="288873" y="98235"/>
                </a:lnTo>
                <a:lnTo>
                  <a:pt x="289554" y="98226"/>
                </a:lnTo>
                <a:lnTo>
                  <a:pt x="290236" y="98218"/>
                </a:lnTo>
                <a:lnTo>
                  <a:pt x="290917" y="98209"/>
                </a:lnTo>
                <a:lnTo>
                  <a:pt x="291598" y="98200"/>
                </a:lnTo>
                <a:lnTo>
                  <a:pt x="292279" y="98191"/>
                </a:lnTo>
                <a:lnTo>
                  <a:pt x="292961" y="98182"/>
                </a:lnTo>
                <a:lnTo>
                  <a:pt x="293642" y="98173"/>
                </a:lnTo>
                <a:lnTo>
                  <a:pt x="294323" y="98164"/>
                </a:lnTo>
                <a:lnTo>
                  <a:pt x="295005" y="98155"/>
                </a:lnTo>
                <a:lnTo>
                  <a:pt x="295686" y="98146"/>
                </a:lnTo>
                <a:lnTo>
                  <a:pt x="296367" y="98137"/>
                </a:lnTo>
                <a:lnTo>
                  <a:pt x="297049" y="98128"/>
                </a:lnTo>
                <a:lnTo>
                  <a:pt x="297730" y="98119"/>
                </a:lnTo>
                <a:lnTo>
                  <a:pt x="298411" y="98110"/>
                </a:lnTo>
                <a:lnTo>
                  <a:pt x="299093" y="98101"/>
                </a:lnTo>
                <a:lnTo>
                  <a:pt x="299774" y="98092"/>
                </a:lnTo>
                <a:lnTo>
                  <a:pt x="300455" y="98082"/>
                </a:lnTo>
                <a:lnTo>
                  <a:pt x="301136" y="98073"/>
                </a:lnTo>
                <a:lnTo>
                  <a:pt x="301818" y="98064"/>
                </a:lnTo>
                <a:lnTo>
                  <a:pt x="302499" y="98055"/>
                </a:lnTo>
                <a:lnTo>
                  <a:pt x="303180" y="98046"/>
                </a:lnTo>
                <a:lnTo>
                  <a:pt x="303862" y="98036"/>
                </a:lnTo>
                <a:lnTo>
                  <a:pt x="304543" y="98027"/>
                </a:lnTo>
                <a:lnTo>
                  <a:pt x="305224" y="98018"/>
                </a:lnTo>
                <a:lnTo>
                  <a:pt x="305906" y="98008"/>
                </a:lnTo>
                <a:lnTo>
                  <a:pt x="306587" y="97999"/>
                </a:lnTo>
                <a:lnTo>
                  <a:pt x="307268" y="97990"/>
                </a:lnTo>
                <a:lnTo>
                  <a:pt x="307950" y="97980"/>
                </a:lnTo>
                <a:lnTo>
                  <a:pt x="308631" y="97971"/>
                </a:lnTo>
                <a:lnTo>
                  <a:pt x="309312" y="97961"/>
                </a:lnTo>
                <a:lnTo>
                  <a:pt x="309993" y="97952"/>
                </a:lnTo>
                <a:lnTo>
                  <a:pt x="310675" y="97943"/>
                </a:lnTo>
                <a:lnTo>
                  <a:pt x="311356" y="97933"/>
                </a:lnTo>
                <a:lnTo>
                  <a:pt x="312037" y="97924"/>
                </a:lnTo>
                <a:lnTo>
                  <a:pt x="312719" y="97914"/>
                </a:lnTo>
                <a:lnTo>
                  <a:pt x="313400" y="97904"/>
                </a:lnTo>
                <a:lnTo>
                  <a:pt x="314081" y="97895"/>
                </a:lnTo>
                <a:lnTo>
                  <a:pt x="314763" y="97885"/>
                </a:lnTo>
                <a:lnTo>
                  <a:pt x="315444" y="97876"/>
                </a:lnTo>
                <a:lnTo>
                  <a:pt x="316125" y="97866"/>
                </a:lnTo>
                <a:lnTo>
                  <a:pt x="316806" y="97856"/>
                </a:lnTo>
                <a:lnTo>
                  <a:pt x="317488" y="97847"/>
                </a:lnTo>
                <a:lnTo>
                  <a:pt x="318169" y="97837"/>
                </a:lnTo>
                <a:lnTo>
                  <a:pt x="318850" y="97827"/>
                </a:lnTo>
                <a:lnTo>
                  <a:pt x="319532" y="97817"/>
                </a:lnTo>
                <a:lnTo>
                  <a:pt x="320213" y="97808"/>
                </a:lnTo>
                <a:lnTo>
                  <a:pt x="320894" y="97798"/>
                </a:lnTo>
                <a:lnTo>
                  <a:pt x="321576" y="97788"/>
                </a:lnTo>
                <a:lnTo>
                  <a:pt x="322257" y="97778"/>
                </a:lnTo>
                <a:lnTo>
                  <a:pt x="322938" y="97768"/>
                </a:lnTo>
                <a:lnTo>
                  <a:pt x="323620" y="97758"/>
                </a:lnTo>
                <a:lnTo>
                  <a:pt x="324301" y="97748"/>
                </a:lnTo>
                <a:lnTo>
                  <a:pt x="324982" y="97738"/>
                </a:lnTo>
                <a:lnTo>
                  <a:pt x="325663" y="97728"/>
                </a:lnTo>
                <a:lnTo>
                  <a:pt x="326345" y="97718"/>
                </a:lnTo>
                <a:lnTo>
                  <a:pt x="327026" y="97708"/>
                </a:lnTo>
                <a:lnTo>
                  <a:pt x="327707" y="97698"/>
                </a:lnTo>
                <a:lnTo>
                  <a:pt x="328389" y="97688"/>
                </a:lnTo>
                <a:lnTo>
                  <a:pt x="329070" y="97678"/>
                </a:lnTo>
                <a:lnTo>
                  <a:pt x="329751" y="97668"/>
                </a:lnTo>
                <a:lnTo>
                  <a:pt x="330433" y="97658"/>
                </a:lnTo>
                <a:lnTo>
                  <a:pt x="331114" y="97648"/>
                </a:lnTo>
                <a:lnTo>
                  <a:pt x="331795" y="97638"/>
                </a:lnTo>
                <a:lnTo>
                  <a:pt x="332477" y="97628"/>
                </a:lnTo>
                <a:lnTo>
                  <a:pt x="333158" y="97617"/>
                </a:lnTo>
                <a:lnTo>
                  <a:pt x="333839" y="97607"/>
                </a:lnTo>
                <a:lnTo>
                  <a:pt x="334520" y="97597"/>
                </a:lnTo>
                <a:lnTo>
                  <a:pt x="335202" y="97587"/>
                </a:lnTo>
                <a:lnTo>
                  <a:pt x="335883" y="97576"/>
                </a:lnTo>
                <a:lnTo>
                  <a:pt x="336564" y="97566"/>
                </a:lnTo>
                <a:lnTo>
                  <a:pt x="337246" y="97556"/>
                </a:lnTo>
                <a:lnTo>
                  <a:pt x="337927" y="97545"/>
                </a:lnTo>
                <a:lnTo>
                  <a:pt x="338608" y="97535"/>
                </a:lnTo>
                <a:lnTo>
                  <a:pt x="339290" y="97524"/>
                </a:lnTo>
                <a:lnTo>
                  <a:pt x="339971" y="97514"/>
                </a:lnTo>
                <a:lnTo>
                  <a:pt x="340652" y="97503"/>
                </a:lnTo>
                <a:lnTo>
                  <a:pt x="341333" y="97493"/>
                </a:lnTo>
                <a:lnTo>
                  <a:pt x="342015" y="97482"/>
                </a:lnTo>
                <a:lnTo>
                  <a:pt x="342696" y="97472"/>
                </a:lnTo>
                <a:lnTo>
                  <a:pt x="343377" y="97461"/>
                </a:lnTo>
                <a:lnTo>
                  <a:pt x="344059" y="97451"/>
                </a:lnTo>
                <a:lnTo>
                  <a:pt x="344740" y="97440"/>
                </a:lnTo>
                <a:lnTo>
                  <a:pt x="345421" y="97429"/>
                </a:lnTo>
                <a:lnTo>
                  <a:pt x="346103" y="97419"/>
                </a:lnTo>
                <a:lnTo>
                  <a:pt x="346784" y="97408"/>
                </a:lnTo>
                <a:lnTo>
                  <a:pt x="347465" y="97397"/>
                </a:lnTo>
                <a:lnTo>
                  <a:pt x="348147" y="97387"/>
                </a:lnTo>
                <a:lnTo>
                  <a:pt x="348828" y="97376"/>
                </a:lnTo>
                <a:lnTo>
                  <a:pt x="349509" y="97365"/>
                </a:lnTo>
                <a:lnTo>
                  <a:pt x="350190" y="97354"/>
                </a:lnTo>
                <a:lnTo>
                  <a:pt x="350872" y="97343"/>
                </a:lnTo>
                <a:lnTo>
                  <a:pt x="351553" y="97333"/>
                </a:lnTo>
                <a:lnTo>
                  <a:pt x="352234" y="97322"/>
                </a:lnTo>
                <a:lnTo>
                  <a:pt x="352916" y="97311"/>
                </a:lnTo>
                <a:lnTo>
                  <a:pt x="353597" y="97300"/>
                </a:lnTo>
                <a:lnTo>
                  <a:pt x="354278" y="97289"/>
                </a:lnTo>
                <a:lnTo>
                  <a:pt x="354960" y="97278"/>
                </a:lnTo>
                <a:lnTo>
                  <a:pt x="355641" y="97267"/>
                </a:lnTo>
                <a:lnTo>
                  <a:pt x="356322" y="97256"/>
                </a:lnTo>
                <a:lnTo>
                  <a:pt x="357004" y="97245"/>
                </a:lnTo>
                <a:lnTo>
                  <a:pt x="357685" y="97234"/>
                </a:lnTo>
                <a:lnTo>
                  <a:pt x="358366" y="97223"/>
                </a:lnTo>
                <a:lnTo>
                  <a:pt x="359047" y="97211"/>
                </a:lnTo>
                <a:lnTo>
                  <a:pt x="359729" y="97200"/>
                </a:lnTo>
                <a:lnTo>
                  <a:pt x="360410" y="97189"/>
                </a:lnTo>
                <a:lnTo>
                  <a:pt x="361091" y="97178"/>
                </a:lnTo>
                <a:lnTo>
                  <a:pt x="361773" y="97167"/>
                </a:lnTo>
                <a:lnTo>
                  <a:pt x="362454" y="97155"/>
                </a:lnTo>
                <a:lnTo>
                  <a:pt x="363135" y="97144"/>
                </a:lnTo>
                <a:lnTo>
                  <a:pt x="363817" y="97133"/>
                </a:lnTo>
                <a:lnTo>
                  <a:pt x="364498" y="97121"/>
                </a:lnTo>
                <a:lnTo>
                  <a:pt x="365179" y="97110"/>
                </a:lnTo>
                <a:lnTo>
                  <a:pt x="365860" y="97099"/>
                </a:lnTo>
                <a:lnTo>
                  <a:pt x="366542" y="97087"/>
                </a:lnTo>
                <a:lnTo>
                  <a:pt x="367223" y="97076"/>
                </a:lnTo>
                <a:lnTo>
                  <a:pt x="367904" y="97064"/>
                </a:lnTo>
                <a:lnTo>
                  <a:pt x="368586" y="97053"/>
                </a:lnTo>
                <a:lnTo>
                  <a:pt x="369267" y="97041"/>
                </a:lnTo>
                <a:lnTo>
                  <a:pt x="369948" y="97030"/>
                </a:lnTo>
                <a:lnTo>
                  <a:pt x="370630" y="97018"/>
                </a:lnTo>
                <a:lnTo>
                  <a:pt x="371311" y="97007"/>
                </a:lnTo>
                <a:lnTo>
                  <a:pt x="371992" y="96995"/>
                </a:lnTo>
                <a:lnTo>
                  <a:pt x="372674" y="96983"/>
                </a:lnTo>
                <a:lnTo>
                  <a:pt x="373355" y="96972"/>
                </a:lnTo>
                <a:lnTo>
                  <a:pt x="374036" y="96960"/>
                </a:lnTo>
                <a:lnTo>
                  <a:pt x="374717" y="96948"/>
                </a:lnTo>
                <a:lnTo>
                  <a:pt x="375399" y="96937"/>
                </a:lnTo>
                <a:lnTo>
                  <a:pt x="376080" y="96925"/>
                </a:lnTo>
                <a:lnTo>
                  <a:pt x="376761" y="96913"/>
                </a:lnTo>
                <a:lnTo>
                  <a:pt x="377443" y="96901"/>
                </a:lnTo>
                <a:lnTo>
                  <a:pt x="378124" y="96889"/>
                </a:lnTo>
                <a:lnTo>
                  <a:pt x="378805" y="96877"/>
                </a:lnTo>
                <a:lnTo>
                  <a:pt x="379487" y="96866"/>
                </a:lnTo>
                <a:lnTo>
                  <a:pt x="380168" y="96854"/>
                </a:lnTo>
                <a:lnTo>
                  <a:pt x="380849" y="96842"/>
                </a:lnTo>
                <a:lnTo>
                  <a:pt x="381530" y="96830"/>
                </a:lnTo>
                <a:lnTo>
                  <a:pt x="382212" y="96818"/>
                </a:lnTo>
                <a:lnTo>
                  <a:pt x="382893" y="96806"/>
                </a:lnTo>
                <a:lnTo>
                  <a:pt x="383574" y="96794"/>
                </a:lnTo>
                <a:lnTo>
                  <a:pt x="384256" y="96781"/>
                </a:lnTo>
                <a:lnTo>
                  <a:pt x="384937" y="96769"/>
                </a:lnTo>
                <a:lnTo>
                  <a:pt x="385618" y="96757"/>
                </a:lnTo>
                <a:lnTo>
                  <a:pt x="386300" y="96745"/>
                </a:lnTo>
                <a:lnTo>
                  <a:pt x="386981" y="96733"/>
                </a:lnTo>
                <a:lnTo>
                  <a:pt x="387662" y="96721"/>
                </a:lnTo>
                <a:lnTo>
                  <a:pt x="388344" y="96708"/>
                </a:lnTo>
                <a:lnTo>
                  <a:pt x="389025" y="96696"/>
                </a:lnTo>
                <a:lnTo>
                  <a:pt x="389706" y="96684"/>
                </a:lnTo>
                <a:lnTo>
                  <a:pt x="390387" y="96671"/>
                </a:lnTo>
                <a:lnTo>
                  <a:pt x="391069" y="96659"/>
                </a:lnTo>
                <a:lnTo>
                  <a:pt x="391750" y="96647"/>
                </a:lnTo>
                <a:lnTo>
                  <a:pt x="392431" y="96634"/>
                </a:lnTo>
                <a:lnTo>
                  <a:pt x="393113" y="96622"/>
                </a:lnTo>
                <a:lnTo>
                  <a:pt x="393794" y="96609"/>
                </a:lnTo>
                <a:lnTo>
                  <a:pt x="394475" y="96597"/>
                </a:lnTo>
                <a:lnTo>
                  <a:pt x="395157" y="96584"/>
                </a:lnTo>
                <a:lnTo>
                  <a:pt x="395838" y="96572"/>
                </a:lnTo>
                <a:lnTo>
                  <a:pt x="396519" y="96559"/>
                </a:lnTo>
                <a:lnTo>
                  <a:pt x="397201" y="96546"/>
                </a:lnTo>
                <a:lnTo>
                  <a:pt x="397882" y="96534"/>
                </a:lnTo>
                <a:lnTo>
                  <a:pt x="398563" y="96521"/>
                </a:lnTo>
                <a:lnTo>
                  <a:pt x="399244" y="96508"/>
                </a:lnTo>
                <a:lnTo>
                  <a:pt x="399926" y="96496"/>
                </a:lnTo>
                <a:lnTo>
                  <a:pt x="400607" y="96483"/>
                </a:lnTo>
                <a:lnTo>
                  <a:pt x="401288" y="96470"/>
                </a:lnTo>
                <a:lnTo>
                  <a:pt x="401970" y="96457"/>
                </a:lnTo>
                <a:lnTo>
                  <a:pt x="402651" y="96445"/>
                </a:lnTo>
                <a:lnTo>
                  <a:pt x="403332" y="96432"/>
                </a:lnTo>
                <a:lnTo>
                  <a:pt x="404014" y="96419"/>
                </a:lnTo>
                <a:lnTo>
                  <a:pt x="404695" y="96406"/>
                </a:lnTo>
                <a:lnTo>
                  <a:pt x="405376" y="96393"/>
                </a:lnTo>
                <a:lnTo>
                  <a:pt x="406057" y="96380"/>
                </a:lnTo>
                <a:lnTo>
                  <a:pt x="406739" y="96367"/>
                </a:lnTo>
                <a:lnTo>
                  <a:pt x="407420" y="96354"/>
                </a:lnTo>
                <a:lnTo>
                  <a:pt x="408101" y="96341"/>
                </a:lnTo>
                <a:lnTo>
                  <a:pt x="408783" y="96328"/>
                </a:lnTo>
                <a:lnTo>
                  <a:pt x="409464" y="96314"/>
                </a:lnTo>
                <a:lnTo>
                  <a:pt x="410145" y="96301"/>
                </a:lnTo>
                <a:lnTo>
                  <a:pt x="410827" y="96288"/>
                </a:lnTo>
                <a:lnTo>
                  <a:pt x="411508" y="96275"/>
                </a:lnTo>
                <a:lnTo>
                  <a:pt x="412189" y="96262"/>
                </a:lnTo>
                <a:lnTo>
                  <a:pt x="412871" y="96248"/>
                </a:lnTo>
                <a:lnTo>
                  <a:pt x="413552" y="96235"/>
                </a:lnTo>
                <a:lnTo>
                  <a:pt x="414233" y="96222"/>
                </a:lnTo>
                <a:lnTo>
                  <a:pt x="414914" y="96208"/>
                </a:lnTo>
                <a:lnTo>
                  <a:pt x="415596" y="96195"/>
                </a:lnTo>
                <a:lnTo>
                  <a:pt x="416277" y="96182"/>
                </a:lnTo>
                <a:lnTo>
                  <a:pt x="416958" y="96168"/>
                </a:lnTo>
                <a:lnTo>
                  <a:pt x="417640" y="96155"/>
                </a:lnTo>
                <a:lnTo>
                  <a:pt x="418321" y="96141"/>
                </a:lnTo>
                <a:lnTo>
                  <a:pt x="419002" y="96128"/>
                </a:lnTo>
                <a:lnTo>
                  <a:pt x="419684" y="96114"/>
                </a:lnTo>
                <a:lnTo>
                  <a:pt x="420365" y="96100"/>
                </a:lnTo>
                <a:lnTo>
                  <a:pt x="421046" y="96087"/>
                </a:lnTo>
                <a:lnTo>
                  <a:pt x="421728" y="96073"/>
                </a:lnTo>
                <a:lnTo>
                  <a:pt x="422409" y="96059"/>
                </a:lnTo>
                <a:lnTo>
                  <a:pt x="423090" y="96046"/>
                </a:lnTo>
                <a:lnTo>
                  <a:pt x="423771" y="96032"/>
                </a:lnTo>
                <a:lnTo>
                  <a:pt x="424453" y="96018"/>
                </a:lnTo>
                <a:lnTo>
                  <a:pt x="425134" y="96004"/>
                </a:lnTo>
                <a:lnTo>
                  <a:pt x="425815" y="95990"/>
                </a:lnTo>
                <a:lnTo>
                  <a:pt x="426497" y="95977"/>
                </a:lnTo>
                <a:lnTo>
                  <a:pt x="427178" y="95963"/>
                </a:lnTo>
                <a:lnTo>
                  <a:pt x="427859" y="95949"/>
                </a:lnTo>
                <a:lnTo>
                  <a:pt x="428541" y="95935"/>
                </a:lnTo>
                <a:lnTo>
                  <a:pt x="429222" y="95921"/>
                </a:lnTo>
                <a:lnTo>
                  <a:pt x="429903" y="95907"/>
                </a:lnTo>
                <a:lnTo>
                  <a:pt x="430584" y="95893"/>
                </a:lnTo>
                <a:lnTo>
                  <a:pt x="431266" y="95879"/>
                </a:lnTo>
                <a:lnTo>
                  <a:pt x="431947" y="95864"/>
                </a:lnTo>
                <a:lnTo>
                  <a:pt x="432628" y="95850"/>
                </a:lnTo>
                <a:lnTo>
                  <a:pt x="433310" y="95836"/>
                </a:lnTo>
                <a:lnTo>
                  <a:pt x="433991" y="95822"/>
                </a:lnTo>
                <a:lnTo>
                  <a:pt x="434672" y="95808"/>
                </a:lnTo>
                <a:lnTo>
                  <a:pt x="435354" y="95793"/>
                </a:lnTo>
                <a:lnTo>
                  <a:pt x="436035" y="95779"/>
                </a:lnTo>
                <a:lnTo>
                  <a:pt x="436716" y="95765"/>
                </a:lnTo>
                <a:lnTo>
                  <a:pt x="437398" y="95750"/>
                </a:lnTo>
                <a:lnTo>
                  <a:pt x="438079" y="95736"/>
                </a:lnTo>
                <a:lnTo>
                  <a:pt x="438760" y="95721"/>
                </a:lnTo>
                <a:lnTo>
                  <a:pt x="439441" y="95707"/>
                </a:lnTo>
                <a:lnTo>
                  <a:pt x="440123" y="95693"/>
                </a:lnTo>
                <a:lnTo>
                  <a:pt x="440804" y="95678"/>
                </a:lnTo>
                <a:lnTo>
                  <a:pt x="441485" y="95663"/>
                </a:lnTo>
                <a:lnTo>
                  <a:pt x="442167" y="95649"/>
                </a:lnTo>
                <a:lnTo>
                  <a:pt x="442848" y="95634"/>
                </a:lnTo>
                <a:lnTo>
                  <a:pt x="443529" y="95620"/>
                </a:lnTo>
                <a:lnTo>
                  <a:pt x="444211" y="95605"/>
                </a:lnTo>
                <a:lnTo>
                  <a:pt x="444892" y="95590"/>
                </a:lnTo>
                <a:lnTo>
                  <a:pt x="445573" y="95575"/>
                </a:lnTo>
                <a:lnTo>
                  <a:pt x="446255" y="95561"/>
                </a:lnTo>
                <a:lnTo>
                  <a:pt x="446936" y="95546"/>
                </a:lnTo>
                <a:lnTo>
                  <a:pt x="447617" y="95531"/>
                </a:lnTo>
                <a:lnTo>
                  <a:pt x="448298" y="95516"/>
                </a:lnTo>
                <a:lnTo>
                  <a:pt x="448980" y="95501"/>
                </a:lnTo>
                <a:lnTo>
                  <a:pt x="449661" y="95486"/>
                </a:lnTo>
                <a:lnTo>
                  <a:pt x="450342" y="95471"/>
                </a:lnTo>
                <a:lnTo>
                  <a:pt x="451024" y="95456"/>
                </a:lnTo>
                <a:lnTo>
                  <a:pt x="451705" y="95441"/>
                </a:lnTo>
                <a:lnTo>
                  <a:pt x="452386" y="95426"/>
                </a:lnTo>
                <a:lnTo>
                  <a:pt x="453068" y="95411"/>
                </a:lnTo>
                <a:lnTo>
                  <a:pt x="453749" y="95396"/>
                </a:lnTo>
                <a:lnTo>
                  <a:pt x="454430" y="95381"/>
                </a:lnTo>
                <a:lnTo>
                  <a:pt x="455111" y="95365"/>
                </a:lnTo>
                <a:lnTo>
                  <a:pt x="455793" y="95350"/>
                </a:lnTo>
                <a:lnTo>
                  <a:pt x="456474" y="95335"/>
                </a:lnTo>
                <a:lnTo>
                  <a:pt x="457155" y="95319"/>
                </a:lnTo>
                <a:lnTo>
                  <a:pt x="457837" y="95304"/>
                </a:lnTo>
                <a:lnTo>
                  <a:pt x="458518" y="95289"/>
                </a:lnTo>
                <a:lnTo>
                  <a:pt x="459199" y="95273"/>
                </a:lnTo>
                <a:lnTo>
                  <a:pt x="459881" y="95258"/>
                </a:lnTo>
                <a:lnTo>
                  <a:pt x="460562" y="95242"/>
                </a:lnTo>
                <a:lnTo>
                  <a:pt x="461243" y="95227"/>
                </a:lnTo>
                <a:lnTo>
                  <a:pt x="461925" y="95211"/>
                </a:lnTo>
                <a:lnTo>
                  <a:pt x="462606" y="95196"/>
                </a:lnTo>
                <a:lnTo>
                  <a:pt x="463287" y="95180"/>
                </a:lnTo>
                <a:lnTo>
                  <a:pt x="463968" y="95164"/>
                </a:lnTo>
                <a:lnTo>
                  <a:pt x="464650" y="95149"/>
                </a:lnTo>
                <a:lnTo>
                  <a:pt x="465331" y="95133"/>
                </a:lnTo>
                <a:lnTo>
                  <a:pt x="466012" y="95117"/>
                </a:lnTo>
                <a:lnTo>
                  <a:pt x="466694" y="95101"/>
                </a:lnTo>
                <a:lnTo>
                  <a:pt x="467375" y="95086"/>
                </a:lnTo>
                <a:lnTo>
                  <a:pt x="468056" y="95070"/>
                </a:lnTo>
                <a:lnTo>
                  <a:pt x="468738" y="95054"/>
                </a:lnTo>
                <a:lnTo>
                  <a:pt x="469419" y="95038"/>
                </a:lnTo>
                <a:lnTo>
                  <a:pt x="470100" y="95022"/>
                </a:lnTo>
                <a:lnTo>
                  <a:pt x="470781" y="95006"/>
                </a:lnTo>
                <a:lnTo>
                  <a:pt x="471463" y="94990"/>
                </a:lnTo>
                <a:lnTo>
                  <a:pt x="472144" y="94974"/>
                </a:lnTo>
                <a:lnTo>
                  <a:pt x="472825" y="94958"/>
                </a:lnTo>
                <a:lnTo>
                  <a:pt x="473507" y="94942"/>
                </a:lnTo>
                <a:lnTo>
                  <a:pt x="474188" y="94926"/>
                </a:lnTo>
                <a:lnTo>
                  <a:pt x="474869" y="94909"/>
                </a:lnTo>
                <a:lnTo>
                  <a:pt x="475551" y="94893"/>
                </a:lnTo>
                <a:lnTo>
                  <a:pt x="476232" y="94877"/>
                </a:lnTo>
                <a:lnTo>
                  <a:pt x="476913" y="94860"/>
                </a:lnTo>
                <a:lnTo>
                  <a:pt x="477595" y="94844"/>
                </a:lnTo>
                <a:lnTo>
                  <a:pt x="478276" y="94828"/>
                </a:lnTo>
                <a:lnTo>
                  <a:pt x="478957" y="94811"/>
                </a:lnTo>
                <a:lnTo>
                  <a:pt x="479638" y="94795"/>
                </a:lnTo>
                <a:lnTo>
                  <a:pt x="480320" y="94778"/>
                </a:lnTo>
                <a:lnTo>
                  <a:pt x="481001" y="94762"/>
                </a:lnTo>
                <a:lnTo>
                  <a:pt x="481682" y="94745"/>
                </a:lnTo>
                <a:lnTo>
                  <a:pt x="482364" y="94729"/>
                </a:lnTo>
                <a:lnTo>
                  <a:pt x="483045" y="94712"/>
                </a:lnTo>
                <a:lnTo>
                  <a:pt x="483726" y="94695"/>
                </a:lnTo>
                <a:lnTo>
                  <a:pt x="484408" y="94679"/>
                </a:lnTo>
                <a:lnTo>
                  <a:pt x="485089" y="94662"/>
                </a:lnTo>
                <a:lnTo>
                  <a:pt x="485770" y="94645"/>
                </a:lnTo>
                <a:lnTo>
                  <a:pt x="486452" y="94628"/>
                </a:lnTo>
                <a:lnTo>
                  <a:pt x="487133" y="94611"/>
                </a:lnTo>
                <a:lnTo>
                  <a:pt x="487814" y="94595"/>
                </a:lnTo>
                <a:lnTo>
                  <a:pt x="488495" y="94578"/>
                </a:lnTo>
                <a:lnTo>
                  <a:pt x="489177" y="94561"/>
                </a:lnTo>
                <a:lnTo>
                  <a:pt x="489858" y="94544"/>
                </a:lnTo>
                <a:lnTo>
                  <a:pt x="490539" y="94527"/>
                </a:lnTo>
                <a:lnTo>
                  <a:pt x="491221" y="94510"/>
                </a:lnTo>
                <a:lnTo>
                  <a:pt x="491902" y="94492"/>
                </a:lnTo>
                <a:lnTo>
                  <a:pt x="492583" y="94475"/>
                </a:lnTo>
                <a:lnTo>
                  <a:pt x="493265" y="94458"/>
                </a:lnTo>
                <a:lnTo>
                  <a:pt x="493946" y="94441"/>
                </a:lnTo>
                <a:lnTo>
                  <a:pt x="494627" y="94424"/>
                </a:lnTo>
                <a:lnTo>
                  <a:pt x="495308" y="94406"/>
                </a:lnTo>
                <a:lnTo>
                  <a:pt x="495990" y="94389"/>
                </a:lnTo>
                <a:lnTo>
                  <a:pt x="496671" y="94372"/>
                </a:lnTo>
                <a:lnTo>
                  <a:pt x="497352" y="94354"/>
                </a:lnTo>
                <a:lnTo>
                  <a:pt x="498034" y="94337"/>
                </a:lnTo>
                <a:lnTo>
                  <a:pt x="498715" y="94319"/>
                </a:lnTo>
                <a:lnTo>
                  <a:pt x="499396" y="94302"/>
                </a:lnTo>
                <a:lnTo>
                  <a:pt x="500078" y="94284"/>
                </a:lnTo>
                <a:lnTo>
                  <a:pt x="500759" y="94267"/>
                </a:lnTo>
                <a:lnTo>
                  <a:pt x="501440" y="94249"/>
                </a:lnTo>
                <a:lnTo>
                  <a:pt x="502122" y="94231"/>
                </a:lnTo>
                <a:lnTo>
                  <a:pt x="502803" y="94214"/>
                </a:lnTo>
                <a:lnTo>
                  <a:pt x="503484" y="94196"/>
                </a:lnTo>
                <a:lnTo>
                  <a:pt x="504165" y="94178"/>
                </a:lnTo>
                <a:lnTo>
                  <a:pt x="504847" y="94160"/>
                </a:lnTo>
                <a:lnTo>
                  <a:pt x="505528" y="94142"/>
                </a:lnTo>
                <a:lnTo>
                  <a:pt x="506209" y="94125"/>
                </a:lnTo>
                <a:lnTo>
                  <a:pt x="506891" y="94107"/>
                </a:lnTo>
                <a:lnTo>
                  <a:pt x="507572" y="94089"/>
                </a:lnTo>
                <a:lnTo>
                  <a:pt x="508253" y="94071"/>
                </a:lnTo>
                <a:lnTo>
                  <a:pt x="508935" y="94053"/>
                </a:lnTo>
                <a:lnTo>
                  <a:pt x="509616" y="94035"/>
                </a:lnTo>
                <a:lnTo>
                  <a:pt x="510297" y="94016"/>
                </a:lnTo>
                <a:lnTo>
                  <a:pt x="510979" y="93998"/>
                </a:lnTo>
                <a:lnTo>
                  <a:pt x="511660" y="93980"/>
                </a:lnTo>
                <a:lnTo>
                  <a:pt x="512341" y="93962"/>
                </a:lnTo>
                <a:lnTo>
                  <a:pt x="513022" y="93943"/>
                </a:lnTo>
                <a:lnTo>
                  <a:pt x="513704" y="93925"/>
                </a:lnTo>
                <a:lnTo>
                  <a:pt x="514385" y="93907"/>
                </a:lnTo>
                <a:lnTo>
                  <a:pt x="515066" y="93888"/>
                </a:lnTo>
                <a:lnTo>
                  <a:pt x="515748" y="93870"/>
                </a:lnTo>
                <a:lnTo>
                  <a:pt x="516429" y="93851"/>
                </a:lnTo>
                <a:lnTo>
                  <a:pt x="517110" y="93833"/>
                </a:lnTo>
                <a:lnTo>
                  <a:pt x="517792" y="93814"/>
                </a:lnTo>
                <a:lnTo>
                  <a:pt x="518473" y="93796"/>
                </a:lnTo>
                <a:lnTo>
                  <a:pt x="519154" y="93777"/>
                </a:lnTo>
                <a:lnTo>
                  <a:pt x="519835" y="93758"/>
                </a:lnTo>
                <a:lnTo>
                  <a:pt x="520517" y="93740"/>
                </a:lnTo>
                <a:lnTo>
                  <a:pt x="521198" y="93721"/>
                </a:lnTo>
                <a:lnTo>
                  <a:pt x="521879" y="93702"/>
                </a:lnTo>
                <a:lnTo>
                  <a:pt x="522561" y="93683"/>
                </a:lnTo>
                <a:lnTo>
                  <a:pt x="523242" y="93664"/>
                </a:lnTo>
                <a:lnTo>
                  <a:pt x="523923" y="93646"/>
                </a:lnTo>
                <a:lnTo>
                  <a:pt x="524605" y="93627"/>
                </a:lnTo>
                <a:lnTo>
                  <a:pt x="525286" y="93608"/>
                </a:lnTo>
                <a:lnTo>
                  <a:pt x="525967" y="93589"/>
                </a:lnTo>
                <a:lnTo>
                  <a:pt x="526649" y="93569"/>
                </a:lnTo>
                <a:lnTo>
                  <a:pt x="527330" y="93550"/>
                </a:lnTo>
                <a:lnTo>
                  <a:pt x="528011" y="93531"/>
                </a:lnTo>
                <a:lnTo>
                  <a:pt x="528692" y="93512"/>
                </a:lnTo>
                <a:lnTo>
                  <a:pt x="529374" y="93493"/>
                </a:lnTo>
                <a:lnTo>
                  <a:pt x="530055" y="93473"/>
                </a:lnTo>
                <a:lnTo>
                  <a:pt x="530736" y="93454"/>
                </a:lnTo>
                <a:lnTo>
                  <a:pt x="531418" y="93435"/>
                </a:lnTo>
                <a:lnTo>
                  <a:pt x="532099" y="93415"/>
                </a:lnTo>
                <a:lnTo>
                  <a:pt x="532780" y="93396"/>
                </a:lnTo>
                <a:lnTo>
                  <a:pt x="533462" y="93376"/>
                </a:lnTo>
                <a:lnTo>
                  <a:pt x="534143" y="93357"/>
                </a:lnTo>
                <a:lnTo>
                  <a:pt x="534824" y="93337"/>
                </a:lnTo>
                <a:lnTo>
                  <a:pt x="535506" y="93318"/>
                </a:lnTo>
                <a:lnTo>
                  <a:pt x="536187" y="93298"/>
                </a:lnTo>
                <a:lnTo>
                  <a:pt x="536868" y="93278"/>
                </a:lnTo>
                <a:lnTo>
                  <a:pt x="537549" y="93258"/>
                </a:lnTo>
                <a:lnTo>
                  <a:pt x="538231" y="93239"/>
                </a:lnTo>
                <a:lnTo>
                  <a:pt x="538912" y="93219"/>
                </a:lnTo>
                <a:lnTo>
                  <a:pt x="539593" y="93199"/>
                </a:lnTo>
                <a:lnTo>
                  <a:pt x="540275" y="93179"/>
                </a:lnTo>
                <a:lnTo>
                  <a:pt x="540956" y="93159"/>
                </a:lnTo>
                <a:lnTo>
                  <a:pt x="541637" y="93139"/>
                </a:lnTo>
                <a:lnTo>
                  <a:pt x="542319" y="93119"/>
                </a:lnTo>
                <a:lnTo>
                  <a:pt x="543000" y="93099"/>
                </a:lnTo>
                <a:lnTo>
                  <a:pt x="543681" y="93079"/>
                </a:lnTo>
                <a:lnTo>
                  <a:pt x="544362" y="93059"/>
                </a:lnTo>
                <a:lnTo>
                  <a:pt x="545044" y="93038"/>
                </a:lnTo>
                <a:lnTo>
                  <a:pt x="545725" y="93018"/>
                </a:lnTo>
                <a:lnTo>
                  <a:pt x="546406" y="92998"/>
                </a:lnTo>
                <a:lnTo>
                  <a:pt x="547088" y="92978"/>
                </a:lnTo>
                <a:lnTo>
                  <a:pt x="547769" y="92957"/>
                </a:lnTo>
                <a:lnTo>
                  <a:pt x="548450" y="92937"/>
                </a:lnTo>
                <a:lnTo>
                  <a:pt x="549132" y="92916"/>
                </a:lnTo>
                <a:lnTo>
                  <a:pt x="549813" y="92896"/>
                </a:lnTo>
                <a:lnTo>
                  <a:pt x="550494" y="92875"/>
                </a:lnTo>
                <a:lnTo>
                  <a:pt x="551176" y="92855"/>
                </a:lnTo>
                <a:lnTo>
                  <a:pt x="551857" y="92834"/>
                </a:lnTo>
                <a:lnTo>
                  <a:pt x="552538" y="92813"/>
                </a:lnTo>
                <a:lnTo>
                  <a:pt x="553219" y="92793"/>
                </a:lnTo>
                <a:lnTo>
                  <a:pt x="553901" y="92772"/>
                </a:lnTo>
                <a:lnTo>
                  <a:pt x="554582" y="92751"/>
                </a:lnTo>
                <a:lnTo>
                  <a:pt x="555263" y="92730"/>
                </a:lnTo>
                <a:lnTo>
                  <a:pt x="555945" y="92709"/>
                </a:lnTo>
                <a:lnTo>
                  <a:pt x="556626" y="92688"/>
                </a:lnTo>
                <a:lnTo>
                  <a:pt x="557307" y="92667"/>
                </a:lnTo>
                <a:lnTo>
                  <a:pt x="557989" y="92646"/>
                </a:lnTo>
                <a:lnTo>
                  <a:pt x="558670" y="92625"/>
                </a:lnTo>
                <a:lnTo>
                  <a:pt x="559351" y="92604"/>
                </a:lnTo>
                <a:lnTo>
                  <a:pt x="560032" y="92583"/>
                </a:lnTo>
                <a:lnTo>
                  <a:pt x="560714" y="92562"/>
                </a:lnTo>
                <a:lnTo>
                  <a:pt x="561395" y="92540"/>
                </a:lnTo>
                <a:lnTo>
                  <a:pt x="562076" y="92519"/>
                </a:lnTo>
                <a:lnTo>
                  <a:pt x="562758" y="92498"/>
                </a:lnTo>
                <a:lnTo>
                  <a:pt x="563439" y="92476"/>
                </a:lnTo>
                <a:lnTo>
                  <a:pt x="564120" y="92455"/>
                </a:lnTo>
                <a:lnTo>
                  <a:pt x="564802" y="92433"/>
                </a:lnTo>
                <a:lnTo>
                  <a:pt x="565483" y="92412"/>
                </a:lnTo>
                <a:lnTo>
                  <a:pt x="566164" y="92390"/>
                </a:lnTo>
                <a:lnTo>
                  <a:pt x="566846" y="92369"/>
                </a:lnTo>
                <a:lnTo>
                  <a:pt x="567527" y="92347"/>
                </a:lnTo>
                <a:lnTo>
                  <a:pt x="568208" y="92325"/>
                </a:lnTo>
                <a:lnTo>
                  <a:pt x="568889" y="92303"/>
                </a:lnTo>
                <a:lnTo>
                  <a:pt x="569571" y="92282"/>
                </a:lnTo>
                <a:lnTo>
                  <a:pt x="570252" y="92260"/>
                </a:lnTo>
                <a:lnTo>
                  <a:pt x="570933" y="92238"/>
                </a:lnTo>
                <a:lnTo>
                  <a:pt x="571615" y="92216"/>
                </a:lnTo>
                <a:lnTo>
                  <a:pt x="572296" y="92194"/>
                </a:lnTo>
                <a:lnTo>
                  <a:pt x="572977" y="92172"/>
                </a:lnTo>
                <a:lnTo>
                  <a:pt x="573659" y="92150"/>
                </a:lnTo>
                <a:lnTo>
                  <a:pt x="574340" y="92128"/>
                </a:lnTo>
                <a:lnTo>
                  <a:pt x="575021" y="92106"/>
                </a:lnTo>
                <a:lnTo>
                  <a:pt x="575703" y="92083"/>
                </a:lnTo>
                <a:lnTo>
                  <a:pt x="576384" y="92061"/>
                </a:lnTo>
                <a:lnTo>
                  <a:pt x="577065" y="92039"/>
                </a:lnTo>
                <a:lnTo>
                  <a:pt x="577746" y="92016"/>
                </a:lnTo>
                <a:lnTo>
                  <a:pt x="578428" y="91994"/>
                </a:lnTo>
                <a:lnTo>
                  <a:pt x="579109" y="91971"/>
                </a:lnTo>
                <a:lnTo>
                  <a:pt x="579790" y="91949"/>
                </a:lnTo>
                <a:lnTo>
                  <a:pt x="580472" y="91926"/>
                </a:lnTo>
                <a:lnTo>
                  <a:pt x="581153" y="91904"/>
                </a:lnTo>
                <a:lnTo>
                  <a:pt x="581834" y="91881"/>
                </a:lnTo>
                <a:lnTo>
                  <a:pt x="582516" y="91858"/>
                </a:lnTo>
                <a:lnTo>
                  <a:pt x="583197" y="91836"/>
                </a:lnTo>
                <a:lnTo>
                  <a:pt x="583878" y="91813"/>
                </a:lnTo>
                <a:lnTo>
                  <a:pt x="584559" y="91790"/>
                </a:lnTo>
                <a:lnTo>
                  <a:pt x="585241" y="91767"/>
                </a:lnTo>
                <a:lnTo>
                  <a:pt x="585922" y="91744"/>
                </a:lnTo>
                <a:lnTo>
                  <a:pt x="586603" y="91721"/>
                </a:lnTo>
                <a:lnTo>
                  <a:pt x="587285" y="91698"/>
                </a:lnTo>
                <a:lnTo>
                  <a:pt x="587966" y="91675"/>
                </a:lnTo>
                <a:lnTo>
                  <a:pt x="588647" y="91652"/>
                </a:lnTo>
                <a:lnTo>
                  <a:pt x="589329" y="91629"/>
                </a:lnTo>
                <a:lnTo>
                  <a:pt x="590010" y="91606"/>
                </a:lnTo>
                <a:lnTo>
                  <a:pt x="590691" y="91582"/>
                </a:lnTo>
                <a:lnTo>
                  <a:pt x="591373" y="91559"/>
                </a:lnTo>
                <a:lnTo>
                  <a:pt x="592054" y="91536"/>
                </a:lnTo>
                <a:lnTo>
                  <a:pt x="592735" y="91512"/>
                </a:lnTo>
                <a:lnTo>
                  <a:pt x="593416" y="91489"/>
                </a:lnTo>
                <a:lnTo>
                  <a:pt x="594098" y="91465"/>
                </a:lnTo>
                <a:lnTo>
                  <a:pt x="594779" y="91442"/>
                </a:lnTo>
                <a:lnTo>
                  <a:pt x="595460" y="91418"/>
                </a:lnTo>
                <a:lnTo>
                  <a:pt x="596142" y="91395"/>
                </a:lnTo>
                <a:lnTo>
                  <a:pt x="596823" y="91371"/>
                </a:lnTo>
                <a:lnTo>
                  <a:pt x="597504" y="91347"/>
                </a:lnTo>
                <a:lnTo>
                  <a:pt x="598186" y="91323"/>
                </a:lnTo>
                <a:lnTo>
                  <a:pt x="598867" y="91299"/>
                </a:lnTo>
                <a:lnTo>
                  <a:pt x="599548" y="91275"/>
                </a:lnTo>
                <a:lnTo>
                  <a:pt x="600230" y="91251"/>
                </a:lnTo>
                <a:lnTo>
                  <a:pt x="600911" y="91227"/>
                </a:lnTo>
                <a:lnTo>
                  <a:pt x="601592" y="91203"/>
                </a:lnTo>
                <a:lnTo>
                  <a:pt x="602273" y="91179"/>
                </a:lnTo>
                <a:lnTo>
                  <a:pt x="602955" y="91155"/>
                </a:lnTo>
                <a:lnTo>
                  <a:pt x="603636" y="91131"/>
                </a:lnTo>
                <a:lnTo>
                  <a:pt x="604317" y="91107"/>
                </a:lnTo>
                <a:lnTo>
                  <a:pt x="604999" y="91082"/>
                </a:lnTo>
                <a:lnTo>
                  <a:pt x="605680" y="91058"/>
                </a:lnTo>
                <a:lnTo>
                  <a:pt x="606361" y="91034"/>
                </a:lnTo>
                <a:lnTo>
                  <a:pt x="607043" y="91009"/>
                </a:lnTo>
                <a:lnTo>
                  <a:pt x="607724" y="90985"/>
                </a:lnTo>
                <a:lnTo>
                  <a:pt x="608405" y="90960"/>
                </a:lnTo>
                <a:lnTo>
                  <a:pt x="609086" y="90935"/>
                </a:lnTo>
                <a:lnTo>
                  <a:pt x="609768" y="90911"/>
                </a:lnTo>
                <a:lnTo>
                  <a:pt x="610449" y="90886"/>
                </a:lnTo>
                <a:lnTo>
                  <a:pt x="611130" y="90861"/>
                </a:lnTo>
                <a:lnTo>
                  <a:pt x="611812" y="90836"/>
                </a:lnTo>
                <a:lnTo>
                  <a:pt x="612493" y="90812"/>
                </a:lnTo>
                <a:lnTo>
                  <a:pt x="613174" y="90787"/>
                </a:lnTo>
                <a:lnTo>
                  <a:pt x="613856" y="90762"/>
                </a:lnTo>
                <a:lnTo>
                  <a:pt x="614537" y="90737"/>
                </a:lnTo>
                <a:lnTo>
                  <a:pt x="615218" y="90712"/>
                </a:lnTo>
                <a:lnTo>
                  <a:pt x="615900" y="90686"/>
                </a:lnTo>
                <a:lnTo>
                  <a:pt x="616581" y="90661"/>
                </a:lnTo>
                <a:lnTo>
                  <a:pt x="617262" y="90636"/>
                </a:lnTo>
                <a:lnTo>
                  <a:pt x="617943" y="90611"/>
                </a:lnTo>
                <a:lnTo>
                  <a:pt x="618625" y="90585"/>
                </a:lnTo>
                <a:lnTo>
                  <a:pt x="619306" y="90560"/>
                </a:lnTo>
                <a:lnTo>
                  <a:pt x="619987" y="90535"/>
                </a:lnTo>
                <a:lnTo>
                  <a:pt x="620669" y="90509"/>
                </a:lnTo>
                <a:lnTo>
                  <a:pt x="621350" y="90484"/>
                </a:lnTo>
                <a:lnTo>
                  <a:pt x="622031" y="90458"/>
                </a:lnTo>
                <a:lnTo>
                  <a:pt x="622713" y="90432"/>
                </a:lnTo>
                <a:lnTo>
                  <a:pt x="623394" y="90407"/>
                </a:lnTo>
                <a:lnTo>
                  <a:pt x="624075" y="90381"/>
                </a:lnTo>
                <a:lnTo>
                  <a:pt x="624757" y="90355"/>
                </a:lnTo>
                <a:lnTo>
                  <a:pt x="625438" y="90329"/>
                </a:lnTo>
                <a:lnTo>
                  <a:pt x="626119" y="90303"/>
                </a:lnTo>
                <a:lnTo>
                  <a:pt x="626800" y="90277"/>
                </a:lnTo>
                <a:lnTo>
                  <a:pt x="627482" y="90251"/>
                </a:lnTo>
                <a:lnTo>
                  <a:pt x="628163" y="90225"/>
                </a:lnTo>
                <a:lnTo>
                  <a:pt x="628844" y="90199"/>
                </a:lnTo>
                <a:lnTo>
                  <a:pt x="629526" y="90173"/>
                </a:lnTo>
                <a:lnTo>
                  <a:pt x="630207" y="90147"/>
                </a:lnTo>
                <a:lnTo>
                  <a:pt x="630888" y="90120"/>
                </a:lnTo>
                <a:lnTo>
                  <a:pt x="631570" y="90094"/>
                </a:lnTo>
                <a:lnTo>
                  <a:pt x="632251" y="90068"/>
                </a:lnTo>
                <a:lnTo>
                  <a:pt x="632932" y="90041"/>
                </a:lnTo>
                <a:lnTo>
                  <a:pt x="633613" y="90015"/>
                </a:lnTo>
                <a:lnTo>
                  <a:pt x="634295" y="89988"/>
                </a:lnTo>
                <a:lnTo>
                  <a:pt x="634976" y="89961"/>
                </a:lnTo>
                <a:lnTo>
                  <a:pt x="635657" y="89935"/>
                </a:lnTo>
                <a:lnTo>
                  <a:pt x="636339" y="89908"/>
                </a:lnTo>
                <a:lnTo>
                  <a:pt x="637020" y="89881"/>
                </a:lnTo>
                <a:lnTo>
                  <a:pt x="637701" y="89854"/>
                </a:lnTo>
                <a:lnTo>
                  <a:pt x="638383" y="89827"/>
                </a:lnTo>
                <a:lnTo>
                  <a:pt x="639064" y="89800"/>
                </a:lnTo>
                <a:lnTo>
                  <a:pt x="639745" y="89773"/>
                </a:lnTo>
                <a:lnTo>
                  <a:pt x="640427" y="89746"/>
                </a:lnTo>
                <a:lnTo>
                  <a:pt x="641108" y="89719"/>
                </a:lnTo>
                <a:lnTo>
                  <a:pt x="641789" y="89692"/>
                </a:lnTo>
                <a:lnTo>
                  <a:pt x="642470" y="89665"/>
                </a:lnTo>
                <a:lnTo>
                  <a:pt x="643152" y="89638"/>
                </a:lnTo>
                <a:lnTo>
                  <a:pt x="643833" y="89610"/>
                </a:lnTo>
                <a:lnTo>
                  <a:pt x="644514" y="89583"/>
                </a:lnTo>
                <a:lnTo>
                  <a:pt x="645196" y="89555"/>
                </a:lnTo>
                <a:lnTo>
                  <a:pt x="645877" y="89528"/>
                </a:lnTo>
                <a:lnTo>
                  <a:pt x="646558" y="89500"/>
                </a:lnTo>
                <a:lnTo>
                  <a:pt x="647240" y="89473"/>
                </a:lnTo>
                <a:lnTo>
                  <a:pt x="647921" y="89445"/>
                </a:lnTo>
                <a:lnTo>
                  <a:pt x="648602" y="89417"/>
                </a:lnTo>
                <a:lnTo>
                  <a:pt x="649283" y="89389"/>
                </a:lnTo>
                <a:lnTo>
                  <a:pt x="649965" y="89362"/>
                </a:lnTo>
                <a:lnTo>
                  <a:pt x="650646" y="89334"/>
                </a:lnTo>
                <a:lnTo>
                  <a:pt x="651327" y="89306"/>
                </a:lnTo>
                <a:lnTo>
                  <a:pt x="652009" y="89278"/>
                </a:lnTo>
                <a:lnTo>
                  <a:pt x="652690" y="89250"/>
                </a:lnTo>
                <a:lnTo>
                  <a:pt x="653371" y="89221"/>
                </a:lnTo>
                <a:lnTo>
                  <a:pt x="654053" y="89193"/>
                </a:lnTo>
                <a:lnTo>
                  <a:pt x="654734" y="89165"/>
                </a:lnTo>
                <a:lnTo>
                  <a:pt x="655415" y="89137"/>
                </a:lnTo>
                <a:lnTo>
                  <a:pt x="656097" y="89108"/>
                </a:lnTo>
                <a:lnTo>
                  <a:pt x="656778" y="89080"/>
                </a:lnTo>
                <a:lnTo>
                  <a:pt x="657459" y="89051"/>
                </a:lnTo>
                <a:lnTo>
                  <a:pt x="658140" y="89023"/>
                </a:lnTo>
                <a:lnTo>
                  <a:pt x="658822" y="88994"/>
                </a:lnTo>
                <a:lnTo>
                  <a:pt x="659503" y="88966"/>
                </a:lnTo>
                <a:lnTo>
                  <a:pt x="660184" y="88937"/>
                </a:lnTo>
                <a:lnTo>
                  <a:pt x="660866" y="88908"/>
                </a:lnTo>
                <a:lnTo>
                  <a:pt x="661547" y="88879"/>
                </a:lnTo>
                <a:lnTo>
                  <a:pt x="662228" y="88850"/>
                </a:lnTo>
                <a:lnTo>
                  <a:pt x="662910" y="88821"/>
                </a:lnTo>
                <a:lnTo>
                  <a:pt x="663591" y="88792"/>
                </a:lnTo>
                <a:lnTo>
                  <a:pt x="664272" y="88763"/>
                </a:lnTo>
                <a:lnTo>
                  <a:pt x="664954" y="88734"/>
                </a:lnTo>
                <a:lnTo>
                  <a:pt x="665635" y="88705"/>
                </a:lnTo>
                <a:lnTo>
                  <a:pt x="666316" y="88676"/>
                </a:lnTo>
                <a:lnTo>
                  <a:pt x="666997" y="88647"/>
                </a:lnTo>
                <a:lnTo>
                  <a:pt x="667679" y="88617"/>
                </a:lnTo>
                <a:lnTo>
                  <a:pt x="668360" y="88588"/>
                </a:lnTo>
                <a:lnTo>
                  <a:pt x="669041" y="88558"/>
                </a:lnTo>
                <a:lnTo>
                  <a:pt x="669723" y="88529"/>
                </a:lnTo>
                <a:lnTo>
                  <a:pt x="670404" y="88499"/>
                </a:lnTo>
                <a:lnTo>
                  <a:pt x="671085" y="88469"/>
                </a:lnTo>
                <a:lnTo>
                  <a:pt x="671767" y="88440"/>
                </a:lnTo>
                <a:lnTo>
                  <a:pt x="672448" y="88410"/>
                </a:lnTo>
                <a:lnTo>
                  <a:pt x="673129" y="88380"/>
                </a:lnTo>
                <a:lnTo>
                  <a:pt x="673810" y="88350"/>
                </a:lnTo>
                <a:lnTo>
                  <a:pt x="674492" y="88320"/>
                </a:lnTo>
                <a:lnTo>
                  <a:pt x="675173" y="88290"/>
                </a:lnTo>
                <a:lnTo>
                  <a:pt x="675854" y="88260"/>
                </a:lnTo>
                <a:lnTo>
                  <a:pt x="676536" y="88230"/>
                </a:lnTo>
                <a:lnTo>
                  <a:pt x="677217" y="88200"/>
                </a:lnTo>
                <a:lnTo>
                  <a:pt x="677898" y="88169"/>
                </a:lnTo>
                <a:lnTo>
                  <a:pt x="678580" y="88139"/>
                </a:lnTo>
                <a:lnTo>
                  <a:pt x="679261" y="88109"/>
                </a:lnTo>
                <a:lnTo>
                  <a:pt x="679942" y="88078"/>
                </a:lnTo>
                <a:lnTo>
                  <a:pt x="680624" y="88048"/>
                </a:lnTo>
                <a:lnTo>
                  <a:pt x="681305" y="88017"/>
                </a:lnTo>
                <a:lnTo>
                  <a:pt x="681986" y="87986"/>
                </a:lnTo>
                <a:lnTo>
                  <a:pt x="682667" y="87956"/>
                </a:lnTo>
                <a:lnTo>
                  <a:pt x="683349" y="87925"/>
                </a:lnTo>
                <a:lnTo>
                  <a:pt x="684030" y="87894"/>
                </a:lnTo>
                <a:lnTo>
                  <a:pt x="684711" y="87863"/>
                </a:lnTo>
                <a:lnTo>
                  <a:pt x="685393" y="87832"/>
                </a:lnTo>
                <a:lnTo>
                  <a:pt x="686074" y="87801"/>
                </a:lnTo>
                <a:lnTo>
                  <a:pt x="686755" y="87770"/>
                </a:lnTo>
                <a:lnTo>
                  <a:pt x="687437" y="87739"/>
                </a:lnTo>
                <a:lnTo>
                  <a:pt x="688118" y="87708"/>
                </a:lnTo>
                <a:lnTo>
                  <a:pt x="688799" y="87677"/>
                </a:lnTo>
                <a:lnTo>
                  <a:pt x="689481" y="87645"/>
                </a:lnTo>
                <a:lnTo>
                  <a:pt x="690162" y="87614"/>
                </a:lnTo>
                <a:lnTo>
                  <a:pt x="690843" y="87582"/>
                </a:lnTo>
                <a:lnTo>
                  <a:pt x="691524" y="87551"/>
                </a:lnTo>
                <a:lnTo>
                  <a:pt x="692206" y="87519"/>
                </a:lnTo>
                <a:lnTo>
                  <a:pt x="692887" y="87488"/>
                </a:lnTo>
                <a:lnTo>
                  <a:pt x="693568" y="87456"/>
                </a:lnTo>
                <a:lnTo>
                  <a:pt x="694250" y="87424"/>
                </a:lnTo>
                <a:lnTo>
                  <a:pt x="694931" y="87392"/>
                </a:lnTo>
                <a:lnTo>
                  <a:pt x="695612" y="87360"/>
                </a:lnTo>
                <a:lnTo>
                  <a:pt x="696294" y="87328"/>
                </a:lnTo>
                <a:lnTo>
                  <a:pt x="696975" y="87296"/>
                </a:lnTo>
                <a:lnTo>
                  <a:pt x="697656" y="87264"/>
                </a:lnTo>
                <a:lnTo>
                  <a:pt x="698337" y="87232"/>
                </a:lnTo>
                <a:lnTo>
                  <a:pt x="699019" y="87200"/>
                </a:lnTo>
                <a:lnTo>
                  <a:pt x="699700" y="87168"/>
                </a:lnTo>
                <a:lnTo>
                  <a:pt x="700381" y="87135"/>
                </a:lnTo>
                <a:lnTo>
                  <a:pt x="701063" y="87103"/>
                </a:lnTo>
                <a:lnTo>
                  <a:pt x="701744" y="87070"/>
                </a:lnTo>
                <a:lnTo>
                  <a:pt x="702425" y="87038"/>
                </a:lnTo>
                <a:lnTo>
                  <a:pt x="703107" y="87005"/>
                </a:lnTo>
                <a:lnTo>
                  <a:pt x="703788" y="86972"/>
                </a:lnTo>
                <a:lnTo>
                  <a:pt x="704469" y="86940"/>
                </a:lnTo>
                <a:lnTo>
                  <a:pt x="705151" y="86907"/>
                </a:lnTo>
                <a:lnTo>
                  <a:pt x="705832" y="86874"/>
                </a:lnTo>
                <a:lnTo>
                  <a:pt x="706513" y="86841"/>
                </a:lnTo>
                <a:lnTo>
                  <a:pt x="707194" y="86808"/>
                </a:lnTo>
                <a:lnTo>
                  <a:pt x="707876" y="86775"/>
                </a:lnTo>
                <a:lnTo>
                  <a:pt x="708557" y="86742"/>
                </a:lnTo>
                <a:lnTo>
                  <a:pt x="709238" y="86709"/>
                </a:lnTo>
                <a:lnTo>
                  <a:pt x="709920" y="86675"/>
                </a:lnTo>
                <a:lnTo>
                  <a:pt x="710601" y="86642"/>
                </a:lnTo>
                <a:lnTo>
                  <a:pt x="711282" y="86609"/>
                </a:lnTo>
                <a:lnTo>
                  <a:pt x="711964" y="86575"/>
                </a:lnTo>
                <a:lnTo>
                  <a:pt x="712645" y="86542"/>
                </a:lnTo>
                <a:lnTo>
                  <a:pt x="713326" y="86508"/>
                </a:lnTo>
                <a:lnTo>
                  <a:pt x="714008" y="86474"/>
                </a:lnTo>
                <a:lnTo>
                  <a:pt x="714689" y="86440"/>
                </a:lnTo>
                <a:lnTo>
                  <a:pt x="715370" y="86407"/>
                </a:lnTo>
                <a:lnTo>
                  <a:pt x="716051" y="86373"/>
                </a:lnTo>
                <a:lnTo>
                  <a:pt x="716733" y="86339"/>
                </a:lnTo>
                <a:lnTo>
                  <a:pt x="717414" y="86305"/>
                </a:lnTo>
                <a:lnTo>
                  <a:pt x="718095" y="86271"/>
                </a:lnTo>
                <a:lnTo>
                  <a:pt x="718777" y="86237"/>
                </a:lnTo>
                <a:lnTo>
                  <a:pt x="719458" y="86202"/>
                </a:lnTo>
                <a:lnTo>
                  <a:pt x="720139" y="86168"/>
                </a:lnTo>
                <a:lnTo>
                  <a:pt x="720821" y="86134"/>
                </a:lnTo>
                <a:lnTo>
                  <a:pt x="721502" y="86099"/>
                </a:lnTo>
                <a:lnTo>
                  <a:pt x="722183" y="86065"/>
                </a:lnTo>
                <a:lnTo>
                  <a:pt x="722864" y="86030"/>
                </a:lnTo>
                <a:lnTo>
                  <a:pt x="723546" y="85996"/>
                </a:lnTo>
                <a:lnTo>
                  <a:pt x="724227" y="85961"/>
                </a:lnTo>
                <a:lnTo>
                  <a:pt x="724908" y="85926"/>
                </a:lnTo>
                <a:lnTo>
                  <a:pt x="725590" y="85891"/>
                </a:lnTo>
                <a:lnTo>
                  <a:pt x="726271" y="85856"/>
                </a:lnTo>
                <a:lnTo>
                  <a:pt x="726952" y="85821"/>
                </a:lnTo>
                <a:lnTo>
                  <a:pt x="727634" y="85786"/>
                </a:lnTo>
                <a:lnTo>
                  <a:pt x="728315" y="85751"/>
                </a:lnTo>
                <a:lnTo>
                  <a:pt x="728996" y="85716"/>
                </a:lnTo>
                <a:lnTo>
                  <a:pt x="729678" y="85681"/>
                </a:lnTo>
                <a:lnTo>
                  <a:pt x="730359" y="85645"/>
                </a:lnTo>
                <a:lnTo>
                  <a:pt x="731040" y="85610"/>
                </a:lnTo>
                <a:lnTo>
                  <a:pt x="731721" y="85574"/>
                </a:lnTo>
                <a:lnTo>
                  <a:pt x="732403" y="85539"/>
                </a:lnTo>
                <a:lnTo>
                  <a:pt x="733084" y="85503"/>
                </a:lnTo>
                <a:lnTo>
                  <a:pt x="733765" y="85468"/>
                </a:lnTo>
                <a:lnTo>
                  <a:pt x="734447" y="85432"/>
                </a:lnTo>
                <a:lnTo>
                  <a:pt x="735128" y="85396"/>
                </a:lnTo>
                <a:lnTo>
                  <a:pt x="735809" y="85360"/>
                </a:lnTo>
                <a:lnTo>
                  <a:pt x="736491" y="85324"/>
                </a:lnTo>
                <a:lnTo>
                  <a:pt x="737172" y="85288"/>
                </a:lnTo>
                <a:lnTo>
                  <a:pt x="737853" y="85252"/>
                </a:lnTo>
                <a:lnTo>
                  <a:pt x="738534" y="85216"/>
                </a:lnTo>
                <a:lnTo>
                  <a:pt x="739216" y="85180"/>
                </a:lnTo>
                <a:lnTo>
                  <a:pt x="739897" y="85143"/>
                </a:lnTo>
                <a:lnTo>
                  <a:pt x="740578" y="85107"/>
                </a:lnTo>
                <a:lnTo>
                  <a:pt x="741260" y="85070"/>
                </a:lnTo>
                <a:lnTo>
                  <a:pt x="741941" y="85034"/>
                </a:lnTo>
                <a:lnTo>
                  <a:pt x="742622" y="84997"/>
                </a:lnTo>
                <a:lnTo>
                  <a:pt x="743304" y="84961"/>
                </a:lnTo>
                <a:lnTo>
                  <a:pt x="743985" y="84924"/>
                </a:lnTo>
                <a:lnTo>
                  <a:pt x="744666" y="84887"/>
                </a:lnTo>
                <a:lnTo>
                  <a:pt x="745348" y="84850"/>
                </a:lnTo>
                <a:lnTo>
                  <a:pt x="746029" y="84813"/>
                </a:lnTo>
                <a:lnTo>
                  <a:pt x="746710" y="84776"/>
                </a:lnTo>
                <a:lnTo>
                  <a:pt x="747391" y="84739"/>
                </a:lnTo>
                <a:lnTo>
                  <a:pt x="748073" y="84702"/>
                </a:lnTo>
                <a:lnTo>
                  <a:pt x="748754" y="84664"/>
                </a:lnTo>
                <a:lnTo>
                  <a:pt x="749435" y="84627"/>
                </a:lnTo>
                <a:lnTo>
                  <a:pt x="750117" y="84590"/>
                </a:lnTo>
                <a:lnTo>
                  <a:pt x="750798" y="84552"/>
                </a:lnTo>
                <a:lnTo>
                  <a:pt x="751479" y="84515"/>
                </a:lnTo>
                <a:lnTo>
                  <a:pt x="752161" y="84477"/>
                </a:lnTo>
                <a:lnTo>
                  <a:pt x="752842" y="84439"/>
                </a:lnTo>
                <a:lnTo>
                  <a:pt x="753523" y="84401"/>
                </a:lnTo>
                <a:lnTo>
                  <a:pt x="754205" y="84364"/>
                </a:lnTo>
                <a:lnTo>
                  <a:pt x="754886" y="84326"/>
                </a:lnTo>
                <a:lnTo>
                  <a:pt x="755567" y="84288"/>
                </a:lnTo>
                <a:lnTo>
                  <a:pt x="756248" y="84250"/>
                </a:lnTo>
                <a:lnTo>
                  <a:pt x="756930" y="84211"/>
                </a:lnTo>
                <a:lnTo>
                  <a:pt x="757611" y="84173"/>
                </a:lnTo>
                <a:lnTo>
                  <a:pt x="758292" y="84135"/>
                </a:lnTo>
                <a:lnTo>
                  <a:pt x="758974" y="84096"/>
                </a:lnTo>
                <a:lnTo>
                  <a:pt x="759655" y="84058"/>
                </a:lnTo>
                <a:lnTo>
                  <a:pt x="760336" y="84019"/>
                </a:lnTo>
                <a:lnTo>
                  <a:pt x="761018" y="83981"/>
                </a:lnTo>
                <a:lnTo>
                  <a:pt x="761699" y="83942"/>
                </a:lnTo>
                <a:lnTo>
                  <a:pt x="762380" y="83903"/>
                </a:lnTo>
                <a:lnTo>
                  <a:pt x="763061" y="83864"/>
                </a:lnTo>
                <a:lnTo>
                  <a:pt x="763743" y="83826"/>
                </a:lnTo>
                <a:lnTo>
                  <a:pt x="764424" y="83787"/>
                </a:lnTo>
                <a:lnTo>
                  <a:pt x="765105" y="83747"/>
                </a:lnTo>
                <a:lnTo>
                  <a:pt x="765787" y="83708"/>
                </a:lnTo>
                <a:lnTo>
                  <a:pt x="766468" y="83669"/>
                </a:lnTo>
                <a:lnTo>
                  <a:pt x="767149" y="83630"/>
                </a:lnTo>
                <a:lnTo>
                  <a:pt x="767831" y="83590"/>
                </a:lnTo>
                <a:lnTo>
                  <a:pt x="768512" y="83551"/>
                </a:lnTo>
                <a:lnTo>
                  <a:pt x="769193" y="83511"/>
                </a:lnTo>
                <a:lnTo>
                  <a:pt x="769875" y="83472"/>
                </a:lnTo>
                <a:lnTo>
                  <a:pt x="770556" y="83432"/>
                </a:lnTo>
                <a:lnTo>
                  <a:pt x="771237" y="83392"/>
                </a:lnTo>
                <a:lnTo>
                  <a:pt x="771918" y="83352"/>
                </a:lnTo>
                <a:lnTo>
                  <a:pt x="772600" y="83313"/>
                </a:lnTo>
                <a:lnTo>
                  <a:pt x="773281" y="83272"/>
                </a:lnTo>
                <a:lnTo>
                  <a:pt x="773962" y="83232"/>
                </a:lnTo>
                <a:lnTo>
                  <a:pt x="774644" y="83192"/>
                </a:lnTo>
                <a:lnTo>
                  <a:pt x="775325" y="83152"/>
                </a:lnTo>
                <a:lnTo>
                  <a:pt x="776006" y="83112"/>
                </a:lnTo>
                <a:lnTo>
                  <a:pt x="776688" y="83071"/>
                </a:lnTo>
                <a:lnTo>
                  <a:pt x="777369" y="83031"/>
                </a:lnTo>
                <a:lnTo>
                  <a:pt x="778050" y="82990"/>
                </a:lnTo>
                <a:lnTo>
                  <a:pt x="778732" y="82950"/>
                </a:lnTo>
                <a:lnTo>
                  <a:pt x="779413" y="82909"/>
                </a:lnTo>
                <a:lnTo>
                  <a:pt x="780094" y="82868"/>
                </a:lnTo>
                <a:lnTo>
                  <a:pt x="780775" y="82827"/>
                </a:lnTo>
                <a:lnTo>
                  <a:pt x="781457" y="82786"/>
                </a:lnTo>
                <a:lnTo>
                  <a:pt x="782138" y="82745"/>
                </a:lnTo>
                <a:lnTo>
                  <a:pt x="782819" y="82704"/>
                </a:lnTo>
                <a:lnTo>
                  <a:pt x="783501" y="82663"/>
                </a:lnTo>
                <a:lnTo>
                  <a:pt x="784182" y="82622"/>
                </a:lnTo>
                <a:lnTo>
                  <a:pt x="784863" y="82580"/>
                </a:lnTo>
                <a:lnTo>
                  <a:pt x="785545" y="82539"/>
                </a:lnTo>
                <a:lnTo>
                  <a:pt x="786226" y="82497"/>
                </a:lnTo>
                <a:lnTo>
                  <a:pt x="786907" y="82456"/>
                </a:lnTo>
                <a:lnTo>
                  <a:pt x="787588" y="82414"/>
                </a:lnTo>
                <a:lnTo>
                  <a:pt x="788270" y="82372"/>
                </a:lnTo>
                <a:lnTo>
                  <a:pt x="788951" y="82330"/>
                </a:lnTo>
                <a:lnTo>
                  <a:pt x="789632" y="82289"/>
                </a:lnTo>
                <a:lnTo>
                  <a:pt x="790314" y="82246"/>
                </a:lnTo>
                <a:lnTo>
                  <a:pt x="790995" y="82204"/>
                </a:lnTo>
                <a:lnTo>
                  <a:pt x="791676" y="82162"/>
                </a:lnTo>
                <a:lnTo>
                  <a:pt x="792358" y="82120"/>
                </a:lnTo>
                <a:lnTo>
                  <a:pt x="793039" y="82078"/>
                </a:lnTo>
                <a:lnTo>
                  <a:pt x="793720" y="82035"/>
                </a:lnTo>
                <a:lnTo>
                  <a:pt x="794402" y="81993"/>
                </a:lnTo>
                <a:lnTo>
                  <a:pt x="795083" y="81950"/>
                </a:lnTo>
                <a:lnTo>
                  <a:pt x="795764" y="81907"/>
                </a:lnTo>
                <a:lnTo>
                  <a:pt x="796445" y="81865"/>
                </a:lnTo>
                <a:lnTo>
                  <a:pt x="797127" y="81822"/>
                </a:lnTo>
                <a:lnTo>
                  <a:pt x="797808" y="81779"/>
                </a:lnTo>
                <a:lnTo>
                  <a:pt x="798489" y="81736"/>
                </a:lnTo>
                <a:lnTo>
                  <a:pt x="799171" y="81693"/>
                </a:lnTo>
                <a:lnTo>
                  <a:pt x="799852" y="81650"/>
                </a:lnTo>
                <a:lnTo>
                  <a:pt x="800533" y="81607"/>
                </a:lnTo>
                <a:lnTo>
                  <a:pt x="801215" y="81563"/>
                </a:lnTo>
                <a:lnTo>
                  <a:pt x="801896" y="81520"/>
                </a:lnTo>
                <a:lnTo>
                  <a:pt x="802577" y="81476"/>
                </a:lnTo>
                <a:lnTo>
                  <a:pt x="803259" y="81433"/>
                </a:lnTo>
                <a:lnTo>
                  <a:pt x="803940" y="81389"/>
                </a:lnTo>
                <a:lnTo>
                  <a:pt x="804621" y="81345"/>
                </a:lnTo>
                <a:lnTo>
                  <a:pt x="805302" y="81301"/>
                </a:lnTo>
                <a:lnTo>
                  <a:pt x="805984" y="81257"/>
                </a:lnTo>
                <a:lnTo>
                  <a:pt x="806665" y="81213"/>
                </a:lnTo>
                <a:lnTo>
                  <a:pt x="807346" y="81169"/>
                </a:lnTo>
                <a:lnTo>
                  <a:pt x="808028" y="81125"/>
                </a:lnTo>
                <a:lnTo>
                  <a:pt x="808709" y="81081"/>
                </a:lnTo>
                <a:lnTo>
                  <a:pt x="809390" y="81037"/>
                </a:lnTo>
                <a:lnTo>
                  <a:pt x="810072" y="80992"/>
                </a:lnTo>
                <a:lnTo>
                  <a:pt x="810753" y="80948"/>
                </a:lnTo>
                <a:lnTo>
                  <a:pt x="811434" y="80903"/>
                </a:lnTo>
                <a:lnTo>
                  <a:pt x="812115" y="80858"/>
                </a:lnTo>
                <a:lnTo>
                  <a:pt x="812797" y="80814"/>
                </a:lnTo>
                <a:lnTo>
                  <a:pt x="813478" y="80769"/>
                </a:lnTo>
                <a:lnTo>
                  <a:pt x="814159" y="80724"/>
                </a:lnTo>
                <a:lnTo>
                  <a:pt x="814841" y="80679"/>
                </a:lnTo>
                <a:lnTo>
                  <a:pt x="815522" y="80634"/>
                </a:lnTo>
                <a:lnTo>
                  <a:pt x="816203" y="80588"/>
                </a:lnTo>
                <a:lnTo>
                  <a:pt x="816885" y="80543"/>
                </a:lnTo>
                <a:lnTo>
                  <a:pt x="817566" y="80498"/>
                </a:lnTo>
                <a:lnTo>
                  <a:pt x="818247" y="80452"/>
                </a:lnTo>
                <a:lnTo>
                  <a:pt x="818929" y="80407"/>
                </a:lnTo>
                <a:lnTo>
                  <a:pt x="819610" y="80361"/>
                </a:lnTo>
                <a:lnTo>
                  <a:pt x="820291" y="80315"/>
                </a:lnTo>
                <a:lnTo>
                  <a:pt x="820972" y="80269"/>
                </a:lnTo>
                <a:lnTo>
                  <a:pt x="821654" y="80224"/>
                </a:lnTo>
                <a:lnTo>
                  <a:pt x="822335" y="80178"/>
                </a:lnTo>
                <a:lnTo>
                  <a:pt x="823016" y="80131"/>
                </a:lnTo>
                <a:lnTo>
                  <a:pt x="823698" y="80085"/>
                </a:lnTo>
                <a:lnTo>
                  <a:pt x="824379" y="80039"/>
                </a:lnTo>
                <a:lnTo>
                  <a:pt x="825060" y="79993"/>
                </a:lnTo>
                <a:lnTo>
                  <a:pt x="825742" y="79946"/>
                </a:lnTo>
                <a:lnTo>
                  <a:pt x="826423" y="79900"/>
                </a:lnTo>
                <a:lnTo>
                  <a:pt x="827104" y="79853"/>
                </a:lnTo>
                <a:lnTo>
                  <a:pt x="827786" y="79806"/>
                </a:lnTo>
                <a:lnTo>
                  <a:pt x="828467" y="79760"/>
                </a:lnTo>
                <a:lnTo>
                  <a:pt x="829148" y="79713"/>
                </a:lnTo>
                <a:lnTo>
                  <a:pt x="829829" y="79666"/>
                </a:lnTo>
                <a:lnTo>
                  <a:pt x="830511" y="79619"/>
                </a:lnTo>
                <a:lnTo>
                  <a:pt x="831192" y="79571"/>
                </a:lnTo>
                <a:lnTo>
                  <a:pt x="831873" y="79524"/>
                </a:lnTo>
                <a:lnTo>
                  <a:pt x="832555" y="79477"/>
                </a:lnTo>
                <a:lnTo>
                  <a:pt x="833236" y="79429"/>
                </a:lnTo>
                <a:lnTo>
                  <a:pt x="833917" y="79382"/>
                </a:lnTo>
                <a:lnTo>
                  <a:pt x="834599" y="79334"/>
                </a:lnTo>
                <a:lnTo>
                  <a:pt x="835280" y="79286"/>
                </a:lnTo>
                <a:lnTo>
                  <a:pt x="835961" y="79239"/>
                </a:lnTo>
                <a:lnTo>
                  <a:pt x="836642" y="79191"/>
                </a:lnTo>
                <a:lnTo>
                  <a:pt x="837324" y="79143"/>
                </a:lnTo>
                <a:lnTo>
                  <a:pt x="838005" y="79095"/>
                </a:lnTo>
                <a:lnTo>
                  <a:pt x="838686" y="79047"/>
                </a:lnTo>
                <a:lnTo>
                  <a:pt x="839368" y="78998"/>
                </a:lnTo>
                <a:lnTo>
                  <a:pt x="840049" y="78950"/>
                </a:lnTo>
                <a:lnTo>
                  <a:pt x="840730" y="78902"/>
                </a:lnTo>
                <a:lnTo>
                  <a:pt x="841412" y="78853"/>
                </a:lnTo>
                <a:lnTo>
                  <a:pt x="842093" y="78804"/>
                </a:lnTo>
                <a:lnTo>
                  <a:pt x="842774" y="78756"/>
                </a:lnTo>
                <a:lnTo>
                  <a:pt x="843456" y="78707"/>
                </a:lnTo>
                <a:lnTo>
                  <a:pt x="844137" y="78658"/>
                </a:lnTo>
                <a:lnTo>
                  <a:pt x="844818" y="78609"/>
                </a:lnTo>
                <a:lnTo>
                  <a:pt x="845499" y="78560"/>
                </a:lnTo>
                <a:lnTo>
                  <a:pt x="846181" y="78511"/>
                </a:lnTo>
                <a:lnTo>
                  <a:pt x="846862" y="78461"/>
                </a:lnTo>
                <a:lnTo>
                  <a:pt x="847543" y="78412"/>
                </a:lnTo>
                <a:lnTo>
                  <a:pt x="848225" y="78363"/>
                </a:lnTo>
                <a:lnTo>
                  <a:pt x="848906" y="78313"/>
                </a:lnTo>
                <a:lnTo>
                  <a:pt x="849587" y="78263"/>
                </a:lnTo>
                <a:lnTo>
                  <a:pt x="850269" y="78214"/>
                </a:lnTo>
                <a:lnTo>
                  <a:pt x="850950" y="78164"/>
                </a:lnTo>
                <a:lnTo>
                  <a:pt x="851631" y="78114"/>
                </a:lnTo>
                <a:lnTo>
                  <a:pt x="852312" y="78064"/>
                </a:lnTo>
                <a:lnTo>
                  <a:pt x="852994" y="78014"/>
                </a:lnTo>
                <a:lnTo>
                  <a:pt x="853675" y="77963"/>
                </a:lnTo>
                <a:lnTo>
                  <a:pt x="854356" y="77913"/>
                </a:lnTo>
                <a:lnTo>
                  <a:pt x="855038" y="77863"/>
                </a:lnTo>
                <a:lnTo>
                  <a:pt x="855719" y="77812"/>
                </a:lnTo>
                <a:lnTo>
                  <a:pt x="856400" y="77761"/>
                </a:lnTo>
                <a:lnTo>
                  <a:pt x="857082" y="77711"/>
                </a:lnTo>
                <a:lnTo>
                  <a:pt x="857763" y="77660"/>
                </a:lnTo>
                <a:lnTo>
                  <a:pt x="858444" y="77609"/>
                </a:lnTo>
                <a:lnTo>
                  <a:pt x="859126" y="77558"/>
                </a:lnTo>
                <a:lnTo>
                  <a:pt x="859807" y="77507"/>
                </a:lnTo>
                <a:lnTo>
                  <a:pt x="860488" y="77456"/>
                </a:lnTo>
                <a:lnTo>
                  <a:pt x="861169" y="77404"/>
                </a:lnTo>
                <a:lnTo>
                  <a:pt x="861851" y="77353"/>
                </a:lnTo>
                <a:lnTo>
                  <a:pt x="862532" y="77302"/>
                </a:lnTo>
                <a:lnTo>
                  <a:pt x="863213" y="77250"/>
                </a:lnTo>
                <a:lnTo>
                  <a:pt x="863895" y="77198"/>
                </a:lnTo>
                <a:lnTo>
                  <a:pt x="864576" y="77147"/>
                </a:lnTo>
                <a:lnTo>
                  <a:pt x="865257" y="77095"/>
                </a:lnTo>
                <a:lnTo>
                  <a:pt x="865939" y="77043"/>
                </a:lnTo>
                <a:lnTo>
                  <a:pt x="866620" y="76991"/>
                </a:lnTo>
                <a:lnTo>
                  <a:pt x="867301" y="76939"/>
                </a:lnTo>
                <a:lnTo>
                  <a:pt x="867983" y="76886"/>
                </a:lnTo>
                <a:lnTo>
                  <a:pt x="868664" y="76834"/>
                </a:lnTo>
                <a:lnTo>
                  <a:pt x="869345" y="76781"/>
                </a:lnTo>
                <a:lnTo>
                  <a:pt x="870026" y="76729"/>
                </a:lnTo>
                <a:lnTo>
                  <a:pt x="870708" y="76676"/>
                </a:lnTo>
                <a:lnTo>
                  <a:pt x="871389" y="76623"/>
                </a:lnTo>
                <a:lnTo>
                  <a:pt x="872070" y="76571"/>
                </a:lnTo>
                <a:lnTo>
                  <a:pt x="872752" y="76518"/>
                </a:lnTo>
                <a:lnTo>
                  <a:pt x="873433" y="76465"/>
                </a:lnTo>
                <a:lnTo>
                  <a:pt x="874114" y="76411"/>
                </a:lnTo>
                <a:lnTo>
                  <a:pt x="874796" y="76358"/>
                </a:lnTo>
                <a:lnTo>
                  <a:pt x="875477" y="76305"/>
                </a:lnTo>
                <a:lnTo>
                  <a:pt x="876158" y="76251"/>
                </a:lnTo>
                <a:lnTo>
                  <a:pt x="876839" y="76198"/>
                </a:lnTo>
                <a:lnTo>
                  <a:pt x="877521" y="76144"/>
                </a:lnTo>
                <a:lnTo>
                  <a:pt x="878202" y="76090"/>
                </a:lnTo>
                <a:lnTo>
                  <a:pt x="878883" y="76036"/>
                </a:lnTo>
                <a:lnTo>
                  <a:pt x="879565" y="75982"/>
                </a:lnTo>
                <a:lnTo>
                  <a:pt x="880246" y="75928"/>
                </a:lnTo>
                <a:lnTo>
                  <a:pt x="880927" y="75874"/>
                </a:lnTo>
                <a:lnTo>
                  <a:pt x="881609" y="75820"/>
                </a:lnTo>
                <a:lnTo>
                  <a:pt x="882290" y="75766"/>
                </a:lnTo>
                <a:lnTo>
                  <a:pt x="882971" y="75711"/>
                </a:lnTo>
                <a:lnTo>
                  <a:pt x="883653" y="75657"/>
                </a:lnTo>
                <a:lnTo>
                  <a:pt x="884334" y="75602"/>
                </a:lnTo>
                <a:lnTo>
                  <a:pt x="885015" y="75547"/>
                </a:lnTo>
                <a:lnTo>
                  <a:pt x="885696" y="75492"/>
                </a:lnTo>
                <a:lnTo>
                  <a:pt x="886378" y="75437"/>
                </a:lnTo>
                <a:lnTo>
                  <a:pt x="887059" y="75382"/>
                </a:lnTo>
                <a:lnTo>
                  <a:pt x="887740" y="75327"/>
                </a:lnTo>
                <a:lnTo>
                  <a:pt x="888422" y="75272"/>
                </a:lnTo>
                <a:lnTo>
                  <a:pt x="889103" y="75216"/>
                </a:lnTo>
                <a:lnTo>
                  <a:pt x="889784" y="75161"/>
                </a:lnTo>
                <a:lnTo>
                  <a:pt x="890466" y="75105"/>
                </a:lnTo>
                <a:lnTo>
                  <a:pt x="891147" y="75049"/>
                </a:lnTo>
                <a:lnTo>
                  <a:pt x="891828" y="74993"/>
                </a:lnTo>
                <a:lnTo>
                  <a:pt x="892510" y="74938"/>
                </a:lnTo>
                <a:lnTo>
                  <a:pt x="893191" y="74882"/>
                </a:lnTo>
                <a:lnTo>
                  <a:pt x="893872" y="74825"/>
                </a:lnTo>
                <a:lnTo>
                  <a:pt x="894553" y="74769"/>
                </a:lnTo>
                <a:lnTo>
                  <a:pt x="895235" y="74713"/>
                </a:lnTo>
                <a:lnTo>
                  <a:pt x="895916" y="74656"/>
                </a:lnTo>
                <a:lnTo>
                  <a:pt x="896597" y="74600"/>
                </a:lnTo>
                <a:lnTo>
                  <a:pt x="897279" y="74543"/>
                </a:lnTo>
                <a:lnTo>
                  <a:pt x="897960" y="74486"/>
                </a:lnTo>
                <a:lnTo>
                  <a:pt x="898641" y="74429"/>
                </a:lnTo>
                <a:lnTo>
                  <a:pt x="899323" y="74372"/>
                </a:lnTo>
                <a:lnTo>
                  <a:pt x="900004" y="74315"/>
                </a:lnTo>
                <a:lnTo>
                  <a:pt x="900685" y="74258"/>
                </a:lnTo>
                <a:lnTo>
                  <a:pt x="901366" y="74201"/>
                </a:lnTo>
                <a:lnTo>
                  <a:pt x="902048" y="74143"/>
                </a:lnTo>
                <a:lnTo>
                  <a:pt x="902729" y="74086"/>
                </a:lnTo>
                <a:lnTo>
                  <a:pt x="903410" y="74028"/>
                </a:lnTo>
                <a:lnTo>
                  <a:pt x="904092" y="73971"/>
                </a:lnTo>
                <a:lnTo>
                  <a:pt x="904773" y="73913"/>
                </a:lnTo>
                <a:lnTo>
                  <a:pt x="905454" y="73855"/>
                </a:lnTo>
                <a:lnTo>
                  <a:pt x="906136" y="73797"/>
                </a:lnTo>
                <a:lnTo>
                  <a:pt x="906817" y="73739"/>
                </a:lnTo>
                <a:lnTo>
                  <a:pt x="907498" y="73680"/>
                </a:lnTo>
                <a:lnTo>
                  <a:pt x="908180" y="73622"/>
                </a:lnTo>
                <a:lnTo>
                  <a:pt x="908861" y="73563"/>
                </a:lnTo>
                <a:lnTo>
                  <a:pt x="909542" y="73505"/>
                </a:lnTo>
                <a:lnTo>
                  <a:pt x="910223" y="73446"/>
                </a:lnTo>
                <a:lnTo>
                  <a:pt x="910905" y="73387"/>
                </a:lnTo>
                <a:lnTo>
                  <a:pt x="911586" y="73328"/>
                </a:lnTo>
                <a:lnTo>
                  <a:pt x="912267" y="73269"/>
                </a:lnTo>
                <a:lnTo>
                  <a:pt x="912949" y="73210"/>
                </a:lnTo>
                <a:lnTo>
                  <a:pt x="913630" y="73151"/>
                </a:lnTo>
                <a:lnTo>
                  <a:pt x="914311" y="73092"/>
                </a:lnTo>
                <a:lnTo>
                  <a:pt x="914993" y="73032"/>
                </a:lnTo>
                <a:lnTo>
                  <a:pt x="915674" y="72973"/>
                </a:lnTo>
                <a:lnTo>
                  <a:pt x="916355" y="72913"/>
                </a:lnTo>
                <a:lnTo>
                  <a:pt x="917037" y="72853"/>
                </a:lnTo>
                <a:lnTo>
                  <a:pt x="917718" y="72793"/>
                </a:lnTo>
                <a:lnTo>
                  <a:pt x="918399" y="72733"/>
                </a:lnTo>
                <a:lnTo>
                  <a:pt x="919080" y="72673"/>
                </a:lnTo>
                <a:lnTo>
                  <a:pt x="919762" y="72613"/>
                </a:lnTo>
                <a:lnTo>
                  <a:pt x="920443" y="72552"/>
                </a:lnTo>
                <a:lnTo>
                  <a:pt x="921124" y="72492"/>
                </a:lnTo>
                <a:lnTo>
                  <a:pt x="921806" y="72431"/>
                </a:lnTo>
                <a:lnTo>
                  <a:pt x="922487" y="72371"/>
                </a:lnTo>
                <a:lnTo>
                  <a:pt x="923168" y="72310"/>
                </a:lnTo>
                <a:lnTo>
                  <a:pt x="923850" y="72249"/>
                </a:lnTo>
                <a:lnTo>
                  <a:pt x="924531" y="72188"/>
                </a:lnTo>
                <a:lnTo>
                  <a:pt x="925212" y="72127"/>
                </a:lnTo>
                <a:lnTo>
                  <a:pt x="925893" y="72065"/>
                </a:lnTo>
                <a:lnTo>
                  <a:pt x="926575" y="72004"/>
                </a:lnTo>
                <a:lnTo>
                  <a:pt x="927256" y="71943"/>
                </a:lnTo>
                <a:lnTo>
                  <a:pt x="927937" y="71881"/>
                </a:lnTo>
                <a:lnTo>
                  <a:pt x="928619" y="71819"/>
                </a:lnTo>
                <a:lnTo>
                  <a:pt x="929300" y="71757"/>
                </a:lnTo>
                <a:lnTo>
                  <a:pt x="929981" y="71695"/>
                </a:lnTo>
                <a:lnTo>
                  <a:pt x="930663" y="71633"/>
                </a:lnTo>
                <a:lnTo>
                  <a:pt x="931344" y="71571"/>
                </a:lnTo>
                <a:lnTo>
                  <a:pt x="932025" y="71509"/>
                </a:lnTo>
                <a:lnTo>
                  <a:pt x="932707" y="71447"/>
                </a:lnTo>
                <a:lnTo>
                  <a:pt x="933388" y="71384"/>
                </a:lnTo>
                <a:lnTo>
                  <a:pt x="934069" y="71321"/>
                </a:lnTo>
                <a:lnTo>
                  <a:pt x="934750" y="71259"/>
                </a:lnTo>
                <a:lnTo>
                  <a:pt x="935432" y="71196"/>
                </a:lnTo>
                <a:lnTo>
                  <a:pt x="936113" y="71133"/>
                </a:lnTo>
                <a:lnTo>
                  <a:pt x="936794" y="71070"/>
                </a:lnTo>
                <a:lnTo>
                  <a:pt x="937476" y="71007"/>
                </a:lnTo>
                <a:lnTo>
                  <a:pt x="938157" y="70943"/>
                </a:lnTo>
                <a:lnTo>
                  <a:pt x="938838" y="70880"/>
                </a:lnTo>
                <a:lnTo>
                  <a:pt x="939520" y="70816"/>
                </a:lnTo>
                <a:lnTo>
                  <a:pt x="940201" y="70753"/>
                </a:lnTo>
                <a:lnTo>
                  <a:pt x="940882" y="70689"/>
                </a:lnTo>
                <a:lnTo>
                  <a:pt x="941563" y="70625"/>
                </a:lnTo>
                <a:lnTo>
                  <a:pt x="942245" y="70561"/>
                </a:lnTo>
                <a:lnTo>
                  <a:pt x="942926" y="70497"/>
                </a:lnTo>
                <a:lnTo>
                  <a:pt x="943607" y="70432"/>
                </a:lnTo>
                <a:lnTo>
                  <a:pt x="944289" y="70368"/>
                </a:lnTo>
                <a:lnTo>
                  <a:pt x="944970" y="70303"/>
                </a:lnTo>
                <a:lnTo>
                  <a:pt x="945651" y="70239"/>
                </a:lnTo>
                <a:lnTo>
                  <a:pt x="946333" y="70174"/>
                </a:lnTo>
                <a:lnTo>
                  <a:pt x="947014" y="70109"/>
                </a:lnTo>
                <a:lnTo>
                  <a:pt x="947695" y="70044"/>
                </a:lnTo>
                <a:lnTo>
                  <a:pt x="948377" y="69979"/>
                </a:lnTo>
                <a:lnTo>
                  <a:pt x="949058" y="69914"/>
                </a:lnTo>
                <a:lnTo>
                  <a:pt x="949739" y="69849"/>
                </a:lnTo>
                <a:lnTo>
                  <a:pt x="950420" y="69783"/>
                </a:lnTo>
                <a:lnTo>
                  <a:pt x="951102" y="69718"/>
                </a:lnTo>
                <a:lnTo>
                  <a:pt x="951783" y="69652"/>
                </a:lnTo>
                <a:lnTo>
                  <a:pt x="952464" y="69586"/>
                </a:lnTo>
                <a:lnTo>
                  <a:pt x="953146" y="69520"/>
                </a:lnTo>
                <a:lnTo>
                  <a:pt x="953827" y="69454"/>
                </a:lnTo>
                <a:lnTo>
                  <a:pt x="954508" y="69388"/>
                </a:lnTo>
                <a:lnTo>
                  <a:pt x="955190" y="69322"/>
                </a:lnTo>
                <a:lnTo>
                  <a:pt x="955871" y="69255"/>
                </a:lnTo>
                <a:lnTo>
                  <a:pt x="956552" y="69189"/>
                </a:lnTo>
                <a:lnTo>
                  <a:pt x="957234" y="69122"/>
                </a:lnTo>
                <a:lnTo>
                  <a:pt x="957915" y="69055"/>
                </a:lnTo>
                <a:lnTo>
                  <a:pt x="958596" y="68988"/>
                </a:lnTo>
                <a:lnTo>
                  <a:pt x="959277" y="68921"/>
                </a:lnTo>
                <a:lnTo>
                  <a:pt x="959959" y="68854"/>
                </a:lnTo>
                <a:lnTo>
                  <a:pt x="960640" y="68787"/>
                </a:lnTo>
                <a:lnTo>
                  <a:pt x="961321" y="68719"/>
                </a:lnTo>
                <a:lnTo>
                  <a:pt x="962003" y="68652"/>
                </a:lnTo>
                <a:lnTo>
                  <a:pt x="962684" y="68584"/>
                </a:lnTo>
                <a:lnTo>
                  <a:pt x="963365" y="68517"/>
                </a:lnTo>
                <a:lnTo>
                  <a:pt x="964047" y="68449"/>
                </a:lnTo>
                <a:lnTo>
                  <a:pt x="964728" y="68381"/>
                </a:lnTo>
                <a:lnTo>
                  <a:pt x="965409" y="68313"/>
                </a:lnTo>
                <a:lnTo>
                  <a:pt x="966090" y="68244"/>
                </a:lnTo>
                <a:lnTo>
                  <a:pt x="966772" y="68176"/>
                </a:lnTo>
                <a:lnTo>
                  <a:pt x="967453" y="68107"/>
                </a:lnTo>
                <a:lnTo>
                  <a:pt x="968134" y="68039"/>
                </a:lnTo>
                <a:lnTo>
                  <a:pt x="968816" y="67970"/>
                </a:lnTo>
                <a:lnTo>
                  <a:pt x="969497" y="67901"/>
                </a:lnTo>
                <a:lnTo>
                  <a:pt x="970178" y="67832"/>
                </a:lnTo>
                <a:lnTo>
                  <a:pt x="970860" y="67763"/>
                </a:lnTo>
                <a:lnTo>
                  <a:pt x="971541" y="67694"/>
                </a:lnTo>
                <a:lnTo>
                  <a:pt x="972222" y="67624"/>
                </a:lnTo>
                <a:lnTo>
                  <a:pt x="972904" y="67555"/>
                </a:lnTo>
                <a:lnTo>
                  <a:pt x="973585" y="67485"/>
                </a:lnTo>
                <a:lnTo>
                  <a:pt x="974266" y="67415"/>
                </a:lnTo>
                <a:lnTo>
                  <a:pt x="974947" y="67346"/>
                </a:lnTo>
                <a:lnTo>
                  <a:pt x="975629" y="67275"/>
                </a:lnTo>
                <a:lnTo>
                  <a:pt x="976310" y="67205"/>
                </a:lnTo>
                <a:lnTo>
                  <a:pt x="976991" y="67135"/>
                </a:lnTo>
                <a:lnTo>
                  <a:pt x="977673" y="67065"/>
                </a:lnTo>
                <a:lnTo>
                  <a:pt x="978354" y="66994"/>
                </a:lnTo>
                <a:lnTo>
                  <a:pt x="979035" y="66924"/>
                </a:lnTo>
                <a:lnTo>
                  <a:pt x="979717" y="66853"/>
                </a:lnTo>
                <a:lnTo>
                  <a:pt x="980398" y="66782"/>
                </a:lnTo>
                <a:lnTo>
                  <a:pt x="981079" y="66711"/>
                </a:lnTo>
                <a:lnTo>
                  <a:pt x="981761" y="66640"/>
                </a:lnTo>
                <a:lnTo>
                  <a:pt x="982442" y="66568"/>
                </a:lnTo>
                <a:lnTo>
                  <a:pt x="983123" y="66497"/>
                </a:lnTo>
                <a:lnTo>
                  <a:pt x="983804" y="66425"/>
                </a:lnTo>
                <a:lnTo>
                  <a:pt x="984486" y="66354"/>
                </a:lnTo>
                <a:lnTo>
                  <a:pt x="985167" y="66282"/>
                </a:lnTo>
                <a:lnTo>
                  <a:pt x="985848" y="66210"/>
                </a:lnTo>
                <a:lnTo>
                  <a:pt x="986530" y="66138"/>
                </a:lnTo>
                <a:lnTo>
                  <a:pt x="987211" y="66066"/>
                </a:lnTo>
                <a:lnTo>
                  <a:pt x="987892" y="65993"/>
                </a:lnTo>
                <a:lnTo>
                  <a:pt x="988574" y="65921"/>
                </a:lnTo>
                <a:lnTo>
                  <a:pt x="989255" y="65848"/>
                </a:lnTo>
                <a:lnTo>
                  <a:pt x="989936" y="65776"/>
                </a:lnTo>
                <a:lnTo>
                  <a:pt x="990617" y="65703"/>
                </a:lnTo>
                <a:lnTo>
                  <a:pt x="991299" y="65630"/>
                </a:lnTo>
                <a:lnTo>
                  <a:pt x="991980" y="65557"/>
                </a:lnTo>
                <a:lnTo>
                  <a:pt x="992661" y="65483"/>
                </a:lnTo>
                <a:lnTo>
                  <a:pt x="993343" y="65410"/>
                </a:lnTo>
                <a:lnTo>
                  <a:pt x="994024" y="65336"/>
                </a:lnTo>
                <a:lnTo>
                  <a:pt x="994705" y="65263"/>
                </a:lnTo>
                <a:lnTo>
                  <a:pt x="995387" y="65189"/>
                </a:lnTo>
                <a:lnTo>
                  <a:pt x="996068" y="65115"/>
                </a:lnTo>
                <a:lnTo>
                  <a:pt x="996749" y="65041"/>
                </a:lnTo>
                <a:lnTo>
                  <a:pt x="997431" y="64967"/>
                </a:lnTo>
                <a:lnTo>
                  <a:pt x="998112" y="64893"/>
                </a:lnTo>
                <a:lnTo>
                  <a:pt x="998793" y="64818"/>
                </a:lnTo>
                <a:lnTo>
                  <a:pt x="999474" y="64744"/>
                </a:lnTo>
                <a:lnTo>
                  <a:pt x="1000156" y="64669"/>
                </a:lnTo>
                <a:lnTo>
                  <a:pt x="1000837" y="64594"/>
                </a:lnTo>
                <a:lnTo>
                  <a:pt x="1001518" y="64519"/>
                </a:lnTo>
                <a:lnTo>
                  <a:pt x="1002200" y="64444"/>
                </a:lnTo>
                <a:lnTo>
                  <a:pt x="1002881" y="64369"/>
                </a:lnTo>
                <a:lnTo>
                  <a:pt x="1003562" y="64293"/>
                </a:lnTo>
                <a:lnTo>
                  <a:pt x="1004244" y="64218"/>
                </a:lnTo>
                <a:lnTo>
                  <a:pt x="1004925" y="64142"/>
                </a:lnTo>
                <a:lnTo>
                  <a:pt x="1005606" y="64066"/>
                </a:lnTo>
                <a:lnTo>
                  <a:pt x="1006288" y="63990"/>
                </a:lnTo>
                <a:lnTo>
                  <a:pt x="1006969" y="63914"/>
                </a:lnTo>
                <a:lnTo>
                  <a:pt x="1007650" y="63838"/>
                </a:lnTo>
                <a:lnTo>
                  <a:pt x="1008331" y="63762"/>
                </a:lnTo>
                <a:lnTo>
                  <a:pt x="1009013" y="63685"/>
                </a:lnTo>
                <a:lnTo>
                  <a:pt x="1009694" y="63609"/>
                </a:lnTo>
                <a:lnTo>
                  <a:pt x="1010375" y="63532"/>
                </a:lnTo>
                <a:lnTo>
                  <a:pt x="1011057" y="63455"/>
                </a:lnTo>
                <a:lnTo>
                  <a:pt x="1011738" y="63378"/>
                </a:lnTo>
                <a:lnTo>
                  <a:pt x="1012419" y="63301"/>
                </a:lnTo>
                <a:lnTo>
                  <a:pt x="1013101" y="63224"/>
                </a:lnTo>
                <a:lnTo>
                  <a:pt x="1013782" y="63146"/>
                </a:lnTo>
                <a:lnTo>
                  <a:pt x="1014463" y="63069"/>
                </a:lnTo>
                <a:lnTo>
                  <a:pt x="1015144" y="62991"/>
                </a:lnTo>
                <a:lnTo>
                  <a:pt x="1015826" y="62913"/>
                </a:lnTo>
                <a:lnTo>
                  <a:pt x="1016507" y="62835"/>
                </a:lnTo>
                <a:lnTo>
                  <a:pt x="1017188" y="62757"/>
                </a:lnTo>
                <a:lnTo>
                  <a:pt x="1017870" y="62679"/>
                </a:lnTo>
                <a:lnTo>
                  <a:pt x="1018551" y="62600"/>
                </a:lnTo>
                <a:lnTo>
                  <a:pt x="1019232" y="62522"/>
                </a:lnTo>
                <a:lnTo>
                  <a:pt x="1019914" y="62443"/>
                </a:lnTo>
                <a:lnTo>
                  <a:pt x="1020595" y="62364"/>
                </a:lnTo>
                <a:lnTo>
                  <a:pt x="1021276" y="62285"/>
                </a:lnTo>
                <a:lnTo>
                  <a:pt x="1021958" y="62206"/>
                </a:lnTo>
                <a:lnTo>
                  <a:pt x="1022639" y="62127"/>
                </a:lnTo>
                <a:lnTo>
                  <a:pt x="1023320" y="62048"/>
                </a:lnTo>
                <a:lnTo>
                  <a:pt x="1024001" y="61968"/>
                </a:lnTo>
                <a:lnTo>
                  <a:pt x="1024683" y="61888"/>
                </a:lnTo>
                <a:lnTo>
                  <a:pt x="1025364" y="61809"/>
                </a:lnTo>
                <a:lnTo>
                  <a:pt x="1026045" y="61729"/>
                </a:lnTo>
                <a:lnTo>
                  <a:pt x="1026727" y="61649"/>
                </a:lnTo>
                <a:lnTo>
                  <a:pt x="1027408" y="61568"/>
                </a:lnTo>
                <a:lnTo>
                  <a:pt x="1028089" y="61488"/>
                </a:lnTo>
                <a:lnTo>
                  <a:pt x="1028771" y="61407"/>
                </a:lnTo>
                <a:lnTo>
                  <a:pt x="1029452" y="61327"/>
                </a:lnTo>
                <a:lnTo>
                  <a:pt x="1030133" y="61246"/>
                </a:lnTo>
                <a:lnTo>
                  <a:pt x="1030814" y="61165"/>
                </a:lnTo>
                <a:lnTo>
                  <a:pt x="1031496" y="61084"/>
                </a:lnTo>
                <a:lnTo>
                  <a:pt x="1032177" y="61003"/>
                </a:lnTo>
                <a:lnTo>
                  <a:pt x="1032858" y="60921"/>
                </a:lnTo>
                <a:lnTo>
                  <a:pt x="1033540" y="60840"/>
                </a:lnTo>
                <a:lnTo>
                  <a:pt x="1034221" y="60758"/>
                </a:lnTo>
                <a:lnTo>
                  <a:pt x="1034902" y="60676"/>
                </a:lnTo>
                <a:lnTo>
                  <a:pt x="1035584" y="60594"/>
                </a:lnTo>
                <a:lnTo>
                  <a:pt x="1036265" y="60512"/>
                </a:lnTo>
                <a:lnTo>
                  <a:pt x="1036946" y="60430"/>
                </a:lnTo>
                <a:lnTo>
                  <a:pt x="1037628" y="60348"/>
                </a:lnTo>
                <a:lnTo>
                  <a:pt x="1038309" y="60265"/>
                </a:lnTo>
                <a:lnTo>
                  <a:pt x="1038990" y="60182"/>
                </a:lnTo>
                <a:lnTo>
                  <a:pt x="1039671" y="60099"/>
                </a:lnTo>
                <a:lnTo>
                  <a:pt x="1040353" y="60016"/>
                </a:lnTo>
                <a:lnTo>
                  <a:pt x="1041034" y="59933"/>
                </a:lnTo>
                <a:lnTo>
                  <a:pt x="1041715" y="59850"/>
                </a:lnTo>
                <a:lnTo>
                  <a:pt x="1042397" y="59767"/>
                </a:lnTo>
                <a:lnTo>
                  <a:pt x="1043078" y="59683"/>
                </a:lnTo>
                <a:lnTo>
                  <a:pt x="1043759" y="59599"/>
                </a:lnTo>
                <a:lnTo>
                  <a:pt x="1044441" y="59516"/>
                </a:lnTo>
                <a:lnTo>
                  <a:pt x="1045122" y="59432"/>
                </a:lnTo>
                <a:lnTo>
                  <a:pt x="1045803" y="59347"/>
                </a:lnTo>
                <a:lnTo>
                  <a:pt x="1046485" y="59263"/>
                </a:lnTo>
                <a:lnTo>
                  <a:pt x="1047166" y="59179"/>
                </a:lnTo>
                <a:lnTo>
                  <a:pt x="1047847" y="59094"/>
                </a:lnTo>
                <a:lnTo>
                  <a:pt x="1048528" y="59009"/>
                </a:lnTo>
                <a:lnTo>
                  <a:pt x="1049210" y="58924"/>
                </a:lnTo>
                <a:lnTo>
                  <a:pt x="1049891" y="58839"/>
                </a:lnTo>
                <a:lnTo>
                  <a:pt x="1050572" y="58754"/>
                </a:lnTo>
                <a:lnTo>
                  <a:pt x="1051254" y="58669"/>
                </a:lnTo>
                <a:lnTo>
                  <a:pt x="1051935" y="58583"/>
                </a:lnTo>
                <a:lnTo>
                  <a:pt x="1052616" y="58498"/>
                </a:lnTo>
                <a:lnTo>
                  <a:pt x="1053298" y="58412"/>
                </a:lnTo>
                <a:lnTo>
                  <a:pt x="1053979" y="58326"/>
                </a:lnTo>
                <a:lnTo>
                  <a:pt x="1054660" y="58240"/>
                </a:lnTo>
                <a:lnTo>
                  <a:pt x="1055341" y="58153"/>
                </a:lnTo>
                <a:lnTo>
                  <a:pt x="1056023" y="58067"/>
                </a:lnTo>
                <a:lnTo>
                  <a:pt x="1056704" y="57981"/>
                </a:lnTo>
                <a:lnTo>
                  <a:pt x="1057385" y="57894"/>
                </a:lnTo>
                <a:lnTo>
                  <a:pt x="1058067" y="57807"/>
                </a:lnTo>
                <a:lnTo>
                  <a:pt x="1058748" y="57720"/>
                </a:lnTo>
                <a:lnTo>
                  <a:pt x="1059429" y="57633"/>
                </a:lnTo>
                <a:lnTo>
                  <a:pt x="1060111" y="57545"/>
                </a:lnTo>
                <a:lnTo>
                  <a:pt x="1060792" y="57458"/>
                </a:lnTo>
                <a:lnTo>
                  <a:pt x="1061473" y="57370"/>
                </a:lnTo>
                <a:lnTo>
                  <a:pt x="1062155" y="57283"/>
                </a:lnTo>
                <a:lnTo>
                  <a:pt x="1062836" y="57195"/>
                </a:lnTo>
                <a:lnTo>
                  <a:pt x="1063517" y="57107"/>
                </a:lnTo>
                <a:lnTo>
                  <a:pt x="1064198" y="57018"/>
                </a:lnTo>
                <a:lnTo>
                  <a:pt x="1064880" y="56930"/>
                </a:lnTo>
                <a:lnTo>
                  <a:pt x="1065561" y="56841"/>
                </a:lnTo>
                <a:lnTo>
                  <a:pt x="1066242" y="56753"/>
                </a:lnTo>
                <a:lnTo>
                  <a:pt x="1066924" y="56664"/>
                </a:lnTo>
                <a:lnTo>
                  <a:pt x="1067605" y="56575"/>
                </a:lnTo>
                <a:lnTo>
                  <a:pt x="1068286" y="56486"/>
                </a:lnTo>
                <a:lnTo>
                  <a:pt x="1068968" y="56396"/>
                </a:lnTo>
                <a:lnTo>
                  <a:pt x="1069649" y="56307"/>
                </a:lnTo>
                <a:lnTo>
                  <a:pt x="1070330" y="56217"/>
                </a:lnTo>
                <a:lnTo>
                  <a:pt x="1071012" y="56127"/>
                </a:lnTo>
                <a:lnTo>
                  <a:pt x="1071693" y="56037"/>
                </a:lnTo>
                <a:lnTo>
                  <a:pt x="1072374" y="55947"/>
                </a:lnTo>
                <a:lnTo>
                  <a:pt x="1073055" y="55857"/>
                </a:lnTo>
                <a:lnTo>
                  <a:pt x="1073737" y="55767"/>
                </a:lnTo>
                <a:lnTo>
                  <a:pt x="1074418" y="55676"/>
                </a:lnTo>
                <a:lnTo>
                  <a:pt x="1075099" y="55585"/>
                </a:lnTo>
                <a:lnTo>
                  <a:pt x="1075781" y="55494"/>
                </a:lnTo>
                <a:lnTo>
                  <a:pt x="1076462" y="55403"/>
                </a:lnTo>
                <a:lnTo>
                  <a:pt x="1077143" y="55312"/>
                </a:lnTo>
                <a:lnTo>
                  <a:pt x="1077825" y="55221"/>
                </a:lnTo>
                <a:lnTo>
                  <a:pt x="1078506" y="55129"/>
                </a:lnTo>
                <a:lnTo>
                  <a:pt x="1079187" y="55038"/>
                </a:lnTo>
                <a:lnTo>
                  <a:pt x="1079868" y="54946"/>
                </a:lnTo>
                <a:lnTo>
                  <a:pt x="1080550" y="54854"/>
                </a:lnTo>
                <a:lnTo>
                  <a:pt x="1081231" y="54762"/>
                </a:lnTo>
                <a:lnTo>
                  <a:pt x="1081912" y="54669"/>
                </a:lnTo>
                <a:lnTo>
                  <a:pt x="1082594" y="54577"/>
                </a:lnTo>
                <a:lnTo>
                  <a:pt x="1083275" y="54484"/>
                </a:lnTo>
                <a:lnTo>
                  <a:pt x="1083956" y="54391"/>
                </a:lnTo>
                <a:lnTo>
                  <a:pt x="1084638" y="54298"/>
                </a:lnTo>
                <a:lnTo>
                  <a:pt x="1085319" y="54205"/>
                </a:lnTo>
                <a:lnTo>
                  <a:pt x="1086000" y="54112"/>
                </a:lnTo>
                <a:lnTo>
                  <a:pt x="1086682" y="54019"/>
                </a:lnTo>
                <a:lnTo>
                  <a:pt x="1087363" y="53925"/>
                </a:lnTo>
                <a:lnTo>
                  <a:pt x="1088044" y="53831"/>
                </a:lnTo>
                <a:lnTo>
                  <a:pt x="1088725" y="53737"/>
                </a:lnTo>
                <a:lnTo>
                  <a:pt x="1089407" y="53643"/>
                </a:lnTo>
                <a:lnTo>
                  <a:pt x="1090088" y="53549"/>
                </a:lnTo>
                <a:lnTo>
                  <a:pt x="1090769" y="53454"/>
                </a:lnTo>
                <a:lnTo>
                  <a:pt x="1091451" y="53360"/>
                </a:lnTo>
                <a:lnTo>
                  <a:pt x="1092132" y="53265"/>
                </a:lnTo>
                <a:lnTo>
                  <a:pt x="1092813" y="53170"/>
                </a:lnTo>
                <a:lnTo>
                  <a:pt x="1093495" y="53075"/>
                </a:lnTo>
                <a:lnTo>
                  <a:pt x="1094176" y="52980"/>
                </a:lnTo>
                <a:lnTo>
                  <a:pt x="1094857" y="52884"/>
                </a:lnTo>
                <a:lnTo>
                  <a:pt x="1095539" y="52789"/>
                </a:lnTo>
                <a:lnTo>
                  <a:pt x="1096220" y="52693"/>
                </a:lnTo>
                <a:lnTo>
                  <a:pt x="1096901" y="52597"/>
                </a:lnTo>
                <a:lnTo>
                  <a:pt x="1097582" y="52501"/>
                </a:lnTo>
                <a:lnTo>
                  <a:pt x="1098264" y="52405"/>
                </a:lnTo>
                <a:lnTo>
                  <a:pt x="1098945" y="52308"/>
                </a:lnTo>
                <a:lnTo>
                  <a:pt x="1099626" y="52212"/>
                </a:lnTo>
                <a:lnTo>
                  <a:pt x="1100308" y="52115"/>
                </a:lnTo>
                <a:lnTo>
                  <a:pt x="1100989" y="52018"/>
                </a:lnTo>
                <a:lnTo>
                  <a:pt x="1101670" y="51921"/>
                </a:lnTo>
                <a:lnTo>
                  <a:pt x="1102352" y="51824"/>
                </a:lnTo>
                <a:lnTo>
                  <a:pt x="1103033" y="51727"/>
                </a:lnTo>
                <a:lnTo>
                  <a:pt x="1103714" y="51629"/>
                </a:lnTo>
                <a:lnTo>
                  <a:pt x="1104395" y="51531"/>
                </a:lnTo>
                <a:lnTo>
                  <a:pt x="1105077" y="51433"/>
                </a:lnTo>
                <a:lnTo>
                  <a:pt x="1105758" y="51335"/>
                </a:lnTo>
                <a:lnTo>
                  <a:pt x="1106439" y="51237"/>
                </a:lnTo>
                <a:lnTo>
                  <a:pt x="1107121" y="51139"/>
                </a:lnTo>
                <a:lnTo>
                  <a:pt x="1107802" y="51040"/>
                </a:lnTo>
                <a:lnTo>
                  <a:pt x="1108483" y="50941"/>
                </a:lnTo>
                <a:lnTo>
                  <a:pt x="1109165" y="50842"/>
                </a:lnTo>
                <a:lnTo>
                  <a:pt x="1109846" y="50743"/>
                </a:lnTo>
                <a:lnTo>
                  <a:pt x="1110527" y="50644"/>
                </a:lnTo>
                <a:lnTo>
                  <a:pt x="1111209" y="50545"/>
                </a:lnTo>
                <a:lnTo>
                  <a:pt x="1111890" y="50445"/>
                </a:lnTo>
                <a:lnTo>
                  <a:pt x="1112571" y="50345"/>
                </a:lnTo>
                <a:lnTo>
                  <a:pt x="1113252" y="50245"/>
                </a:lnTo>
                <a:lnTo>
                  <a:pt x="1113934" y="50145"/>
                </a:lnTo>
                <a:lnTo>
                  <a:pt x="1114615" y="50045"/>
                </a:lnTo>
                <a:lnTo>
                  <a:pt x="1115296" y="49944"/>
                </a:lnTo>
                <a:lnTo>
                  <a:pt x="1115978" y="49844"/>
                </a:lnTo>
                <a:lnTo>
                  <a:pt x="1116659" y="49743"/>
                </a:lnTo>
                <a:lnTo>
                  <a:pt x="1117340" y="49642"/>
                </a:lnTo>
                <a:lnTo>
                  <a:pt x="1118022" y="49541"/>
                </a:lnTo>
                <a:lnTo>
                  <a:pt x="1118703" y="49440"/>
                </a:lnTo>
                <a:lnTo>
                  <a:pt x="1119384" y="49338"/>
                </a:lnTo>
                <a:lnTo>
                  <a:pt x="1120065" y="49236"/>
                </a:lnTo>
                <a:lnTo>
                  <a:pt x="1120747" y="49135"/>
                </a:lnTo>
                <a:lnTo>
                  <a:pt x="1121428" y="49033"/>
                </a:lnTo>
                <a:lnTo>
                  <a:pt x="1122109" y="48930"/>
                </a:lnTo>
                <a:lnTo>
                  <a:pt x="1122791" y="48828"/>
                </a:lnTo>
                <a:lnTo>
                  <a:pt x="1123472" y="48726"/>
                </a:lnTo>
                <a:lnTo>
                  <a:pt x="1124153" y="48623"/>
                </a:lnTo>
                <a:lnTo>
                  <a:pt x="1124835" y="48520"/>
                </a:lnTo>
                <a:lnTo>
                  <a:pt x="1125516" y="48417"/>
                </a:lnTo>
                <a:lnTo>
                  <a:pt x="1126197" y="48314"/>
                </a:lnTo>
                <a:lnTo>
                  <a:pt x="1126879" y="48210"/>
                </a:lnTo>
                <a:lnTo>
                  <a:pt x="1127560" y="48107"/>
                </a:lnTo>
                <a:lnTo>
                  <a:pt x="1128241" y="48003"/>
                </a:lnTo>
                <a:lnTo>
                  <a:pt x="1128922" y="47899"/>
                </a:lnTo>
                <a:lnTo>
                  <a:pt x="1129604" y="47795"/>
                </a:lnTo>
                <a:lnTo>
                  <a:pt x="1130285" y="47691"/>
                </a:lnTo>
                <a:lnTo>
                  <a:pt x="1130966" y="47586"/>
                </a:lnTo>
                <a:lnTo>
                  <a:pt x="1131648" y="47481"/>
                </a:lnTo>
                <a:lnTo>
                  <a:pt x="1132329" y="47377"/>
                </a:lnTo>
                <a:lnTo>
                  <a:pt x="1133010" y="47272"/>
                </a:lnTo>
                <a:lnTo>
                  <a:pt x="1133692" y="47166"/>
                </a:lnTo>
                <a:lnTo>
                  <a:pt x="1134373" y="47061"/>
                </a:lnTo>
                <a:lnTo>
                  <a:pt x="1135054" y="46955"/>
                </a:lnTo>
                <a:lnTo>
                  <a:pt x="1135736" y="46850"/>
                </a:lnTo>
                <a:lnTo>
                  <a:pt x="1136417" y="46744"/>
                </a:lnTo>
                <a:lnTo>
                  <a:pt x="1137098" y="46638"/>
                </a:lnTo>
                <a:lnTo>
                  <a:pt x="1137779" y="46532"/>
                </a:lnTo>
                <a:lnTo>
                  <a:pt x="1138461" y="46425"/>
                </a:lnTo>
                <a:lnTo>
                  <a:pt x="1139142" y="46318"/>
                </a:lnTo>
                <a:lnTo>
                  <a:pt x="1139823" y="46212"/>
                </a:lnTo>
                <a:lnTo>
                  <a:pt x="1140505" y="46105"/>
                </a:lnTo>
                <a:lnTo>
                  <a:pt x="1141186" y="45998"/>
                </a:lnTo>
                <a:lnTo>
                  <a:pt x="1141867" y="45890"/>
                </a:lnTo>
                <a:lnTo>
                  <a:pt x="1142549" y="45783"/>
                </a:lnTo>
                <a:lnTo>
                  <a:pt x="1143230" y="45675"/>
                </a:lnTo>
                <a:lnTo>
                  <a:pt x="1143911" y="45567"/>
                </a:lnTo>
                <a:lnTo>
                  <a:pt x="1144592" y="45459"/>
                </a:lnTo>
                <a:lnTo>
                  <a:pt x="1145274" y="45351"/>
                </a:lnTo>
                <a:lnTo>
                  <a:pt x="1145955" y="45242"/>
                </a:lnTo>
                <a:lnTo>
                  <a:pt x="1146636" y="45134"/>
                </a:lnTo>
                <a:lnTo>
                  <a:pt x="1147318" y="45025"/>
                </a:lnTo>
                <a:lnTo>
                  <a:pt x="1147999" y="44916"/>
                </a:lnTo>
                <a:lnTo>
                  <a:pt x="1148680" y="44807"/>
                </a:lnTo>
                <a:lnTo>
                  <a:pt x="1149362" y="44697"/>
                </a:lnTo>
                <a:lnTo>
                  <a:pt x="1150043" y="44588"/>
                </a:lnTo>
                <a:lnTo>
                  <a:pt x="1150724" y="44478"/>
                </a:lnTo>
                <a:lnTo>
                  <a:pt x="1151406" y="44368"/>
                </a:lnTo>
                <a:lnTo>
                  <a:pt x="1152087" y="44258"/>
                </a:lnTo>
                <a:lnTo>
                  <a:pt x="1152768" y="44148"/>
                </a:lnTo>
                <a:lnTo>
                  <a:pt x="1153449" y="44037"/>
                </a:lnTo>
                <a:lnTo>
                  <a:pt x="1154131" y="43927"/>
                </a:lnTo>
                <a:lnTo>
                  <a:pt x="1154812" y="43816"/>
                </a:lnTo>
                <a:lnTo>
                  <a:pt x="1155493" y="43705"/>
                </a:lnTo>
                <a:lnTo>
                  <a:pt x="1156175" y="43594"/>
                </a:lnTo>
                <a:lnTo>
                  <a:pt x="1156856" y="43482"/>
                </a:lnTo>
                <a:lnTo>
                  <a:pt x="1157537" y="43371"/>
                </a:lnTo>
                <a:lnTo>
                  <a:pt x="1158219" y="43259"/>
                </a:lnTo>
                <a:lnTo>
                  <a:pt x="1158900" y="43147"/>
                </a:lnTo>
                <a:lnTo>
                  <a:pt x="1159581" y="43035"/>
                </a:lnTo>
                <a:lnTo>
                  <a:pt x="1160263" y="42922"/>
                </a:lnTo>
                <a:lnTo>
                  <a:pt x="1160944" y="42810"/>
                </a:lnTo>
                <a:lnTo>
                  <a:pt x="1161625" y="42697"/>
                </a:lnTo>
                <a:lnTo>
                  <a:pt x="1162306" y="42584"/>
                </a:lnTo>
                <a:lnTo>
                  <a:pt x="1162988" y="42471"/>
                </a:lnTo>
                <a:lnTo>
                  <a:pt x="1163669" y="42358"/>
                </a:lnTo>
                <a:lnTo>
                  <a:pt x="1164350" y="42244"/>
                </a:lnTo>
                <a:lnTo>
                  <a:pt x="1165032" y="42131"/>
                </a:lnTo>
                <a:lnTo>
                  <a:pt x="1165713" y="42017"/>
                </a:lnTo>
                <a:lnTo>
                  <a:pt x="1166394" y="41903"/>
                </a:lnTo>
                <a:lnTo>
                  <a:pt x="1167076" y="41789"/>
                </a:lnTo>
                <a:lnTo>
                  <a:pt x="1167757" y="41674"/>
                </a:lnTo>
                <a:lnTo>
                  <a:pt x="1168438" y="41560"/>
                </a:lnTo>
                <a:lnTo>
                  <a:pt x="1169119" y="41445"/>
                </a:lnTo>
                <a:lnTo>
                  <a:pt x="1169801" y="41330"/>
                </a:lnTo>
                <a:lnTo>
                  <a:pt x="1170482" y="41215"/>
                </a:lnTo>
                <a:lnTo>
                  <a:pt x="1171163" y="41099"/>
                </a:lnTo>
                <a:lnTo>
                  <a:pt x="1171845" y="40984"/>
                </a:lnTo>
                <a:lnTo>
                  <a:pt x="1172526" y="40868"/>
                </a:lnTo>
                <a:lnTo>
                  <a:pt x="1173207" y="40752"/>
                </a:lnTo>
                <a:lnTo>
                  <a:pt x="1173889" y="40636"/>
                </a:lnTo>
                <a:lnTo>
                  <a:pt x="1174570" y="40519"/>
                </a:lnTo>
                <a:lnTo>
                  <a:pt x="1175251" y="40403"/>
                </a:lnTo>
                <a:lnTo>
                  <a:pt x="1175933" y="40286"/>
                </a:lnTo>
                <a:lnTo>
                  <a:pt x="1176614" y="40169"/>
                </a:lnTo>
                <a:lnTo>
                  <a:pt x="1177295" y="40052"/>
                </a:lnTo>
                <a:lnTo>
                  <a:pt x="1177976" y="39935"/>
                </a:lnTo>
                <a:lnTo>
                  <a:pt x="1178658" y="39817"/>
                </a:lnTo>
                <a:lnTo>
                  <a:pt x="1179339" y="39700"/>
                </a:lnTo>
                <a:lnTo>
                  <a:pt x="1180020" y="39582"/>
                </a:lnTo>
                <a:lnTo>
                  <a:pt x="1180702" y="39463"/>
                </a:lnTo>
                <a:lnTo>
                  <a:pt x="1181383" y="39345"/>
                </a:lnTo>
                <a:lnTo>
                  <a:pt x="1182064" y="39227"/>
                </a:lnTo>
                <a:lnTo>
                  <a:pt x="1182746" y="39108"/>
                </a:lnTo>
                <a:lnTo>
                  <a:pt x="1183427" y="38989"/>
                </a:lnTo>
                <a:lnTo>
                  <a:pt x="1184108" y="38870"/>
                </a:lnTo>
                <a:lnTo>
                  <a:pt x="1184790" y="38751"/>
                </a:lnTo>
                <a:lnTo>
                  <a:pt x="1185471" y="38631"/>
                </a:lnTo>
                <a:lnTo>
                  <a:pt x="1186152" y="38512"/>
                </a:lnTo>
                <a:lnTo>
                  <a:pt x="1186833" y="38392"/>
                </a:lnTo>
                <a:lnTo>
                  <a:pt x="1187515" y="38272"/>
                </a:lnTo>
                <a:lnTo>
                  <a:pt x="1188196" y="38151"/>
                </a:lnTo>
                <a:lnTo>
                  <a:pt x="1188877" y="38031"/>
                </a:lnTo>
                <a:lnTo>
                  <a:pt x="1189559" y="37910"/>
                </a:lnTo>
                <a:lnTo>
                  <a:pt x="1190240" y="37789"/>
                </a:lnTo>
                <a:lnTo>
                  <a:pt x="1190921" y="37668"/>
                </a:lnTo>
                <a:lnTo>
                  <a:pt x="1191603" y="37547"/>
                </a:lnTo>
                <a:lnTo>
                  <a:pt x="1192284" y="37425"/>
                </a:lnTo>
                <a:lnTo>
                  <a:pt x="1192965" y="37304"/>
                </a:lnTo>
                <a:lnTo>
                  <a:pt x="1193646" y="37182"/>
                </a:lnTo>
                <a:lnTo>
                  <a:pt x="1194328" y="37060"/>
                </a:lnTo>
                <a:lnTo>
                  <a:pt x="1195009" y="36937"/>
                </a:lnTo>
                <a:lnTo>
                  <a:pt x="1195690" y="36815"/>
                </a:lnTo>
                <a:lnTo>
                  <a:pt x="1196372" y="36692"/>
                </a:lnTo>
                <a:lnTo>
                  <a:pt x="1197053" y="36569"/>
                </a:lnTo>
                <a:lnTo>
                  <a:pt x="1197734" y="36446"/>
                </a:lnTo>
                <a:lnTo>
                  <a:pt x="1198416" y="36323"/>
                </a:lnTo>
                <a:lnTo>
                  <a:pt x="1199097" y="36199"/>
                </a:lnTo>
                <a:lnTo>
                  <a:pt x="1199778" y="36076"/>
                </a:lnTo>
                <a:lnTo>
                  <a:pt x="1200460" y="35952"/>
                </a:lnTo>
                <a:lnTo>
                  <a:pt x="1201141" y="35828"/>
                </a:lnTo>
                <a:lnTo>
                  <a:pt x="1201822" y="35703"/>
                </a:lnTo>
                <a:lnTo>
                  <a:pt x="1202503" y="35579"/>
                </a:lnTo>
                <a:lnTo>
                  <a:pt x="1203185" y="35454"/>
                </a:lnTo>
                <a:lnTo>
                  <a:pt x="1203866" y="35329"/>
                </a:lnTo>
                <a:lnTo>
                  <a:pt x="1204547" y="35204"/>
                </a:lnTo>
                <a:lnTo>
                  <a:pt x="1205229" y="35079"/>
                </a:lnTo>
                <a:lnTo>
                  <a:pt x="1205910" y="34953"/>
                </a:lnTo>
                <a:lnTo>
                  <a:pt x="1206591" y="34827"/>
                </a:lnTo>
                <a:lnTo>
                  <a:pt x="1207273" y="34701"/>
                </a:lnTo>
                <a:lnTo>
                  <a:pt x="1207954" y="34575"/>
                </a:lnTo>
                <a:lnTo>
                  <a:pt x="1208635" y="34449"/>
                </a:lnTo>
                <a:lnTo>
                  <a:pt x="1209316" y="34322"/>
                </a:lnTo>
                <a:lnTo>
                  <a:pt x="1209998" y="34195"/>
                </a:lnTo>
                <a:lnTo>
                  <a:pt x="1210679" y="34068"/>
                </a:lnTo>
                <a:lnTo>
                  <a:pt x="1211360" y="33941"/>
                </a:lnTo>
                <a:lnTo>
                  <a:pt x="1212042" y="33814"/>
                </a:lnTo>
                <a:lnTo>
                  <a:pt x="1212723" y="33686"/>
                </a:lnTo>
                <a:lnTo>
                  <a:pt x="1213404" y="33558"/>
                </a:lnTo>
                <a:lnTo>
                  <a:pt x="1214086" y="33430"/>
                </a:lnTo>
                <a:lnTo>
                  <a:pt x="1214767" y="33302"/>
                </a:lnTo>
                <a:lnTo>
                  <a:pt x="1215448" y="33174"/>
                </a:lnTo>
                <a:lnTo>
                  <a:pt x="1216130" y="33045"/>
                </a:lnTo>
                <a:lnTo>
                  <a:pt x="1216811" y="32916"/>
                </a:lnTo>
                <a:lnTo>
                  <a:pt x="1217492" y="32787"/>
                </a:lnTo>
                <a:lnTo>
                  <a:pt x="1218173" y="32658"/>
                </a:lnTo>
                <a:lnTo>
                  <a:pt x="1218855" y="32528"/>
                </a:lnTo>
                <a:lnTo>
                  <a:pt x="1219536" y="32398"/>
                </a:lnTo>
                <a:lnTo>
                  <a:pt x="1220217" y="32268"/>
                </a:lnTo>
                <a:lnTo>
                  <a:pt x="1220899" y="32138"/>
                </a:lnTo>
                <a:lnTo>
                  <a:pt x="1221580" y="32008"/>
                </a:lnTo>
                <a:lnTo>
                  <a:pt x="1222261" y="31877"/>
                </a:lnTo>
                <a:lnTo>
                  <a:pt x="1222943" y="31746"/>
                </a:lnTo>
                <a:lnTo>
                  <a:pt x="1223624" y="31615"/>
                </a:lnTo>
                <a:lnTo>
                  <a:pt x="1224305" y="31484"/>
                </a:lnTo>
                <a:lnTo>
                  <a:pt x="1224987" y="31353"/>
                </a:lnTo>
                <a:lnTo>
                  <a:pt x="1225668" y="31221"/>
                </a:lnTo>
                <a:lnTo>
                  <a:pt x="1226349" y="31089"/>
                </a:lnTo>
                <a:lnTo>
                  <a:pt x="1227030" y="30957"/>
                </a:lnTo>
                <a:lnTo>
                  <a:pt x="1227712" y="30825"/>
                </a:lnTo>
                <a:lnTo>
                  <a:pt x="1228393" y="30692"/>
                </a:lnTo>
                <a:lnTo>
                  <a:pt x="1229074" y="30559"/>
                </a:lnTo>
                <a:lnTo>
                  <a:pt x="1229756" y="30427"/>
                </a:lnTo>
                <a:lnTo>
                  <a:pt x="1230437" y="30293"/>
                </a:lnTo>
                <a:lnTo>
                  <a:pt x="1231118" y="30160"/>
                </a:lnTo>
                <a:lnTo>
                  <a:pt x="1231800" y="30026"/>
                </a:lnTo>
                <a:lnTo>
                  <a:pt x="1232481" y="29893"/>
                </a:lnTo>
                <a:lnTo>
                  <a:pt x="1233162" y="29759"/>
                </a:lnTo>
                <a:lnTo>
                  <a:pt x="1233843" y="29624"/>
                </a:lnTo>
                <a:lnTo>
                  <a:pt x="1234525" y="29490"/>
                </a:lnTo>
                <a:lnTo>
                  <a:pt x="1235206" y="29355"/>
                </a:lnTo>
                <a:lnTo>
                  <a:pt x="1235887" y="29220"/>
                </a:lnTo>
                <a:lnTo>
                  <a:pt x="1236569" y="29085"/>
                </a:lnTo>
                <a:lnTo>
                  <a:pt x="1237250" y="28950"/>
                </a:lnTo>
                <a:lnTo>
                  <a:pt x="1237931" y="28814"/>
                </a:lnTo>
                <a:lnTo>
                  <a:pt x="1238613" y="28678"/>
                </a:lnTo>
                <a:lnTo>
                  <a:pt x="1239294" y="28542"/>
                </a:lnTo>
                <a:lnTo>
                  <a:pt x="1239975" y="28406"/>
                </a:lnTo>
                <a:lnTo>
                  <a:pt x="1240657" y="28270"/>
                </a:lnTo>
                <a:lnTo>
                  <a:pt x="1241338" y="28133"/>
                </a:lnTo>
                <a:lnTo>
                  <a:pt x="1242019" y="27996"/>
                </a:lnTo>
                <a:lnTo>
                  <a:pt x="1242700" y="27859"/>
                </a:lnTo>
                <a:lnTo>
                  <a:pt x="1243382" y="27722"/>
                </a:lnTo>
                <a:lnTo>
                  <a:pt x="1244063" y="27584"/>
                </a:lnTo>
                <a:lnTo>
                  <a:pt x="1244744" y="27446"/>
                </a:lnTo>
                <a:lnTo>
                  <a:pt x="1245426" y="27308"/>
                </a:lnTo>
                <a:lnTo>
                  <a:pt x="1246107" y="27170"/>
                </a:lnTo>
                <a:lnTo>
                  <a:pt x="1246788" y="27032"/>
                </a:lnTo>
                <a:lnTo>
                  <a:pt x="1247470" y="26893"/>
                </a:lnTo>
                <a:lnTo>
                  <a:pt x="1248151" y="26754"/>
                </a:lnTo>
                <a:lnTo>
                  <a:pt x="1248832" y="26615"/>
                </a:lnTo>
                <a:lnTo>
                  <a:pt x="1249514" y="26476"/>
                </a:lnTo>
                <a:lnTo>
                  <a:pt x="1250195" y="26336"/>
                </a:lnTo>
                <a:lnTo>
                  <a:pt x="1250876" y="26196"/>
                </a:lnTo>
                <a:lnTo>
                  <a:pt x="1251557" y="26056"/>
                </a:lnTo>
                <a:lnTo>
                  <a:pt x="1252239" y="25916"/>
                </a:lnTo>
                <a:lnTo>
                  <a:pt x="1252920" y="25776"/>
                </a:lnTo>
                <a:lnTo>
                  <a:pt x="1253601" y="25635"/>
                </a:lnTo>
                <a:lnTo>
                  <a:pt x="1254283" y="25494"/>
                </a:lnTo>
                <a:lnTo>
                  <a:pt x="1254964" y="25353"/>
                </a:lnTo>
                <a:lnTo>
                  <a:pt x="1255645" y="25211"/>
                </a:lnTo>
                <a:lnTo>
                  <a:pt x="1256327" y="25070"/>
                </a:lnTo>
                <a:lnTo>
                  <a:pt x="1257008" y="24928"/>
                </a:lnTo>
                <a:lnTo>
                  <a:pt x="1257689" y="24786"/>
                </a:lnTo>
                <a:lnTo>
                  <a:pt x="1258370" y="24644"/>
                </a:lnTo>
                <a:lnTo>
                  <a:pt x="1259052" y="24501"/>
                </a:lnTo>
                <a:lnTo>
                  <a:pt x="1259733" y="24358"/>
                </a:lnTo>
                <a:lnTo>
                  <a:pt x="1260414" y="24215"/>
                </a:lnTo>
                <a:lnTo>
                  <a:pt x="1261096" y="24072"/>
                </a:lnTo>
                <a:lnTo>
                  <a:pt x="1261777" y="23929"/>
                </a:lnTo>
                <a:lnTo>
                  <a:pt x="1262458" y="23785"/>
                </a:lnTo>
                <a:lnTo>
                  <a:pt x="1263140" y="23641"/>
                </a:lnTo>
                <a:lnTo>
                  <a:pt x="1263821" y="23497"/>
                </a:lnTo>
                <a:lnTo>
                  <a:pt x="1264502" y="23353"/>
                </a:lnTo>
                <a:lnTo>
                  <a:pt x="1265184" y="23208"/>
                </a:lnTo>
                <a:lnTo>
                  <a:pt x="1265865" y="23063"/>
                </a:lnTo>
                <a:lnTo>
                  <a:pt x="1266546" y="22918"/>
                </a:lnTo>
                <a:lnTo>
                  <a:pt x="1267227" y="22773"/>
                </a:lnTo>
                <a:lnTo>
                  <a:pt x="1267909" y="22628"/>
                </a:lnTo>
                <a:lnTo>
                  <a:pt x="1268590" y="22482"/>
                </a:lnTo>
                <a:lnTo>
                  <a:pt x="1269271" y="22336"/>
                </a:lnTo>
                <a:lnTo>
                  <a:pt x="1269953" y="22190"/>
                </a:lnTo>
                <a:lnTo>
                  <a:pt x="1270634" y="22043"/>
                </a:lnTo>
                <a:lnTo>
                  <a:pt x="1271315" y="21896"/>
                </a:lnTo>
                <a:lnTo>
                  <a:pt x="1271997" y="21750"/>
                </a:lnTo>
                <a:lnTo>
                  <a:pt x="1272678" y="21602"/>
                </a:lnTo>
                <a:lnTo>
                  <a:pt x="1273359" y="21455"/>
                </a:lnTo>
                <a:lnTo>
                  <a:pt x="1274041" y="21307"/>
                </a:lnTo>
                <a:lnTo>
                  <a:pt x="1274722" y="21160"/>
                </a:lnTo>
                <a:lnTo>
                  <a:pt x="1275403" y="21011"/>
                </a:lnTo>
                <a:lnTo>
                  <a:pt x="1276084" y="20863"/>
                </a:lnTo>
                <a:lnTo>
                  <a:pt x="1276766" y="20715"/>
                </a:lnTo>
                <a:lnTo>
                  <a:pt x="1277447" y="20566"/>
                </a:lnTo>
                <a:lnTo>
                  <a:pt x="1278128" y="20417"/>
                </a:lnTo>
                <a:lnTo>
                  <a:pt x="1278810" y="20267"/>
                </a:lnTo>
                <a:lnTo>
                  <a:pt x="1279491" y="20118"/>
                </a:lnTo>
                <a:lnTo>
                  <a:pt x="1280172" y="19968"/>
                </a:lnTo>
                <a:lnTo>
                  <a:pt x="1280854" y="19818"/>
                </a:lnTo>
                <a:lnTo>
                  <a:pt x="1281535" y="19668"/>
                </a:lnTo>
                <a:lnTo>
                  <a:pt x="1282216" y="19518"/>
                </a:lnTo>
                <a:lnTo>
                  <a:pt x="1282897" y="19367"/>
                </a:lnTo>
                <a:lnTo>
                  <a:pt x="1283579" y="19216"/>
                </a:lnTo>
                <a:lnTo>
                  <a:pt x="1284260" y="19065"/>
                </a:lnTo>
                <a:lnTo>
                  <a:pt x="1284941" y="18913"/>
                </a:lnTo>
                <a:lnTo>
                  <a:pt x="1285623" y="18762"/>
                </a:lnTo>
                <a:lnTo>
                  <a:pt x="1286304" y="18610"/>
                </a:lnTo>
                <a:lnTo>
                  <a:pt x="1286985" y="18458"/>
                </a:lnTo>
                <a:lnTo>
                  <a:pt x="1287667" y="18305"/>
                </a:lnTo>
                <a:lnTo>
                  <a:pt x="1288348" y="18153"/>
                </a:lnTo>
                <a:lnTo>
                  <a:pt x="1289029" y="18000"/>
                </a:lnTo>
                <a:lnTo>
                  <a:pt x="1289711" y="17847"/>
                </a:lnTo>
                <a:lnTo>
                  <a:pt x="1290392" y="17693"/>
                </a:lnTo>
                <a:lnTo>
                  <a:pt x="1291073" y="17540"/>
                </a:lnTo>
                <a:lnTo>
                  <a:pt x="1291754" y="17386"/>
                </a:lnTo>
                <a:lnTo>
                  <a:pt x="1292436" y="17232"/>
                </a:lnTo>
                <a:lnTo>
                  <a:pt x="1293117" y="17077"/>
                </a:lnTo>
                <a:lnTo>
                  <a:pt x="1293798" y="16923"/>
                </a:lnTo>
                <a:lnTo>
                  <a:pt x="1294480" y="16768"/>
                </a:lnTo>
                <a:lnTo>
                  <a:pt x="1295161" y="16613"/>
                </a:lnTo>
                <a:lnTo>
                  <a:pt x="1295842" y="16458"/>
                </a:lnTo>
                <a:lnTo>
                  <a:pt x="1296524" y="16302"/>
                </a:lnTo>
                <a:lnTo>
                  <a:pt x="1297205" y="16146"/>
                </a:lnTo>
                <a:lnTo>
                  <a:pt x="1297886" y="15990"/>
                </a:lnTo>
                <a:lnTo>
                  <a:pt x="1298567" y="15834"/>
                </a:lnTo>
                <a:lnTo>
                  <a:pt x="1299249" y="15677"/>
                </a:lnTo>
                <a:lnTo>
                  <a:pt x="1299930" y="15521"/>
                </a:lnTo>
                <a:lnTo>
                  <a:pt x="1300611" y="15364"/>
                </a:lnTo>
                <a:lnTo>
                  <a:pt x="1301293" y="15206"/>
                </a:lnTo>
                <a:lnTo>
                  <a:pt x="1301974" y="15049"/>
                </a:lnTo>
                <a:lnTo>
                  <a:pt x="1302655" y="14891"/>
                </a:lnTo>
                <a:lnTo>
                  <a:pt x="1303337" y="14733"/>
                </a:lnTo>
                <a:lnTo>
                  <a:pt x="1304018" y="14575"/>
                </a:lnTo>
                <a:lnTo>
                  <a:pt x="1304699" y="14416"/>
                </a:lnTo>
                <a:lnTo>
                  <a:pt x="1305381" y="14258"/>
                </a:lnTo>
                <a:lnTo>
                  <a:pt x="1306062" y="14099"/>
                </a:lnTo>
                <a:lnTo>
                  <a:pt x="1306743" y="13939"/>
                </a:lnTo>
                <a:lnTo>
                  <a:pt x="1307424" y="13780"/>
                </a:lnTo>
                <a:lnTo>
                  <a:pt x="1308106" y="13620"/>
                </a:lnTo>
                <a:lnTo>
                  <a:pt x="1308787" y="13460"/>
                </a:lnTo>
                <a:lnTo>
                  <a:pt x="1309468" y="13300"/>
                </a:lnTo>
                <a:lnTo>
                  <a:pt x="1310150" y="13139"/>
                </a:lnTo>
                <a:lnTo>
                  <a:pt x="1310831" y="12978"/>
                </a:lnTo>
                <a:lnTo>
                  <a:pt x="1311512" y="12817"/>
                </a:lnTo>
                <a:lnTo>
                  <a:pt x="1312194" y="12656"/>
                </a:lnTo>
                <a:lnTo>
                  <a:pt x="1312875" y="12495"/>
                </a:lnTo>
                <a:lnTo>
                  <a:pt x="1313556" y="12333"/>
                </a:lnTo>
                <a:lnTo>
                  <a:pt x="1314238" y="12171"/>
                </a:lnTo>
                <a:lnTo>
                  <a:pt x="1314919" y="12008"/>
                </a:lnTo>
                <a:lnTo>
                  <a:pt x="1315600" y="11846"/>
                </a:lnTo>
                <a:lnTo>
                  <a:pt x="1316281" y="11683"/>
                </a:lnTo>
                <a:lnTo>
                  <a:pt x="1316963" y="11520"/>
                </a:lnTo>
                <a:lnTo>
                  <a:pt x="1317644" y="11357"/>
                </a:lnTo>
                <a:lnTo>
                  <a:pt x="1318325" y="11193"/>
                </a:lnTo>
                <a:lnTo>
                  <a:pt x="1319007" y="11029"/>
                </a:lnTo>
                <a:lnTo>
                  <a:pt x="1319688" y="10865"/>
                </a:lnTo>
                <a:lnTo>
                  <a:pt x="1320369" y="10701"/>
                </a:lnTo>
                <a:lnTo>
                  <a:pt x="1321051" y="10536"/>
                </a:lnTo>
                <a:lnTo>
                  <a:pt x="1321732" y="10372"/>
                </a:lnTo>
                <a:lnTo>
                  <a:pt x="1322413" y="10207"/>
                </a:lnTo>
                <a:lnTo>
                  <a:pt x="1323094" y="10041"/>
                </a:lnTo>
                <a:lnTo>
                  <a:pt x="1323776" y="9876"/>
                </a:lnTo>
                <a:lnTo>
                  <a:pt x="1324457" y="9710"/>
                </a:lnTo>
                <a:lnTo>
                  <a:pt x="1325138" y="9544"/>
                </a:lnTo>
                <a:lnTo>
                  <a:pt x="1325820" y="9377"/>
                </a:lnTo>
                <a:lnTo>
                  <a:pt x="1326501" y="9211"/>
                </a:lnTo>
                <a:lnTo>
                  <a:pt x="1327182" y="9044"/>
                </a:lnTo>
                <a:lnTo>
                  <a:pt x="1327864" y="8877"/>
                </a:lnTo>
                <a:lnTo>
                  <a:pt x="1328545" y="8709"/>
                </a:lnTo>
                <a:lnTo>
                  <a:pt x="1329226" y="8541"/>
                </a:lnTo>
                <a:lnTo>
                  <a:pt x="1329908" y="8373"/>
                </a:lnTo>
                <a:lnTo>
                  <a:pt x="1330589" y="8205"/>
                </a:lnTo>
                <a:lnTo>
                  <a:pt x="1331270" y="8037"/>
                </a:lnTo>
                <a:lnTo>
                  <a:pt x="1331951" y="7868"/>
                </a:lnTo>
                <a:lnTo>
                  <a:pt x="1332633" y="7699"/>
                </a:lnTo>
                <a:lnTo>
                  <a:pt x="1333314" y="7530"/>
                </a:lnTo>
                <a:lnTo>
                  <a:pt x="1333995" y="7360"/>
                </a:lnTo>
                <a:lnTo>
                  <a:pt x="1334677" y="7191"/>
                </a:lnTo>
                <a:lnTo>
                  <a:pt x="1335358" y="7020"/>
                </a:lnTo>
                <a:lnTo>
                  <a:pt x="1336039" y="6850"/>
                </a:lnTo>
                <a:lnTo>
                  <a:pt x="1336721" y="6680"/>
                </a:lnTo>
                <a:lnTo>
                  <a:pt x="1337402" y="6509"/>
                </a:lnTo>
                <a:lnTo>
                  <a:pt x="1338083" y="6338"/>
                </a:lnTo>
                <a:lnTo>
                  <a:pt x="1338765" y="6166"/>
                </a:lnTo>
                <a:lnTo>
                  <a:pt x="1339446" y="5995"/>
                </a:lnTo>
                <a:lnTo>
                  <a:pt x="1340127" y="5823"/>
                </a:lnTo>
                <a:lnTo>
                  <a:pt x="1340808" y="5651"/>
                </a:lnTo>
                <a:lnTo>
                  <a:pt x="1341490" y="5478"/>
                </a:lnTo>
                <a:lnTo>
                  <a:pt x="1342171" y="5306"/>
                </a:lnTo>
                <a:lnTo>
                  <a:pt x="1342852" y="5133"/>
                </a:lnTo>
                <a:lnTo>
                  <a:pt x="1343534" y="4959"/>
                </a:lnTo>
                <a:lnTo>
                  <a:pt x="1344215" y="4786"/>
                </a:lnTo>
                <a:lnTo>
                  <a:pt x="1344896" y="4612"/>
                </a:lnTo>
                <a:lnTo>
                  <a:pt x="1345578" y="4438"/>
                </a:lnTo>
                <a:lnTo>
                  <a:pt x="1346259" y="4264"/>
                </a:lnTo>
                <a:lnTo>
                  <a:pt x="1346940" y="4089"/>
                </a:lnTo>
                <a:lnTo>
                  <a:pt x="1347621" y="3914"/>
                </a:lnTo>
                <a:lnTo>
                  <a:pt x="1348303" y="3739"/>
                </a:lnTo>
                <a:lnTo>
                  <a:pt x="1348984" y="3564"/>
                </a:lnTo>
                <a:lnTo>
                  <a:pt x="1349665" y="3388"/>
                </a:lnTo>
                <a:lnTo>
                  <a:pt x="1350347" y="3212"/>
                </a:lnTo>
                <a:lnTo>
                  <a:pt x="1351028" y="3036"/>
                </a:lnTo>
                <a:lnTo>
                  <a:pt x="1351709" y="2860"/>
                </a:lnTo>
                <a:lnTo>
                  <a:pt x="1352391" y="2683"/>
                </a:lnTo>
                <a:lnTo>
                  <a:pt x="1353072" y="2506"/>
                </a:lnTo>
                <a:lnTo>
                  <a:pt x="1353753" y="2329"/>
                </a:lnTo>
                <a:lnTo>
                  <a:pt x="1354435" y="2151"/>
                </a:lnTo>
                <a:lnTo>
                  <a:pt x="1355116" y="1973"/>
                </a:lnTo>
                <a:lnTo>
                  <a:pt x="1355797" y="1795"/>
                </a:lnTo>
                <a:lnTo>
                  <a:pt x="1356478" y="1617"/>
                </a:lnTo>
                <a:lnTo>
                  <a:pt x="1357160" y="1438"/>
                </a:lnTo>
                <a:lnTo>
                  <a:pt x="1357841" y="1260"/>
                </a:lnTo>
                <a:lnTo>
                  <a:pt x="1358522" y="1080"/>
                </a:lnTo>
                <a:lnTo>
                  <a:pt x="1359204" y="901"/>
                </a:lnTo>
                <a:lnTo>
                  <a:pt x="1359885" y="721"/>
                </a:lnTo>
                <a:lnTo>
                  <a:pt x="1360566" y="541"/>
                </a:lnTo>
                <a:lnTo>
                  <a:pt x="1361248" y="361"/>
                </a:lnTo>
                <a:lnTo>
                  <a:pt x="1361929" y="180"/>
                </a:lnTo>
                <a:lnTo>
                  <a:pt x="1362610" y="0"/>
                </a:lnTo>
                <a:lnTo>
                  <a:pt x="1362610" y="101793"/>
                </a:lnTo>
                <a:close/>
              </a:path>
            </a:pathLst>
          </a:custGeom>
          <a:solidFill>
            <a:srgbClr val="E5E5E5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63" name="pg134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>
            <a:off x="8152480" y="4164551"/>
            <a:ext cx="849462" cy="62092"/>
          </a:xfrm>
          <a:custGeom>
            <a:avLst/>
            <a:gdLst/>
            <a:ahLst/>
            <a:cxnLst/>
            <a:rect l="0" t="0" r="0" b="0"/>
            <a:pathLst>
              <a:path w="1362610" h="101793">
                <a:moveTo>
                  <a:pt x="0" y="101793"/>
                </a:moveTo>
                <a:lnTo>
                  <a:pt x="0" y="0"/>
                </a:lnTo>
                <a:lnTo>
                  <a:pt x="681" y="180"/>
                </a:lnTo>
                <a:lnTo>
                  <a:pt x="1362" y="361"/>
                </a:lnTo>
                <a:lnTo>
                  <a:pt x="2043" y="541"/>
                </a:lnTo>
                <a:lnTo>
                  <a:pt x="2725" y="721"/>
                </a:lnTo>
                <a:lnTo>
                  <a:pt x="3406" y="901"/>
                </a:lnTo>
                <a:lnTo>
                  <a:pt x="4087" y="1080"/>
                </a:lnTo>
                <a:lnTo>
                  <a:pt x="4769" y="1260"/>
                </a:lnTo>
                <a:lnTo>
                  <a:pt x="5450" y="1438"/>
                </a:lnTo>
                <a:lnTo>
                  <a:pt x="6131" y="1617"/>
                </a:lnTo>
                <a:lnTo>
                  <a:pt x="6813" y="1795"/>
                </a:lnTo>
                <a:lnTo>
                  <a:pt x="7494" y="1973"/>
                </a:lnTo>
                <a:lnTo>
                  <a:pt x="8175" y="2151"/>
                </a:lnTo>
                <a:lnTo>
                  <a:pt x="8856" y="2329"/>
                </a:lnTo>
                <a:lnTo>
                  <a:pt x="9538" y="2506"/>
                </a:lnTo>
                <a:lnTo>
                  <a:pt x="10219" y="2683"/>
                </a:lnTo>
                <a:lnTo>
                  <a:pt x="10900" y="2860"/>
                </a:lnTo>
                <a:lnTo>
                  <a:pt x="11582" y="3036"/>
                </a:lnTo>
                <a:lnTo>
                  <a:pt x="12263" y="3212"/>
                </a:lnTo>
                <a:lnTo>
                  <a:pt x="12944" y="3388"/>
                </a:lnTo>
                <a:lnTo>
                  <a:pt x="13626" y="3564"/>
                </a:lnTo>
                <a:lnTo>
                  <a:pt x="14307" y="3739"/>
                </a:lnTo>
                <a:lnTo>
                  <a:pt x="14988" y="3914"/>
                </a:lnTo>
                <a:lnTo>
                  <a:pt x="15670" y="4089"/>
                </a:lnTo>
                <a:lnTo>
                  <a:pt x="16351" y="4264"/>
                </a:lnTo>
                <a:lnTo>
                  <a:pt x="17032" y="4438"/>
                </a:lnTo>
                <a:lnTo>
                  <a:pt x="17713" y="4612"/>
                </a:lnTo>
                <a:lnTo>
                  <a:pt x="18395" y="4786"/>
                </a:lnTo>
                <a:lnTo>
                  <a:pt x="19076" y="4959"/>
                </a:lnTo>
                <a:lnTo>
                  <a:pt x="19757" y="5133"/>
                </a:lnTo>
                <a:lnTo>
                  <a:pt x="20439" y="5306"/>
                </a:lnTo>
                <a:lnTo>
                  <a:pt x="21120" y="5478"/>
                </a:lnTo>
                <a:lnTo>
                  <a:pt x="21801" y="5651"/>
                </a:lnTo>
                <a:lnTo>
                  <a:pt x="22483" y="5823"/>
                </a:lnTo>
                <a:lnTo>
                  <a:pt x="23164" y="5995"/>
                </a:lnTo>
                <a:lnTo>
                  <a:pt x="23845" y="6166"/>
                </a:lnTo>
                <a:lnTo>
                  <a:pt x="24526" y="6338"/>
                </a:lnTo>
                <a:lnTo>
                  <a:pt x="25208" y="6509"/>
                </a:lnTo>
                <a:lnTo>
                  <a:pt x="25889" y="6680"/>
                </a:lnTo>
                <a:lnTo>
                  <a:pt x="26570" y="6850"/>
                </a:lnTo>
                <a:lnTo>
                  <a:pt x="27252" y="7020"/>
                </a:lnTo>
                <a:lnTo>
                  <a:pt x="27933" y="7191"/>
                </a:lnTo>
                <a:lnTo>
                  <a:pt x="28614" y="7360"/>
                </a:lnTo>
                <a:lnTo>
                  <a:pt x="29296" y="7530"/>
                </a:lnTo>
                <a:lnTo>
                  <a:pt x="29977" y="7699"/>
                </a:lnTo>
                <a:lnTo>
                  <a:pt x="30658" y="7868"/>
                </a:lnTo>
                <a:lnTo>
                  <a:pt x="31340" y="8037"/>
                </a:lnTo>
                <a:lnTo>
                  <a:pt x="32021" y="8205"/>
                </a:lnTo>
                <a:lnTo>
                  <a:pt x="32702" y="8373"/>
                </a:lnTo>
                <a:lnTo>
                  <a:pt x="33383" y="8541"/>
                </a:lnTo>
                <a:lnTo>
                  <a:pt x="34065" y="8709"/>
                </a:lnTo>
                <a:lnTo>
                  <a:pt x="34746" y="8877"/>
                </a:lnTo>
                <a:lnTo>
                  <a:pt x="35427" y="9044"/>
                </a:lnTo>
                <a:lnTo>
                  <a:pt x="36109" y="9211"/>
                </a:lnTo>
                <a:lnTo>
                  <a:pt x="36790" y="9377"/>
                </a:lnTo>
                <a:lnTo>
                  <a:pt x="37471" y="9544"/>
                </a:lnTo>
                <a:lnTo>
                  <a:pt x="38153" y="9710"/>
                </a:lnTo>
                <a:lnTo>
                  <a:pt x="38834" y="9876"/>
                </a:lnTo>
                <a:lnTo>
                  <a:pt x="39515" y="10041"/>
                </a:lnTo>
                <a:lnTo>
                  <a:pt x="40197" y="10207"/>
                </a:lnTo>
                <a:lnTo>
                  <a:pt x="40878" y="10372"/>
                </a:lnTo>
                <a:lnTo>
                  <a:pt x="41559" y="10536"/>
                </a:lnTo>
                <a:lnTo>
                  <a:pt x="42240" y="10701"/>
                </a:lnTo>
                <a:lnTo>
                  <a:pt x="42922" y="10865"/>
                </a:lnTo>
                <a:lnTo>
                  <a:pt x="43603" y="11029"/>
                </a:lnTo>
                <a:lnTo>
                  <a:pt x="44284" y="11193"/>
                </a:lnTo>
                <a:lnTo>
                  <a:pt x="44966" y="11357"/>
                </a:lnTo>
                <a:lnTo>
                  <a:pt x="45647" y="11520"/>
                </a:lnTo>
                <a:lnTo>
                  <a:pt x="46328" y="11683"/>
                </a:lnTo>
                <a:lnTo>
                  <a:pt x="47010" y="11846"/>
                </a:lnTo>
                <a:lnTo>
                  <a:pt x="47691" y="12008"/>
                </a:lnTo>
                <a:lnTo>
                  <a:pt x="48372" y="12171"/>
                </a:lnTo>
                <a:lnTo>
                  <a:pt x="49053" y="12333"/>
                </a:lnTo>
                <a:lnTo>
                  <a:pt x="49735" y="12495"/>
                </a:lnTo>
                <a:lnTo>
                  <a:pt x="50416" y="12656"/>
                </a:lnTo>
                <a:lnTo>
                  <a:pt x="51097" y="12817"/>
                </a:lnTo>
                <a:lnTo>
                  <a:pt x="51779" y="12978"/>
                </a:lnTo>
                <a:lnTo>
                  <a:pt x="52460" y="13139"/>
                </a:lnTo>
                <a:lnTo>
                  <a:pt x="53141" y="13300"/>
                </a:lnTo>
                <a:lnTo>
                  <a:pt x="53823" y="13460"/>
                </a:lnTo>
                <a:lnTo>
                  <a:pt x="54504" y="13620"/>
                </a:lnTo>
                <a:lnTo>
                  <a:pt x="55185" y="13780"/>
                </a:lnTo>
                <a:lnTo>
                  <a:pt x="55867" y="13939"/>
                </a:lnTo>
                <a:lnTo>
                  <a:pt x="56548" y="14099"/>
                </a:lnTo>
                <a:lnTo>
                  <a:pt x="57229" y="14258"/>
                </a:lnTo>
                <a:lnTo>
                  <a:pt x="57910" y="14416"/>
                </a:lnTo>
                <a:lnTo>
                  <a:pt x="58592" y="14575"/>
                </a:lnTo>
                <a:lnTo>
                  <a:pt x="59273" y="14733"/>
                </a:lnTo>
                <a:lnTo>
                  <a:pt x="59954" y="14891"/>
                </a:lnTo>
                <a:lnTo>
                  <a:pt x="60636" y="15049"/>
                </a:lnTo>
                <a:lnTo>
                  <a:pt x="61317" y="15206"/>
                </a:lnTo>
                <a:lnTo>
                  <a:pt x="61998" y="15364"/>
                </a:lnTo>
                <a:lnTo>
                  <a:pt x="62680" y="15521"/>
                </a:lnTo>
                <a:lnTo>
                  <a:pt x="63361" y="15677"/>
                </a:lnTo>
                <a:lnTo>
                  <a:pt x="64042" y="15834"/>
                </a:lnTo>
                <a:lnTo>
                  <a:pt x="64724" y="15990"/>
                </a:lnTo>
                <a:lnTo>
                  <a:pt x="65405" y="16146"/>
                </a:lnTo>
                <a:lnTo>
                  <a:pt x="66086" y="16302"/>
                </a:lnTo>
                <a:lnTo>
                  <a:pt x="66767" y="16458"/>
                </a:lnTo>
                <a:lnTo>
                  <a:pt x="67449" y="16613"/>
                </a:lnTo>
                <a:lnTo>
                  <a:pt x="68130" y="16768"/>
                </a:lnTo>
                <a:lnTo>
                  <a:pt x="68811" y="16923"/>
                </a:lnTo>
                <a:lnTo>
                  <a:pt x="69493" y="17077"/>
                </a:lnTo>
                <a:lnTo>
                  <a:pt x="70174" y="17232"/>
                </a:lnTo>
                <a:lnTo>
                  <a:pt x="70855" y="17386"/>
                </a:lnTo>
                <a:lnTo>
                  <a:pt x="71537" y="17540"/>
                </a:lnTo>
                <a:lnTo>
                  <a:pt x="72218" y="17693"/>
                </a:lnTo>
                <a:lnTo>
                  <a:pt x="72899" y="17847"/>
                </a:lnTo>
                <a:lnTo>
                  <a:pt x="73580" y="18000"/>
                </a:lnTo>
                <a:lnTo>
                  <a:pt x="74262" y="18153"/>
                </a:lnTo>
                <a:lnTo>
                  <a:pt x="74943" y="18305"/>
                </a:lnTo>
                <a:lnTo>
                  <a:pt x="75624" y="18458"/>
                </a:lnTo>
                <a:lnTo>
                  <a:pt x="76306" y="18610"/>
                </a:lnTo>
                <a:lnTo>
                  <a:pt x="76987" y="18762"/>
                </a:lnTo>
                <a:lnTo>
                  <a:pt x="77668" y="18913"/>
                </a:lnTo>
                <a:lnTo>
                  <a:pt x="78350" y="19065"/>
                </a:lnTo>
                <a:lnTo>
                  <a:pt x="79031" y="19216"/>
                </a:lnTo>
                <a:lnTo>
                  <a:pt x="79712" y="19367"/>
                </a:lnTo>
                <a:lnTo>
                  <a:pt x="80394" y="19518"/>
                </a:lnTo>
                <a:lnTo>
                  <a:pt x="81075" y="19668"/>
                </a:lnTo>
                <a:lnTo>
                  <a:pt x="81756" y="19818"/>
                </a:lnTo>
                <a:lnTo>
                  <a:pt x="82437" y="19968"/>
                </a:lnTo>
                <a:lnTo>
                  <a:pt x="83119" y="20118"/>
                </a:lnTo>
                <a:lnTo>
                  <a:pt x="83800" y="20267"/>
                </a:lnTo>
                <a:lnTo>
                  <a:pt x="84481" y="20417"/>
                </a:lnTo>
                <a:lnTo>
                  <a:pt x="85163" y="20566"/>
                </a:lnTo>
                <a:lnTo>
                  <a:pt x="85844" y="20715"/>
                </a:lnTo>
                <a:lnTo>
                  <a:pt x="86525" y="20863"/>
                </a:lnTo>
                <a:lnTo>
                  <a:pt x="87207" y="21011"/>
                </a:lnTo>
                <a:lnTo>
                  <a:pt x="87888" y="21160"/>
                </a:lnTo>
                <a:lnTo>
                  <a:pt x="88569" y="21307"/>
                </a:lnTo>
                <a:lnTo>
                  <a:pt x="89251" y="21455"/>
                </a:lnTo>
                <a:lnTo>
                  <a:pt x="89932" y="21602"/>
                </a:lnTo>
                <a:lnTo>
                  <a:pt x="90613" y="21750"/>
                </a:lnTo>
                <a:lnTo>
                  <a:pt x="91294" y="21896"/>
                </a:lnTo>
                <a:lnTo>
                  <a:pt x="91976" y="22043"/>
                </a:lnTo>
                <a:lnTo>
                  <a:pt x="92657" y="22190"/>
                </a:lnTo>
                <a:lnTo>
                  <a:pt x="93338" y="22336"/>
                </a:lnTo>
                <a:lnTo>
                  <a:pt x="94020" y="22482"/>
                </a:lnTo>
                <a:lnTo>
                  <a:pt x="94701" y="22628"/>
                </a:lnTo>
                <a:lnTo>
                  <a:pt x="95382" y="22773"/>
                </a:lnTo>
                <a:lnTo>
                  <a:pt x="96064" y="22918"/>
                </a:lnTo>
                <a:lnTo>
                  <a:pt x="96745" y="23063"/>
                </a:lnTo>
                <a:lnTo>
                  <a:pt x="97426" y="23208"/>
                </a:lnTo>
                <a:lnTo>
                  <a:pt x="98107" y="23353"/>
                </a:lnTo>
                <a:lnTo>
                  <a:pt x="98789" y="23497"/>
                </a:lnTo>
                <a:lnTo>
                  <a:pt x="99470" y="23641"/>
                </a:lnTo>
                <a:lnTo>
                  <a:pt x="100151" y="23785"/>
                </a:lnTo>
                <a:lnTo>
                  <a:pt x="100833" y="23929"/>
                </a:lnTo>
                <a:lnTo>
                  <a:pt x="101514" y="24072"/>
                </a:lnTo>
                <a:lnTo>
                  <a:pt x="102195" y="24215"/>
                </a:lnTo>
                <a:lnTo>
                  <a:pt x="102877" y="24358"/>
                </a:lnTo>
                <a:lnTo>
                  <a:pt x="103558" y="24501"/>
                </a:lnTo>
                <a:lnTo>
                  <a:pt x="104239" y="24644"/>
                </a:lnTo>
                <a:lnTo>
                  <a:pt x="104921" y="24786"/>
                </a:lnTo>
                <a:lnTo>
                  <a:pt x="105602" y="24928"/>
                </a:lnTo>
                <a:lnTo>
                  <a:pt x="106283" y="25070"/>
                </a:lnTo>
                <a:lnTo>
                  <a:pt x="106964" y="25211"/>
                </a:lnTo>
                <a:lnTo>
                  <a:pt x="107646" y="25353"/>
                </a:lnTo>
                <a:lnTo>
                  <a:pt x="108327" y="25494"/>
                </a:lnTo>
                <a:lnTo>
                  <a:pt x="109008" y="25635"/>
                </a:lnTo>
                <a:lnTo>
                  <a:pt x="109690" y="25776"/>
                </a:lnTo>
                <a:lnTo>
                  <a:pt x="110371" y="25916"/>
                </a:lnTo>
                <a:lnTo>
                  <a:pt x="111052" y="26056"/>
                </a:lnTo>
                <a:lnTo>
                  <a:pt x="111734" y="26196"/>
                </a:lnTo>
                <a:lnTo>
                  <a:pt x="112415" y="26336"/>
                </a:lnTo>
                <a:lnTo>
                  <a:pt x="113096" y="26476"/>
                </a:lnTo>
                <a:lnTo>
                  <a:pt x="113777" y="26615"/>
                </a:lnTo>
                <a:lnTo>
                  <a:pt x="114459" y="26754"/>
                </a:lnTo>
                <a:lnTo>
                  <a:pt x="115140" y="26893"/>
                </a:lnTo>
                <a:lnTo>
                  <a:pt x="115821" y="27032"/>
                </a:lnTo>
                <a:lnTo>
                  <a:pt x="116503" y="27170"/>
                </a:lnTo>
                <a:lnTo>
                  <a:pt x="117184" y="27308"/>
                </a:lnTo>
                <a:lnTo>
                  <a:pt x="117865" y="27446"/>
                </a:lnTo>
                <a:lnTo>
                  <a:pt x="118547" y="27584"/>
                </a:lnTo>
                <a:lnTo>
                  <a:pt x="119228" y="27722"/>
                </a:lnTo>
                <a:lnTo>
                  <a:pt x="119909" y="27859"/>
                </a:lnTo>
                <a:lnTo>
                  <a:pt x="120591" y="27996"/>
                </a:lnTo>
                <a:lnTo>
                  <a:pt x="121272" y="28133"/>
                </a:lnTo>
                <a:lnTo>
                  <a:pt x="121953" y="28270"/>
                </a:lnTo>
                <a:lnTo>
                  <a:pt x="122634" y="28406"/>
                </a:lnTo>
                <a:lnTo>
                  <a:pt x="123316" y="28542"/>
                </a:lnTo>
                <a:lnTo>
                  <a:pt x="123997" y="28678"/>
                </a:lnTo>
                <a:lnTo>
                  <a:pt x="124678" y="28814"/>
                </a:lnTo>
                <a:lnTo>
                  <a:pt x="125360" y="28950"/>
                </a:lnTo>
                <a:lnTo>
                  <a:pt x="126041" y="29085"/>
                </a:lnTo>
                <a:lnTo>
                  <a:pt x="126722" y="29220"/>
                </a:lnTo>
                <a:lnTo>
                  <a:pt x="127404" y="29355"/>
                </a:lnTo>
                <a:lnTo>
                  <a:pt x="128085" y="29490"/>
                </a:lnTo>
                <a:lnTo>
                  <a:pt x="128766" y="29624"/>
                </a:lnTo>
                <a:lnTo>
                  <a:pt x="129448" y="29759"/>
                </a:lnTo>
                <a:lnTo>
                  <a:pt x="130129" y="29893"/>
                </a:lnTo>
                <a:lnTo>
                  <a:pt x="130810" y="30026"/>
                </a:lnTo>
                <a:lnTo>
                  <a:pt x="131491" y="30160"/>
                </a:lnTo>
                <a:lnTo>
                  <a:pt x="132173" y="30293"/>
                </a:lnTo>
                <a:lnTo>
                  <a:pt x="132854" y="30427"/>
                </a:lnTo>
                <a:lnTo>
                  <a:pt x="133535" y="30559"/>
                </a:lnTo>
                <a:lnTo>
                  <a:pt x="134217" y="30692"/>
                </a:lnTo>
                <a:lnTo>
                  <a:pt x="134898" y="30825"/>
                </a:lnTo>
                <a:lnTo>
                  <a:pt x="135579" y="30957"/>
                </a:lnTo>
                <a:lnTo>
                  <a:pt x="136261" y="31089"/>
                </a:lnTo>
                <a:lnTo>
                  <a:pt x="136942" y="31221"/>
                </a:lnTo>
                <a:lnTo>
                  <a:pt x="137623" y="31353"/>
                </a:lnTo>
                <a:lnTo>
                  <a:pt x="138304" y="31484"/>
                </a:lnTo>
                <a:lnTo>
                  <a:pt x="138986" y="31615"/>
                </a:lnTo>
                <a:lnTo>
                  <a:pt x="139667" y="31746"/>
                </a:lnTo>
                <a:lnTo>
                  <a:pt x="140348" y="31877"/>
                </a:lnTo>
                <a:lnTo>
                  <a:pt x="141030" y="32008"/>
                </a:lnTo>
                <a:lnTo>
                  <a:pt x="141711" y="32138"/>
                </a:lnTo>
                <a:lnTo>
                  <a:pt x="142392" y="32268"/>
                </a:lnTo>
                <a:lnTo>
                  <a:pt x="143074" y="32398"/>
                </a:lnTo>
                <a:lnTo>
                  <a:pt x="143755" y="32528"/>
                </a:lnTo>
                <a:lnTo>
                  <a:pt x="144436" y="32658"/>
                </a:lnTo>
                <a:lnTo>
                  <a:pt x="145118" y="32787"/>
                </a:lnTo>
                <a:lnTo>
                  <a:pt x="145799" y="32916"/>
                </a:lnTo>
                <a:lnTo>
                  <a:pt x="146480" y="33045"/>
                </a:lnTo>
                <a:lnTo>
                  <a:pt x="147161" y="33174"/>
                </a:lnTo>
                <a:lnTo>
                  <a:pt x="147843" y="33302"/>
                </a:lnTo>
                <a:lnTo>
                  <a:pt x="148524" y="33430"/>
                </a:lnTo>
                <a:lnTo>
                  <a:pt x="149205" y="33558"/>
                </a:lnTo>
                <a:lnTo>
                  <a:pt x="149887" y="33686"/>
                </a:lnTo>
                <a:lnTo>
                  <a:pt x="150568" y="33814"/>
                </a:lnTo>
                <a:lnTo>
                  <a:pt x="151249" y="33941"/>
                </a:lnTo>
                <a:lnTo>
                  <a:pt x="151931" y="34068"/>
                </a:lnTo>
                <a:lnTo>
                  <a:pt x="152612" y="34195"/>
                </a:lnTo>
                <a:lnTo>
                  <a:pt x="153293" y="34322"/>
                </a:lnTo>
                <a:lnTo>
                  <a:pt x="153975" y="34449"/>
                </a:lnTo>
                <a:lnTo>
                  <a:pt x="154656" y="34575"/>
                </a:lnTo>
                <a:lnTo>
                  <a:pt x="155337" y="34701"/>
                </a:lnTo>
                <a:lnTo>
                  <a:pt x="156018" y="34827"/>
                </a:lnTo>
                <a:lnTo>
                  <a:pt x="156700" y="34953"/>
                </a:lnTo>
                <a:lnTo>
                  <a:pt x="157381" y="35079"/>
                </a:lnTo>
                <a:lnTo>
                  <a:pt x="158062" y="35204"/>
                </a:lnTo>
                <a:lnTo>
                  <a:pt x="158744" y="35329"/>
                </a:lnTo>
                <a:lnTo>
                  <a:pt x="159425" y="35454"/>
                </a:lnTo>
                <a:lnTo>
                  <a:pt x="160106" y="35579"/>
                </a:lnTo>
                <a:lnTo>
                  <a:pt x="160788" y="35703"/>
                </a:lnTo>
                <a:lnTo>
                  <a:pt x="161469" y="35828"/>
                </a:lnTo>
                <a:lnTo>
                  <a:pt x="162150" y="35952"/>
                </a:lnTo>
                <a:lnTo>
                  <a:pt x="162831" y="36076"/>
                </a:lnTo>
                <a:lnTo>
                  <a:pt x="163513" y="36199"/>
                </a:lnTo>
                <a:lnTo>
                  <a:pt x="164194" y="36323"/>
                </a:lnTo>
                <a:lnTo>
                  <a:pt x="164875" y="36446"/>
                </a:lnTo>
                <a:lnTo>
                  <a:pt x="165557" y="36569"/>
                </a:lnTo>
                <a:lnTo>
                  <a:pt x="166238" y="36692"/>
                </a:lnTo>
                <a:lnTo>
                  <a:pt x="166919" y="36815"/>
                </a:lnTo>
                <a:lnTo>
                  <a:pt x="167601" y="36937"/>
                </a:lnTo>
                <a:lnTo>
                  <a:pt x="168282" y="37060"/>
                </a:lnTo>
                <a:lnTo>
                  <a:pt x="168963" y="37182"/>
                </a:lnTo>
                <a:lnTo>
                  <a:pt x="169645" y="37304"/>
                </a:lnTo>
                <a:lnTo>
                  <a:pt x="170326" y="37425"/>
                </a:lnTo>
                <a:lnTo>
                  <a:pt x="171007" y="37547"/>
                </a:lnTo>
                <a:lnTo>
                  <a:pt x="171688" y="37668"/>
                </a:lnTo>
                <a:lnTo>
                  <a:pt x="172370" y="37789"/>
                </a:lnTo>
                <a:lnTo>
                  <a:pt x="173051" y="37910"/>
                </a:lnTo>
                <a:lnTo>
                  <a:pt x="173732" y="38031"/>
                </a:lnTo>
                <a:lnTo>
                  <a:pt x="174414" y="38151"/>
                </a:lnTo>
                <a:lnTo>
                  <a:pt x="175095" y="38272"/>
                </a:lnTo>
                <a:lnTo>
                  <a:pt x="175776" y="38392"/>
                </a:lnTo>
                <a:lnTo>
                  <a:pt x="176458" y="38512"/>
                </a:lnTo>
                <a:lnTo>
                  <a:pt x="177139" y="38631"/>
                </a:lnTo>
                <a:lnTo>
                  <a:pt x="177820" y="38751"/>
                </a:lnTo>
                <a:lnTo>
                  <a:pt x="178502" y="38870"/>
                </a:lnTo>
                <a:lnTo>
                  <a:pt x="179183" y="38989"/>
                </a:lnTo>
                <a:lnTo>
                  <a:pt x="179864" y="39108"/>
                </a:lnTo>
                <a:lnTo>
                  <a:pt x="180545" y="39227"/>
                </a:lnTo>
                <a:lnTo>
                  <a:pt x="181227" y="39345"/>
                </a:lnTo>
                <a:lnTo>
                  <a:pt x="181908" y="39463"/>
                </a:lnTo>
                <a:lnTo>
                  <a:pt x="182589" y="39582"/>
                </a:lnTo>
                <a:lnTo>
                  <a:pt x="183271" y="39700"/>
                </a:lnTo>
                <a:lnTo>
                  <a:pt x="183952" y="39817"/>
                </a:lnTo>
                <a:lnTo>
                  <a:pt x="184633" y="39935"/>
                </a:lnTo>
                <a:lnTo>
                  <a:pt x="185315" y="40052"/>
                </a:lnTo>
                <a:lnTo>
                  <a:pt x="185996" y="40169"/>
                </a:lnTo>
                <a:lnTo>
                  <a:pt x="186677" y="40286"/>
                </a:lnTo>
                <a:lnTo>
                  <a:pt x="187358" y="40403"/>
                </a:lnTo>
                <a:lnTo>
                  <a:pt x="188040" y="40519"/>
                </a:lnTo>
                <a:lnTo>
                  <a:pt x="188721" y="40636"/>
                </a:lnTo>
                <a:lnTo>
                  <a:pt x="189402" y="40752"/>
                </a:lnTo>
                <a:lnTo>
                  <a:pt x="190084" y="40868"/>
                </a:lnTo>
                <a:lnTo>
                  <a:pt x="190765" y="40984"/>
                </a:lnTo>
                <a:lnTo>
                  <a:pt x="191446" y="41099"/>
                </a:lnTo>
                <a:lnTo>
                  <a:pt x="192128" y="41215"/>
                </a:lnTo>
                <a:lnTo>
                  <a:pt x="192809" y="41330"/>
                </a:lnTo>
                <a:lnTo>
                  <a:pt x="193490" y="41445"/>
                </a:lnTo>
                <a:lnTo>
                  <a:pt x="194172" y="41560"/>
                </a:lnTo>
                <a:lnTo>
                  <a:pt x="194853" y="41674"/>
                </a:lnTo>
                <a:lnTo>
                  <a:pt x="195534" y="41789"/>
                </a:lnTo>
                <a:lnTo>
                  <a:pt x="196215" y="41903"/>
                </a:lnTo>
                <a:lnTo>
                  <a:pt x="196897" y="42017"/>
                </a:lnTo>
                <a:lnTo>
                  <a:pt x="197578" y="42131"/>
                </a:lnTo>
                <a:lnTo>
                  <a:pt x="198259" y="42244"/>
                </a:lnTo>
                <a:lnTo>
                  <a:pt x="198941" y="42358"/>
                </a:lnTo>
                <a:lnTo>
                  <a:pt x="199622" y="42471"/>
                </a:lnTo>
                <a:lnTo>
                  <a:pt x="200303" y="42584"/>
                </a:lnTo>
                <a:lnTo>
                  <a:pt x="200985" y="42697"/>
                </a:lnTo>
                <a:lnTo>
                  <a:pt x="201666" y="42810"/>
                </a:lnTo>
                <a:lnTo>
                  <a:pt x="202347" y="42922"/>
                </a:lnTo>
                <a:lnTo>
                  <a:pt x="203028" y="43035"/>
                </a:lnTo>
                <a:lnTo>
                  <a:pt x="203710" y="43147"/>
                </a:lnTo>
                <a:lnTo>
                  <a:pt x="204391" y="43259"/>
                </a:lnTo>
                <a:lnTo>
                  <a:pt x="205072" y="43371"/>
                </a:lnTo>
                <a:lnTo>
                  <a:pt x="205754" y="43482"/>
                </a:lnTo>
                <a:lnTo>
                  <a:pt x="206435" y="43594"/>
                </a:lnTo>
                <a:lnTo>
                  <a:pt x="207116" y="43705"/>
                </a:lnTo>
                <a:lnTo>
                  <a:pt x="207798" y="43816"/>
                </a:lnTo>
                <a:lnTo>
                  <a:pt x="208479" y="43927"/>
                </a:lnTo>
                <a:lnTo>
                  <a:pt x="209160" y="44037"/>
                </a:lnTo>
                <a:lnTo>
                  <a:pt x="209842" y="44148"/>
                </a:lnTo>
                <a:lnTo>
                  <a:pt x="210523" y="44258"/>
                </a:lnTo>
                <a:lnTo>
                  <a:pt x="211204" y="44368"/>
                </a:lnTo>
                <a:lnTo>
                  <a:pt x="211885" y="44478"/>
                </a:lnTo>
                <a:lnTo>
                  <a:pt x="212567" y="44588"/>
                </a:lnTo>
                <a:lnTo>
                  <a:pt x="213248" y="44697"/>
                </a:lnTo>
                <a:lnTo>
                  <a:pt x="213929" y="44807"/>
                </a:lnTo>
                <a:lnTo>
                  <a:pt x="214611" y="44916"/>
                </a:lnTo>
                <a:lnTo>
                  <a:pt x="215292" y="45025"/>
                </a:lnTo>
                <a:lnTo>
                  <a:pt x="215973" y="45134"/>
                </a:lnTo>
                <a:lnTo>
                  <a:pt x="216655" y="45242"/>
                </a:lnTo>
                <a:lnTo>
                  <a:pt x="217336" y="45351"/>
                </a:lnTo>
                <a:lnTo>
                  <a:pt x="218017" y="45459"/>
                </a:lnTo>
                <a:lnTo>
                  <a:pt x="218699" y="45567"/>
                </a:lnTo>
                <a:lnTo>
                  <a:pt x="219380" y="45675"/>
                </a:lnTo>
                <a:lnTo>
                  <a:pt x="220061" y="45783"/>
                </a:lnTo>
                <a:lnTo>
                  <a:pt x="220742" y="45890"/>
                </a:lnTo>
                <a:lnTo>
                  <a:pt x="221424" y="45998"/>
                </a:lnTo>
                <a:lnTo>
                  <a:pt x="222105" y="46105"/>
                </a:lnTo>
                <a:lnTo>
                  <a:pt x="222786" y="46212"/>
                </a:lnTo>
                <a:lnTo>
                  <a:pt x="223468" y="46318"/>
                </a:lnTo>
                <a:lnTo>
                  <a:pt x="224149" y="46425"/>
                </a:lnTo>
                <a:lnTo>
                  <a:pt x="224830" y="46532"/>
                </a:lnTo>
                <a:lnTo>
                  <a:pt x="225512" y="46638"/>
                </a:lnTo>
                <a:lnTo>
                  <a:pt x="226193" y="46744"/>
                </a:lnTo>
                <a:lnTo>
                  <a:pt x="226874" y="46850"/>
                </a:lnTo>
                <a:lnTo>
                  <a:pt x="227555" y="46955"/>
                </a:lnTo>
                <a:lnTo>
                  <a:pt x="228237" y="47061"/>
                </a:lnTo>
                <a:lnTo>
                  <a:pt x="228918" y="47166"/>
                </a:lnTo>
                <a:lnTo>
                  <a:pt x="229599" y="47272"/>
                </a:lnTo>
                <a:lnTo>
                  <a:pt x="230281" y="47377"/>
                </a:lnTo>
                <a:lnTo>
                  <a:pt x="230962" y="47481"/>
                </a:lnTo>
                <a:lnTo>
                  <a:pt x="231643" y="47586"/>
                </a:lnTo>
                <a:lnTo>
                  <a:pt x="232325" y="47691"/>
                </a:lnTo>
                <a:lnTo>
                  <a:pt x="233006" y="47795"/>
                </a:lnTo>
                <a:lnTo>
                  <a:pt x="233687" y="47899"/>
                </a:lnTo>
                <a:lnTo>
                  <a:pt x="234369" y="48003"/>
                </a:lnTo>
                <a:lnTo>
                  <a:pt x="235050" y="48107"/>
                </a:lnTo>
                <a:lnTo>
                  <a:pt x="235731" y="48210"/>
                </a:lnTo>
                <a:lnTo>
                  <a:pt x="236412" y="48314"/>
                </a:lnTo>
                <a:lnTo>
                  <a:pt x="237094" y="48417"/>
                </a:lnTo>
                <a:lnTo>
                  <a:pt x="237775" y="48520"/>
                </a:lnTo>
                <a:lnTo>
                  <a:pt x="238456" y="48623"/>
                </a:lnTo>
                <a:lnTo>
                  <a:pt x="239138" y="48726"/>
                </a:lnTo>
                <a:lnTo>
                  <a:pt x="239819" y="48828"/>
                </a:lnTo>
                <a:lnTo>
                  <a:pt x="240500" y="48930"/>
                </a:lnTo>
                <a:lnTo>
                  <a:pt x="241182" y="49033"/>
                </a:lnTo>
                <a:lnTo>
                  <a:pt x="241863" y="49135"/>
                </a:lnTo>
                <a:lnTo>
                  <a:pt x="242544" y="49236"/>
                </a:lnTo>
                <a:lnTo>
                  <a:pt x="243226" y="49338"/>
                </a:lnTo>
                <a:lnTo>
                  <a:pt x="243907" y="49440"/>
                </a:lnTo>
                <a:lnTo>
                  <a:pt x="244588" y="49541"/>
                </a:lnTo>
                <a:lnTo>
                  <a:pt x="245269" y="49642"/>
                </a:lnTo>
                <a:lnTo>
                  <a:pt x="245951" y="49743"/>
                </a:lnTo>
                <a:lnTo>
                  <a:pt x="246632" y="49844"/>
                </a:lnTo>
                <a:lnTo>
                  <a:pt x="247313" y="49944"/>
                </a:lnTo>
                <a:lnTo>
                  <a:pt x="247995" y="50045"/>
                </a:lnTo>
                <a:lnTo>
                  <a:pt x="248676" y="50145"/>
                </a:lnTo>
                <a:lnTo>
                  <a:pt x="249357" y="50245"/>
                </a:lnTo>
                <a:lnTo>
                  <a:pt x="250039" y="50345"/>
                </a:lnTo>
                <a:lnTo>
                  <a:pt x="250720" y="50445"/>
                </a:lnTo>
                <a:lnTo>
                  <a:pt x="251401" y="50545"/>
                </a:lnTo>
                <a:lnTo>
                  <a:pt x="252082" y="50644"/>
                </a:lnTo>
                <a:lnTo>
                  <a:pt x="252764" y="50743"/>
                </a:lnTo>
                <a:lnTo>
                  <a:pt x="253445" y="50842"/>
                </a:lnTo>
                <a:lnTo>
                  <a:pt x="254126" y="50941"/>
                </a:lnTo>
                <a:lnTo>
                  <a:pt x="254808" y="51040"/>
                </a:lnTo>
                <a:lnTo>
                  <a:pt x="255489" y="51139"/>
                </a:lnTo>
                <a:lnTo>
                  <a:pt x="256170" y="51237"/>
                </a:lnTo>
                <a:lnTo>
                  <a:pt x="256852" y="51335"/>
                </a:lnTo>
                <a:lnTo>
                  <a:pt x="257533" y="51433"/>
                </a:lnTo>
                <a:lnTo>
                  <a:pt x="258214" y="51531"/>
                </a:lnTo>
                <a:lnTo>
                  <a:pt x="258896" y="51629"/>
                </a:lnTo>
                <a:lnTo>
                  <a:pt x="259577" y="51727"/>
                </a:lnTo>
                <a:lnTo>
                  <a:pt x="260258" y="51824"/>
                </a:lnTo>
                <a:lnTo>
                  <a:pt x="260939" y="51921"/>
                </a:lnTo>
                <a:lnTo>
                  <a:pt x="261621" y="52018"/>
                </a:lnTo>
                <a:lnTo>
                  <a:pt x="262302" y="52115"/>
                </a:lnTo>
                <a:lnTo>
                  <a:pt x="262983" y="52212"/>
                </a:lnTo>
                <a:lnTo>
                  <a:pt x="263665" y="52308"/>
                </a:lnTo>
                <a:lnTo>
                  <a:pt x="264346" y="52405"/>
                </a:lnTo>
                <a:lnTo>
                  <a:pt x="265027" y="52501"/>
                </a:lnTo>
                <a:lnTo>
                  <a:pt x="265709" y="52597"/>
                </a:lnTo>
                <a:lnTo>
                  <a:pt x="266390" y="52693"/>
                </a:lnTo>
                <a:lnTo>
                  <a:pt x="267071" y="52789"/>
                </a:lnTo>
                <a:lnTo>
                  <a:pt x="267753" y="52884"/>
                </a:lnTo>
                <a:lnTo>
                  <a:pt x="268434" y="52980"/>
                </a:lnTo>
                <a:lnTo>
                  <a:pt x="269115" y="53075"/>
                </a:lnTo>
                <a:lnTo>
                  <a:pt x="269796" y="53170"/>
                </a:lnTo>
                <a:lnTo>
                  <a:pt x="270478" y="53265"/>
                </a:lnTo>
                <a:lnTo>
                  <a:pt x="271159" y="53360"/>
                </a:lnTo>
                <a:lnTo>
                  <a:pt x="271840" y="53454"/>
                </a:lnTo>
                <a:lnTo>
                  <a:pt x="272522" y="53549"/>
                </a:lnTo>
                <a:lnTo>
                  <a:pt x="273203" y="53643"/>
                </a:lnTo>
                <a:lnTo>
                  <a:pt x="273884" y="53737"/>
                </a:lnTo>
                <a:lnTo>
                  <a:pt x="274566" y="53831"/>
                </a:lnTo>
                <a:lnTo>
                  <a:pt x="275247" y="53925"/>
                </a:lnTo>
                <a:lnTo>
                  <a:pt x="275928" y="54019"/>
                </a:lnTo>
                <a:lnTo>
                  <a:pt x="276609" y="54112"/>
                </a:lnTo>
                <a:lnTo>
                  <a:pt x="277291" y="54205"/>
                </a:lnTo>
                <a:lnTo>
                  <a:pt x="277972" y="54298"/>
                </a:lnTo>
                <a:lnTo>
                  <a:pt x="278653" y="54391"/>
                </a:lnTo>
                <a:lnTo>
                  <a:pt x="279335" y="54484"/>
                </a:lnTo>
                <a:lnTo>
                  <a:pt x="280016" y="54577"/>
                </a:lnTo>
                <a:lnTo>
                  <a:pt x="280697" y="54669"/>
                </a:lnTo>
                <a:lnTo>
                  <a:pt x="281379" y="54762"/>
                </a:lnTo>
                <a:lnTo>
                  <a:pt x="282060" y="54854"/>
                </a:lnTo>
                <a:lnTo>
                  <a:pt x="282741" y="54946"/>
                </a:lnTo>
                <a:lnTo>
                  <a:pt x="283423" y="55038"/>
                </a:lnTo>
                <a:lnTo>
                  <a:pt x="284104" y="55129"/>
                </a:lnTo>
                <a:lnTo>
                  <a:pt x="284785" y="55221"/>
                </a:lnTo>
                <a:lnTo>
                  <a:pt x="285466" y="55312"/>
                </a:lnTo>
                <a:lnTo>
                  <a:pt x="286148" y="55403"/>
                </a:lnTo>
                <a:lnTo>
                  <a:pt x="286829" y="55494"/>
                </a:lnTo>
                <a:lnTo>
                  <a:pt x="287510" y="55585"/>
                </a:lnTo>
                <a:lnTo>
                  <a:pt x="288192" y="55676"/>
                </a:lnTo>
                <a:lnTo>
                  <a:pt x="288873" y="55767"/>
                </a:lnTo>
                <a:lnTo>
                  <a:pt x="289554" y="55857"/>
                </a:lnTo>
                <a:lnTo>
                  <a:pt x="290236" y="55947"/>
                </a:lnTo>
                <a:lnTo>
                  <a:pt x="290917" y="56037"/>
                </a:lnTo>
                <a:lnTo>
                  <a:pt x="291598" y="56127"/>
                </a:lnTo>
                <a:lnTo>
                  <a:pt x="292279" y="56217"/>
                </a:lnTo>
                <a:lnTo>
                  <a:pt x="292961" y="56307"/>
                </a:lnTo>
                <a:lnTo>
                  <a:pt x="293642" y="56396"/>
                </a:lnTo>
                <a:lnTo>
                  <a:pt x="294323" y="56486"/>
                </a:lnTo>
                <a:lnTo>
                  <a:pt x="295005" y="56575"/>
                </a:lnTo>
                <a:lnTo>
                  <a:pt x="295686" y="56664"/>
                </a:lnTo>
                <a:lnTo>
                  <a:pt x="296367" y="56753"/>
                </a:lnTo>
                <a:lnTo>
                  <a:pt x="297049" y="56841"/>
                </a:lnTo>
                <a:lnTo>
                  <a:pt x="297730" y="56930"/>
                </a:lnTo>
                <a:lnTo>
                  <a:pt x="298411" y="57018"/>
                </a:lnTo>
                <a:lnTo>
                  <a:pt x="299093" y="57107"/>
                </a:lnTo>
                <a:lnTo>
                  <a:pt x="299774" y="57195"/>
                </a:lnTo>
                <a:lnTo>
                  <a:pt x="300455" y="57283"/>
                </a:lnTo>
                <a:lnTo>
                  <a:pt x="301136" y="57370"/>
                </a:lnTo>
                <a:lnTo>
                  <a:pt x="301818" y="57458"/>
                </a:lnTo>
                <a:lnTo>
                  <a:pt x="302499" y="57545"/>
                </a:lnTo>
                <a:lnTo>
                  <a:pt x="303180" y="57633"/>
                </a:lnTo>
                <a:lnTo>
                  <a:pt x="303862" y="57720"/>
                </a:lnTo>
                <a:lnTo>
                  <a:pt x="304543" y="57807"/>
                </a:lnTo>
                <a:lnTo>
                  <a:pt x="305224" y="57894"/>
                </a:lnTo>
                <a:lnTo>
                  <a:pt x="305906" y="57981"/>
                </a:lnTo>
                <a:lnTo>
                  <a:pt x="306587" y="58067"/>
                </a:lnTo>
                <a:lnTo>
                  <a:pt x="307268" y="58153"/>
                </a:lnTo>
                <a:lnTo>
                  <a:pt x="307950" y="58240"/>
                </a:lnTo>
                <a:lnTo>
                  <a:pt x="308631" y="58326"/>
                </a:lnTo>
                <a:lnTo>
                  <a:pt x="309312" y="58412"/>
                </a:lnTo>
                <a:lnTo>
                  <a:pt x="309993" y="58498"/>
                </a:lnTo>
                <a:lnTo>
                  <a:pt x="310675" y="58583"/>
                </a:lnTo>
                <a:lnTo>
                  <a:pt x="311356" y="58669"/>
                </a:lnTo>
                <a:lnTo>
                  <a:pt x="312037" y="58754"/>
                </a:lnTo>
                <a:lnTo>
                  <a:pt x="312719" y="58839"/>
                </a:lnTo>
                <a:lnTo>
                  <a:pt x="313400" y="58924"/>
                </a:lnTo>
                <a:lnTo>
                  <a:pt x="314081" y="59009"/>
                </a:lnTo>
                <a:lnTo>
                  <a:pt x="314763" y="59094"/>
                </a:lnTo>
                <a:lnTo>
                  <a:pt x="315444" y="59179"/>
                </a:lnTo>
                <a:lnTo>
                  <a:pt x="316125" y="59263"/>
                </a:lnTo>
                <a:lnTo>
                  <a:pt x="316806" y="59347"/>
                </a:lnTo>
                <a:lnTo>
                  <a:pt x="317488" y="59432"/>
                </a:lnTo>
                <a:lnTo>
                  <a:pt x="318169" y="59516"/>
                </a:lnTo>
                <a:lnTo>
                  <a:pt x="318850" y="59599"/>
                </a:lnTo>
                <a:lnTo>
                  <a:pt x="319532" y="59683"/>
                </a:lnTo>
                <a:lnTo>
                  <a:pt x="320213" y="59767"/>
                </a:lnTo>
                <a:lnTo>
                  <a:pt x="320894" y="59850"/>
                </a:lnTo>
                <a:lnTo>
                  <a:pt x="321576" y="59933"/>
                </a:lnTo>
                <a:lnTo>
                  <a:pt x="322257" y="60016"/>
                </a:lnTo>
                <a:lnTo>
                  <a:pt x="322938" y="60099"/>
                </a:lnTo>
                <a:lnTo>
                  <a:pt x="323620" y="60182"/>
                </a:lnTo>
                <a:lnTo>
                  <a:pt x="324301" y="60265"/>
                </a:lnTo>
                <a:lnTo>
                  <a:pt x="324982" y="60348"/>
                </a:lnTo>
                <a:lnTo>
                  <a:pt x="325663" y="60430"/>
                </a:lnTo>
                <a:lnTo>
                  <a:pt x="326345" y="60512"/>
                </a:lnTo>
                <a:lnTo>
                  <a:pt x="327026" y="60594"/>
                </a:lnTo>
                <a:lnTo>
                  <a:pt x="327707" y="60676"/>
                </a:lnTo>
                <a:lnTo>
                  <a:pt x="328389" y="60758"/>
                </a:lnTo>
                <a:lnTo>
                  <a:pt x="329070" y="60840"/>
                </a:lnTo>
                <a:lnTo>
                  <a:pt x="329751" y="60921"/>
                </a:lnTo>
                <a:lnTo>
                  <a:pt x="330433" y="61003"/>
                </a:lnTo>
                <a:lnTo>
                  <a:pt x="331114" y="61084"/>
                </a:lnTo>
                <a:lnTo>
                  <a:pt x="331795" y="61165"/>
                </a:lnTo>
                <a:lnTo>
                  <a:pt x="332477" y="61246"/>
                </a:lnTo>
                <a:lnTo>
                  <a:pt x="333158" y="61327"/>
                </a:lnTo>
                <a:lnTo>
                  <a:pt x="333839" y="61407"/>
                </a:lnTo>
                <a:lnTo>
                  <a:pt x="334520" y="61488"/>
                </a:lnTo>
                <a:lnTo>
                  <a:pt x="335202" y="61568"/>
                </a:lnTo>
                <a:lnTo>
                  <a:pt x="335883" y="61649"/>
                </a:lnTo>
                <a:lnTo>
                  <a:pt x="336564" y="61729"/>
                </a:lnTo>
                <a:lnTo>
                  <a:pt x="337246" y="61809"/>
                </a:lnTo>
                <a:lnTo>
                  <a:pt x="337927" y="61888"/>
                </a:lnTo>
                <a:lnTo>
                  <a:pt x="338608" y="61968"/>
                </a:lnTo>
                <a:lnTo>
                  <a:pt x="339290" y="62048"/>
                </a:lnTo>
                <a:lnTo>
                  <a:pt x="339971" y="62127"/>
                </a:lnTo>
                <a:lnTo>
                  <a:pt x="340652" y="62206"/>
                </a:lnTo>
                <a:lnTo>
                  <a:pt x="341333" y="62285"/>
                </a:lnTo>
                <a:lnTo>
                  <a:pt x="342015" y="62364"/>
                </a:lnTo>
                <a:lnTo>
                  <a:pt x="342696" y="62443"/>
                </a:lnTo>
                <a:lnTo>
                  <a:pt x="343377" y="62522"/>
                </a:lnTo>
                <a:lnTo>
                  <a:pt x="344059" y="62600"/>
                </a:lnTo>
                <a:lnTo>
                  <a:pt x="344740" y="62679"/>
                </a:lnTo>
                <a:lnTo>
                  <a:pt x="345421" y="62757"/>
                </a:lnTo>
                <a:lnTo>
                  <a:pt x="346103" y="62835"/>
                </a:lnTo>
                <a:lnTo>
                  <a:pt x="346784" y="62913"/>
                </a:lnTo>
                <a:lnTo>
                  <a:pt x="347465" y="62991"/>
                </a:lnTo>
                <a:lnTo>
                  <a:pt x="348147" y="63069"/>
                </a:lnTo>
                <a:lnTo>
                  <a:pt x="348828" y="63146"/>
                </a:lnTo>
                <a:lnTo>
                  <a:pt x="349509" y="63224"/>
                </a:lnTo>
                <a:lnTo>
                  <a:pt x="350190" y="63301"/>
                </a:lnTo>
                <a:lnTo>
                  <a:pt x="350872" y="63378"/>
                </a:lnTo>
                <a:lnTo>
                  <a:pt x="351553" y="63455"/>
                </a:lnTo>
                <a:lnTo>
                  <a:pt x="352234" y="63532"/>
                </a:lnTo>
                <a:lnTo>
                  <a:pt x="352916" y="63609"/>
                </a:lnTo>
                <a:lnTo>
                  <a:pt x="353597" y="63685"/>
                </a:lnTo>
                <a:lnTo>
                  <a:pt x="354278" y="63762"/>
                </a:lnTo>
                <a:lnTo>
                  <a:pt x="354960" y="63838"/>
                </a:lnTo>
                <a:lnTo>
                  <a:pt x="355641" y="63914"/>
                </a:lnTo>
                <a:lnTo>
                  <a:pt x="356322" y="63990"/>
                </a:lnTo>
                <a:lnTo>
                  <a:pt x="357004" y="64066"/>
                </a:lnTo>
                <a:lnTo>
                  <a:pt x="357685" y="64142"/>
                </a:lnTo>
                <a:lnTo>
                  <a:pt x="358366" y="64218"/>
                </a:lnTo>
                <a:lnTo>
                  <a:pt x="359047" y="64293"/>
                </a:lnTo>
                <a:lnTo>
                  <a:pt x="359729" y="64369"/>
                </a:lnTo>
                <a:lnTo>
                  <a:pt x="360410" y="64444"/>
                </a:lnTo>
                <a:lnTo>
                  <a:pt x="361091" y="64519"/>
                </a:lnTo>
                <a:lnTo>
                  <a:pt x="361773" y="64594"/>
                </a:lnTo>
                <a:lnTo>
                  <a:pt x="362454" y="64669"/>
                </a:lnTo>
                <a:lnTo>
                  <a:pt x="363135" y="64744"/>
                </a:lnTo>
                <a:lnTo>
                  <a:pt x="363817" y="64818"/>
                </a:lnTo>
                <a:lnTo>
                  <a:pt x="364498" y="64893"/>
                </a:lnTo>
                <a:lnTo>
                  <a:pt x="365179" y="64967"/>
                </a:lnTo>
                <a:lnTo>
                  <a:pt x="365860" y="65041"/>
                </a:lnTo>
                <a:lnTo>
                  <a:pt x="366542" y="65115"/>
                </a:lnTo>
                <a:lnTo>
                  <a:pt x="367223" y="65189"/>
                </a:lnTo>
                <a:lnTo>
                  <a:pt x="367904" y="65263"/>
                </a:lnTo>
                <a:lnTo>
                  <a:pt x="368586" y="65336"/>
                </a:lnTo>
                <a:lnTo>
                  <a:pt x="369267" y="65410"/>
                </a:lnTo>
                <a:lnTo>
                  <a:pt x="369948" y="65483"/>
                </a:lnTo>
                <a:lnTo>
                  <a:pt x="370630" y="65557"/>
                </a:lnTo>
                <a:lnTo>
                  <a:pt x="371311" y="65630"/>
                </a:lnTo>
                <a:lnTo>
                  <a:pt x="371992" y="65703"/>
                </a:lnTo>
                <a:lnTo>
                  <a:pt x="372674" y="65776"/>
                </a:lnTo>
                <a:lnTo>
                  <a:pt x="373355" y="65848"/>
                </a:lnTo>
                <a:lnTo>
                  <a:pt x="374036" y="65921"/>
                </a:lnTo>
                <a:lnTo>
                  <a:pt x="374717" y="65993"/>
                </a:lnTo>
                <a:lnTo>
                  <a:pt x="375399" y="66066"/>
                </a:lnTo>
                <a:lnTo>
                  <a:pt x="376080" y="66138"/>
                </a:lnTo>
                <a:lnTo>
                  <a:pt x="376761" y="66210"/>
                </a:lnTo>
                <a:lnTo>
                  <a:pt x="377443" y="66282"/>
                </a:lnTo>
                <a:lnTo>
                  <a:pt x="378124" y="66354"/>
                </a:lnTo>
                <a:lnTo>
                  <a:pt x="378805" y="66425"/>
                </a:lnTo>
                <a:lnTo>
                  <a:pt x="379487" y="66497"/>
                </a:lnTo>
                <a:lnTo>
                  <a:pt x="380168" y="66568"/>
                </a:lnTo>
                <a:lnTo>
                  <a:pt x="380849" y="66640"/>
                </a:lnTo>
                <a:lnTo>
                  <a:pt x="381530" y="66711"/>
                </a:lnTo>
                <a:lnTo>
                  <a:pt x="382212" y="66782"/>
                </a:lnTo>
                <a:lnTo>
                  <a:pt x="382893" y="66853"/>
                </a:lnTo>
                <a:lnTo>
                  <a:pt x="383574" y="66924"/>
                </a:lnTo>
                <a:lnTo>
                  <a:pt x="384256" y="66994"/>
                </a:lnTo>
                <a:lnTo>
                  <a:pt x="384937" y="67065"/>
                </a:lnTo>
                <a:lnTo>
                  <a:pt x="385618" y="67135"/>
                </a:lnTo>
                <a:lnTo>
                  <a:pt x="386300" y="67205"/>
                </a:lnTo>
                <a:lnTo>
                  <a:pt x="386981" y="67275"/>
                </a:lnTo>
                <a:lnTo>
                  <a:pt x="387662" y="67346"/>
                </a:lnTo>
                <a:lnTo>
                  <a:pt x="388344" y="67415"/>
                </a:lnTo>
                <a:lnTo>
                  <a:pt x="389025" y="67485"/>
                </a:lnTo>
                <a:lnTo>
                  <a:pt x="389706" y="67555"/>
                </a:lnTo>
                <a:lnTo>
                  <a:pt x="390387" y="67624"/>
                </a:lnTo>
                <a:lnTo>
                  <a:pt x="391069" y="67694"/>
                </a:lnTo>
                <a:lnTo>
                  <a:pt x="391750" y="67763"/>
                </a:lnTo>
                <a:lnTo>
                  <a:pt x="392431" y="67832"/>
                </a:lnTo>
                <a:lnTo>
                  <a:pt x="393113" y="67901"/>
                </a:lnTo>
                <a:lnTo>
                  <a:pt x="393794" y="67970"/>
                </a:lnTo>
                <a:lnTo>
                  <a:pt x="394475" y="68039"/>
                </a:lnTo>
                <a:lnTo>
                  <a:pt x="395157" y="68107"/>
                </a:lnTo>
                <a:lnTo>
                  <a:pt x="395838" y="68176"/>
                </a:lnTo>
                <a:lnTo>
                  <a:pt x="396519" y="68244"/>
                </a:lnTo>
                <a:lnTo>
                  <a:pt x="397201" y="68313"/>
                </a:lnTo>
                <a:lnTo>
                  <a:pt x="397882" y="68381"/>
                </a:lnTo>
                <a:lnTo>
                  <a:pt x="398563" y="68449"/>
                </a:lnTo>
                <a:lnTo>
                  <a:pt x="399244" y="68517"/>
                </a:lnTo>
                <a:lnTo>
                  <a:pt x="399926" y="68584"/>
                </a:lnTo>
                <a:lnTo>
                  <a:pt x="400607" y="68652"/>
                </a:lnTo>
                <a:lnTo>
                  <a:pt x="401288" y="68719"/>
                </a:lnTo>
                <a:lnTo>
                  <a:pt x="401970" y="68787"/>
                </a:lnTo>
                <a:lnTo>
                  <a:pt x="402651" y="68854"/>
                </a:lnTo>
                <a:lnTo>
                  <a:pt x="403332" y="68921"/>
                </a:lnTo>
                <a:lnTo>
                  <a:pt x="404014" y="68988"/>
                </a:lnTo>
                <a:lnTo>
                  <a:pt x="404695" y="69055"/>
                </a:lnTo>
                <a:lnTo>
                  <a:pt x="405376" y="69122"/>
                </a:lnTo>
                <a:lnTo>
                  <a:pt x="406057" y="69189"/>
                </a:lnTo>
                <a:lnTo>
                  <a:pt x="406739" y="69255"/>
                </a:lnTo>
                <a:lnTo>
                  <a:pt x="407420" y="69322"/>
                </a:lnTo>
                <a:lnTo>
                  <a:pt x="408101" y="69388"/>
                </a:lnTo>
                <a:lnTo>
                  <a:pt x="408783" y="69454"/>
                </a:lnTo>
                <a:lnTo>
                  <a:pt x="409464" y="69520"/>
                </a:lnTo>
                <a:lnTo>
                  <a:pt x="410145" y="69586"/>
                </a:lnTo>
                <a:lnTo>
                  <a:pt x="410827" y="69652"/>
                </a:lnTo>
                <a:lnTo>
                  <a:pt x="411508" y="69718"/>
                </a:lnTo>
                <a:lnTo>
                  <a:pt x="412189" y="69783"/>
                </a:lnTo>
                <a:lnTo>
                  <a:pt x="412871" y="69849"/>
                </a:lnTo>
                <a:lnTo>
                  <a:pt x="413552" y="69914"/>
                </a:lnTo>
                <a:lnTo>
                  <a:pt x="414233" y="69979"/>
                </a:lnTo>
                <a:lnTo>
                  <a:pt x="414914" y="70044"/>
                </a:lnTo>
                <a:lnTo>
                  <a:pt x="415596" y="70109"/>
                </a:lnTo>
                <a:lnTo>
                  <a:pt x="416277" y="70174"/>
                </a:lnTo>
                <a:lnTo>
                  <a:pt x="416958" y="70239"/>
                </a:lnTo>
                <a:lnTo>
                  <a:pt x="417640" y="70303"/>
                </a:lnTo>
                <a:lnTo>
                  <a:pt x="418321" y="70368"/>
                </a:lnTo>
                <a:lnTo>
                  <a:pt x="419002" y="70432"/>
                </a:lnTo>
                <a:lnTo>
                  <a:pt x="419684" y="70497"/>
                </a:lnTo>
                <a:lnTo>
                  <a:pt x="420365" y="70561"/>
                </a:lnTo>
                <a:lnTo>
                  <a:pt x="421046" y="70625"/>
                </a:lnTo>
                <a:lnTo>
                  <a:pt x="421728" y="70689"/>
                </a:lnTo>
                <a:lnTo>
                  <a:pt x="422409" y="70753"/>
                </a:lnTo>
                <a:lnTo>
                  <a:pt x="423090" y="70816"/>
                </a:lnTo>
                <a:lnTo>
                  <a:pt x="423771" y="70880"/>
                </a:lnTo>
                <a:lnTo>
                  <a:pt x="424453" y="70943"/>
                </a:lnTo>
                <a:lnTo>
                  <a:pt x="425134" y="71007"/>
                </a:lnTo>
                <a:lnTo>
                  <a:pt x="425815" y="71070"/>
                </a:lnTo>
                <a:lnTo>
                  <a:pt x="426497" y="71133"/>
                </a:lnTo>
                <a:lnTo>
                  <a:pt x="427178" y="71196"/>
                </a:lnTo>
                <a:lnTo>
                  <a:pt x="427859" y="71259"/>
                </a:lnTo>
                <a:lnTo>
                  <a:pt x="428541" y="71321"/>
                </a:lnTo>
                <a:lnTo>
                  <a:pt x="429222" y="71384"/>
                </a:lnTo>
                <a:lnTo>
                  <a:pt x="429903" y="71447"/>
                </a:lnTo>
                <a:lnTo>
                  <a:pt x="430584" y="71509"/>
                </a:lnTo>
                <a:lnTo>
                  <a:pt x="431266" y="71571"/>
                </a:lnTo>
                <a:lnTo>
                  <a:pt x="431947" y="71633"/>
                </a:lnTo>
                <a:lnTo>
                  <a:pt x="432628" y="71695"/>
                </a:lnTo>
                <a:lnTo>
                  <a:pt x="433310" y="71757"/>
                </a:lnTo>
                <a:lnTo>
                  <a:pt x="433991" y="71819"/>
                </a:lnTo>
                <a:lnTo>
                  <a:pt x="434672" y="71881"/>
                </a:lnTo>
                <a:lnTo>
                  <a:pt x="435354" y="71943"/>
                </a:lnTo>
                <a:lnTo>
                  <a:pt x="436035" y="72004"/>
                </a:lnTo>
                <a:lnTo>
                  <a:pt x="436716" y="72065"/>
                </a:lnTo>
                <a:lnTo>
                  <a:pt x="437398" y="72127"/>
                </a:lnTo>
                <a:lnTo>
                  <a:pt x="438079" y="72188"/>
                </a:lnTo>
                <a:lnTo>
                  <a:pt x="438760" y="72249"/>
                </a:lnTo>
                <a:lnTo>
                  <a:pt x="439441" y="72310"/>
                </a:lnTo>
                <a:lnTo>
                  <a:pt x="440123" y="72371"/>
                </a:lnTo>
                <a:lnTo>
                  <a:pt x="440804" y="72431"/>
                </a:lnTo>
                <a:lnTo>
                  <a:pt x="441485" y="72492"/>
                </a:lnTo>
                <a:lnTo>
                  <a:pt x="442167" y="72552"/>
                </a:lnTo>
                <a:lnTo>
                  <a:pt x="442848" y="72613"/>
                </a:lnTo>
                <a:lnTo>
                  <a:pt x="443529" y="72673"/>
                </a:lnTo>
                <a:lnTo>
                  <a:pt x="444211" y="72733"/>
                </a:lnTo>
                <a:lnTo>
                  <a:pt x="444892" y="72793"/>
                </a:lnTo>
                <a:lnTo>
                  <a:pt x="445573" y="72853"/>
                </a:lnTo>
                <a:lnTo>
                  <a:pt x="446255" y="72913"/>
                </a:lnTo>
                <a:lnTo>
                  <a:pt x="446936" y="72973"/>
                </a:lnTo>
                <a:lnTo>
                  <a:pt x="447617" y="73032"/>
                </a:lnTo>
                <a:lnTo>
                  <a:pt x="448298" y="73092"/>
                </a:lnTo>
                <a:lnTo>
                  <a:pt x="448980" y="73151"/>
                </a:lnTo>
                <a:lnTo>
                  <a:pt x="449661" y="73210"/>
                </a:lnTo>
                <a:lnTo>
                  <a:pt x="450342" y="73269"/>
                </a:lnTo>
                <a:lnTo>
                  <a:pt x="451024" y="73328"/>
                </a:lnTo>
                <a:lnTo>
                  <a:pt x="451705" y="73387"/>
                </a:lnTo>
                <a:lnTo>
                  <a:pt x="452386" y="73446"/>
                </a:lnTo>
                <a:lnTo>
                  <a:pt x="453068" y="73505"/>
                </a:lnTo>
                <a:lnTo>
                  <a:pt x="453749" y="73563"/>
                </a:lnTo>
                <a:lnTo>
                  <a:pt x="454430" y="73622"/>
                </a:lnTo>
                <a:lnTo>
                  <a:pt x="455111" y="73680"/>
                </a:lnTo>
                <a:lnTo>
                  <a:pt x="455793" y="73739"/>
                </a:lnTo>
                <a:lnTo>
                  <a:pt x="456474" y="73797"/>
                </a:lnTo>
                <a:lnTo>
                  <a:pt x="457155" y="73855"/>
                </a:lnTo>
                <a:lnTo>
                  <a:pt x="457837" y="73913"/>
                </a:lnTo>
                <a:lnTo>
                  <a:pt x="458518" y="73971"/>
                </a:lnTo>
                <a:lnTo>
                  <a:pt x="459199" y="74028"/>
                </a:lnTo>
                <a:lnTo>
                  <a:pt x="459881" y="74086"/>
                </a:lnTo>
                <a:lnTo>
                  <a:pt x="460562" y="74143"/>
                </a:lnTo>
                <a:lnTo>
                  <a:pt x="461243" y="74201"/>
                </a:lnTo>
                <a:lnTo>
                  <a:pt x="461925" y="74258"/>
                </a:lnTo>
                <a:lnTo>
                  <a:pt x="462606" y="74315"/>
                </a:lnTo>
                <a:lnTo>
                  <a:pt x="463287" y="74372"/>
                </a:lnTo>
                <a:lnTo>
                  <a:pt x="463968" y="74429"/>
                </a:lnTo>
                <a:lnTo>
                  <a:pt x="464650" y="74486"/>
                </a:lnTo>
                <a:lnTo>
                  <a:pt x="465331" y="74543"/>
                </a:lnTo>
                <a:lnTo>
                  <a:pt x="466012" y="74600"/>
                </a:lnTo>
                <a:lnTo>
                  <a:pt x="466694" y="74656"/>
                </a:lnTo>
                <a:lnTo>
                  <a:pt x="467375" y="74713"/>
                </a:lnTo>
                <a:lnTo>
                  <a:pt x="468056" y="74769"/>
                </a:lnTo>
                <a:lnTo>
                  <a:pt x="468738" y="74825"/>
                </a:lnTo>
                <a:lnTo>
                  <a:pt x="469419" y="74882"/>
                </a:lnTo>
                <a:lnTo>
                  <a:pt x="470100" y="74938"/>
                </a:lnTo>
                <a:lnTo>
                  <a:pt x="470781" y="74993"/>
                </a:lnTo>
                <a:lnTo>
                  <a:pt x="471463" y="75049"/>
                </a:lnTo>
                <a:lnTo>
                  <a:pt x="472144" y="75105"/>
                </a:lnTo>
                <a:lnTo>
                  <a:pt x="472825" y="75161"/>
                </a:lnTo>
                <a:lnTo>
                  <a:pt x="473507" y="75216"/>
                </a:lnTo>
                <a:lnTo>
                  <a:pt x="474188" y="75272"/>
                </a:lnTo>
                <a:lnTo>
                  <a:pt x="474869" y="75327"/>
                </a:lnTo>
                <a:lnTo>
                  <a:pt x="475551" y="75382"/>
                </a:lnTo>
                <a:lnTo>
                  <a:pt x="476232" y="75437"/>
                </a:lnTo>
                <a:lnTo>
                  <a:pt x="476913" y="75492"/>
                </a:lnTo>
                <a:lnTo>
                  <a:pt x="477595" y="75547"/>
                </a:lnTo>
                <a:lnTo>
                  <a:pt x="478276" y="75602"/>
                </a:lnTo>
                <a:lnTo>
                  <a:pt x="478957" y="75657"/>
                </a:lnTo>
                <a:lnTo>
                  <a:pt x="479638" y="75711"/>
                </a:lnTo>
                <a:lnTo>
                  <a:pt x="480320" y="75766"/>
                </a:lnTo>
                <a:lnTo>
                  <a:pt x="481001" y="75820"/>
                </a:lnTo>
                <a:lnTo>
                  <a:pt x="481682" y="75874"/>
                </a:lnTo>
                <a:lnTo>
                  <a:pt x="482364" y="75928"/>
                </a:lnTo>
                <a:lnTo>
                  <a:pt x="483045" y="75982"/>
                </a:lnTo>
                <a:lnTo>
                  <a:pt x="483726" y="76036"/>
                </a:lnTo>
                <a:lnTo>
                  <a:pt x="484408" y="76090"/>
                </a:lnTo>
                <a:lnTo>
                  <a:pt x="485089" y="76144"/>
                </a:lnTo>
                <a:lnTo>
                  <a:pt x="485770" y="76198"/>
                </a:lnTo>
                <a:lnTo>
                  <a:pt x="486452" y="76251"/>
                </a:lnTo>
                <a:lnTo>
                  <a:pt x="487133" y="76305"/>
                </a:lnTo>
                <a:lnTo>
                  <a:pt x="487814" y="76358"/>
                </a:lnTo>
                <a:lnTo>
                  <a:pt x="488495" y="76411"/>
                </a:lnTo>
                <a:lnTo>
                  <a:pt x="489177" y="76465"/>
                </a:lnTo>
                <a:lnTo>
                  <a:pt x="489858" y="76518"/>
                </a:lnTo>
                <a:lnTo>
                  <a:pt x="490539" y="76571"/>
                </a:lnTo>
                <a:lnTo>
                  <a:pt x="491221" y="76623"/>
                </a:lnTo>
                <a:lnTo>
                  <a:pt x="491902" y="76676"/>
                </a:lnTo>
                <a:lnTo>
                  <a:pt x="492583" y="76729"/>
                </a:lnTo>
                <a:lnTo>
                  <a:pt x="493265" y="76781"/>
                </a:lnTo>
                <a:lnTo>
                  <a:pt x="493946" y="76834"/>
                </a:lnTo>
                <a:lnTo>
                  <a:pt x="494627" y="76886"/>
                </a:lnTo>
                <a:lnTo>
                  <a:pt x="495308" y="76939"/>
                </a:lnTo>
                <a:lnTo>
                  <a:pt x="495990" y="76991"/>
                </a:lnTo>
                <a:lnTo>
                  <a:pt x="496671" y="77043"/>
                </a:lnTo>
                <a:lnTo>
                  <a:pt x="497352" y="77095"/>
                </a:lnTo>
                <a:lnTo>
                  <a:pt x="498034" y="77147"/>
                </a:lnTo>
                <a:lnTo>
                  <a:pt x="498715" y="77198"/>
                </a:lnTo>
                <a:lnTo>
                  <a:pt x="499396" y="77250"/>
                </a:lnTo>
                <a:lnTo>
                  <a:pt x="500078" y="77302"/>
                </a:lnTo>
                <a:lnTo>
                  <a:pt x="500759" y="77353"/>
                </a:lnTo>
                <a:lnTo>
                  <a:pt x="501440" y="77404"/>
                </a:lnTo>
                <a:lnTo>
                  <a:pt x="502122" y="77456"/>
                </a:lnTo>
                <a:lnTo>
                  <a:pt x="502803" y="77507"/>
                </a:lnTo>
                <a:lnTo>
                  <a:pt x="503484" y="77558"/>
                </a:lnTo>
                <a:lnTo>
                  <a:pt x="504165" y="77609"/>
                </a:lnTo>
                <a:lnTo>
                  <a:pt x="504847" y="77660"/>
                </a:lnTo>
                <a:lnTo>
                  <a:pt x="505528" y="77711"/>
                </a:lnTo>
                <a:lnTo>
                  <a:pt x="506209" y="77761"/>
                </a:lnTo>
                <a:lnTo>
                  <a:pt x="506891" y="77812"/>
                </a:lnTo>
                <a:lnTo>
                  <a:pt x="507572" y="77863"/>
                </a:lnTo>
                <a:lnTo>
                  <a:pt x="508253" y="77913"/>
                </a:lnTo>
                <a:lnTo>
                  <a:pt x="508935" y="77963"/>
                </a:lnTo>
                <a:lnTo>
                  <a:pt x="509616" y="78014"/>
                </a:lnTo>
                <a:lnTo>
                  <a:pt x="510297" y="78064"/>
                </a:lnTo>
                <a:lnTo>
                  <a:pt x="510979" y="78114"/>
                </a:lnTo>
                <a:lnTo>
                  <a:pt x="511660" y="78164"/>
                </a:lnTo>
                <a:lnTo>
                  <a:pt x="512341" y="78214"/>
                </a:lnTo>
                <a:lnTo>
                  <a:pt x="513022" y="78263"/>
                </a:lnTo>
                <a:lnTo>
                  <a:pt x="513704" y="78313"/>
                </a:lnTo>
                <a:lnTo>
                  <a:pt x="514385" y="78363"/>
                </a:lnTo>
                <a:lnTo>
                  <a:pt x="515066" y="78412"/>
                </a:lnTo>
                <a:lnTo>
                  <a:pt x="515748" y="78461"/>
                </a:lnTo>
                <a:lnTo>
                  <a:pt x="516429" y="78511"/>
                </a:lnTo>
                <a:lnTo>
                  <a:pt x="517110" y="78560"/>
                </a:lnTo>
                <a:lnTo>
                  <a:pt x="517792" y="78609"/>
                </a:lnTo>
                <a:lnTo>
                  <a:pt x="518473" y="78658"/>
                </a:lnTo>
                <a:lnTo>
                  <a:pt x="519154" y="78707"/>
                </a:lnTo>
                <a:lnTo>
                  <a:pt x="519835" y="78756"/>
                </a:lnTo>
                <a:lnTo>
                  <a:pt x="520517" y="78804"/>
                </a:lnTo>
                <a:lnTo>
                  <a:pt x="521198" y="78853"/>
                </a:lnTo>
                <a:lnTo>
                  <a:pt x="521879" y="78902"/>
                </a:lnTo>
                <a:lnTo>
                  <a:pt x="522561" y="78950"/>
                </a:lnTo>
                <a:lnTo>
                  <a:pt x="523242" y="78998"/>
                </a:lnTo>
                <a:lnTo>
                  <a:pt x="523923" y="79047"/>
                </a:lnTo>
                <a:lnTo>
                  <a:pt x="524605" y="79095"/>
                </a:lnTo>
                <a:lnTo>
                  <a:pt x="525286" y="79143"/>
                </a:lnTo>
                <a:lnTo>
                  <a:pt x="525967" y="79191"/>
                </a:lnTo>
                <a:lnTo>
                  <a:pt x="526649" y="79239"/>
                </a:lnTo>
                <a:lnTo>
                  <a:pt x="527330" y="79286"/>
                </a:lnTo>
                <a:lnTo>
                  <a:pt x="528011" y="79334"/>
                </a:lnTo>
                <a:lnTo>
                  <a:pt x="528692" y="79382"/>
                </a:lnTo>
                <a:lnTo>
                  <a:pt x="529374" y="79429"/>
                </a:lnTo>
                <a:lnTo>
                  <a:pt x="530055" y="79477"/>
                </a:lnTo>
                <a:lnTo>
                  <a:pt x="530736" y="79524"/>
                </a:lnTo>
                <a:lnTo>
                  <a:pt x="531418" y="79571"/>
                </a:lnTo>
                <a:lnTo>
                  <a:pt x="532099" y="79619"/>
                </a:lnTo>
                <a:lnTo>
                  <a:pt x="532780" y="79666"/>
                </a:lnTo>
                <a:lnTo>
                  <a:pt x="533462" y="79713"/>
                </a:lnTo>
                <a:lnTo>
                  <a:pt x="534143" y="79760"/>
                </a:lnTo>
                <a:lnTo>
                  <a:pt x="534824" y="79806"/>
                </a:lnTo>
                <a:lnTo>
                  <a:pt x="535506" y="79853"/>
                </a:lnTo>
                <a:lnTo>
                  <a:pt x="536187" y="79900"/>
                </a:lnTo>
                <a:lnTo>
                  <a:pt x="536868" y="79946"/>
                </a:lnTo>
                <a:lnTo>
                  <a:pt x="537549" y="79993"/>
                </a:lnTo>
                <a:lnTo>
                  <a:pt x="538231" y="80039"/>
                </a:lnTo>
                <a:lnTo>
                  <a:pt x="538912" y="80085"/>
                </a:lnTo>
                <a:lnTo>
                  <a:pt x="539593" y="80131"/>
                </a:lnTo>
                <a:lnTo>
                  <a:pt x="540275" y="80178"/>
                </a:lnTo>
                <a:lnTo>
                  <a:pt x="540956" y="80224"/>
                </a:lnTo>
                <a:lnTo>
                  <a:pt x="541637" y="80269"/>
                </a:lnTo>
                <a:lnTo>
                  <a:pt x="542319" y="80315"/>
                </a:lnTo>
                <a:lnTo>
                  <a:pt x="543000" y="80361"/>
                </a:lnTo>
                <a:lnTo>
                  <a:pt x="543681" y="80407"/>
                </a:lnTo>
                <a:lnTo>
                  <a:pt x="544362" y="80452"/>
                </a:lnTo>
                <a:lnTo>
                  <a:pt x="545044" y="80498"/>
                </a:lnTo>
                <a:lnTo>
                  <a:pt x="545725" y="80543"/>
                </a:lnTo>
                <a:lnTo>
                  <a:pt x="546406" y="80588"/>
                </a:lnTo>
                <a:lnTo>
                  <a:pt x="547088" y="80634"/>
                </a:lnTo>
                <a:lnTo>
                  <a:pt x="547769" y="80679"/>
                </a:lnTo>
                <a:lnTo>
                  <a:pt x="548450" y="80724"/>
                </a:lnTo>
                <a:lnTo>
                  <a:pt x="549132" y="80769"/>
                </a:lnTo>
                <a:lnTo>
                  <a:pt x="549813" y="80814"/>
                </a:lnTo>
                <a:lnTo>
                  <a:pt x="550494" y="80858"/>
                </a:lnTo>
                <a:lnTo>
                  <a:pt x="551176" y="80903"/>
                </a:lnTo>
                <a:lnTo>
                  <a:pt x="551857" y="80948"/>
                </a:lnTo>
                <a:lnTo>
                  <a:pt x="552538" y="80992"/>
                </a:lnTo>
                <a:lnTo>
                  <a:pt x="553219" y="81037"/>
                </a:lnTo>
                <a:lnTo>
                  <a:pt x="553901" y="81081"/>
                </a:lnTo>
                <a:lnTo>
                  <a:pt x="554582" y="81125"/>
                </a:lnTo>
                <a:lnTo>
                  <a:pt x="555263" y="81169"/>
                </a:lnTo>
                <a:lnTo>
                  <a:pt x="555945" y="81213"/>
                </a:lnTo>
                <a:lnTo>
                  <a:pt x="556626" y="81257"/>
                </a:lnTo>
                <a:lnTo>
                  <a:pt x="557307" y="81301"/>
                </a:lnTo>
                <a:lnTo>
                  <a:pt x="557989" y="81345"/>
                </a:lnTo>
                <a:lnTo>
                  <a:pt x="558670" y="81389"/>
                </a:lnTo>
                <a:lnTo>
                  <a:pt x="559351" y="81433"/>
                </a:lnTo>
                <a:lnTo>
                  <a:pt x="560032" y="81476"/>
                </a:lnTo>
                <a:lnTo>
                  <a:pt x="560714" y="81520"/>
                </a:lnTo>
                <a:lnTo>
                  <a:pt x="561395" y="81563"/>
                </a:lnTo>
                <a:lnTo>
                  <a:pt x="562076" y="81607"/>
                </a:lnTo>
                <a:lnTo>
                  <a:pt x="562758" y="81650"/>
                </a:lnTo>
                <a:lnTo>
                  <a:pt x="563439" y="81693"/>
                </a:lnTo>
                <a:lnTo>
                  <a:pt x="564120" y="81736"/>
                </a:lnTo>
                <a:lnTo>
                  <a:pt x="564802" y="81779"/>
                </a:lnTo>
                <a:lnTo>
                  <a:pt x="565483" y="81822"/>
                </a:lnTo>
                <a:lnTo>
                  <a:pt x="566164" y="81865"/>
                </a:lnTo>
                <a:lnTo>
                  <a:pt x="566846" y="81907"/>
                </a:lnTo>
                <a:lnTo>
                  <a:pt x="567527" y="81950"/>
                </a:lnTo>
                <a:lnTo>
                  <a:pt x="568208" y="81993"/>
                </a:lnTo>
                <a:lnTo>
                  <a:pt x="568889" y="82035"/>
                </a:lnTo>
                <a:lnTo>
                  <a:pt x="569571" y="82078"/>
                </a:lnTo>
                <a:lnTo>
                  <a:pt x="570252" y="82120"/>
                </a:lnTo>
                <a:lnTo>
                  <a:pt x="570933" y="82162"/>
                </a:lnTo>
                <a:lnTo>
                  <a:pt x="571615" y="82204"/>
                </a:lnTo>
                <a:lnTo>
                  <a:pt x="572296" y="82246"/>
                </a:lnTo>
                <a:lnTo>
                  <a:pt x="572977" y="82289"/>
                </a:lnTo>
                <a:lnTo>
                  <a:pt x="573659" y="82330"/>
                </a:lnTo>
                <a:lnTo>
                  <a:pt x="574340" y="82372"/>
                </a:lnTo>
                <a:lnTo>
                  <a:pt x="575021" y="82414"/>
                </a:lnTo>
                <a:lnTo>
                  <a:pt x="575703" y="82456"/>
                </a:lnTo>
                <a:lnTo>
                  <a:pt x="576384" y="82497"/>
                </a:lnTo>
                <a:lnTo>
                  <a:pt x="577065" y="82539"/>
                </a:lnTo>
                <a:lnTo>
                  <a:pt x="577746" y="82580"/>
                </a:lnTo>
                <a:lnTo>
                  <a:pt x="578428" y="82622"/>
                </a:lnTo>
                <a:lnTo>
                  <a:pt x="579109" y="82663"/>
                </a:lnTo>
                <a:lnTo>
                  <a:pt x="579790" y="82704"/>
                </a:lnTo>
                <a:lnTo>
                  <a:pt x="580472" y="82745"/>
                </a:lnTo>
                <a:lnTo>
                  <a:pt x="581153" y="82786"/>
                </a:lnTo>
                <a:lnTo>
                  <a:pt x="581834" y="82827"/>
                </a:lnTo>
                <a:lnTo>
                  <a:pt x="582516" y="82868"/>
                </a:lnTo>
                <a:lnTo>
                  <a:pt x="583197" y="82909"/>
                </a:lnTo>
                <a:lnTo>
                  <a:pt x="583878" y="82950"/>
                </a:lnTo>
                <a:lnTo>
                  <a:pt x="584559" y="82990"/>
                </a:lnTo>
                <a:lnTo>
                  <a:pt x="585241" y="83031"/>
                </a:lnTo>
                <a:lnTo>
                  <a:pt x="585922" y="83071"/>
                </a:lnTo>
                <a:lnTo>
                  <a:pt x="586603" y="83112"/>
                </a:lnTo>
                <a:lnTo>
                  <a:pt x="587285" y="83152"/>
                </a:lnTo>
                <a:lnTo>
                  <a:pt x="587966" y="83192"/>
                </a:lnTo>
                <a:lnTo>
                  <a:pt x="588647" y="83232"/>
                </a:lnTo>
                <a:lnTo>
                  <a:pt x="589329" y="83272"/>
                </a:lnTo>
                <a:lnTo>
                  <a:pt x="590010" y="83313"/>
                </a:lnTo>
                <a:lnTo>
                  <a:pt x="590691" y="83352"/>
                </a:lnTo>
                <a:lnTo>
                  <a:pt x="591373" y="83392"/>
                </a:lnTo>
                <a:lnTo>
                  <a:pt x="592054" y="83432"/>
                </a:lnTo>
                <a:lnTo>
                  <a:pt x="592735" y="83472"/>
                </a:lnTo>
                <a:lnTo>
                  <a:pt x="593416" y="83511"/>
                </a:lnTo>
                <a:lnTo>
                  <a:pt x="594098" y="83551"/>
                </a:lnTo>
                <a:lnTo>
                  <a:pt x="594779" y="83590"/>
                </a:lnTo>
                <a:lnTo>
                  <a:pt x="595460" y="83630"/>
                </a:lnTo>
                <a:lnTo>
                  <a:pt x="596142" y="83669"/>
                </a:lnTo>
                <a:lnTo>
                  <a:pt x="596823" y="83708"/>
                </a:lnTo>
                <a:lnTo>
                  <a:pt x="597504" y="83747"/>
                </a:lnTo>
                <a:lnTo>
                  <a:pt x="598186" y="83787"/>
                </a:lnTo>
                <a:lnTo>
                  <a:pt x="598867" y="83826"/>
                </a:lnTo>
                <a:lnTo>
                  <a:pt x="599548" y="83864"/>
                </a:lnTo>
                <a:lnTo>
                  <a:pt x="600230" y="83903"/>
                </a:lnTo>
                <a:lnTo>
                  <a:pt x="600911" y="83942"/>
                </a:lnTo>
                <a:lnTo>
                  <a:pt x="601592" y="83981"/>
                </a:lnTo>
                <a:lnTo>
                  <a:pt x="602273" y="84019"/>
                </a:lnTo>
                <a:lnTo>
                  <a:pt x="602955" y="84058"/>
                </a:lnTo>
                <a:lnTo>
                  <a:pt x="603636" y="84096"/>
                </a:lnTo>
                <a:lnTo>
                  <a:pt x="604317" y="84135"/>
                </a:lnTo>
                <a:lnTo>
                  <a:pt x="604999" y="84173"/>
                </a:lnTo>
                <a:lnTo>
                  <a:pt x="605680" y="84211"/>
                </a:lnTo>
                <a:lnTo>
                  <a:pt x="606361" y="84250"/>
                </a:lnTo>
                <a:lnTo>
                  <a:pt x="607043" y="84288"/>
                </a:lnTo>
                <a:lnTo>
                  <a:pt x="607724" y="84326"/>
                </a:lnTo>
                <a:lnTo>
                  <a:pt x="608405" y="84364"/>
                </a:lnTo>
                <a:lnTo>
                  <a:pt x="609086" y="84401"/>
                </a:lnTo>
                <a:lnTo>
                  <a:pt x="609768" y="84439"/>
                </a:lnTo>
                <a:lnTo>
                  <a:pt x="610449" y="84477"/>
                </a:lnTo>
                <a:lnTo>
                  <a:pt x="611130" y="84515"/>
                </a:lnTo>
                <a:lnTo>
                  <a:pt x="611812" y="84552"/>
                </a:lnTo>
                <a:lnTo>
                  <a:pt x="612493" y="84590"/>
                </a:lnTo>
                <a:lnTo>
                  <a:pt x="613174" y="84627"/>
                </a:lnTo>
                <a:lnTo>
                  <a:pt x="613856" y="84664"/>
                </a:lnTo>
                <a:lnTo>
                  <a:pt x="614537" y="84702"/>
                </a:lnTo>
                <a:lnTo>
                  <a:pt x="615218" y="84739"/>
                </a:lnTo>
                <a:lnTo>
                  <a:pt x="615900" y="84776"/>
                </a:lnTo>
                <a:lnTo>
                  <a:pt x="616581" y="84813"/>
                </a:lnTo>
                <a:lnTo>
                  <a:pt x="617262" y="84850"/>
                </a:lnTo>
                <a:lnTo>
                  <a:pt x="617943" y="84887"/>
                </a:lnTo>
                <a:lnTo>
                  <a:pt x="618625" y="84924"/>
                </a:lnTo>
                <a:lnTo>
                  <a:pt x="619306" y="84961"/>
                </a:lnTo>
                <a:lnTo>
                  <a:pt x="619987" y="84997"/>
                </a:lnTo>
                <a:lnTo>
                  <a:pt x="620669" y="85034"/>
                </a:lnTo>
                <a:lnTo>
                  <a:pt x="621350" y="85070"/>
                </a:lnTo>
                <a:lnTo>
                  <a:pt x="622031" y="85107"/>
                </a:lnTo>
                <a:lnTo>
                  <a:pt x="622713" y="85143"/>
                </a:lnTo>
                <a:lnTo>
                  <a:pt x="623394" y="85180"/>
                </a:lnTo>
                <a:lnTo>
                  <a:pt x="624075" y="85216"/>
                </a:lnTo>
                <a:lnTo>
                  <a:pt x="624757" y="85252"/>
                </a:lnTo>
                <a:lnTo>
                  <a:pt x="625438" y="85288"/>
                </a:lnTo>
                <a:lnTo>
                  <a:pt x="626119" y="85324"/>
                </a:lnTo>
                <a:lnTo>
                  <a:pt x="626800" y="85360"/>
                </a:lnTo>
                <a:lnTo>
                  <a:pt x="627482" y="85396"/>
                </a:lnTo>
                <a:lnTo>
                  <a:pt x="628163" y="85432"/>
                </a:lnTo>
                <a:lnTo>
                  <a:pt x="628844" y="85468"/>
                </a:lnTo>
                <a:lnTo>
                  <a:pt x="629526" y="85503"/>
                </a:lnTo>
                <a:lnTo>
                  <a:pt x="630207" y="85539"/>
                </a:lnTo>
                <a:lnTo>
                  <a:pt x="630888" y="85574"/>
                </a:lnTo>
                <a:lnTo>
                  <a:pt x="631570" y="85610"/>
                </a:lnTo>
                <a:lnTo>
                  <a:pt x="632251" y="85645"/>
                </a:lnTo>
                <a:lnTo>
                  <a:pt x="632932" y="85681"/>
                </a:lnTo>
                <a:lnTo>
                  <a:pt x="633613" y="85716"/>
                </a:lnTo>
                <a:lnTo>
                  <a:pt x="634295" y="85751"/>
                </a:lnTo>
                <a:lnTo>
                  <a:pt x="634976" y="85786"/>
                </a:lnTo>
                <a:lnTo>
                  <a:pt x="635657" y="85821"/>
                </a:lnTo>
                <a:lnTo>
                  <a:pt x="636339" y="85856"/>
                </a:lnTo>
                <a:lnTo>
                  <a:pt x="637020" y="85891"/>
                </a:lnTo>
                <a:lnTo>
                  <a:pt x="637701" y="85926"/>
                </a:lnTo>
                <a:lnTo>
                  <a:pt x="638383" y="85961"/>
                </a:lnTo>
                <a:lnTo>
                  <a:pt x="639064" y="85996"/>
                </a:lnTo>
                <a:lnTo>
                  <a:pt x="639745" y="86030"/>
                </a:lnTo>
                <a:lnTo>
                  <a:pt x="640427" y="86065"/>
                </a:lnTo>
                <a:lnTo>
                  <a:pt x="641108" y="86099"/>
                </a:lnTo>
                <a:lnTo>
                  <a:pt x="641789" y="86134"/>
                </a:lnTo>
                <a:lnTo>
                  <a:pt x="642470" y="86168"/>
                </a:lnTo>
                <a:lnTo>
                  <a:pt x="643152" y="86202"/>
                </a:lnTo>
                <a:lnTo>
                  <a:pt x="643833" y="86237"/>
                </a:lnTo>
                <a:lnTo>
                  <a:pt x="644514" y="86271"/>
                </a:lnTo>
                <a:lnTo>
                  <a:pt x="645196" y="86305"/>
                </a:lnTo>
                <a:lnTo>
                  <a:pt x="645877" y="86339"/>
                </a:lnTo>
                <a:lnTo>
                  <a:pt x="646558" y="86373"/>
                </a:lnTo>
                <a:lnTo>
                  <a:pt x="647240" y="86407"/>
                </a:lnTo>
                <a:lnTo>
                  <a:pt x="647921" y="86440"/>
                </a:lnTo>
                <a:lnTo>
                  <a:pt x="648602" y="86474"/>
                </a:lnTo>
                <a:lnTo>
                  <a:pt x="649283" y="86508"/>
                </a:lnTo>
                <a:lnTo>
                  <a:pt x="649965" y="86542"/>
                </a:lnTo>
                <a:lnTo>
                  <a:pt x="650646" y="86575"/>
                </a:lnTo>
                <a:lnTo>
                  <a:pt x="651327" y="86609"/>
                </a:lnTo>
                <a:lnTo>
                  <a:pt x="652009" y="86642"/>
                </a:lnTo>
                <a:lnTo>
                  <a:pt x="652690" y="86675"/>
                </a:lnTo>
                <a:lnTo>
                  <a:pt x="653371" y="86709"/>
                </a:lnTo>
                <a:lnTo>
                  <a:pt x="654053" y="86742"/>
                </a:lnTo>
                <a:lnTo>
                  <a:pt x="654734" y="86775"/>
                </a:lnTo>
                <a:lnTo>
                  <a:pt x="655415" y="86808"/>
                </a:lnTo>
                <a:lnTo>
                  <a:pt x="656097" y="86841"/>
                </a:lnTo>
                <a:lnTo>
                  <a:pt x="656778" y="86874"/>
                </a:lnTo>
                <a:lnTo>
                  <a:pt x="657459" y="86907"/>
                </a:lnTo>
                <a:lnTo>
                  <a:pt x="658140" y="86940"/>
                </a:lnTo>
                <a:lnTo>
                  <a:pt x="658822" y="86972"/>
                </a:lnTo>
                <a:lnTo>
                  <a:pt x="659503" y="87005"/>
                </a:lnTo>
                <a:lnTo>
                  <a:pt x="660184" y="87038"/>
                </a:lnTo>
                <a:lnTo>
                  <a:pt x="660866" y="87070"/>
                </a:lnTo>
                <a:lnTo>
                  <a:pt x="661547" y="87103"/>
                </a:lnTo>
                <a:lnTo>
                  <a:pt x="662228" y="87135"/>
                </a:lnTo>
                <a:lnTo>
                  <a:pt x="662910" y="87168"/>
                </a:lnTo>
                <a:lnTo>
                  <a:pt x="663591" y="87200"/>
                </a:lnTo>
                <a:lnTo>
                  <a:pt x="664272" y="87232"/>
                </a:lnTo>
                <a:lnTo>
                  <a:pt x="664954" y="87264"/>
                </a:lnTo>
                <a:lnTo>
                  <a:pt x="665635" y="87296"/>
                </a:lnTo>
                <a:lnTo>
                  <a:pt x="666316" y="87328"/>
                </a:lnTo>
                <a:lnTo>
                  <a:pt x="666997" y="87360"/>
                </a:lnTo>
                <a:lnTo>
                  <a:pt x="667679" y="87392"/>
                </a:lnTo>
                <a:lnTo>
                  <a:pt x="668360" y="87424"/>
                </a:lnTo>
                <a:lnTo>
                  <a:pt x="669041" y="87456"/>
                </a:lnTo>
                <a:lnTo>
                  <a:pt x="669723" y="87488"/>
                </a:lnTo>
                <a:lnTo>
                  <a:pt x="670404" y="87519"/>
                </a:lnTo>
                <a:lnTo>
                  <a:pt x="671085" y="87551"/>
                </a:lnTo>
                <a:lnTo>
                  <a:pt x="671767" y="87582"/>
                </a:lnTo>
                <a:lnTo>
                  <a:pt x="672448" y="87614"/>
                </a:lnTo>
                <a:lnTo>
                  <a:pt x="673129" y="87645"/>
                </a:lnTo>
                <a:lnTo>
                  <a:pt x="673810" y="87677"/>
                </a:lnTo>
                <a:lnTo>
                  <a:pt x="674492" y="87708"/>
                </a:lnTo>
                <a:lnTo>
                  <a:pt x="675173" y="87739"/>
                </a:lnTo>
                <a:lnTo>
                  <a:pt x="675854" y="87770"/>
                </a:lnTo>
                <a:lnTo>
                  <a:pt x="676536" y="87801"/>
                </a:lnTo>
                <a:lnTo>
                  <a:pt x="677217" y="87832"/>
                </a:lnTo>
                <a:lnTo>
                  <a:pt x="677898" y="87863"/>
                </a:lnTo>
                <a:lnTo>
                  <a:pt x="678580" y="87894"/>
                </a:lnTo>
                <a:lnTo>
                  <a:pt x="679261" y="87925"/>
                </a:lnTo>
                <a:lnTo>
                  <a:pt x="679942" y="87956"/>
                </a:lnTo>
                <a:lnTo>
                  <a:pt x="680624" y="87986"/>
                </a:lnTo>
                <a:lnTo>
                  <a:pt x="681305" y="88017"/>
                </a:lnTo>
                <a:lnTo>
                  <a:pt x="681986" y="88048"/>
                </a:lnTo>
                <a:lnTo>
                  <a:pt x="682667" y="88078"/>
                </a:lnTo>
                <a:lnTo>
                  <a:pt x="683349" y="88109"/>
                </a:lnTo>
                <a:lnTo>
                  <a:pt x="684030" y="88139"/>
                </a:lnTo>
                <a:lnTo>
                  <a:pt x="684711" y="88169"/>
                </a:lnTo>
                <a:lnTo>
                  <a:pt x="685393" y="88200"/>
                </a:lnTo>
                <a:lnTo>
                  <a:pt x="686074" y="88230"/>
                </a:lnTo>
                <a:lnTo>
                  <a:pt x="686755" y="88260"/>
                </a:lnTo>
                <a:lnTo>
                  <a:pt x="687437" y="88290"/>
                </a:lnTo>
                <a:lnTo>
                  <a:pt x="688118" y="88320"/>
                </a:lnTo>
                <a:lnTo>
                  <a:pt x="688799" y="88350"/>
                </a:lnTo>
                <a:lnTo>
                  <a:pt x="689481" y="88380"/>
                </a:lnTo>
                <a:lnTo>
                  <a:pt x="690162" y="88410"/>
                </a:lnTo>
                <a:lnTo>
                  <a:pt x="690843" y="88440"/>
                </a:lnTo>
                <a:lnTo>
                  <a:pt x="691524" y="88469"/>
                </a:lnTo>
                <a:lnTo>
                  <a:pt x="692206" y="88499"/>
                </a:lnTo>
                <a:lnTo>
                  <a:pt x="692887" y="88529"/>
                </a:lnTo>
                <a:lnTo>
                  <a:pt x="693568" y="88558"/>
                </a:lnTo>
                <a:lnTo>
                  <a:pt x="694250" y="88588"/>
                </a:lnTo>
                <a:lnTo>
                  <a:pt x="694931" y="88617"/>
                </a:lnTo>
                <a:lnTo>
                  <a:pt x="695612" y="88647"/>
                </a:lnTo>
                <a:lnTo>
                  <a:pt x="696294" y="88676"/>
                </a:lnTo>
                <a:lnTo>
                  <a:pt x="696975" y="88705"/>
                </a:lnTo>
                <a:lnTo>
                  <a:pt x="697656" y="88734"/>
                </a:lnTo>
                <a:lnTo>
                  <a:pt x="698337" y="88763"/>
                </a:lnTo>
                <a:lnTo>
                  <a:pt x="699019" y="88792"/>
                </a:lnTo>
                <a:lnTo>
                  <a:pt x="699700" y="88821"/>
                </a:lnTo>
                <a:lnTo>
                  <a:pt x="700381" y="88850"/>
                </a:lnTo>
                <a:lnTo>
                  <a:pt x="701063" y="88879"/>
                </a:lnTo>
                <a:lnTo>
                  <a:pt x="701744" y="88908"/>
                </a:lnTo>
                <a:lnTo>
                  <a:pt x="702425" y="88937"/>
                </a:lnTo>
                <a:lnTo>
                  <a:pt x="703107" y="88966"/>
                </a:lnTo>
                <a:lnTo>
                  <a:pt x="703788" y="88994"/>
                </a:lnTo>
                <a:lnTo>
                  <a:pt x="704469" y="89023"/>
                </a:lnTo>
                <a:lnTo>
                  <a:pt x="705151" y="89051"/>
                </a:lnTo>
                <a:lnTo>
                  <a:pt x="705832" y="89080"/>
                </a:lnTo>
                <a:lnTo>
                  <a:pt x="706513" y="89108"/>
                </a:lnTo>
                <a:lnTo>
                  <a:pt x="707194" y="89137"/>
                </a:lnTo>
                <a:lnTo>
                  <a:pt x="707876" y="89165"/>
                </a:lnTo>
                <a:lnTo>
                  <a:pt x="708557" y="89193"/>
                </a:lnTo>
                <a:lnTo>
                  <a:pt x="709238" y="89221"/>
                </a:lnTo>
                <a:lnTo>
                  <a:pt x="709920" y="89250"/>
                </a:lnTo>
                <a:lnTo>
                  <a:pt x="710601" y="89278"/>
                </a:lnTo>
                <a:lnTo>
                  <a:pt x="711282" y="89306"/>
                </a:lnTo>
                <a:lnTo>
                  <a:pt x="711964" y="89334"/>
                </a:lnTo>
                <a:lnTo>
                  <a:pt x="712645" y="89362"/>
                </a:lnTo>
                <a:lnTo>
                  <a:pt x="713326" y="89389"/>
                </a:lnTo>
                <a:lnTo>
                  <a:pt x="714008" y="89417"/>
                </a:lnTo>
                <a:lnTo>
                  <a:pt x="714689" y="89445"/>
                </a:lnTo>
                <a:lnTo>
                  <a:pt x="715370" y="89473"/>
                </a:lnTo>
                <a:lnTo>
                  <a:pt x="716051" y="89500"/>
                </a:lnTo>
                <a:lnTo>
                  <a:pt x="716733" y="89528"/>
                </a:lnTo>
                <a:lnTo>
                  <a:pt x="717414" y="89555"/>
                </a:lnTo>
                <a:lnTo>
                  <a:pt x="718095" y="89583"/>
                </a:lnTo>
                <a:lnTo>
                  <a:pt x="718777" y="89610"/>
                </a:lnTo>
                <a:lnTo>
                  <a:pt x="719458" y="89638"/>
                </a:lnTo>
                <a:lnTo>
                  <a:pt x="720139" y="89665"/>
                </a:lnTo>
                <a:lnTo>
                  <a:pt x="720821" y="89692"/>
                </a:lnTo>
                <a:lnTo>
                  <a:pt x="721502" y="89719"/>
                </a:lnTo>
                <a:lnTo>
                  <a:pt x="722183" y="89746"/>
                </a:lnTo>
                <a:lnTo>
                  <a:pt x="722864" y="89773"/>
                </a:lnTo>
                <a:lnTo>
                  <a:pt x="723546" y="89800"/>
                </a:lnTo>
                <a:lnTo>
                  <a:pt x="724227" y="89827"/>
                </a:lnTo>
                <a:lnTo>
                  <a:pt x="724908" y="89854"/>
                </a:lnTo>
                <a:lnTo>
                  <a:pt x="725590" y="89881"/>
                </a:lnTo>
                <a:lnTo>
                  <a:pt x="726271" y="89908"/>
                </a:lnTo>
                <a:lnTo>
                  <a:pt x="726952" y="89935"/>
                </a:lnTo>
                <a:lnTo>
                  <a:pt x="727634" y="89961"/>
                </a:lnTo>
                <a:lnTo>
                  <a:pt x="728315" y="89988"/>
                </a:lnTo>
                <a:lnTo>
                  <a:pt x="728996" y="90015"/>
                </a:lnTo>
                <a:lnTo>
                  <a:pt x="729678" y="90041"/>
                </a:lnTo>
                <a:lnTo>
                  <a:pt x="730359" y="90068"/>
                </a:lnTo>
                <a:lnTo>
                  <a:pt x="731040" y="90094"/>
                </a:lnTo>
                <a:lnTo>
                  <a:pt x="731721" y="90120"/>
                </a:lnTo>
                <a:lnTo>
                  <a:pt x="732403" y="90147"/>
                </a:lnTo>
                <a:lnTo>
                  <a:pt x="733084" y="90173"/>
                </a:lnTo>
                <a:lnTo>
                  <a:pt x="733765" y="90199"/>
                </a:lnTo>
                <a:lnTo>
                  <a:pt x="734447" y="90225"/>
                </a:lnTo>
                <a:lnTo>
                  <a:pt x="735128" y="90251"/>
                </a:lnTo>
                <a:lnTo>
                  <a:pt x="735809" y="90277"/>
                </a:lnTo>
                <a:lnTo>
                  <a:pt x="736491" y="90303"/>
                </a:lnTo>
                <a:lnTo>
                  <a:pt x="737172" y="90329"/>
                </a:lnTo>
                <a:lnTo>
                  <a:pt x="737853" y="90355"/>
                </a:lnTo>
                <a:lnTo>
                  <a:pt x="738534" y="90381"/>
                </a:lnTo>
                <a:lnTo>
                  <a:pt x="739216" y="90407"/>
                </a:lnTo>
                <a:lnTo>
                  <a:pt x="739897" y="90432"/>
                </a:lnTo>
                <a:lnTo>
                  <a:pt x="740578" y="90458"/>
                </a:lnTo>
                <a:lnTo>
                  <a:pt x="741260" y="90484"/>
                </a:lnTo>
                <a:lnTo>
                  <a:pt x="741941" y="90509"/>
                </a:lnTo>
                <a:lnTo>
                  <a:pt x="742622" y="90535"/>
                </a:lnTo>
                <a:lnTo>
                  <a:pt x="743304" y="90560"/>
                </a:lnTo>
                <a:lnTo>
                  <a:pt x="743985" y="90585"/>
                </a:lnTo>
                <a:lnTo>
                  <a:pt x="744666" y="90611"/>
                </a:lnTo>
                <a:lnTo>
                  <a:pt x="745348" y="90636"/>
                </a:lnTo>
                <a:lnTo>
                  <a:pt x="746029" y="90661"/>
                </a:lnTo>
                <a:lnTo>
                  <a:pt x="746710" y="90686"/>
                </a:lnTo>
                <a:lnTo>
                  <a:pt x="747391" y="90712"/>
                </a:lnTo>
                <a:lnTo>
                  <a:pt x="748073" y="90737"/>
                </a:lnTo>
                <a:lnTo>
                  <a:pt x="748754" y="90762"/>
                </a:lnTo>
                <a:lnTo>
                  <a:pt x="749435" y="90787"/>
                </a:lnTo>
                <a:lnTo>
                  <a:pt x="750117" y="90812"/>
                </a:lnTo>
                <a:lnTo>
                  <a:pt x="750798" y="90836"/>
                </a:lnTo>
                <a:lnTo>
                  <a:pt x="751479" y="90861"/>
                </a:lnTo>
                <a:lnTo>
                  <a:pt x="752161" y="90886"/>
                </a:lnTo>
                <a:lnTo>
                  <a:pt x="752842" y="90911"/>
                </a:lnTo>
                <a:lnTo>
                  <a:pt x="753523" y="90935"/>
                </a:lnTo>
                <a:lnTo>
                  <a:pt x="754205" y="90960"/>
                </a:lnTo>
                <a:lnTo>
                  <a:pt x="754886" y="90985"/>
                </a:lnTo>
                <a:lnTo>
                  <a:pt x="755567" y="91009"/>
                </a:lnTo>
                <a:lnTo>
                  <a:pt x="756248" y="91034"/>
                </a:lnTo>
                <a:lnTo>
                  <a:pt x="756930" y="91058"/>
                </a:lnTo>
                <a:lnTo>
                  <a:pt x="757611" y="91082"/>
                </a:lnTo>
                <a:lnTo>
                  <a:pt x="758292" y="91107"/>
                </a:lnTo>
                <a:lnTo>
                  <a:pt x="758974" y="91131"/>
                </a:lnTo>
                <a:lnTo>
                  <a:pt x="759655" y="91155"/>
                </a:lnTo>
                <a:lnTo>
                  <a:pt x="760336" y="91179"/>
                </a:lnTo>
                <a:lnTo>
                  <a:pt x="761018" y="91203"/>
                </a:lnTo>
                <a:lnTo>
                  <a:pt x="761699" y="91227"/>
                </a:lnTo>
                <a:lnTo>
                  <a:pt x="762380" y="91251"/>
                </a:lnTo>
                <a:lnTo>
                  <a:pt x="763061" y="91275"/>
                </a:lnTo>
                <a:lnTo>
                  <a:pt x="763743" y="91299"/>
                </a:lnTo>
                <a:lnTo>
                  <a:pt x="764424" y="91323"/>
                </a:lnTo>
                <a:lnTo>
                  <a:pt x="765105" y="91347"/>
                </a:lnTo>
                <a:lnTo>
                  <a:pt x="765787" y="91371"/>
                </a:lnTo>
                <a:lnTo>
                  <a:pt x="766468" y="91395"/>
                </a:lnTo>
                <a:lnTo>
                  <a:pt x="767149" y="91418"/>
                </a:lnTo>
                <a:lnTo>
                  <a:pt x="767831" y="91442"/>
                </a:lnTo>
                <a:lnTo>
                  <a:pt x="768512" y="91465"/>
                </a:lnTo>
                <a:lnTo>
                  <a:pt x="769193" y="91489"/>
                </a:lnTo>
                <a:lnTo>
                  <a:pt x="769875" y="91512"/>
                </a:lnTo>
                <a:lnTo>
                  <a:pt x="770556" y="91536"/>
                </a:lnTo>
                <a:lnTo>
                  <a:pt x="771237" y="91559"/>
                </a:lnTo>
                <a:lnTo>
                  <a:pt x="771918" y="91582"/>
                </a:lnTo>
                <a:lnTo>
                  <a:pt x="772600" y="91606"/>
                </a:lnTo>
                <a:lnTo>
                  <a:pt x="773281" y="91629"/>
                </a:lnTo>
                <a:lnTo>
                  <a:pt x="773962" y="91652"/>
                </a:lnTo>
                <a:lnTo>
                  <a:pt x="774644" y="91675"/>
                </a:lnTo>
                <a:lnTo>
                  <a:pt x="775325" y="91698"/>
                </a:lnTo>
                <a:lnTo>
                  <a:pt x="776006" y="91721"/>
                </a:lnTo>
                <a:lnTo>
                  <a:pt x="776688" y="91744"/>
                </a:lnTo>
                <a:lnTo>
                  <a:pt x="777369" y="91767"/>
                </a:lnTo>
                <a:lnTo>
                  <a:pt x="778050" y="91790"/>
                </a:lnTo>
                <a:lnTo>
                  <a:pt x="778732" y="91813"/>
                </a:lnTo>
                <a:lnTo>
                  <a:pt x="779413" y="91836"/>
                </a:lnTo>
                <a:lnTo>
                  <a:pt x="780094" y="91858"/>
                </a:lnTo>
                <a:lnTo>
                  <a:pt x="780775" y="91881"/>
                </a:lnTo>
                <a:lnTo>
                  <a:pt x="781457" y="91904"/>
                </a:lnTo>
                <a:lnTo>
                  <a:pt x="782138" y="91926"/>
                </a:lnTo>
                <a:lnTo>
                  <a:pt x="782819" y="91949"/>
                </a:lnTo>
                <a:lnTo>
                  <a:pt x="783501" y="91971"/>
                </a:lnTo>
                <a:lnTo>
                  <a:pt x="784182" y="91994"/>
                </a:lnTo>
                <a:lnTo>
                  <a:pt x="784863" y="92016"/>
                </a:lnTo>
                <a:lnTo>
                  <a:pt x="785545" y="92039"/>
                </a:lnTo>
                <a:lnTo>
                  <a:pt x="786226" y="92061"/>
                </a:lnTo>
                <a:lnTo>
                  <a:pt x="786907" y="92083"/>
                </a:lnTo>
                <a:lnTo>
                  <a:pt x="787588" y="92106"/>
                </a:lnTo>
                <a:lnTo>
                  <a:pt x="788270" y="92128"/>
                </a:lnTo>
                <a:lnTo>
                  <a:pt x="788951" y="92150"/>
                </a:lnTo>
                <a:lnTo>
                  <a:pt x="789632" y="92172"/>
                </a:lnTo>
                <a:lnTo>
                  <a:pt x="790314" y="92194"/>
                </a:lnTo>
                <a:lnTo>
                  <a:pt x="790995" y="92216"/>
                </a:lnTo>
                <a:lnTo>
                  <a:pt x="791676" y="92238"/>
                </a:lnTo>
                <a:lnTo>
                  <a:pt x="792358" y="92260"/>
                </a:lnTo>
                <a:lnTo>
                  <a:pt x="793039" y="92282"/>
                </a:lnTo>
                <a:lnTo>
                  <a:pt x="793720" y="92303"/>
                </a:lnTo>
                <a:lnTo>
                  <a:pt x="794402" y="92325"/>
                </a:lnTo>
                <a:lnTo>
                  <a:pt x="795083" y="92347"/>
                </a:lnTo>
                <a:lnTo>
                  <a:pt x="795764" y="92369"/>
                </a:lnTo>
                <a:lnTo>
                  <a:pt x="796445" y="92390"/>
                </a:lnTo>
                <a:lnTo>
                  <a:pt x="797127" y="92412"/>
                </a:lnTo>
                <a:lnTo>
                  <a:pt x="797808" y="92433"/>
                </a:lnTo>
                <a:lnTo>
                  <a:pt x="798489" y="92455"/>
                </a:lnTo>
                <a:lnTo>
                  <a:pt x="799171" y="92476"/>
                </a:lnTo>
                <a:lnTo>
                  <a:pt x="799852" y="92498"/>
                </a:lnTo>
                <a:lnTo>
                  <a:pt x="800533" y="92519"/>
                </a:lnTo>
                <a:lnTo>
                  <a:pt x="801215" y="92540"/>
                </a:lnTo>
                <a:lnTo>
                  <a:pt x="801896" y="92562"/>
                </a:lnTo>
                <a:lnTo>
                  <a:pt x="802577" y="92583"/>
                </a:lnTo>
                <a:lnTo>
                  <a:pt x="803259" y="92604"/>
                </a:lnTo>
                <a:lnTo>
                  <a:pt x="803940" y="92625"/>
                </a:lnTo>
                <a:lnTo>
                  <a:pt x="804621" y="92646"/>
                </a:lnTo>
                <a:lnTo>
                  <a:pt x="805302" y="92667"/>
                </a:lnTo>
                <a:lnTo>
                  <a:pt x="805984" y="92688"/>
                </a:lnTo>
                <a:lnTo>
                  <a:pt x="806665" y="92709"/>
                </a:lnTo>
                <a:lnTo>
                  <a:pt x="807346" y="92730"/>
                </a:lnTo>
                <a:lnTo>
                  <a:pt x="808028" y="92751"/>
                </a:lnTo>
                <a:lnTo>
                  <a:pt x="808709" y="92772"/>
                </a:lnTo>
                <a:lnTo>
                  <a:pt x="809390" y="92793"/>
                </a:lnTo>
                <a:lnTo>
                  <a:pt x="810072" y="92813"/>
                </a:lnTo>
                <a:lnTo>
                  <a:pt x="810753" y="92834"/>
                </a:lnTo>
                <a:lnTo>
                  <a:pt x="811434" y="92855"/>
                </a:lnTo>
                <a:lnTo>
                  <a:pt x="812115" y="92875"/>
                </a:lnTo>
                <a:lnTo>
                  <a:pt x="812797" y="92896"/>
                </a:lnTo>
                <a:lnTo>
                  <a:pt x="813478" y="92916"/>
                </a:lnTo>
                <a:lnTo>
                  <a:pt x="814159" y="92937"/>
                </a:lnTo>
                <a:lnTo>
                  <a:pt x="814841" y="92957"/>
                </a:lnTo>
                <a:lnTo>
                  <a:pt x="815522" y="92978"/>
                </a:lnTo>
                <a:lnTo>
                  <a:pt x="816203" y="92998"/>
                </a:lnTo>
                <a:lnTo>
                  <a:pt x="816885" y="93018"/>
                </a:lnTo>
                <a:lnTo>
                  <a:pt x="817566" y="93038"/>
                </a:lnTo>
                <a:lnTo>
                  <a:pt x="818247" y="93059"/>
                </a:lnTo>
                <a:lnTo>
                  <a:pt x="818929" y="93079"/>
                </a:lnTo>
                <a:lnTo>
                  <a:pt x="819610" y="93099"/>
                </a:lnTo>
                <a:lnTo>
                  <a:pt x="820291" y="93119"/>
                </a:lnTo>
                <a:lnTo>
                  <a:pt x="820972" y="93139"/>
                </a:lnTo>
                <a:lnTo>
                  <a:pt x="821654" y="93159"/>
                </a:lnTo>
                <a:lnTo>
                  <a:pt x="822335" y="93179"/>
                </a:lnTo>
                <a:lnTo>
                  <a:pt x="823016" y="93199"/>
                </a:lnTo>
                <a:lnTo>
                  <a:pt x="823698" y="93219"/>
                </a:lnTo>
                <a:lnTo>
                  <a:pt x="824379" y="93239"/>
                </a:lnTo>
                <a:lnTo>
                  <a:pt x="825060" y="93258"/>
                </a:lnTo>
                <a:lnTo>
                  <a:pt x="825742" y="93278"/>
                </a:lnTo>
                <a:lnTo>
                  <a:pt x="826423" y="93298"/>
                </a:lnTo>
                <a:lnTo>
                  <a:pt x="827104" y="93318"/>
                </a:lnTo>
                <a:lnTo>
                  <a:pt x="827785" y="93337"/>
                </a:lnTo>
                <a:lnTo>
                  <a:pt x="828467" y="93357"/>
                </a:lnTo>
                <a:lnTo>
                  <a:pt x="829148" y="93376"/>
                </a:lnTo>
                <a:lnTo>
                  <a:pt x="829829" y="93396"/>
                </a:lnTo>
                <a:lnTo>
                  <a:pt x="830511" y="93415"/>
                </a:lnTo>
                <a:lnTo>
                  <a:pt x="831192" y="93435"/>
                </a:lnTo>
                <a:lnTo>
                  <a:pt x="831873" y="93454"/>
                </a:lnTo>
                <a:lnTo>
                  <a:pt x="832555" y="93473"/>
                </a:lnTo>
                <a:lnTo>
                  <a:pt x="833236" y="93493"/>
                </a:lnTo>
                <a:lnTo>
                  <a:pt x="833917" y="93512"/>
                </a:lnTo>
                <a:lnTo>
                  <a:pt x="834599" y="93531"/>
                </a:lnTo>
                <a:lnTo>
                  <a:pt x="835280" y="93550"/>
                </a:lnTo>
                <a:lnTo>
                  <a:pt x="835961" y="93569"/>
                </a:lnTo>
                <a:lnTo>
                  <a:pt x="836642" y="93589"/>
                </a:lnTo>
                <a:lnTo>
                  <a:pt x="837324" y="93608"/>
                </a:lnTo>
                <a:lnTo>
                  <a:pt x="838005" y="93627"/>
                </a:lnTo>
                <a:lnTo>
                  <a:pt x="838686" y="93646"/>
                </a:lnTo>
                <a:lnTo>
                  <a:pt x="839368" y="93664"/>
                </a:lnTo>
                <a:lnTo>
                  <a:pt x="840049" y="93683"/>
                </a:lnTo>
                <a:lnTo>
                  <a:pt x="840730" y="93702"/>
                </a:lnTo>
                <a:lnTo>
                  <a:pt x="841412" y="93721"/>
                </a:lnTo>
                <a:lnTo>
                  <a:pt x="842093" y="93740"/>
                </a:lnTo>
                <a:lnTo>
                  <a:pt x="842774" y="93758"/>
                </a:lnTo>
                <a:lnTo>
                  <a:pt x="843456" y="93777"/>
                </a:lnTo>
                <a:lnTo>
                  <a:pt x="844137" y="93796"/>
                </a:lnTo>
                <a:lnTo>
                  <a:pt x="844818" y="93814"/>
                </a:lnTo>
                <a:lnTo>
                  <a:pt x="845499" y="93833"/>
                </a:lnTo>
                <a:lnTo>
                  <a:pt x="846181" y="93851"/>
                </a:lnTo>
                <a:lnTo>
                  <a:pt x="846862" y="93870"/>
                </a:lnTo>
                <a:lnTo>
                  <a:pt x="847543" y="93888"/>
                </a:lnTo>
                <a:lnTo>
                  <a:pt x="848225" y="93907"/>
                </a:lnTo>
                <a:lnTo>
                  <a:pt x="848906" y="93925"/>
                </a:lnTo>
                <a:lnTo>
                  <a:pt x="849587" y="93943"/>
                </a:lnTo>
                <a:lnTo>
                  <a:pt x="850269" y="93962"/>
                </a:lnTo>
                <a:lnTo>
                  <a:pt x="850950" y="93980"/>
                </a:lnTo>
                <a:lnTo>
                  <a:pt x="851631" y="93998"/>
                </a:lnTo>
                <a:lnTo>
                  <a:pt x="852312" y="94016"/>
                </a:lnTo>
                <a:lnTo>
                  <a:pt x="852994" y="94035"/>
                </a:lnTo>
                <a:lnTo>
                  <a:pt x="853675" y="94053"/>
                </a:lnTo>
                <a:lnTo>
                  <a:pt x="854356" y="94071"/>
                </a:lnTo>
                <a:lnTo>
                  <a:pt x="855038" y="94089"/>
                </a:lnTo>
                <a:lnTo>
                  <a:pt x="855719" y="94107"/>
                </a:lnTo>
                <a:lnTo>
                  <a:pt x="856400" y="94125"/>
                </a:lnTo>
                <a:lnTo>
                  <a:pt x="857082" y="94142"/>
                </a:lnTo>
                <a:lnTo>
                  <a:pt x="857763" y="94160"/>
                </a:lnTo>
                <a:lnTo>
                  <a:pt x="858444" y="94178"/>
                </a:lnTo>
                <a:lnTo>
                  <a:pt x="859126" y="94196"/>
                </a:lnTo>
                <a:lnTo>
                  <a:pt x="859807" y="94214"/>
                </a:lnTo>
                <a:lnTo>
                  <a:pt x="860488" y="94231"/>
                </a:lnTo>
                <a:lnTo>
                  <a:pt x="861169" y="94249"/>
                </a:lnTo>
                <a:lnTo>
                  <a:pt x="861851" y="94267"/>
                </a:lnTo>
                <a:lnTo>
                  <a:pt x="862532" y="94284"/>
                </a:lnTo>
                <a:lnTo>
                  <a:pt x="863213" y="94302"/>
                </a:lnTo>
                <a:lnTo>
                  <a:pt x="863895" y="94319"/>
                </a:lnTo>
                <a:lnTo>
                  <a:pt x="864576" y="94337"/>
                </a:lnTo>
                <a:lnTo>
                  <a:pt x="865257" y="94354"/>
                </a:lnTo>
                <a:lnTo>
                  <a:pt x="865939" y="94372"/>
                </a:lnTo>
                <a:lnTo>
                  <a:pt x="866620" y="94389"/>
                </a:lnTo>
                <a:lnTo>
                  <a:pt x="867301" y="94406"/>
                </a:lnTo>
                <a:lnTo>
                  <a:pt x="867983" y="94424"/>
                </a:lnTo>
                <a:lnTo>
                  <a:pt x="868664" y="94441"/>
                </a:lnTo>
                <a:lnTo>
                  <a:pt x="869345" y="94458"/>
                </a:lnTo>
                <a:lnTo>
                  <a:pt x="870026" y="94475"/>
                </a:lnTo>
                <a:lnTo>
                  <a:pt x="870708" y="94492"/>
                </a:lnTo>
                <a:lnTo>
                  <a:pt x="871389" y="94510"/>
                </a:lnTo>
                <a:lnTo>
                  <a:pt x="872070" y="94527"/>
                </a:lnTo>
                <a:lnTo>
                  <a:pt x="872752" y="94544"/>
                </a:lnTo>
                <a:lnTo>
                  <a:pt x="873433" y="94561"/>
                </a:lnTo>
                <a:lnTo>
                  <a:pt x="874114" y="94578"/>
                </a:lnTo>
                <a:lnTo>
                  <a:pt x="874796" y="94595"/>
                </a:lnTo>
                <a:lnTo>
                  <a:pt x="875477" y="94611"/>
                </a:lnTo>
                <a:lnTo>
                  <a:pt x="876158" y="94628"/>
                </a:lnTo>
                <a:lnTo>
                  <a:pt x="876839" y="94645"/>
                </a:lnTo>
                <a:lnTo>
                  <a:pt x="877521" y="94662"/>
                </a:lnTo>
                <a:lnTo>
                  <a:pt x="878202" y="94679"/>
                </a:lnTo>
                <a:lnTo>
                  <a:pt x="878883" y="94695"/>
                </a:lnTo>
                <a:lnTo>
                  <a:pt x="879565" y="94712"/>
                </a:lnTo>
                <a:lnTo>
                  <a:pt x="880246" y="94729"/>
                </a:lnTo>
                <a:lnTo>
                  <a:pt x="880927" y="94745"/>
                </a:lnTo>
                <a:lnTo>
                  <a:pt x="881609" y="94762"/>
                </a:lnTo>
                <a:lnTo>
                  <a:pt x="882290" y="94778"/>
                </a:lnTo>
                <a:lnTo>
                  <a:pt x="882971" y="94795"/>
                </a:lnTo>
                <a:lnTo>
                  <a:pt x="883653" y="94811"/>
                </a:lnTo>
                <a:lnTo>
                  <a:pt x="884334" y="94828"/>
                </a:lnTo>
                <a:lnTo>
                  <a:pt x="885015" y="94844"/>
                </a:lnTo>
                <a:lnTo>
                  <a:pt x="885696" y="94860"/>
                </a:lnTo>
                <a:lnTo>
                  <a:pt x="886378" y="94877"/>
                </a:lnTo>
                <a:lnTo>
                  <a:pt x="887059" y="94893"/>
                </a:lnTo>
                <a:lnTo>
                  <a:pt x="887740" y="94909"/>
                </a:lnTo>
                <a:lnTo>
                  <a:pt x="888422" y="94926"/>
                </a:lnTo>
                <a:lnTo>
                  <a:pt x="889103" y="94942"/>
                </a:lnTo>
                <a:lnTo>
                  <a:pt x="889784" y="94958"/>
                </a:lnTo>
                <a:lnTo>
                  <a:pt x="890466" y="94974"/>
                </a:lnTo>
                <a:lnTo>
                  <a:pt x="891147" y="94990"/>
                </a:lnTo>
                <a:lnTo>
                  <a:pt x="891828" y="95006"/>
                </a:lnTo>
                <a:lnTo>
                  <a:pt x="892510" y="95022"/>
                </a:lnTo>
                <a:lnTo>
                  <a:pt x="893191" y="95038"/>
                </a:lnTo>
                <a:lnTo>
                  <a:pt x="893872" y="95054"/>
                </a:lnTo>
                <a:lnTo>
                  <a:pt x="894553" y="95070"/>
                </a:lnTo>
                <a:lnTo>
                  <a:pt x="895235" y="95086"/>
                </a:lnTo>
                <a:lnTo>
                  <a:pt x="895916" y="95101"/>
                </a:lnTo>
                <a:lnTo>
                  <a:pt x="896597" y="95117"/>
                </a:lnTo>
                <a:lnTo>
                  <a:pt x="897279" y="95133"/>
                </a:lnTo>
                <a:lnTo>
                  <a:pt x="897960" y="95149"/>
                </a:lnTo>
                <a:lnTo>
                  <a:pt x="898641" y="95164"/>
                </a:lnTo>
                <a:lnTo>
                  <a:pt x="899323" y="95180"/>
                </a:lnTo>
                <a:lnTo>
                  <a:pt x="900004" y="95196"/>
                </a:lnTo>
                <a:lnTo>
                  <a:pt x="900685" y="95211"/>
                </a:lnTo>
                <a:lnTo>
                  <a:pt x="901366" y="95227"/>
                </a:lnTo>
                <a:lnTo>
                  <a:pt x="902048" y="95242"/>
                </a:lnTo>
                <a:lnTo>
                  <a:pt x="902729" y="95258"/>
                </a:lnTo>
                <a:lnTo>
                  <a:pt x="903410" y="95273"/>
                </a:lnTo>
                <a:lnTo>
                  <a:pt x="904092" y="95289"/>
                </a:lnTo>
                <a:lnTo>
                  <a:pt x="904773" y="95304"/>
                </a:lnTo>
                <a:lnTo>
                  <a:pt x="905454" y="95319"/>
                </a:lnTo>
                <a:lnTo>
                  <a:pt x="906136" y="95335"/>
                </a:lnTo>
                <a:lnTo>
                  <a:pt x="906817" y="95350"/>
                </a:lnTo>
                <a:lnTo>
                  <a:pt x="907498" y="95365"/>
                </a:lnTo>
                <a:lnTo>
                  <a:pt x="908180" y="95381"/>
                </a:lnTo>
                <a:lnTo>
                  <a:pt x="908861" y="95396"/>
                </a:lnTo>
                <a:lnTo>
                  <a:pt x="909542" y="95411"/>
                </a:lnTo>
                <a:lnTo>
                  <a:pt x="910223" y="95426"/>
                </a:lnTo>
                <a:lnTo>
                  <a:pt x="910905" y="95441"/>
                </a:lnTo>
                <a:lnTo>
                  <a:pt x="911586" y="95456"/>
                </a:lnTo>
                <a:lnTo>
                  <a:pt x="912267" y="95471"/>
                </a:lnTo>
                <a:lnTo>
                  <a:pt x="912949" y="95486"/>
                </a:lnTo>
                <a:lnTo>
                  <a:pt x="913630" y="95501"/>
                </a:lnTo>
                <a:lnTo>
                  <a:pt x="914311" y="95516"/>
                </a:lnTo>
                <a:lnTo>
                  <a:pt x="914993" y="95531"/>
                </a:lnTo>
                <a:lnTo>
                  <a:pt x="915674" y="95546"/>
                </a:lnTo>
                <a:lnTo>
                  <a:pt x="916355" y="95561"/>
                </a:lnTo>
                <a:lnTo>
                  <a:pt x="917037" y="95575"/>
                </a:lnTo>
                <a:lnTo>
                  <a:pt x="917718" y="95590"/>
                </a:lnTo>
                <a:lnTo>
                  <a:pt x="918399" y="95605"/>
                </a:lnTo>
                <a:lnTo>
                  <a:pt x="919080" y="95620"/>
                </a:lnTo>
                <a:lnTo>
                  <a:pt x="919762" y="95634"/>
                </a:lnTo>
                <a:lnTo>
                  <a:pt x="920443" y="95649"/>
                </a:lnTo>
                <a:lnTo>
                  <a:pt x="921124" y="95663"/>
                </a:lnTo>
                <a:lnTo>
                  <a:pt x="921806" y="95678"/>
                </a:lnTo>
                <a:lnTo>
                  <a:pt x="922487" y="95693"/>
                </a:lnTo>
                <a:lnTo>
                  <a:pt x="923168" y="95707"/>
                </a:lnTo>
                <a:lnTo>
                  <a:pt x="923850" y="95721"/>
                </a:lnTo>
                <a:lnTo>
                  <a:pt x="924531" y="95736"/>
                </a:lnTo>
                <a:lnTo>
                  <a:pt x="925212" y="95750"/>
                </a:lnTo>
                <a:lnTo>
                  <a:pt x="925893" y="95765"/>
                </a:lnTo>
                <a:lnTo>
                  <a:pt x="926575" y="95779"/>
                </a:lnTo>
                <a:lnTo>
                  <a:pt x="927256" y="95793"/>
                </a:lnTo>
                <a:lnTo>
                  <a:pt x="927937" y="95808"/>
                </a:lnTo>
                <a:lnTo>
                  <a:pt x="928619" y="95822"/>
                </a:lnTo>
                <a:lnTo>
                  <a:pt x="929300" y="95836"/>
                </a:lnTo>
                <a:lnTo>
                  <a:pt x="929981" y="95850"/>
                </a:lnTo>
                <a:lnTo>
                  <a:pt x="930663" y="95864"/>
                </a:lnTo>
                <a:lnTo>
                  <a:pt x="931344" y="95879"/>
                </a:lnTo>
                <a:lnTo>
                  <a:pt x="932025" y="95893"/>
                </a:lnTo>
                <a:lnTo>
                  <a:pt x="932707" y="95907"/>
                </a:lnTo>
                <a:lnTo>
                  <a:pt x="933388" y="95921"/>
                </a:lnTo>
                <a:lnTo>
                  <a:pt x="934069" y="95935"/>
                </a:lnTo>
                <a:lnTo>
                  <a:pt x="934750" y="95949"/>
                </a:lnTo>
                <a:lnTo>
                  <a:pt x="935432" y="95963"/>
                </a:lnTo>
                <a:lnTo>
                  <a:pt x="936113" y="95977"/>
                </a:lnTo>
                <a:lnTo>
                  <a:pt x="936794" y="95990"/>
                </a:lnTo>
                <a:lnTo>
                  <a:pt x="937476" y="96004"/>
                </a:lnTo>
                <a:lnTo>
                  <a:pt x="938157" y="96018"/>
                </a:lnTo>
                <a:lnTo>
                  <a:pt x="938838" y="96032"/>
                </a:lnTo>
                <a:lnTo>
                  <a:pt x="939520" y="96046"/>
                </a:lnTo>
                <a:lnTo>
                  <a:pt x="940201" y="96059"/>
                </a:lnTo>
                <a:lnTo>
                  <a:pt x="940882" y="96073"/>
                </a:lnTo>
                <a:lnTo>
                  <a:pt x="941563" y="96087"/>
                </a:lnTo>
                <a:lnTo>
                  <a:pt x="942245" y="96100"/>
                </a:lnTo>
                <a:lnTo>
                  <a:pt x="942926" y="96114"/>
                </a:lnTo>
                <a:lnTo>
                  <a:pt x="943607" y="96128"/>
                </a:lnTo>
                <a:lnTo>
                  <a:pt x="944289" y="96141"/>
                </a:lnTo>
                <a:lnTo>
                  <a:pt x="944970" y="96155"/>
                </a:lnTo>
                <a:lnTo>
                  <a:pt x="945651" y="96168"/>
                </a:lnTo>
                <a:lnTo>
                  <a:pt x="946333" y="96182"/>
                </a:lnTo>
                <a:lnTo>
                  <a:pt x="947014" y="96195"/>
                </a:lnTo>
                <a:lnTo>
                  <a:pt x="947695" y="96208"/>
                </a:lnTo>
                <a:lnTo>
                  <a:pt x="948377" y="96222"/>
                </a:lnTo>
                <a:lnTo>
                  <a:pt x="949058" y="96235"/>
                </a:lnTo>
                <a:lnTo>
                  <a:pt x="949739" y="96248"/>
                </a:lnTo>
                <a:lnTo>
                  <a:pt x="950420" y="96262"/>
                </a:lnTo>
                <a:lnTo>
                  <a:pt x="951102" y="96275"/>
                </a:lnTo>
                <a:lnTo>
                  <a:pt x="951783" y="96288"/>
                </a:lnTo>
                <a:lnTo>
                  <a:pt x="952464" y="96301"/>
                </a:lnTo>
                <a:lnTo>
                  <a:pt x="953146" y="96314"/>
                </a:lnTo>
                <a:lnTo>
                  <a:pt x="953827" y="96328"/>
                </a:lnTo>
                <a:lnTo>
                  <a:pt x="954508" y="96341"/>
                </a:lnTo>
                <a:lnTo>
                  <a:pt x="955190" y="96354"/>
                </a:lnTo>
                <a:lnTo>
                  <a:pt x="955871" y="96367"/>
                </a:lnTo>
                <a:lnTo>
                  <a:pt x="956552" y="96380"/>
                </a:lnTo>
                <a:lnTo>
                  <a:pt x="957234" y="96393"/>
                </a:lnTo>
                <a:lnTo>
                  <a:pt x="957915" y="96406"/>
                </a:lnTo>
                <a:lnTo>
                  <a:pt x="958596" y="96419"/>
                </a:lnTo>
                <a:lnTo>
                  <a:pt x="959277" y="96432"/>
                </a:lnTo>
                <a:lnTo>
                  <a:pt x="959959" y="96445"/>
                </a:lnTo>
                <a:lnTo>
                  <a:pt x="960640" y="96457"/>
                </a:lnTo>
                <a:lnTo>
                  <a:pt x="961321" y="96470"/>
                </a:lnTo>
                <a:lnTo>
                  <a:pt x="962003" y="96483"/>
                </a:lnTo>
                <a:lnTo>
                  <a:pt x="962684" y="96496"/>
                </a:lnTo>
                <a:lnTo>
                  <a:pt x="963365" y="96508"/>
                </a:lnTo>
                <a:lnTo>
                  <a:pt x="964047" y="96521"/>
                </a:lnTo>
                <a:lnTo>
                  <a:pt x="964728" y="96534"/>
                </a:lnTo>
                <a:lnTo>
                  <a:pt x="965409" y="96546"/>
                </a:lnTo>
                <a:lnTo>
                  <a:pt x="966090" y="96559"/>
                </a:lnTo>
                <a:lnTo>
                  <a:pt x="966772" y="96572"/>
                </a:lnTo>
                <a:lnTo>
                  <a:pt x="967453" y="96584"/>
                </a:lnTo>
                <a:lnTo>
                  <a:pt x="968134" y="96597"/>
                </a:lnTo>
                <a:lnTo>
                  <a:pt x="968816" y="96609"/>
                </a:lnTo>
                <a:lnTo>
                  <a:pt x="969497" y="96622"/>
                </a:lnTo>
                <a:lnTo>
                  <a:pt x="970178" y="96634"/>
                </a:lnTo>
                <a:lnTo>
                  <a:pt x="970860" y="96647"/>
                </a:lnTo>
                <a:lnTo>
                  <a:pt x="971541" y="96659"/>
                </a:lnTo>
                <a:lnTo>
                  <a:pt x="972222" y="96671"/>
                </a:lnTo>
                <a:lnTo>
                  <a:pt x="972904" y="96684"/>
                </a:lnTo>
                <a:lnTo>
                  <a:pt x="973585" y="96696"/>
                </a:lnTo>
                <a:lnTo>
                  <a:pt x="974266" y="96708"/>
                </a:lnTo>
                <a:lnTo>
                  <a:pt x="974947" y="96721"/>
                </a:lnTo>
                <a:lnTo>
                  <a:pt x="975629" y="96733"/>
                </a:lnTo>
                <a:lnTo>
                  <a:pt x="976310" y="96745"/>
                </a:lnTo>
                <a:lnTo>
                  <a:pt x="976991" y="96757"/>
                </a:lnTo>
                <a:lnTo>
                  <a:pt x="977673" y="96769"/>
                </a:lnTo>
                <a:lnTo>
                  <a:pt x="978354" y="96781"/>
                </a:lnTo>
                <a:lnTo>
                  <a:pt x="979035" y="96794"/>
                </a:lnTo>
                <a:lnTo>
                  <a:pt x="979717" y="96806"/>
                </a:lnTo>
                <a:lnTo>
                  <a:pt x="980398" y="96818"/>
                </a:lnTo>
                <a:lnTo>
                  <a:pt x="981079" y="96830"/>
                </a:lnTo>
                <a:lnTo>
                  <a:pt x="981761" y="96842"/>
                </a:lnTo>
                <a:lnTo>
                  <a:pt x="982442" y="96854"/>
                </a:lnTo>
                <a:lnTo>
                  <a:pt x="983123" y="96866"/>
                </a:lnTo>
                <a:lnTo>
                  <a:pt x="983804" y="96877"/>
                </a:lnTo>
                <a:lnTo>
                  <a:pt x="984486" y="96889"/>
                </a:lnTo>
                <a:lnTo>
                  <a:pt x="985167" y="96901"/>
                </a:lnTo>
                <a:lnTo>
                  <a:pt x="985848" y="96913"/>
                </a:lnTo>
                <a:lnTo>
                  <a:pt x="986530" y="96925"/>
                </a:lnTo>
                <a:lnTo>
                  <a:pt x="987211" y="96937"/>
                </a:lnTo>
                <a:lnTo>
                  <a:pt x="987892" y="96948"/>
                </a:lnTo>
                <a:lnTo>
                  <a:pt x="988574" y="96960"/>
                </a:lnTo>
                <a:lnTo>
                  <a:pt x="989255" y="96972"/>
                </a:lnTo>
                <a:lnTo>
                  <a:pt x="989936" y="96983"/>
                </a:lnTo>
                <a:lnTo>
                  <a:pt x="990617" y="96995"/>
                </a:lnTo>
                <a:lnTo>
                  <a:pt x="991299" y="97007"/>
                </a:lnTo>
                <a:lnTo>
                  <a:pt x="991980" y="97018"/>
                </a:lnTo>
                <a:lnTo>
                  <a:pt x="992661" y="97030"/>
                </a:lnTo>
                <a:lnTo>
                  <a:pt x="993343" y="97041"/>
                </a:lnTo>
                <a:lnTo>
                  <a:pt x="994024" y="97053"/>
                </a:lnTo>
                <a:lnTo>
                  <a:pt x="994705" y="97064"/>
                </a:lnTo>
                <a:lnTo>
                  <a:pt x="995387" y="97076"/>
                </a:lnTo>
                <a:lnTo>
                  <a:pt x="996068" y="97087"/>
                </a:lnTo>
                <a:lnTo>
                  <a:pt x="996749" y="97099"/>
                </a:lnTo>
                <a:lnTo>
                  <a:pt x="997431" y="97110"/>
                </a:lnTo>
                <a:lnTo>
                  <a:pt x="998112" y="97121"/>
                </a:lnTo>
                <a:lnTo>
                  <a:pt x="998793" y="97133"/>
                </a:lnTo>
                <a:lnTo>
                  <a:pt x="999474" y="97144"/>
                </a:lnTo>
                <a:lnTo>
                  <a:pt x="1000156" y="97155"/>
                </a:lnTo>
                <a:lnTo>
                  <a:pt x="1000837" y="97167"/>
                </a:lnTo>
                <a:lnTo>
                  <a:pt x="1001518" y="97178"/>
                </a:lnTo>
                <a:lnTo>
                  <a:pt x="1002200" y="97189"/>
                </a:lnTo>
                <a:lnTo>
                  <a:pt x="1002881" y="97200"/>
                </a:lnTo>
                <a:lnTo>
                  <a:pt x="1003562" y="97211"/>
                </a:lnTo>
                <a:lnTo>
                  <a:pt x="1004244" y="97223"/>
                </a:lnTo>
                <a:lnTo>
                  <a:pt x="1004925" y="97234"/>
                </a:lnTo>
                <a:lnTo>
                  <a:pt x="1005606" y="97245"/>
                </a:lnTo>
                <a:lnTo>
                  <a:pt x="1006288" y="97256"/>
                </a:lnTo>
                <a:lnTo>
                  <a:pt x="1006969" y="97267"/>
                </a:lnTo>
                <a:lnTo>
                  <a:pt x="1007650" y="97278"/>
                </a:lnTo>
                <a:lnTo>
                  <a:pt x="1008331" y="97289"/>
                </a:lnTo>
                <a:lnTo>
                  <a:pt x="1009013" y="97300"/>
                </a:lnTo>
                <a:lnTo>
                  <a:pt x="1009694" y="97311"/>
                </a:lnTo>
                <a:lnTo>
                  <a:pt x="1010375" y="97322"/>
                </a:lnTo>
                <a:lnTo>
                  <a:pt x="1011057" y="97333"/>
                </a:lnTo>
                <a:lnTo>
                  <a:pt x="1011738" y="97343"/>
                </a:lnTo>
                <a:lnTo>
                  <a:pt x="1012419" y="97354"/>
                </a:lnTo>
                <a:lnTo>
                  <a:pt x="1013101" y="97365"/>
                </a:lnTo>
                <a:lnTo>
                  <a:pt x="1013782" y="97376"/>
                </a:lnTo>
                <a:lnTo>
                  <a:pt x="1014463" y="97387"/>
                </a:lnTo>
                <a:lnTo>
                  <a:pt x="1015144" y="97397"/>
                </a:lnTo>
                <a:lnTo>
                  <a:pt x="1015826" y="97408"/>
                </a:lnTo>
                <a:lnTo>
                  <a:pt x="1016507" y="97419"/>
                </a:lnTo>
                <a:lnTo>
                  <a:pt x="1017188" y="97429"/>
                </a:lnTo>
                <a:lnTo>
                  <a:pt x="1017870" y="97440"/>
                </a:lnTo>
                <a:lnTo>
                  <a:pt x="1018551" y="97451"/>
                </a:lnTo>
                <a:lnTo>
                  <a:pt x="1019232" y="97461"/>
                </a:lnTo>
                <a:lnTo>
                  <a:pt x="1019914" y="97472"/>
                </a:lnTo>
                <a:lnTo>
                  <a:pt x="1020595" y="97482"/>
                </a:lnTo>
                <a:lnTo>
                  <a:pt x="1021276" y="97493"/>
                </a:lnTo>
                <a:lnTo>
                  <a:pt x="1021958" y="97503"/>
                </a:lnTo>
                <a:lnTo>
                  <a:pt x="1022639" y="97514"/>
                </a:lnTo>
                <a:lnTo>
                  <a:pt x="1023320" y="97524"/>
                </a:lnTo>
                <a:lnTo>
                  <a:pt x="1024001" y="97535"/>
                </a:lnTo>
                <a:lnTo>
                  <a:pt x="1024683" y="97545"/>
                </a:lnTo>
                <a:lnTo>
                  <a:pt x="1025364" y="97556"/>
                </a:lnTo>
                <a:lnTo>
                  <a:pt x="1026045" y="97566"/>
                </a:lnTo>
                <a:lnTo>
                  <a:pt x="1026727" y="97576"/>
                </a:lnTo>
                <a:lnTo>
                  <a:pt x="1027408" y="97587"/>
                </a:lnTo>
                <a:lnTo>
                  <a:pt x="1028089" y="97597"/>
                </a:lnTo>
                <a:lnTo>
                  <a:pt x="1028771" y="97607"/>
                </a:lnTo>
                <a:lnTo>
                  <a:pt x="1029452" y="97617"/>
                </a:lnTo>
                <a:lnTo>
                  <a:pt x="1030133" y="97628"/>
                </a:lnTo>
                <a:lnTo>
                  <a:pt x="1030814" y="97638"/>
                </a:lnTo>
                <a:lnTo>
                  <a:pt x="1031496" y="97648"/>
                </a:lnTo>
                <a:lnTo>
                  <a:pt x="1032177" y="97658"/>
                </a:lnTo>
                <a:lnTo>
                  <a:pt x="1032858" y="97668"/>
                </a:lnTo>
                <a:lnTo>
                  <a:pt x="1033540" y="97678"/>
                </a:lnTo>
                <a:lnTo>
                  <a:pt x="1034221" y="97688"/>
                </a:lnTo>
                <a:lnTo>
                  <a:pt x="1034902" y="97698"/>
                </a:lnTo>
                <a:lnTo>
                  <a:pt x="1035584" y="97708"/>
                </a:lnTo>
                <a:lnTo>
                  <a:pt x="1036265" y="97718"/>
                </a:lnTo>
                <a:lnTo>
                  <a:pt x="1036946" y="97728"/>
                </a:lnTo>
                <a:lnTo>
                  <a:pt x="1037628" y="97738"/>
                </a:lnTo>
                <a:lnTo>
                  <a:pt x="1038309" y="97748"/>
                </a:lnTo>
                <a:lnTo>
                  <a:pt x="1038990" y="97758"/>
                </a:lnTo>
                <a:lnTo>
                  <a:pt x="1039671" y="97768"/>
                </a:lnTo>
                <a:lnTo>
                  <a:pt x="1040353" y="97778"/>
                </a:lnTo>
                <a:lnTo>
                  <a:pt x="1041034" y="97788"/>
                </a:lnTo>
                <a:lnTo>
                  <a:pt x="1041715" y="97798"/>
                </a:lnTo>
                <a:lnTo>
                  <a:pt x="1042397" y="97808"/>
                </a:lnTo>
                <a:lnTo>
                  <a:pt x="1043078" y="97817"/>
                </a:lnTo>
                <a:lnTo>
                  <a:pt x="1043759" y="97827"/>
                </a:lnTo>
                <a:lnTo>
                  <a:pt x="1044441" y="97837"/>
                </a:lnTo>
                <a:lnTo>
                  <a:pt x="1045122" y="97847"/>
                </a:lnTo>
                <a:lnTo>
                  <a:pt x="1045803" y="97856"/>
                </a:lnTo>
                <a:lnTo>
                  <a:pt x="1046485" y="97866"/>
                </a:lnTo>
                <a:lnTo>
                  <a:pt x="1047166" y="97876"/>
                </a:lnTo>
                <a:lnTo>
                  <a:pt x="1047847" y="97885"/>
                </a:lnTo>
                <a:lnTo>
                  <a:pt x="1048528" y="97895"/>
                </a:lnTo>
                <a:lnTo>
                  <a:pt x="1049210" y="97904"/>
                </a:lnTo>
                <a:lnTo>
                  <a:pt x="1049891" y="97914"/>
                </a:lnTo>
                <a:lnTo>
                  <a:pt x="1050572" y="97924"/>
                </a:lnTo>
                <a:lnTo>
                  <a:pt x="1051254" y="97933"/>
                </a:lnTo>
                <a:lnTo>
                  <a:pt x="1051935" y="97943"/>
                </a:lnTo>
                <a:lnTo>
                  <a:pt x="1052616" y="97952"/>
                </a:lnTo>
                <a:lnTo>
                  <a:pt x="1053298" y="97961"/>
                </a:lnTo>
                <a:lnTo>
                  <a:pt x="1053979" y="97971"/>
                </a:lnTo>
                <a:lnTo>
                  <a:pt x="1054660" y="97980"/>
                </a:lnTo>
                <a:lnTo>
                  <a:pt x="1055341" y="97990"/>
                </a:lnTo>
                <a:lnTo>
                  <a:pt x="1056023" y="97999"/>
                </a:lnTo>
                <a:lnTo>
                  <a:pt x="1056704" y="98008"/>
                </a:lnTo>
                <a:lnTo>
                  <a:pt x="1057385" y="98018"/>
                </a:lnTo>
                <a:lnTo>
                  <a:pt x="1058067" y="98027"/>
                </a:lnTo>
                <a:lnTo>
                  <a:pt x="1058748" y="98036"/>
                </a:lnTo>
                <a:lnTo>
                  <a:pt x="1059429" y="98046"/>
                </a:lnTo>
                <a:lnTo>
                  <a:pt x="1060111" y="98055"/>
                </a:lnTo>
                <a:lnTo>
                  <a:pt x="1060792" y="98064"/>
                </a:lnTo>
                <a:lnTo>
                  <a:pt x="1061473" y="98073"/>
                </a:lnTo>
                <a:lnTo>
                  <a:pt x="1062155" y="98082"/>
                </a:lnTo>
                <a:lnTo>
                  <a:pt x="1062836" y="98092"/>
                </a:lnTo>
                <a:lnTo>
                  <a:pt x="1063517" y="98101"/>
                </a:lnTo>
                <a:lnTo>
                  <a:pt x="1064198" y="98110"/>
                </a:lnTo>
                <a:lnTo>
                  <a:pt x="1064880" y="98119"/>
                </a:lnTo>
                <a:lnTo>
                  <a:pt x="1065561" y="98128"/>
                </a:lnTo>
                <a:lnTo>
                  <a:pt x="1066242" y="98137"/>
                </a:lnTo>
                <a:lnTo>
                  <a:pt x="1066924" y="98146"/>
                </a:lnTo>
                <a:lnTo>
                  <a:pt x="1067605" y="98155"/>
                </a:lnTo>
                <a:lnTo>
                  <a:pt x="1068286" y="98164"/>
                </a:lnTo>
                <a:lnTo>
                  <a:pt x="1068968" y="98173"/>
                </a:lnTo>
                <a:lnTo>
                  <a:pt x="1069649" y="98182"/>
                </a:lnTo>
                <a:lnTo>
                  <a:pt x="1070330" y="98191"/>
                </a:lnTo>
                <a:lnTo>
                  <a:pt x="1071012" y="98200"/>
                </a:lnTo>
                <a:lnTo>
                  <a:pt x="1071693" y="98209"/>
                </a:lnTo>
                <a:lnTo>
                  <a:pt x="1072374" y="98218"/>
                </a:lnTo>
                <a:lnTo>
                  <a:pt x="1073055" y="98226"/>
                </a:lnTo>
                <a:lnTo>
                  <a:pt x="1073737" y="98235"/>
                </a:lnTo>
                <a:lnTo>
                  <a:pt x="1074418" y="98244"/>
                </a:lnTo>
                <a:lnTo>
                  <a:pt x="1075099" y="98253"/>
                </a:lnTo>
                <a:lnTo>
                  <a:pt x="1075781" y="98262"/>
                </a:lnTo>
                <a:lnTo>
                  <a:pt x="1076462" y="98270"/>
                </a:lnTo>
                <a:lnTo>
                  <a:pt x="1077143" y="98279"/>
                </a:lnTo>
                <a:lnTo>
                  <a:pt x="1077825" y="98288"/>
                </a:lnTo>
                <a:lnTo>
                  <a:pt x="1078506" y="98297"/>
                </a:lnTo>
                <a:lnTo>
                  <a:pt x="1079187" y="98305"/>
                </a:lnTo>
                <a:lnTo>
                  <a:pt x="1079868" y="98314"/>
                </a:lnTo>
                <a:lnTo>
                  <a:pt x="1080550" y="98322"/>
                </a:lnTo>
                <a:lnTo>
                  <a:pt x="1081231" y="98331"/>
                </a:lnTo>
                <a:lnTo>
                  <a:pt x="1081912" y="98340"/>
                </a:lnTo>
                <a:lnTo>
                  <a:pt x="1082594" y="98348"/>
                </a:lnTo>
                <a:lnTo>
                  <a:pt x="1083275" y="98357"/>
                </a:lnTo>
                <a:lnTo>
                  <a:pt x="1083956" y="98365"/>
                </a:lnTo>
                <a:lnTo>
                  <a:pt x="1084638" y="98374"/>
                </a:lnTo>
                <a:lnTo>
                  <a:pt x="1085319" y="98382"/>
                </a:lnTo>
                <a:lnTo>
                  <a:pt x="1086000" y="98391"/>
                </a:lnTo>
                <a:lnTo>
                  <a:pt x="1086682" y="98399"/>
                </a:lnTo>
                <a:lnTo>
                  <a:pt x="1087363" y="98408"/>
                </a:lnTo>
                <a:lnTo>
                  <a:pt x="1088044" y="98416"/>
                </a:lnTo>
                <a:lnTo>
                  <a:pt x="1088725" y="98424"/>
                </a:lnTo>
                <a:lnTo>
                  <a:pt x="1089407" y="98433"/>
                </a:lnTo>
                <a:lnTo>
                  <a:pt x="1090088" y="98441"/>
                </a:lnTo>
                <a:lnTo>
                  <a:pt x="1090769" y="98450"/>
                </a:lnTo>
                <a:lnTo>
                  <a:pt x="1091451" y="98458"/>
                </a:lnTo>
                <a:lnTo>
                  <a:pt x="1092132" y="98466"/>
                </a:lnTo>
                <a:lnTo>
                  <a:pt x="1092813" y="98474"/>
                </a:lnTo>
                <a:lnTo>
                  <a:pt x="1093495" y="98483"/>
                </a:lnTo>
                <a:lnTo>
                  <a:pt x="1094176" y="98491"/>
                </a:lnTo>
                <a:lnTo>
                  <a:pt x="1094857" y="98499"/>
                </a:lnTo>
                <a:lnTo>
                  <a:pt x="1095539" y="98507"/>
                </a:lnTo>
                <a:lnTo>
                  <a:pt x="1096220" y="98516"/>
                </a:lnTo>
                <a:lnTo>
                  <a:pt x="1096901" y="98524"/>
                </a:lnTo>
                <a:lnTo>
                  <a:pt x="1097582" y="98532"/>
                </a:lnTo>
                <a:lnTo>
                  <a:pt x="1098264" y="98540"/>
                </a:lnTo>
                <a:lnTo>
                  <a:pt x="1098945" y="98548"/>
                </a:lnTo>
                <a:lnTo>
                  <a:pt x="1099626" y="98556"/>
                </a:lnTo>
                <a:lnTo>
                  <a:pt x="1100308" y="98564"/>
                </a:lnTo>
                <a:lnTo>
                  <a:pt x="1100989" y="98572"/>
                </a:lnTo>
                <a:lnTo>
                  <a:pt x="1101670" y="98580"/>
                </a:lnTo>
                <a:lnTo>
                  <a:pt x="1102352" y="98588"/>
                </a:lnTo>
                <a:lnTo>
                  <a:pt x="1103033" y="98596"/>
                </a:lnTo>
                <a:lnTo>
                  <a:pt x="1103714" y="98604"/>
                </a:lnTo>
                <a:lnTo>
                  <a:pt x="1104395" y="98612"/>
                </a:lnTo>
                <a:lnTo>
                  <a:pt x="1105077" y="98620"/>
                </a:lnTo>
                <a:lnTo>
                  <a:pt x="1105758" y="98628"/>
                </a:lnTo>
                <a:lnTo>
                  <a:pt x="1106439" y="98636"/>
                </a:lnTo>
                <a:lnTo>
                  <a:pt x="1107121" y="98644"/>
                </a:lnTo>
                <a:lnTo>
                  <a:pt x="1107802" y="98652"/>
                </a:lnTo>
                <a:lnTo>
                  <a:pt x="1108483" y="98660"/>
                </a:lnTo>
                <a:lnTo>
                  <a:pt x="1109165" y="98667"/>
                </a:lnTo>
                <a:lnTo>
                  <a:pt x="1109846" y="98675"/>
                </a:lnTo>
                <a:lnTo>
                  <a:pt x="1110527" y="98683"/>
                </a:lnTo>
                <a:lnTo>
                  <a:pt x="1111209" y="98691"/>
                </a:lnTo>
                <a:lnTo>
                  <a:pt x="1111890" y="98699"/>
                </a:lnTo>
                <a:lnTo>
                  <a:pt x="1112571" y="98706"/>
                </a:lnTo>
                <a:lnTo>
                  <a:pt x="1113252" y="98714"/>
                </a:lnTo>
                <a:lnTo>
                  <a:pt x="1113934" y="98722"/>
                </a:lnTo>
                <a:lnTo>
                  <a:pt x="1114615" y="98729"/>
                </a:lnTo>
                <a:lnTo>
                  <a:pt x="1115296" y="98737"/>
                </a:lnTo>
                <a:lnTo>
                  <a:pt x="1115978" y="98745"/>
                </a:lnTo>
                <a:lnTo>
                  <a:pt x="1116659" y="98752"/>
                </a:lnTo>
                <a:lnTo>
                  <a:pt x="1117340" y="98760"/>
                </a:lnTo>
                <a:lnTo>
                  <a:pt x="1118022" y="98768"/>
                </a:lnTo>
                <a:lnTo>
                  <a:pt x="1118703" y="98775"/>
                </a:lnTo>
                <a:lnTo>
                  <a:pt x="1119384" y="98783"/>
                </a:lnTo>
                <a:lnTo>
                  <a:pt x="1120065" y="98790"/>
                </a:lnTo>
                <a:lnTo>
                  <a:pt x="1120747" y="98798"/>
                </a:lnTo>
                <a:lnTo>
                  <a:pt x="1121428" y="98805"/>
                </a:lnTo>
                <a:lnTo>
                  <a:pt x="1122109" y="98813"/>
                </a:lnTo>
                <a:lnTo>
                  <a:pt x="1122791" y="98820"/>
                </a:lnTo>
                <a:lnTo>
                  <a:pt x="1123472" y="98828"/>
                </a:lnTo>
                <a:lnTo>
                  <a:pt x="1124153" y="98835"/>
                </a:lnTo>
                <a:lnTo>
                  <a:pt x="1124835" y="98843"/>
                </a:lnTo>
                <a:lnTo>
                  <a:pt x="1125516" y="98850"/>
                </a:lnTo>
                <a:lnTo>
                  <a:pt x="1126197" y="98857"/>
                </a:lnTo>
                <a:lnTo>
                  <a:pt x="1126879" y="98865"/>
                </a:lnTo>
                <a:lnTo>
                  <a:pt x="1127560" y="98872"/>
                </a:lnTo>
                <a:lnTo>
                  <a:pt x="1128241" y="98879"/>
                </a:lnTo>
                <a:lnTo>
                  <a:pt x="1128922" y="98887"/>
                </a:lnTo>
                <a:lnTo>
                  <a:pt x="1129604" y="98894"/>
                </a:lnTo>
                <a:lnTo>
                  <a:pt x="1130285" y="98901"/>
                </a:lnTo>
                <a:lnTo>
                  <a:pt x="1130966" y="98909"/>
                </a:lnTo>
                <a:lnTo>
                  <a:pt x="1131648" y="98916"/>
                </a:lnTo>
                <a:lnTo>
                  <a:pt x="1132329" y="98923"/>
                </a:lnTo>
                <a:lnTo>
                  <a:pt x="1133010" y="98930"/>
                </a:lnTo>
                <a:lnTo>
                  <a:pt x="1133692" y="98937"/>
                </a:lnTo>
                <a:lnTo>
                  <a:pt x="1134373" y="98945"/>
                </a:lnTo>
                <a:lnTo>
                  <a:pt x="1135054" y="98952"/>
                </a:lnTo>
                <a:lnTo>
                  <a:pt x="1135736" y="98959"/>
                </a:lnTo>
                <a:lnTo>
                  <a:pt x="1136417" y="98966"/>
                </a:lnTo>
                <a:lnTo>
                  <a:pt x="1137098" y="98973"/>
                </a:lnTo>
                <a:lnTo>
                  <a:pt x="1137779" y="98980"/>
                </a:lnTo>
                <a:lnTo>
                  <a:pt x="1138461" y="98987"/>
                </a:lnTo>
                <a:lnTo>
                  <a:pt x="1139142" y="98994"/>
                </a:lnTo>
                <a:lnTo>
                  <a:pt x="1139823" y="99001"/>
                </a:lnTo>
                <a:lnTo>
                  <a:pt x="1140505" y="99008"/>
                </a:lnTo>
                <a:lnTo>
                  <a:pt x="1141186" y="99015"/>
                </a:lnTo>
                <a:lnTo>
                  <a:pt x="1141867" y="99022"/>
                </a:lnTo>
                <a:lnTo>
                  <a:pt x="1142549" y="99029"/>
                </a:lnTo>
                <a:lnTo>
                  <a:pt x="1143230" y="99036"/>
                </a:lnTo>
                <a:lnTo>
                  <a:pt x="1143911" y="99043"/>
                </a:lnTo>
                <a:lnTo>
                  <a:pt x="1144592" y="99050"/>
                </a:lnTo>
                <a:lnTo>
                  <a:pt x="1145274" y="99057"/>
                </a:lnTo>
                <a:lnTo>
                  <a:pt x="1145955" y="99064"/>
                </a:lnTo>
                <a:lnTo>
                  <a:pt x="1146636" y="99071"/>
                </a:lnTo>
                <a:lnTo>
                  <a:pt x="1147318" y="99078"/>
                </a:lnTo>
                <a:lnTo>
                  <a:pt x="1147999" y="99085"/>
                </a:lnTo>
                <a:lnTo>
                  <a:pt x="1148680" y="99092"/>
                </a:lnTo>
                <a:lnTo>
                  <a:pt x="1149362" y="99098"/>
                </a:lnTo>
                <a:lnTo>
                  <a:pt x="1150043" y="99105"/>
                </a:lnTo>
                <a:lnTo>
                  <a:pt x="1150724" y="99112"/>
                </a:lnTo>
                <a:lnTo>
                  <a:pt x="1151406" y="99119"/>
                </a:lnTo>
                <a:lnTo>
                  <a:pt x="1152087" y="99126"/>
                </a:lnTo>
                <a:lnTo>
                  <a:pt x="1152768" y="99132"/>
                </a:lnTo>
                <a:lnTo>
                  <a:pt x="1153449" y="99139"/>
                </a:lnTo>
                <a:lnTo>
                  <a:pt x="1154131" y="99146"/>
                </a:lnTo>
                <a:lnTo>
                  <a:pt x="1154812" y="99152"/>
                </a:lnTo>
                <a:lnTo>
                  <a:pt x="1155493" y="99159"/>
                </a:lnTo>
                <a:lnTo>
                  <a:pt x="1156175" y="99166"/>
                </a:lnTo>
                <a:lnTo>
                  <a:pt x="1156856" y="99172"/>
                </a:lnTo>
                <a:lnTo>
                  <a:pt x="1157537" y="99179"/>
                </a:lnTo>
                <a:lnTo>
                  <a:pt x="1158219" y="99186"/>
                </a:lnTo>
                <a:lnTo>
                  <a:pt x="1158900" y="99192"/>
                </a:lnTo>
                <a:lnTo>
                  <a:pt x="1159581" y="99199"/>
                </a:lnTo>
                <a:lnTo>
                  <a:pt x="1160263" y="99205"/>
                </a:lnTo>
                <a:lnTo>
                  <a:pt x="1160944" y="99212"/>
                </a:lnTo>
                <a:lnTo>
                  <a:pt x="1161625" y="99218"/>
                </a:lnTo>
                <a:lnTo>
                  <a:pt x="1162306" y="99225"/>
                </a:lnTo>
                <a:lnTo>
                  <a:pt x="1162988" y="99231"/>
                </a:lnTo>
                <a:lnTo>
                  <a:pt x="1163669" y="99238"/>
                </a:lnTo>
                <a:lnTo>
                  <a:pt x="1164350" y="99244"/>
                </a:lnTo>
                <a:lnTo>
                  <a:pt x="1165032" y="99251"/>
                </a:lnTo>
                <a:lnTo>
                  <a:pt x="1165713" y="99257"/>
                </a:lnTo>
                <a:lnTo>
                  <a:pt x="1166394" y="99264"/>
                </a:lnTo>
                <a:lnTo>
                  <a:pt x="1167076" y="99270"/>
                </a:lnTo>
                <a:lnTo>
                  <a:pt x="1167757" y="99277"/>
                </a:lnTo>
                <a:lnTo>
                  <a:pt x="1168438" y="99283"/>
                </a:lnTo>
                <a:lnTo>
                  <a:pt x="1169119" y="99289"/>
                </a:lnTo>
                <a:lnTo>
                  <a:pt x="1169801" y="99296"/>
                </a:lnTo>
                <a:lnTo>
                  <a:pt x="1170482" y="99302"/>
                </a:lnTo>
                <a:lnTo>
                  <a:pt x="1171163" y="99308"/>
                </a:lnTo>
                <a:lnTo>
                  <a:pt x="1171845" y="99315"/>
                </a:lnTo>
                <a:lnTo>
                  <a:pt x="1172526" y="99321"/>
                </a:lnTo>
                <a:lnTo>
                  <a:pt x="1173207" y="99327"/>
                </a:lnTo>
                <a:lnTo>
                  <a:pt x="1173889" y="99334"/>
                </a:lnTo>
                <a:lnTo>
                  <a:pt x="1174570" y="99340"/>
                </a:lnTo>
                <a:lnTo>
                  <a:pt x="1175251" y="99346"/>
                </a:lnTo>
                <a:lnTo>
                  <a:pt x="1175933" y="99352"/>
                </a:lnTo>
                <a:lnTo>
                  <a:pt x="1176614" y="99358"/>
                </a:lnTo>
                <a:lnTo>
                  <a:pt x="1177295" y="99365"/>
                </a:lnTo>
                <a:lnTo>
                  <a:pt x="1177976" y="99371"/>
                </a:lnTo>
                <a:lnTo>
                  <a:pt x="1178658" y="99377"/>
                </a:lnTo>
                <a:lnTo>
                  <a:pt x="1179339" y="99383"/>
                </a:lnTo>
                <a:lnTo>
                  <a:pt x="1180020" y="99389"/>
                </a:lnTo>
                <a:lnTo>
                  <a:pt x="1180702" y="99395"/>
                </a:lnTo>
                <a:lnTo>
                  <a:pt x="1181383" y="99401"/>
                </a:lnTo>
                <a:lnTo>
                  <a:pt x="1182064" y="99408"/>
                </a:lnTo>
                <a:lnTo>
                  <a:pt x="1182746" y="99414"/>
                </a:lnTo>
                <a:lnTo>
                  <a:pt x="1183427" y="99420"/>
                </a:lnTo>
                <a:lnTo>
                  <a:pt x="1184108" y="99426"/>
                </a:lnTo>
                <a:lnTo>
                  <a:pt x="1184790" y="99432"/>
                </a:lnTo>
                <a:lnTo>
                  <a:pt x="1185471" y="99438"/>
                </a:lnTo>
                <a:lnTo>
                  <a:pt x="1186152" y="99444"/>
                </a:lnTo>
                <a:lnTo>
                  <a:pt x="1186833" y="99450"/>
                </a:lnTo>
                <a:lnTo>
                  <a:pt x="1187515" y="99456"/>
                </a:lnTo>
                <a:lnTo>
                  <a:pt x="1188196" y="99462"/>
                </a:lnTo>
                <a:lnTo>
                  <a:pt x="1188877" y="99468"/>
                </a:lnTo>
                <a:lnTo>
                  <a:pt x="1189559" y="99474"/>
                </a:lnTo>
                <a:lnTo>
                  <a:pt x="1190240" y="99479"/>
                </a:lnTo>
                <a:lnTo>
                  <a:pt x="1190921" y="99485"/>
                </a:lnTo>
                <a:lnTo>
                  <a:pt x="1191603" y="99491"/>
                </a:lnTo>
                <a:lnTo>
                  <a:pt x="1192284" y="99497"/>
                </a:lnTo>
                <a:lnTo>
                  <a:pt x="1192965" y="99503"/>
                </a:lnTo>
                <a:lnTo>
                  <a:pt x="1193646" y="99509"/>
                </a:lnTo>
                <a:lnTo>
                  <a:pt x="1194328" y="99515"/>
                </a:lnTo>
                <a:lnTo>
                  <a:pt x="1195009" y="99520"/>
                </a:lnTo>
                <a:lnTo>
                  <a:pt x="1195690" y="99526"/>
                </a:lnTo>
                <a:lnTo>
                  <a:pt x="1196372" y="99532"/>
                </a:lnTo>
                <a:lnTo>
                  <a:pt x="1197053" y="99538"/>
                </a:lnTo>
                <a:lnTo>
                  <a:pt x="1197734" y="99544"/>
                </a:lnTo>
                <a:lnTo>
                  <a:pt x="1198416" y="99549"/>
                </a:lnTo>
                <a:lnTo>
                  <a:pt x="1199097" y="99555"/>
                </a:lnTo>
                <a:lnTo>
                  <a:pt x="1199778" y="99561"/>
                </a:lnTo>
                <a:lnTo>
                  <a:pt x="1200460" y="99567"/>
                </a:lnTo>
                <a:lnTo>
                  <a:pt x="1201141" y="99572"/>
                </a:lnTo>
                <a:lnTo>
                  <a:pt x="1201822" y="99578"/>
                </a:lnTo>
                <a:lnTo>
                  <a:pt x="1202503" y="99584"/>
                </a:lnTo>
                <a:lnTo>
                  <a:pt x="1203185" y="99589"/>
                </a:lnTo>
                <a:lnTo>
                  <a:pt x="1203866" y="99595"/>
                </a:lnTo>
                <a:lnTo>
                  <a:pt x="1204547" y="99601"/>
                </a:lnTo>
                <a:lnTo>
                  <a:pt x="1205229" y="99606"/>
                </a:lnTo>
                <a:lnTo>
                  <a:pt x="1205910" y="99612"/>
                </a:lnTo>
                <a:lnTo>
                  <a:pt x="1206591" y="99617"/>
                </a:lnTo>
                <a:lnTo>
                  <a:pt x="1207273" y="99623"/>
                </a:lnTo>
                <a:lnTo>
                  <a:pt x="1207954" y="99628"/>
                </a:lnTo>
                <a:lnTo>
                  <a:pt x="1208635" y="99634"/>
                </a:lnTo>
                <a:lnTo>
                  <a:pt x="1209316" y="99640"/>
                </a:lnTo>
                <a:lnTo>
                  <a:pt x="1209998" y="99645"/>
                </a:lnTo>
                <a:lnTo>
                  <a:pt x="1210679" y="99651"/>
                </a:lnTo>
                <a:lnTo>
                  <a:pt x="1211360" y="99656"/>
                </a:lnTo>
                <a:lnTo>
                  <a:pt x="1212042" y="99662"/>
                </a:lnTo>
                <a:lnTo>
                  <a:pt x="1212723" y="99667"/>
                </a:lnTo>
                <a:lnTo>
                  <a:pt x="1213404" y="99672"/>
                </a:lnTo>
                <a:lnTo>
                  <a:pt x="1214086" y="99678"/>
                </a:lnTo>
                <a:lnTo>
                  <a:pt x="1214767" y="99683"/>
                </a:lnTo>
                <a:lnTo>
                  <a:pt x="1215448" y="99689"/>
                </a:lnTo>
                <a:lnTo>
                  <a:pt x="1216130" y="99694"/>
                </a:lnTo>
                <a:lnTo>
                  <a:pt x="1216811" y="99700"/>
                </a:lnTo>
                <a:lnTo>
                  <a:pt x="1217492" y="99705"/>
                </a:lnTo>
                <a:lnTo>
                  <a:pt x="1218173" y="99710"/>
                </a:lnTo>
                <a:lnTo>
                  <a:pt x="1218855" y="99716"/>
                </a:lnTo>
                <a:lnTo>
                  <a:pt x="1219536" y="99721"/>
                </a:lnTo>
                <a:lnTo>
                  <a:pt x="1220217" y="99726"/>
                </a:lnTo>
                <a:lnTo>
                  <a:pt x="1220899" y="99732"/>
                </a:lnTo>
                <a:lnTo>
                  <a:pt x="1221580" y="99737"/>
                </a:lnTo>
                <a:lnTo>
                  <a:pt x="1222261" y="99742"/>
                </a:lnTo>
                <a:lnTo>
                  <a:pt x="1222943" y="99748"/>
                </a:lnTo>
                <a:lnTo>
                  <a:pt x="1223624" y="99753"/>
                </a:lnTo>
                <a:lnTo>
                  <a:pt x="1224305" y="99758"/>
                </a:lnTo>
                <a:lnTo>
                  <a:pt x="1224987" y="99763"/>
                </a:lnTo>
                <a:lnTo>
                  <a:pt x="1225668" y="99768"/>
                </a:lnTo>
                <a:lnTo>
                  <a:pt x="1226349" y="99774"/>
                </a:lnTo>
                <a:lnTo>
                  <a:pt x="1227030" y="99779"/>
                </a:lnTo>
                <a:lnTo>
                  <a:pt x="1227712" y="99784"/>
                </a:lnTo>
                <a:lnTo>
                  <a:pt x="1228393" y="99789"/>
                </a:lnTo>
                <a:lnTo>
                  <a:pt x="1229074" y="99794"/>
                </a:lnTo>
                <a:lnTo>
                  <a:pt x="1229756" y="99800"/>
                </a:lnTo>
                <a:lnTo>
                  <a:pt x="1230437" y="99805"/>
                </a:lnTo>
                <a:lnTo>
                  <a:pt x="1231118" y="99810"/>
                </a:lnTo>
                <a:lnTo>
                  <a:pt x="1231800" y="99815"/>
                </a:lnTo>
                <a:lnTo>
                  <a:pt x="1232481" y="99820"/>
                </a:lnTo>
                <a:lnTo>
                  <a:pt x="1233162" y="99825"/>
                </a:lnTo>
                <a:lnTo>
                  <a:pt x="1233843" y="99830"/>
                </a:lnTo>
                <a:lnTo>
                  <a:pt x="1234525" y="99835"/>
                </a:lnTo>
                <a:lnTo>
                  <a:pt x="1235206" y="99840"/>
                </a:lnTo>
                <a:lnTo>
                  <a:pt x="1235887" y="99845"/>
                </a:lnTo>
                <a:lnTo>
                  <a:pt x="1236569" y="99850"/>
                </a:lnTo>
                <a:lnTo>
                  <a:pt x="1237250" y="99855"/>
                </a:lnTo>
                <a:lnTo>
                  <a:pt x="1237931" y="99860"/>
                </a:lnTo>
                <a:lnTo>
                  <a:pt x="1238613" y="99865"/>
                </a:lnTo>
                <a:lnTo>
                  <a:pt x="1239294" y="99870"/>
                </a:lnTo>
                <a:lnTo>
                  <a:pt x="1239975" y="99875"/>
                </a:lnTo>
                <a:lnTo>
                  <a:pt x="1240657" y="99880"/>
                </a:lnTo>
                <a:lnTo>
                  <a:pt x="1241338" y="99885"/>
                </a:lnTo>
                <a:lnTo>
                  <a:pt x="1242019" y="99890"/>
                </a:lnTo>
                <a:lnTo>
                  <a:pt x="1242700" y="99895"/>
                </a:lnTo>
                <a:lnTo>
                  <a:pt x="1243382" y="99900"/>
                </a:lnTo>
                <a:lnTo>
                  <a:pt x="1244063" y="99905"/>
                </a:lnTo>
                <a:lnTo>
                  <a:pt x="1244744" y="99910"/>
                </a:lnTo>
                <a:lnTo>
                  <a:pt x="1245426" y="99915"/>
                </a:lnTo>
                <a:lnTo>
                  <a:pt x="1246107" y="99920"/>
                </a:lnTo>
                <a:lnTo>
                  <a:pt x="1246788" y="99924"/>
                </a:lnTo>
                <a:lnTo>
                  <a:pt x="1247470" y="99929"/>
                </a:lnTo>
                <a:lnTo>
                  <a:pt x="1248151" y="99934"/>
                </a:lnTo>
                <a:lnTo>
                  <a:pt x="1248832" y="99939"/>
                </a:lnTo>
                <a:lnTo>
                  <a:pt x="1249514" y="99944"/>
                </a:lnTo>
                <a:lnTo>
                  <a:pt x="1250195" y="99948"/>
                </a:lnTo>
                <a:lnTo>
                  <a:pt x="1250876" y="99953"/>
                </a:lnTo>
                <a:lnTo>
                  <a:pt x="1251557" y="99958"/>
                </a:lnTo>
                <a:lnTo>
                  <a:pt x="1252239" y="99963"/>
                </a:lnTo>
                <a:lnTo>
                  <a:pt x="1252920" y="99967"/>
                </a:lnTo>
                <a:lnTo>
                  <a:pt x="1253601" y="99972"/>
                </a:lnTo>
                <a:lnTo>
                  <a:pt x="1254283" y="99977"/>
                </a:lnTo>
                <a:lnTo>
                  <a:pt x="1254964" y="99982"/>
                </a:lnTo>
                <a:lnTo>
                  <a:pt x="1255645" y="99986"/>
                </a:lnTo>
                <a:lnTo>
                  <a:pt x="1256327" y="99991"/>
                </a:lnTo>
                <a:lnTo>
                  <a:pt x="1257008" y="99996"/>
                </a:lnTo>
                <a:lnTo>
                  <a:pt x="1257689" y="100000"/>
                </a:lnTo>
                <a:lnTo>
                  <a:pt x="1258370" y="100005"/>
                </a:lnTo>
                <a:lnTo>
                  <a:pt x="1259052" y="100010"/>
                </a:lnTo>
                <a:lnTo>
                  <a:pt x="1259733" y="100014"/>
                </a:lnTo>
                <a:lnTo>
                  <a:pt x="1260414" y="100019"/>
                </a:lnTo>
                <a:lnTo>
                  <a:pt x="1261096" y="100024"/>
                </a:lnTo>
                <a:lnTo>
                  <a:pt x="1261777" y="100028"/>
                </a:lnTo>
                <a:lnTo>
                  <a:pt x="1262458" y="100033"/>
                </a:lnTo>
                <a:lnTo>
                  <a:pt x="1263140" y="100037"/>
                </a:lnTo>
                <a:lnTo>
                  <a:pt x="1263821" y="100042"/>
                </a:lnTo>
                <a:lnTo>
                  <a:pt x="1264502" y="100046"/>
                </a:lnTo>
                <a:lnTo>
                  <a:pt x="1265184" y="100051"/>
                </a:lnTo>
                <a:lnTo>
                  <a:pt x="1265865" y="100055"/>
                </a:lnTo>
                <a:lnTo>
                  <a:pt x="1266546" y="100060"/>
                </a:lnTo>
                <a:lnTo>
                  <a:pt x="1267227" y="100065"/>
                </a:lnTo>
                <a:lnTo>
                  <a:pt x="1267909" y="100069"/>
                </a:lnTo>
                <a:lnTo>
                  <a:pt x="1268590" y="100073"/>
                </a:lnTo>
                <a:lnTo>
                  <a:pt x="1269271" y="100078"/>
                </a:lnTo>
                <a:lnTo>
                  <a:pt x="1269953" y="100082"/>
                </a:lnTo>
                <a:lnTo>
                  <a:pt x="1270634" y="100087"/>
                </a:lnTo>
                <a:lnTo>
                  <a:pt x="1271315" y="100091"/>
                </a:lnTo>
                <a:lnTo>
                  <a:pt x="1271997" y="100096"/>
                </a:lnTo>
                <a:lnTo>
                  <a:pt x="1272678" y="100100"/>
                </a:lnTo>
                <a:lnTo>
                  <a:pt x="1273359" y="100105"/>
                </a:lnTo>
                <a:lnTo>
                  <a:pt x="1274041" y="100109"/>
                </a:lnTo>
                <a:lnTo>
                  <a:pt x="1274722" y="100113"/>
                </a:lnTo>
                <a:lnTo>
                  <a:pt x="1275403" y="100118"/>
                </a:lnTo>
                <a:lnTo>
                  <a:pt x="1276084" y="100122"/>
                </a:lnTo>
                <a:lnTo>
                  <a:pt x="1276766" y="100126"/>
                </a:lnTo>
                <a:lnTo>
                  <a:pt x="1277447" y="100131"/>
                </a:lnTo>
                <a:lnTo>
                  <a:pt x="1278128" y="100135"/>
                </a:lnTo>
                <a:lnTo>
                  <a:pt x="1278810" y="100139"/>
                </a:lnTo>
                <a:lnTo>
                  <a:pt x="1279491" y="100144"/>
                </a:lnTo>
                <a:lnTo>
                  <a:pt x="1280172" y="100148"/>
                </a:lnTo>
                <a:lnTo>
                  <a:pt x="1280854" y="100152"/>
                </a:lnTo>
                <a:lnTo>
                  <a:pt x="1281535" y="100157"/>
                </a:lnTo>
                <a:lnTo>
                  <a:pt x="1282216" y="100161"/>
                </a:lnTo>
                <a:lnTo>
                  <a:pt x="1282897" y="100165"/>
                </a:lnTo>
                <a:lnTo>
                  <a:pt x="1283579" y="100169"/>
                </a:lnTo>
                <a:lnTo>
                  <a:pt x="1284260" y="100174"/>
                </a:lnTo>
                <a:lnTo>
                  <a:pt x="1284941" y="100178"/>
                </a:lnTo>
                <a:lnTo>
                  <a:pt x="1285623" y="100182"/>
                </a:lnTo>
                <a:lnTo>
                  <a:pt x="1286304" y="100186"/>
                </a:lnTo>
                <a:lnTo>
                  <a:pt x="1286985" y="100191"/>
                </a:lnTo>
                <a:lnTo>
                  <a:pt x="1287667" y="100195"/>
                </a:lnTo>
                <a:lnTo>
                  <a:pt x="1288348" y="100199"/>
                </a:lnTo>
                <a:lnTo>
                  <a:pt x="1289029" y="100203"/>
                </a:lnTo>
                <a:lnTo>
                  <a:pt x="1289711" y="100207"/>
                </a:lnTo>
                <a:lnTo>
                  <a:pt x="1290392" y="100211"/>
                </a:lnTo>
                <a:lnTo>
                  <a:pt x="1291073" y="100216"/>
                </a:lnTo>
                <a:lnTo>
                  <a:pt x="1291754" y="100220"/>
                </a:lnTo>
                <a:lnTo>
                  <a:pt x="1292436" y="100224"/>
                </a:lnTo>
                <a:lnTo>
                  <a:pt x="1293117" y="100228"/>
                </a:lnTo>
                <a:lnTo>
                  <a:pt x="1293798" y="100232"/>
                </a:lnTo>
                <a:lnTo>
                  <a:pt x="1294480" y="100236"/>
                </a:lnTo>
                <a:lnTo>
                  <a:pt x="1295161" y="100240"/>
                </a:lnTo>
                <a:lnTo>
                  <a:pt x="1295842" y="100244"/>
                </a:lnTo>
                <a:lnTo>
                  <a:pt x="1296524" y="100248"/>
                </a:lnTo>
                <a:lnTo>
                  <a:pt x="1297205" y="100252"/>
                </a:lnTo>
                <a:lnTo>
                  <a:pt x="1297886" y="100256"/>
                </a:lnTo>
                <a:lnTo>
                  <a:pt x="1298567" y="100260"/>
                </a:lnTo>
                <a:lnTo>
                  <a:pt x="1299249" y="100264"/>
                </a:lnTo>
                <a:lnTo>
                  <a:pt x="1299930" y="100268"/>
                </a:lnTo>
                <a:lnTo>
                  <a:pt x="1300611" y="100272"/>
                </a:lnTo>
                <a:lnTo>
                  <a:pt x="1301293" y="100276"/>
                </a:lnTo>
                <a:lnTo>
                  <a:pt x="1301974" y="100280"/>
                </a:lnTo>
                <a:lnTo>
                  <a:pt x="1302655" y="100284"/>
                </a:lnTo>
                <a:lnTo>
                  <a:pt x="1303337" y="100288"/>
                </a:lnTo>
                <a:lnTo>
                  <a:pt x="1304018" y="100292"/>
                </a:lnTo>
                <a:lnTo>
                  <a:pt x="1304699" y="100296"/>
                </a:lnTo>
                <a:lnTo>
                  <a:pt x="1305381" y="100300"/>
                </a:lnTo>
                <a:lnTo>
                  <a:pt x="1306062" y="100304"/>
                </a:lnTo>
                <a:lnTo>
                  <a:pt x="1306743" y="100308"/>
                </a:lnTo>
                <a:lnTo>
                  <a:pt x="1307424" y="100312"/>
                </a:lnTo>
                <a:lnTo>
                  <a:pt x="1308106" y="100316"/>
                </a:lnTo>
                <a:lnTo>
                  <a:pt x="1308787" y="100320"/>
                </a:lnTo>
                <a:lnTo>
                  <a:pt x="1309468" y="100324"/>
                </a:lnTo>
                <a:lnTo>
                  <a:pt x="1310150" y="100327"/>
                </a:lnTo>
                <a:lnTo>
                  <a:pt x="1310831" y="100331"/>
                </a:lnTo>
                <a:lnTo>
                  <a:pt x="1311512" y="100335"/>
                </a:lnTo>
                <a:lnTo>
                  <a:pt x="1312194" y="100339"/>
                </a:lnTo>
                <a:lnTo>
                  <a:pt x="1312875" y="100343"/>
                </a:lnTo>
                <a:lnTo>
                  <a:pt x="1313556" y="100347"/>
                </a:lnTo>
                <a:lnTo>
                  <a:pt x="1314238" y="100350"/>
                </a:lnTo>
                <a:lnTo>
                  <a:pt x="1314919" y="100354"/>
                </a:lnTo>
                <a:lnTo>
                  <a:pt x="1315600" y="100358"/>
                </a:lnTo>
                <a:lnTo>
                  <a:pt x="1316281" y="100362"/>
                </a:lnTo>
                <a:lnTo>
                  <a:pt x="1316963" y="100366"/>
                </a:lnTo>
                <a:lnTo>
                  <a:pt x="1317644" y="100369"/>
                </a:lnTo>
                <a:lnTo>
                  <a:pt x="1318325" y="100373"/>
                </a:lnTo>
                <a:lnTo>
                  <a:pt x="1319007" y="100377"/>
                </a:lnTo>
                <a:lnTo>
                  <a:pt x="1319688" y="100381"/>
                </a:lnTo>
                <a:lnTo>
                  <a:pt x="1320369" y="100384"/>
                </a:lnTo>
                <a:lnTo>
                  <a:pt x="1321051" y="100388"/>
                </a:lnTo>
                <a:lnTo>
                  <a:pt x="1321732" y="100392"/>
                </a:lnTo>
                <a:lnTo>
                  <a:pt x="1322413" y="100395"/>
                </a:lnTo>
                <a:lnTo>
                  <a:pt x="1323094" y="100399"/>
                </a:lnTo>
                <a:lnTo>
                  <a:pt x="1323776" y="100403"/>
                </a:lnTo>
                <a:lnTo>
                  <a:pt x="1324457" y="100406"/>
                </a:lnTo>
                <a:lnTo>
                  <a:pt x="1325138" y="100410"/>
                </a:lnTo>
                <a:lnTo>
                  <a:pt x="1325820" y="100414"/>
                </a:lnTo>
                <a:lnTo>
                  <a:pt x="1326501" y="100417"/>
                </a:lnTo>
                <a:lnTo>
                  <a:pt x="1327182" y="100421"/>
                </a:lnTo>
                <a:lnTo>
                  <a:pt x="1327864" y="100425"/>
                </a:lnTo>
                <a:lnTo>
                  <a:pt x="1328545" y="100428"/>
                </a:lnTo>
                <a:lnTo>
                  <a:pt x="1329226" y="100432"/>
                </a:lnTo>
                <a:lnTo>
                  <a:pt x="1329908" y="100435"/>
                </a:lnTo>
                <a:lnTo>
                  <a:pt x="1330589" y="100439"/>
                </a:lnTo>
                <a:lnTo>
                  <a:pt x="1331270" y="100443"/>
                </a:lnTo>
                <a:lnTo>
                  <a:pt x="1331951" y="100446"/>
                </a:lnTo>
                <a:lnTo>
                  <a:pt x="1332633" y="100450"/>
                </a:lnTo>
                <a:lnTo>
                  <a:pt x="1333314" y="100453"/>
                </a:lnTo>
                <a:lnTo>
                  <a:pt x="1333995" y="100457"/>
                </a:lnTo>
                <a:lnTo>
                  <a:pt x="1334677" y="100460"/>
                </a:lnTo>
                <a:lnTo>
                  <a:pt x="1335358" y="100464"/>
                </a:lnTo>
                <a:lnTo>
                  <a:pt x="1336039" y="100467"/>
                </a:lnTo>
                <a:lnTo>
                  <a:pt x="1336721" y="100471"/>
                </a:lnTo>
                <a:lnTo>
                  <a:pt x="1337402" y="100474"/>
                </a:lnTo>
                <a:lnTo>
                  <a:pt x="1338083" y="100478"/>
                </a:lnTo>
                <a:lnTo>
                  <a:pt x="1338765" y="100481"/>
                </a:lnTo>
                <a:lnTo>
                  <a:pt x="1339446" y="100485"/>
                </a:lnTo>
                <a:lnTo>
                  <a:pt x="1340127" y="100488"/>
                </a:lnTo>
                <a:lnTo>
                  <a:pt x="1340808" y="100492"/>
                </a:lnTo>
                <a:lnTo>
                  <a:pt x="1341490" y="100495"/>
                </a:lnTo>
                <a:lnTo>
                  <a:pt x="1342171" y="100499"/>
                </a:lnTo>
                <a:lnTo>
                  <a:pt x="1342852" y="100502"/>
                </a:lnTo>
                <a:lnTo>
                  <a:pt x="1343534" y="100506"/>
                </a:lnTo>
                <a:lnTo>
                  <a:pt x="1344215" y="100509"/>
                </a:lnTo>
                <a:lnTo>
                  <a:pt x="1344896" y="100512"/>
                </a:lnTo>
                <a:lnTo>
                  <a:pt x="1345578" y="100516"/>
                </a:lnTo>
                <a:lnTo>
                  <a:pt x="1346259" y="100519"/>
                </a:lnTo>
                <a:lnTo>
                  <a:pt x="1346940" y="100523"/>
                </a:lnTo>
                <a:lnTo>
                  <a:pt x="1347621" y="100526"/>
                </a:lnTo>
                <a:lnTo>
                  <a:pt x="1348303" y="100529"/>
                </a:lnTo>
                <a:lnTo>
                  <a:pt x="1348984" y="100533"/>
                </a:lnTo>
                <a:lnTo>
                  <a:pt x="1349665" y="100536"/>
                </a:lnTo>
                <a:lnTo>
                  <a:pt x="1350347" y="100539"/>
                </a:lnTo>
                <a:lnTo>
                  <a:pt x="1351028" y="100543"/>
                </a:lnTo>
                <a:lnTo>
                  <a:pt x="1351709" y="100546"/>
                </a:lnTo>
                <a:lnTo>
                  <a:pt x="1352391" y="100549"/>
                </a:lnTo>
                <a:lnTo>
                  <a:pt x="1353072" y="100553"/>
                </a:lnTo>
                <a:lnTo>
                  <a:pt x="1353753" y="100556"/>
                </a:lnTo>
                <a:lnTo>
                  <a:pt x="1354435" y="100559"/>
                </a:lnTo>
                <a:lnTo>
                  <a:pt x="1355116" y="100562"/>
                </a:lnTo>
                <a:lnTo>
                  <a:pt x="1355797" y="100566"/>
                </a:lnTo>
                <a:lnTo>
                  <a:pt x="1356478" y="100569"/>
                </a:lnTo>
                <a:lnTo>
                  <a:pt x="1357160" y="100572"/>
                </a:lnTo>
                <a:lnTo>
                  <a:pt x="1357841" y="100575"/>
                </a:lnTo>
                <a:lnTo>
                  <a:pt x="1358522" y="100579"/>
                </a:lnTo>
                <a:lnTo>
                  <a:pt x="1359204" y="100582"/>
                </a:lnTo>
                <a:lnTo>
                  <a:pt x="1359885" y="100585"/>
                </a:lnTo>
                <a:lnTo>
                  <a:pt x="1360566" y="100588"/>
                </a:lnTo>
                <a:lnTo>
                  <a:pt x="1361248" y="100592"/>
                </a:lnTo>
                <a:lnTo>
                  <a:pt x="1361929" y="100595"/>
                </a:lnTo>
                <a:lnTo>
                  <a:pt x="1362610" y="100598"/>
                </a:lnTo>
                <a:lnTo>
                  <a:pt x="1362610" y="101793"/>
                </a:lnTo>
                <a:close/>
              </a:path>
            </a:pathLst>
          </a:custGeom>
          <a:solidFill>
            <a:srgbClr val="E5E5E5">
              <a:alpha val="100000"/>
            </a:srgbClr>
          </a:solidFill>
          <a:ln w="9525" cap="rnd">
            <a:noFill/>
            <a:prstDash val="solid"/>
            <a:round/>
          </a:ln>
        </xdr:spPr>
        <xdr:txBody>
          <a:bodyPr wrap="square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grpSp>
        <xdr:nvGrpSpPr>
          <xdr:cNvPr id="164" name="Group 16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GrpSpPr/>
        </xdr:nvGrpSpPr>
        <xdr:grpSpPr>
          <a:xfrm>
            <a:off x="4069432" y="4525830"/>
            <a:ext cx="520930" cy="253056"/>
            <a:chOff x="929029" y="3145656"/>
            <a:chExt cx="518795" cy="253081"/>
          </a:xfrm>
        </xdr:grpSpPr>
        <xdr:sp macro="" textlink="">
          <xdr:nvSpPr>
            <xdr:cNvPr id="181" name="tx135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SpPr/>
          </xdr:nvSpPr>
          <xdr:spPr>
            <a:xfrm>
              <a:off x="929029" y="3145656"/>
              <a:ext cx="518795" cy="139700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Extremely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82" name="tx136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SpPr/>
          </xdr:nvSpPr>
          <xdr:spPr>
            <a:xfrm>
              <a:off x="1057594" y="3281480"/>
              <a:ext cx="251212" cy="117257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Low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xdr:grp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GrpSpPr/>
        </xdr:nvGrpSpPr>
        <xdr:grpSpPr>
          <a:xfrm>
            <a:off x="4842936" y="4525828"/>
            <a:ext cx="247394" cy="245151"/>
            <a:chOff x="1699364" y="3145652"/>
            <a:chExt cx="246380" cy="245175"/>
          </a:xfrm>
        </xdr:grpSpPr>
        <xdr:sp macro="" textlink="">
          <xdr:nvSpPr>
            <xdr:cNvPr id="179" name="tx137">
              <a:extLst>
                <a:ext uri="{FF2B5EF4-FFF2-40B4-BE49-F238E27FC236}">
                  <a16:creationId xmlns:a16="http://schemas.microsoft.com/office/drawing/2014/main" id="{00000000-0008-0000-0000-0000B3000000}"/>
                </a:ext>
              </a:extLst>
            </xdr:cNvPr>
            <xdr:cNvSpPr/>
          </xdr:nvSpPr>
          <xdr:spPr>
            <a:xfrm>
              <a:off x="1699364" y="3145652"/>
              <a:ext cx="246380" cy="139700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Very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80" name="tx138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SpPr/>
          </xdr:nvSpPr>
          <xdr:spPr>
            <a:xfrm>
              <a:off x="1702583" y="3273570"/>
              <a:ext cx="240438" cy="117257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Low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66" name="tx139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>
            <a:off x="5277274" y="4588115"/>
            <a:ext cx="228903" cy="13968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Low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67" name="tx140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5699311" y="4525801"/>
            <a:ext cx="228903" cy="13968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Low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68" name="tx141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>
            <a:off x="5614188" y="4661629"/>
            <a:ext cx="399147" cy="11724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Average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69" name="tx142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6229362" y="4588115"/>
            <a:ext cx="431026" cy="13968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Average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70" name="tx143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>
            <a:off x="6951898" y="4525801"/>
            <a:ext cx="260146" cy="13968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High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71" name="tx144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>
            <a:off x="6882397" y="4661629"/>
            <a:ext cx="399147" cy="11724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Average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72" name="tx145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>
            <a:off x="7385309" y="4588115"/>
            <a:ext cx="260146" cy="139685"/>
          </a:xfrm>
          <a:prstGeom prst="rect">
            <a:avLst/>
          </a:prstGeom>
          <a:noFill/>
        </xdr:spPr>
        <xdr:txBody>
          <a:bodyPr wrap="square" lIns="0" tIns="0" rIns="0" bIns="0" anchor="ctr" anchorCtr="1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algn="ctr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900" kern="1200">
                <a:solidFill>
                  <a:srgbClr val="000000"/>
                </a:solidFill>
                <a:effectLst/>
                <a:latin typeface="Palatino Linotype" panose="02040502050505030304" pitchFamily="18" charset="0"/>
                <a:ea typeface="Times New Roman" panose="02020603050405020304" pitchFamily="18" charset="0"/>
              </a:rPr>
              <a:t>High</a:t>
            </a:r>
            <a:endPara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grpSp>
        <xdr:nvGrpSpPr>
          <xdr:cNvPr id="173" name="Group 172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GrpSpPr/>
        </xdr:nvGrpSpPr>
        <xdr:grpSpPr>
          <a:xfrm>
            <a:off x="7833172" y="4525825"/>
            <a:ext cx="247394" cy="253067"/>
            <a:chOff x="4677345" y="3145652"/>
            <a:chExt cx="246380" cy="253092"/>
          </a:xfrm>
        </xdr:grpSpPr>
        <xdr:sp macro="" textlink="">
          <xdr:nvSpPr>
            <xdr:cNvPr id="177" name="tx146">
              <a:extLst>
                <a:ext uri="{FF2B5EF4-FFF2-40B4-BE49-F238E27FC236}">
                  <a16:creationId xmlns:a16="http://schemas.microsoft.com/office/drawing/2014/main" id="{00000000-0008-0000-0000-0000B1000000}"/>
                </a:ext>
              </a:extLst>
            </xdr:cNvPr>
            <xdr:cNvSpPr/>
          </xdr:nvSpPr>
          <xdr:spPr>
            <a:xfrm>
              <a:off x="4677345" y="3145652"/>
              <a:ext cx="246380" cy="139700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Very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78" name="tx147">
              <a:extLst>
                <a:ext uri="{FF2B5EF4-FFF2-40B4-BE49-F238E27FC236}">
                  <a16:creationId xmlns:a16="http://schemas.microsoft.com/office/drawing/2014/main" id="{00000000-0008-0000-0000-0000B2000000}"/>
                </a:ext>
              </a:extLst>
            </xdr:cNvPr>
            <xdr:cNvSpPr/>
          </xdr:nvSpPr>
          <xdr:spPr>
            <a:xfrm>
              <a:off x="4691143" y="3281487"/>
              <a:ext cx="231483" cy="117257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High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xdr:grpSp>
      <xdr:grpSp>
        <xdr:nvGrpSpPr>
          <xdr:cNvPr id="174" name="Group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GrpSpPr/>
        </xdr:nvGrpSpPr>
        <xdr:grpSpPr>
          <a:xfrm>
            <a:off x="8316746" y="4525831"/>
            <a:ext cx="520930" cy="253052"/>
            <a:chOff x="5158943" y="3145657"/>
            <a:chExt cx="518795" cy="253077"/>
          </a:xfrm>
        </xdr:grpSpPr>
        <xdr:sp macro="" textlink="">
          <xdr:nvSpPr>
            <xdr:cNvPr id="175" name="tx148">
              <a:extLst>
                <a:ext uri="{FF2B5EF4-FFF2-40B4-BE49-F238E27FC236}">
                  <a16:creationId xmlns:a16="http://schemas.microsoft.com/office/drawing/2014/main" id="{00000000-0008-0000-0000-0000AF000000}"/>
                </a:ext>
              </a:extLst>
            </xdr:cNvPr>
            <xdr:cNvSpPr/>
          </xdr:nvSpPr>
          <xdr:spPr>
            <a:xfrm>
              <a:off x="5158943" y="3145657"/>
              <a:ext cx="518795" cy="139700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Extremely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176" name="tx149">
              <a:extLst>
                <a:ext uri="{FF2B5EF4-FFF2-40B4-BE49-F238E27FC236}">
                  <a16:creationId xmlns:a16="http://schemas.microsoft.com/office/drawing/2014/main" id="{00000000-0008-0000-0000-0000B0000000}"/>
                </a:ext>
              </a:extLst>
            </xdr:cNvPr>
            <xdr:cNvSpPr/>
          </xdr:nvSpPr>
          <xdr:spPr>
            <a:xfrm>
              <a:off x="5302599" y="3281477"/>
              <a:ext cx="231482" cy="117257"/>
            </a:xfrm>
            <a:prstGeom prst="rect">
              <a:avLst/>
            </a:prstGeom>
            <a:noFill/>
          </xdr:spPr>
          <xdr:txBody>
            <a:bodyPr wrap="square" lIns="0" tIns="0" rIns="0" bIns="0" anchor="ctr" anchorCtr="1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algn="ctr">
                <a:lnSpc>
                  <a:spcPts val="1100"/>
                </a:lnSpc>
                <a:spcBef>
                  <a:spcPts val="0"/>
                </a:spcBef>
                <a:spcAft>
                  <a:spcPts val="0"/>
                </a:spcAft>
              </a:pPr>
              <a:r>
                <a:rPr lang="en-US" sz="900" kern="1200">
                  <a:solidFill>
                    <a:srgbClr val="000000"/>
                  </a:solidFill>
                  <a:effectLst/>
                  <a:latin typeface="Palatino Linotype" panose="02040502050505030304" pitchFamily="18" charset="0"/>
                  <a:ea typeface="Times New Roman" panose="02020603050405020304" pitchFamily="18" charset="0"/>
                </a:rPr>
                <a:t>High</a:t>
              </a:r>
              <a:endParaRPr lang="en-US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9525</xdr:rowOff>
        </xdr:from>
        <xdr:to>
          <xdr:col>1</xdr:col>
          <xdr:colOff>2562225</xdr:colOff>
          <xdr:row>1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Flynn-Corrected Scores (Specify Year Tested)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421" cy="63025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421" cy="630252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33"/>
  <sheetViews>
    <sheetView tabSelected="1" workbookViewId="0">
      <selection activeCell="U14" sqref="U14"/>
    </sheetView>
  </sheetViews>
  <sheetFormatPr defaultColWidth="9.140625" defaultRowHeight="15" x14ac:dyDescent="0.25"/>
  <cols>
    <col min="1" max="1" width="3.140625" style="6" customWidth="1"/>
    <col min="2" max="2" width="47.85546875" style="6" customWidth="1"/>
    <col min="3" max="3" width="19.140625" style="6" customWidth="1"/>
    <col min="4" max="4" width="8.42578125" style="6" customWidth="1"/>
    <col min="5" max="8" width="8.140625" style="6" customWidth="1"/>
    <col min="9" max="10" width="12" style="6" customWidth="1"/>
    <col min="11" max="11" width="11" style="1" customWidth="1"/>
    <col min="12" max="12" width="11.85546875" style="6" customWidth="1"/>
    <col min="13" max="13" width="11.85546875" style="1" customWidth="1"/>
    <col min="14" max="14" width="14.42578125" style="1" bestFit="1" customWidth="1"/>
    <col min="15" max="15" width="12.5703125" style="1" customWidth="1"/>
    <col min="16" max="16" width="26" style="1" customWidth="1"/>
    <col min="17" max="17" width="6.28515625" style="1" customWidth="1"/>
    <col min="18" max="18" width="5.28515625" style="1" customWidth="1"/>
    <col min="19" max="19" width="10" style="1" bestFit="1" customWidth="1"/>
    <col min="20" max="20" width="18.140625" style="1" customWidth="1"/>
    <col min="21" max="21" width="7.5703125" style="1" customWidth="1"/>
    <col min="22" max="33" width="6.42578125" style="1" customWidth="1"/>
    <col min="34" max="41" width="6.42578125" style="6" customWidth="1"/>
    <col min="42" max="43" width="6.42578125" style="8" customWidth="1"/>
    <col min="44" max="45" width="6.42578125" style="6" customWidth="1"/>
    <col min="46" max="16384" width="9.140625" style="6"/>
  </cols>
  <sheetData>
    <row r="1" spans="2:45" ht="16.5" customHeight="1" x14ac:dyDescent="0.25">
      <c r="C1" s="6" t="s">
        <v>219</v>
      </c>
      <c r="F1" s="66">
        <v>2.94</v>
      </c>
      <c r="R1" s="7" t="s">
        <v>206</v>
      </c>
      <c r="S1" s="66">
        <v>0.96</v>
      </c>
      <c r="X1" s="6"/>
      <c r="Y1" s="10"/>
      <c r="Z1" s="3" t="s">
        <v>230</v>
      </c>
      <c r="AH1" s="1"/>
      <c r="AI1" s="1"/>
      <c r="AJ1" s="1"/>
      <c r="AK1" s="1"/>
      <c r="AL1" s="1"/>
      <c r="AM1" s="1"/>
      <c r="AN1" s="1"/>
      <c r="AO1" s="1"/>
    </row>
    <row r="2" spans="2:45" ht="48.75" customHeight="1" x14ac:dyDescent="0.25">
      <c r="B2" s="13" t="s">
        <v>166</v>
      </c>
      <c r="C2" s="13" t="s">
        <v>165</v>
      </c>
      <c r="D2" s="14" t="s">
        <v>4</v>
      </c>
      <c r="E2" s="14" t="s">
        <v>2</v>
      </c>
      <c r="F2" s="15" t="s">
        <v>228</v>
      </c>
      <c r="G2" s="15" t="s">
        <v>229</v>
      </c>
      <c r="H2" s="15" t="s">
        <v>75</v>
      </c>
      <c r="I2" s="15" t="s">
        <v>210</v>
      </c>
      <c r="J2" s="15" t="s">
        <v>154</v>
      </c>
      <c r="K2" s="41" t="s">
        <v>155</v>
      </c>
      <c r="L2" s="42" t="s">
        <v>159</v>
      </c>
      <c r="M2" s="15" t="s">
        <v>22</v>
      </c>
      <c r="N2" s="15" t="s">
        <v>164</v>
      </c>
      <c r="O2" s="15" t="s">
        <v>24</v>
      </c>
      <c r="P2" s="15" t="s">
        <v>23</v>
      </c>
      <c r="Q2" s="14" t="s">
        <v>0</v>
      </c>
      <c r="R2" s="14" t="s">
        <v>1</v>
      </c>
      <c r="S2" s="14" t="s">
        <v>191</v>
      </c>
      <c r="T2" s="14" t="s">
        <v>221</v>
      </c>
      <c r="X2" s="32"/>
      <c r="Y2" s="33" t="s">
        <v>3</v>
      </c>
      <c r="Z2" s="32">
        <v>1</v>
      </c>
      <c r="AA2" s="32">
        <v>2</v>
      </c>
      <c r="AB2" s="32">
        <v>3</v>
      </c>
      <c r="AC2" s="32">
        <v>4</v>
      </c>
      <c r="AD2" s="32">
        <v>5</v>
      </c>
      <c r="AE2" s="32">
        <v>6</v>
      </c>
      <c r="AF2" s="32">
        <v>7</v>
      </c>
      <c r="AG2" s="32">
        <v>8</v>
      </c>
      <c r="AH2" s="32">
        <v>9</v>
      </c>
      <c r="AI2" s="32">
        <v>10</v>
      </c>
      <c r="AJ2" s="32">
        <v>11</v>
      </c>
      <c r="AK2" s="32">
        <v>12</v>
      </c>
      <c r="AL2" s="32">
        <v>13</v>
      </c>
      <c r="AM2" s="32">
        <v>14</v>
      </c>
      <c r="AN2" s="32">
        <v>15</v>
      </c>
      <c r="AO2" s="32">
        <v>16</v>
      </c>
      <c r="AP2" s="32">
        <v>17</v>
      </c>
      <c r="AQ2" s="32">
        <v>18</v>
      </c>
      <c r="AR2" s="32">
        <v>19</v>
      </c>
      <c r="AS2" s="32">
        <v>20</v>
      </c>
    </row>
    <row r="3" spans="2:45" ht="16.5" customHeight="1" x14ac:dyDescent="0.25">
      <c r="B3" s="39" t="s">
        <v>77</v>
      </c>
      <c r="C3" s="68" t="s">
        <v>216</v>
      </c>
      <c r="D3" s="40">
        <v>77</v>
      </c>
      <c r="E3" s="16">
        <v>1</v>
      </c>
      <c r="F3" s="16"/>
      <c r="G3" s="16">
        <v>10</v>
      </c>
      <c r="H3" s="16">
        <v>1982</v>
      </c>
      <c r="I3" s="18">
        <f>IF($C3="","",MIN(INDEX(Tests!E$3:E$499,MATCH($C3,Tests!$J$3:$J$499,0)),INDEX(Tests!F$3:F$499,MATCH($C3,Tests!$J$3:$J$499,0))))</f>
        <v>1972</v>
      </c>
      <c r="J3" s="19">
        <f t="shared" ref="J3:J22" si="0">IF(OR(ISBLANK(H3),ISBLANK(I3)),"",H3-I3)</f>
        <v>10</v>
      </c>
      <c r="K3" s="67">
        <f>IF(OR(J3="",J3&lt;0),"",-0.1*IF(ISBLANK(F3),F$1,F3)*J3+L3)</f>
        <v>74.06</v>
      </c>
      <c r="L3" s="24">
        <f t="shared" ref="L3:L22" si="1">IF(OR(B3="",C3="",D3=""),"",15*(D3-Q3)/R3+100)</f>
        <v>77</v>
      </c>
      <c r="M3" s="17">
        <f>IF(ISNA(Calculations!N11),"",Calculations!N11)</f>
        <v>70.641912926578712</v>
      </c>
      <c r="N3" s="17">
        <f>IF(Calculations!Z11="","",Calculations!Z11-M3)</f>
        <v>3.4180870734212903</v>
      </c>
      <c r="O3" s="18">
        <f>IF(OR(Calculations!Z11="",ISNA(Calculations!Y11)),"",Calculations!Y11)</f>
        <v>0.36</v>
      </c>
      <c r="P3" s="70" t="str">
        <f t="array" ref="P3">IF(O3="","",INDEX(Calculations!$E$33:$E$41,1+SUM(--(Calculations!K11&gt;Calculations!$C$34:$C$41)),1))</f>
        <v>Average-sized deviation</v>
      </c>
      <c r="Q3" s="31">
        <f>IF($C3="","",INDEX(Tests!G$3:G$499,MATCH($C3,Tests!$J$3:$J$499,0)))</f>
        <v>100</v>
      </c>
      <c r="R3" s="11">
        <f>IF($C3="","",INDEX(Tests!H$3:H$499,MATCH($C3,Tests!$J$3:$J$499,0)))</f>
        <v>15</v>
      </c>
      <c r="S3" s="4">
        <f>Calculations!AB11</f>
        <v>0.96</v>
      </c>
      <c r="T3" s="4" t="str">
        <f>IF($C3="","",INDEX(Tests!C$3:C$499,MATCH($C3,Tests!$J$3:$J$499,0)))</f>
        <v>Wechsler</v>
      </c>
      <c r="Y3" s="7" t="str">
        <f t="array" ref="Y3:Y22">IF(C3:C22="",TRANSPOSE(Z2:AS2),TRANSPOSE(Z2:AS2)&amp;". "&amp;C3:C22)</f>
        <v>1. WISC-R (1974)</v>
      </c>
      <c r="Z3" s="18">
        <v>1</v>
      </c>
      <c r="AA3" s="20">
        <f>IF(Blanks!C2,INDEX(Calculations!$C$88:$V$107,COLUMN(B1),ROW(B1)),INDEX($Z$3:$AS$22,COLUMN(B1),ROW(B1)))</f>
        <v>0.84139726982955088</v>
      </c>
      <c r="AB3" s="20">
        <f>IF(Blanks!D2,INDEX(Calculations!$C$88:$V$107,COLUMN(C1),ROW(C1)),INDEX($Z$3:$AS$22,COLUMN(C1),ROW(C1)))</f>
        <v>0.6883962347830036</v>
      </c>
      <c r="AC3" s="20">
        <f>IF(Blanks!E2,INDEX(Calculations!$C$88:$V$107,COLUMN(D1),ROW(D1)),INDEX($Z$3:$AS$22,COLUMN(D1),ROW(D1)))</f>
        <v>0.57392125641395353</v>
      </c>
      <c r="AD3" s="20">
        <f>IF(Blanks!F2,INDEX(Calculations!$C$88:$V$107,COLUMN(E1),ROW(E1)),INDEX($Z$3:$AS$22,COLUMN(E1),ROW(E1)))</f>
        <v>0.67716730504129063</v>
      </c>
      <c r="AE3" s="20" t="str">
        <f>IF(Blanks!G2,INDEX(Calculations!$C$88:$V$107,COLUMN(F1),ROW(F1)),INDEX($Z$3:$AS$22,COLUMN(F1),ROW(F1)))</f>
        <v/>
      </c>
      <c r="AF3" s="20" t="str">
        <f>IF(Blanks!H2,INDEX(Calculations!$C$88:$V$107,COLUMN(G1),ROW(G1)),INDEX($Z$3:$AS$22,COLUMN(G1),ROW(G1)))</f>
        <v/>
      </c>
      <c r="AG3" s="20" t="str">
        <f>IF(Blanks!I2,INDEX(Calculations!$C$88:$V$107,COLUMN(H1),ROW(H1)),INDEX($Z$3:$AS$22,COLUMN(H1),ROW(H1)))</f>
        <v/>
      </c>
      <c r="AH3" s="20" t="str">
        <f>IF(Blanks!J2,INDEX(Calculations!$C$88:$V$107,COLUMN(I1),ROW(I1)),INDEX($Z$3:$AS$22,COLUMN(I1),ROW(I1)))</f>
        <v/>
      </c>
      <c r="AI3" s="20" t="str">
        <f>IF(Blanks!K2,INDEX(Calculations!$C$88:$V$107,COLUMN(J1),ROW(J1)),INDEX($Z$3:$AS$22,COLUMN(J1),ROW(J1)))</f>
        <v/>
      </c>
      <c r="AJ3" s="20" t="str">
        <f>IF(Blanks!L2,INDEX(Calculations!$C$88:$V$107,COLUMN(K1),ROW(K1)),INDEX($Z$3:$AS$22,COLUMN(K1),ROW(K1)))</f>
        <v/>
      </c>
      <c r="AK3" s="20" t="str">
        <f>IF(Blanks!M2,INDEX(Calculations!$C$88:$V$107,COLUMN(L1),ROW(L1)),INDEX($Z$3:$AS$22,COLUMN(L1),ROW(L1)))</f>
        <v/>
      </c>
      <c r="AL3" s="20" t="str">
        <f>IF(Blanks!N2,INDEX(Calculations!$C$88:$V$107,COLUMN(M1),ROW(M1)),INDEX($Z$3:$AS$22,COLUMN(M1),ROW(M1)))</f>
        <v/>
      </c>
      <c r="AM3" s="20" t="str">
        <f>IF(Blanks!O2,INDEX(Calculations!$C$88:$V$107,COLUMN(N1),ROW(N1)),INDEX($Z$3:$AS$22,COLUMN(N1),ROW(N1)))</f>
        <v/>
      </c>
      <c r="AN3" s="20" t="str">
        <f>IF(Blanks!P2,INDEX(Calculations!$C$88:$V$107,COLUMN(O1),ROW(O1)),INDEX($Z$3:$AS$22,COLUMN(O1),ROW(O1)))</f>
        <v/>
      </c>
      <c r="AO3" s="20" t="str">
        <f>IF(Blanks!Q2,INDEX(Calculations!$C$88:$V$107,COLUMN(P1),ROW(P1)),INDEX($Z$3:$AS$22,COLUMN(P1),ROW(P1)))</f>
        <v/>
      </c>
      <c r="AP3" s="20" t="str">
        <f>IF(Blanks!R2,INDEX(Calculations!$C$88:$V$107,COLUMN(Q1),ROW(Q1)),INDEX($Z$3:$AS$22,COLUMN(Q1),ROW(Q1)))</f>
        <v/>
      </c>
      <c r="AQ3" s="20" t="str">
        <f>IF(Blanks!S2,INDEX(Calculations!$C$88:$V$107,COLUMN(R1),ROW(R1)),INDEX($Z$3:$AS$22,COLUMN(R1),ROW(R1)))</f>
        <v/>
      </c>
      <c r="AR3" s="20" t="str">
        <f>IF(Blanks!T2,INDEX(Calculations!$C$88:$V$107,COLUMN(S1),ROW(S1)),INDEX($Z$3:$AS$22,COLUMN(S1),ROW(S1)))</f>
        <v/>
      </c>
      <c r="AS3" s="20" t="str">
        <f>IF(Blanks!U2,INDEX(Calculations!$C$88:$V$107,COLUMN(T1),ROW(T1)),INDEX($Z$3:$AS$22,COLUMN(T1),ROW(T1)))</f>
        <v/>
      </c>
    </row>
    <row r="4" spans="2:45" ht="16.5" customHeight="1" x14ac:dyDescent="0.25">
      <c r="B4" s="39" t="s">
        <v>77</v>
      </c>
      <c r="C4" s="68" t="s">
        <v>216</v>
      </c>
      <c r="D4" s="40">
        <v>71</v>
      </c>
      <c r="E4" s="16">
        <v>1</v>
      </c>
      <c r="F4" s="16"/>
      <c r="G4" s="16">
        <v>11</v>
      </c>
      <c r="H4" s="16">
        <v>1983</v>
      </c>
      <c r="I4" s="18">
        <f>IF($C4="","",MIN(INDEX(Tests!E$3:E$499,MATCH($C4,Tests!$J$3:$J$499,0)),INDEX(Tests!F$3:F$499,MATCH($C4,Tests!$J$3:$J$499,0))))</f>
        <v>1972</v>
      </c>
      <c r="J4" s="19">
        <f t="shared" si="0"/>
        <v>11</v>
      </c>
      <c r="K4" s="67">
        <f t="shared" ref="K4:K7" si="2">IF(OR(J4="",J4&lt;0),"",-0.1*IF(ISBLANK(F4),F$1,F4)*J4+L4)</f>
        <v>67.766000000000005</v>
      </c>
      <c r="L4" s="24">
        <f t="shared" si="1"/>
        <v>71</v>
      </c>
      <c r="M4" s="17">
        <f>IF(ISNA(Calculations!N12),"",Calculations!N12)</f>
        <v>70.415801095469547</v>
      </c>
      <c r="N4" s="17">
        <f>IF(Calculations!Z12="","",Calculations!Z12-M4)</f>
        <v>-2.6498010954695417</v>
      </c>
      <c r="O4" s="18">
        <f>IF(OR(Calculations!Z12="",ISNA(Calculations!Y12)),"",Calculations!Y12)</f>
        <v>0.28999999999999998</v>
      </c>
      <c r="P4" s="70" t="str">
        <f t="array" ref="P4">IF(O4="","",INDEX(Calculations!$E$33:$E$41,1+SUM(--(Calculations!K12&gt;Calculations!$C$34:$C$41)),1))</f>
        <v>Average-sized deviation</v>
      </c>
      <c r="Q4" s="31">
        <f>IF($C4="","",INDEX(Tests!G$3:G$499,MATCH($C4,Tests!$J$3:$J$499,0)))</f>
        <v>100</v>
      </c>
      <c r="R4" s="11">
        <f>IF($C4="","",INDEX(Tests!H$3:H$499,MATCH($C4,Tests!$J$3:$J$499,0)))</f>
        <v>15</v>
      </c>
      <c r="S4" s="4">
        <f>Calculations!AB12</f>
        <v>0.96</v>
      </c>
      <c r="T4" s="4" t="str">
        <f>IF($C4="","",INDEX(Tests!C$3:C$499,MATCH($C4,Tests!$J$3:$J$499,0)))</f>
        <v>Wechsler</v>
      </c>
      <c r="Y4" s="7" t="str">
        <v>2. WISC-R (1974)</v>
      </c>
      <c r="Z4" s="21"/>
      <c r="AA4" s="18">
        <v>1</v>
      </c>
      <c r="AB4" s="20">
        <f>IF(Blanks!D3,INDEX(Calculations!$C$88:$V$107,COLUMN(C2),ROW(C2)),INDEX($Z$3:$AS$22,COLUMN(C2),ROW(C2)))</f>
        <v>0.69917339019918845</v>
      </c>
      <c r="AC4" s="20">
        <f>IF(Blanks!E3,INDEX(Calculations!$C$88:$V$107,COLUMN(D2),ROW(D2)),INDEX($Z$3:$AS$22,COLUMN(D2),ROW(D2)))</f>
        <v>0.58314837114186813</v>
      </c>
      <c r="AD4" s="20">
        <f>IF(Blanks!F3,INDEX(Calculations!$C$88:$V$107,COLUMN(E2),ROW(E2)),INDEX($Z$3:$AS$22,COLUMN(E2),ROW(E2)))</f>
        <v>0.68628285339995554</v>
      </c>
      <c r="AE4" s="20" t="str">
        <f>IF(Blanks!G3,INDEX(Calculations!$C$88:$V$107,COLUMN(F2),ROW(F2)),INDEX($Z$3:$AS$22,COLUMN(F2),ROW(F2)))</f>
        <v/>
      </c>
      <c r="AF4" s="20" t="str">
        <f>IF(Blanks!H3,INDEX(Calculations!$C$88:$V$107,COLUMN(G2),ROW(G2)),INDEX($Z$3:$AS$22,COLUMN(G2),ROW(G2)))</f>
        <v/>
      </c>
      <c r="AG4" s="20" t="str">
        <f>IF(Blanks!I3,INDEX(Calculations!$C$88:$V$107,COLUMN(H2),ROW(H2)),INDEX($Z$3:$AS$22,COLUMN(H2),ROW(H2)))</f>
        <v/>
      </c>
      <c r="AH4" s="20" t="str">
        <f>IF(Blanks!J3,INDEX(Calculations!$C$88:$V$107,COLUMN(I2),ROW(I2)),INDEX($Z$3:$AS$22,COLUMN(I2),ROW(I2)))</f>
        <v/>
      </c>
      <c r="AI4" s="20" t="str">
        <f>IF(Blanks!K3,INDEX(Calculations!$C$88:$V$107,COLUMN(J2),ROW(J2)),INDEX($Z$3:$AS$22,COLUMN(J2),ROW(J2)))</f>
        <v/>
      </c>
      <c r="AJ4" s="20" t="str">
        <f>IF(Blanks!L3,INDEX(Calculations!$C$88:$V$107,COLUMN(K2),ROW(K2)),INDEX($Z$3:$AS$22,COLUMN(K2),ROW(K2)))</f>
        <v/>
      </c>
      <c r="AK4" s="20" t="str">
        <f>IF(Blanks!M3,INDEX(Calculations!$C$88:$V$107,COLUMN(L2),ROW(L2)),INDEX($Z$3:$AS$22,COLUMN(L2),ROW(L2)))</f>
        <v/>
      </c>
      <c r="AL4" s="20" t="str">
        <f>IF(Blanks!N3,INDEX(Calculations!$C$88:$V$107,COLUMN(M2),ROW(M2)),INDEX($Z$3:$AS$22,COLUMN(M2),ROW(M2)))</f>
        <v/>
      </c>
      <c r="AM4" s="20" t="str">
        <f>IF(Blanks!O3,INDEX(Calculations!$C$88:$V$107,COLUMN(N2),ROW(N2)),INDEX($Z$3:$AS$22,COLUMN(N2),ROW(N2)))</f>
        <v/>
      </c>
      <c r="AN4" s="20" t="str">
        <f>IF(Blanks!P3,INDEX(Calculations!$C$88:$V$107,COLUMN(O2),ROW(O2)),INDEX($Z$3:$AS$22,COLUMN(O2),ROW(O2)))</f>
        <v/>
      </c>
      <c r="AO4" s="20" t="str">
        <f>IF(Blanks!Q3,INDEX(Calculations!$C$88:$V$107,COLUMN(P2),ROW(P2)),INDEX($Z$3:$AS$22,COLUMN(P2),ROW(P2)))</f>
        <v/>
      </c>
      <c r="AP4" s="20" t="str">
        <f>IF(Blanks!R3,INDEX(Calculations!$C$88:$V$107,COLUMN(Q2),ROW(Q2)),INDEX($Z$3:$AS$22,COLUMN(Q2),ROW(Q2)))</f>
        <v/>
      </c>
      <c r="AQ4" s="20" t="str">
        <f>IF(Blanks!S3,INDEX(Calculations!$C$88:$V$107,COLUMN(R2),ROW(R2)),INDEX($Z$3:$AS$22,COLUMN(R2),ROW(R2)))</f>
        <v/>
      </c>
      <c r="AR4" s="20" t="str">
        <f>IF(Blanks!T3,INDEX(Calculations!$C$88:$V$107,COLUMN(S2),ROW(S2)),INDEX($Z$3:$AS$22,COLUMN(S2),ROW(S2)))</f>
        <v/>
      </c>
      <c r="AS4" s="20" t="str">
        <f>IF(Blanks!U3,INDEX(Calculations!$C$88:$V$107,COLUMN(T2),ROW(T2)),INDEX($Z$3:$AS$22,COLUMN(T2),ROW(T2)))</f>
        <v/>
      </c>
    </row>
    <row r="5" spans="2:45" ht="16.5" customHeight="1" x14ac:dyDescent="0.25">
      <c r="B5" s="39" t="s">
        <v>83</v>
      </c>
      <c r="C5" s="68" t="s">
        <v>231</v>
      </c>
      <c r="D5" s="40">
        <v>73</v>
      </c>
      <c r="E5" s="16">
        <v>1</v>
      </c>
      <c r="F5" s="16"/>
      <c r="G5" s="16">
        <v>30</v>
      </c>
      <c r="H5" s="16">
        <v>2002</v>
      </c>
      <c r="I5" s="18">
        <f>IF($C5="","",MIN(INDEX(Tests!E$3:E$499,MATCH($C5,Tests!$J$3:$J$499,0)),INDEX(Tests!F$3:F$499,MATCH($C5,Tests!$J$3:$J$499,0))))</f>
        <v>1995</v>
      </c>
      <c r="J5" s="19">
        <f t="shared" si="0"/>
        <v>7</v>
      </c>
      <c r="K5" s="67">
        <f t="shared" si="2"/>
        <v>70.942000000000007</v>
      </c>
      <c r="L5" s="24">
        <f t="shared" si="1"/>
        <v>73</v>
      </c>
      <c r="M5" s="17">
        <f>IF(ISNA(Calculations!N13),"",Calculations!N13)</f>
        <v>70.873923384384341</v>
      </c>
      <c r="N5" s="17">
        <f>IF(Calculations!Z13="","",Calculations!Z13-M5)</f>
        <v>6.8076615615666469E-2</v>
      </c>
      <c r="O5" s="18">
        <f>IF(OR(Calculations!Z13="",ISNA(Calculations!Y13)),"",Calculations!Y13)</f>
        <v>7.0000000000000001E-3</v>
      </c>
      <c r="P5" s="70" t="str">
        <f t="array" ref="P5">IF(O5="","",INDEX(Calculations!$E$33:$E$41,1+SUM(--(Calculations!K13&gt;Calculations!$C$34:$C$41)),1))</f>
        <v>Very small deviation</v>
      </c>
      <c r="Q5" s="31">
        <f>IF($C5="","",INDEX(Tests!G$3:G$499,MATCH($C5,Tests!$J$3:$J$499,0)))</f>
        <v>100</v>
      </c>
      <c r="R5" s="11">
        <f>IF($C5="","",INDEX(Tests!H$3:H$499,MATCH($C5,Tests!$J$3:$J$499,0)))</f>
        <v>15</v>
      </c>
      <c r="S5" s="4">
        <f>Calculations!AB13</f>
        <v>0.98</v>
      </c>
      <c r="T5" s="4" t="str">
        <f>IF($C5="","",INDEX(Tests!C$3:C$499,MATCH($C5,Tests!$J$3:$J$499,0)))</f>
        <v>Wechsler</v>
      </c>
      <c r="Y5" s="7" t="str">
        <v>3. WAIS-III (1997)</v>
      </c>
      <c r="Z5" s="21"/>
      <c r="AA5" s="21"/>
      <c r="AB5" s="18">
        <v>1</v>
      </c>
      <c r="AC5" s="20">
        <f>IF(Blanks!E4,INDEX(Calculations!$C$88:$V$107,COLUMN(D3),ROW(D3)),INDEX($Z$3:$AS$22,COLUMN(D3),ROW(D3)))</f>
        <v>0.63567264052860828</v>
      </c>
      <c r="AD5" s="20">
        <f>IF(Blanks!F4,INDEX(Calculations!$C$88:$V$107,COLUMN(E3),ROW(E3)),INDEX($Z$3:$AS$22,COLUMN(E3),ROW(E3)))</f>
        <v>0.72776032724991013</v>
      </c>
      <c r="AE5" s="20" t="str">
        <f>IF(Blanks!G4,INDEX(Calculations!$C$88:$V$107,COLUMN(F3),ROW(F3)),INDEX($Z$3:$AS$22,COLUMN(F3),ROW(F3)))</f>
        <v/>
      </c>
      <c r="AF5" s="20" t="str">
        <f>IF(Blanks!H4,INDEX(Calculations!$C$88:$V$107,COLUMN(G3),ROW(G3)),INDEX($Z$3:$AS$22,COLUMN(G3),ROW(G3)))</f>
        <v/>
      </c>
      <c r="AG5" s="20" t="str">
        <f>IF(Blanks!I4,INDEX(Calculations!$C$88:$V$107,COLUMN(H3),ROW(H3)),INDEX($Z$3:$AS$22,COLUMN(H3),ROW(H3)))</f>
        <v/>
      </c>
      <c r="AH5" s="20" t="str">
        <f>IF(Blanks!J4,INDEX(Calculations!$C$88:$V$107,COLUMN(I3),ROW(I3)),INDEX($Z$3:$AS$22,COLUMN(I3),ROW(I3)))</f>
        <v/>
      </c>
      <c r="AI5" s="20" t="str">
        <f>IF(Blanks!K4,INDEX(Calculations!$C$88:$V$107,COLUMN(J3),ROW(J3)),INDEX($Z$3:$AS$22,COLUMN(J3),ROW(J3)))</f>
        <v/>
      </c>
      <c r="AJ5" s="20" t="str">
        <f>IF(Blanks!L4,INDEX(Calculations!$C$88:$V$107,COLUMN(K3),ROW(K3)),INDEX($Z$3:$AS$22,COLUMN(K3),ROW(K3)))</f>
        <v/>
      </c>
      <c r="AK5" s="20" t="str">
        <f>IF(Blanks!M4,INDEX(Calculations!$C$88:$V$107,COLUMN(L3),ROW(L3)),INDEX($Z$3:$AS$22,COLUMN(L3),ROW(L3)))</f>
        <v/>
      </c>
      <c r="AL5" s="20" t="str">
        <f>IF(Blanks!N4,INDEX(Calculations!$C$88:$V$107,COLUMN(M3),ROW(M3)),INDEX($Z$3:$AS$22,COLUMN(M3),ROW(M3)))</f>
        <v/>
      </c>
      <c r="AM5" s="20" t="str">
        <f>IF(Blanks!O4,INDEX(Calculations!$C$88:$V$107,COLUMN(N3),ROW(N3)),INDEX($Z$3:$AS$22,COLUMN(N3),ROW(N3)))</f>
        <v/>
      </c>
      <c r="AN5" s="20" t="str">
        <f>IF(Blanks!P4,INDEX(Calculations!$C$88:$V$107,COLUMN(O3),ROW(O3)),INDEX($Z$3:$AS$22,COLUMN(O3),ROW(O3)))</f>
        <v/>
      </c>
      <c r="AO5" s="20" t="str">
        <f>IF(Blanks!Q4,INDEX(Calculations!$C$88:$V$107,COLUMN(P3),ROW(P3)),INDEX($Z$3:$AS$22,COLUMN(P3),ROW(P3)))</f>
        <v/>
      </c>
      <c r="AP5" s="20" t="str">
        <f>IF(Blanks!R4,INDEX(Calculations!$C$88:$V$107,COLUMN(Q3),ROW(Q3)),INDEX($Z$3:$AS$22,COLUMN(Q3),ROW(Q3)))</f>
        <v/>
      </c>
      <c r="AQ5" s="20" t="str">
        <f>IF(Blanks!S4,INDEX(Calculations!$C$88:$V$107,COLUMN(R3),ROW(R3)),INDEX($Z$3:$AS$22,COLUMN(R3),ROW(R3)))</f>
        <v/>
      </c>
      <c r="AR5" s="20" t="str">
        <f>IF(Blanks!T4,INDEX(Calculations!$C$88:$V$107,COLUMN(S3),ROW(S3)),INDEX($Z$3:$AS$22,COLUMN(S3),ROW(S3)))</f>
        <v/>
      </c>
      <c r="AS5" s="20" t="str">
        <f>IF(Blanks!U4,INDEX(Calculations!$C$88:$V$107,COLUMN(T3),ROW(T3)),INDEX($Z$3:$AS$22,COLUMN(T3),ROW(T3)))</f>
        <v/>
      </c>
    </row>
    <row r="6" spans="2:45" ht="16.5" customHeight="1" x14ac:dyDescent="0.25">
      <c r="B6" s="39" t="s">
        <v>76</v>
      </c>
      <c r="C6" s="68" t="s">
        <v>217</v>
      </c>
      <c r="D6" s="40">
        <v>81</v>
      </c>
      <c r="E6" s="16">
        <v>1</v>
      </c>
      <c r="F6" s="16"/>
      <c r="G6" s="16">
        <v>45</v>
      </c>
      <c r="H6" s="16">
        <v>2017</v>
      </c>
      <c r="I6" s="18">
        <f>IF($C6="","",MIN(INDEX(Tests!E$3:E$499,MATCH($C6,Tests!$J$3:$J$499,0)),INDEX(Tests!F$3:F$499,MATCH($C6,Tests!$J$3:$J$499,0))))</f>
        <v>2001</v>
      </c>
      <c r="J6" s="19">
        <f t="shared" si="0"/>
        <v>16</v>
      </c>
      <c r="K6" s="67">
        <f t="shared" si="2"/>
        <v>76.296000000000006</v>
      </c>
      <c r="L6" s="24">
        <f t="shared" si="1"/>
        <v>81</v>
      </c>
      <c r="M6" s="17">
        <f>IF(ISNA(Calculations!N14),"",Calculations!N14)</f>
        <v>72.824965909478649</v>
      </c>
      <c r="N6" s="17">
        <f>IF(Calculations!Z14="","",Calculations!Z14-M6)</f>
        <v>3.471034090521357</v>
      </c>
      <c r="O6" s="18">
        <f>IF(OR(Calculations!Z14="",ISNA(Calculations!Y14)),"",Calculations!Y14)</f>
        <v>0.31</v>
      </c>
      <c r="P6" s="70" t="str">
        <f t="array" ref="P6">IF(O6="","",INDEX(Calculations!$E$33:$E$41,1+SUM(--(Calculations!K14&gt;Calculations!$C$34:$C$41)),1))</f>
        <v>Average-sized deviation</v>
      </c>
      <c r="Q6" s="31">
        <f>IF($C6="","",INDEX(Tests!G$3:G$499,MATCH($C6,Tests!$J$3:$J$499,0)))</f>
        <v>100</v>
      </c>
      <c r="R6" s="11">
        <f>IF($C6="","",INDEX(Tests!H$3:H$499,MATCH($C6,Tests!$J$3:$J$499,0)))</f>
        <v>15</v>
      </c>
      <c r="S6" s="4">
        <f>Calculations!AB14</f>
        <v>0.98</v>
      </c>
      <c r="T6" s="4" t="str">
        <f>IF($C6="","",INDEX(Tests!C$3:C$499,MATCH($C6,Tests!$J$3:$J$499,0)))</f>
        <v>Stanford-Binet</v>
      </c>
      <c r="Y6" s="7" t="str">
        <v>4. SB5 (2003)</v>
      </c>
      <c r="Z6" s="21"/>
      <c r="AA6" s="21"/>
      <c r="AB6" s="21"/>
      <c r="AC6" s="18">
        <v>1</v>
      </c>
      <c r="AD6" s="20">
        <f>IF(Blanks!F5,INDEX(Calculations!$C$88:$V$107,COLUMN(E4),ROW(E4)),INDEX($Z$3:$AS$22,COLUMN(E4),ROW(E4)))</f>
        <v>0.70699525843349376</v>
      </c>
      <c r="AE6" s="20" t="str">
        <f>IF(Blanks!G5,INDEX(Calculations!$C$88:$V$107,COLUMN(F4),ROW(F4)),INDEX($Z$3:$AS$22,COLUMN(F4),ROW(F4)))</f>
        <v/>
      </c>
      <c r="AF6" s="20" t="str">
        <f>IF(Blanks!H5,INDEX(Calculations!$C$88:$V$107,COLUMN(G4),ROW(G4)),INDEX($Z$3:$AS$22,COLUMN(G4),ROW(G4)))</f>
        <v/>
      </c>
      <c r="AG6" s="20" t="str">
        <f>IF(Blanks!I5,INDEX(Calculations!$C$88:$V$107,COLUMN(H4),ROW(H4)),INDEX($Z$3:$AS$22,COLUMN(H4),ROW(H4)))</f>
        <v/>
      </c>
      <c r="AH6" s="20" t="str">
        <f>IF(Blanks!J5,INDEX(Calculations!$C$88:$V$107,COLUMN(I4),ROW(I4)),INDEX($Z$3:$AS$22,COLUMN(I4),ROW(I4)))</f>
        <v/>
      </c>
      <c r="AI6" s="20" t="str">
        <f>IF(Blanks!K5,INDEX(Calculations!$C$88:$V$107,COLUMN(J4),ROW(J4)),INDEX($Z$3:$AS$22,COLUMN(J4),ROW(J4)))</f>
        <v/>
      </c>
      <c r="AJ6" s="20" t="str">
        <f>IF(Blanks!L5,INDEX(Calculations!$C$88:$V$107,COLUMN(K4),ROW(K4)),INDEX($Z$3:$AS$22,COLUMN(K4),ROW(K4)))</f>
        <v/>
      </c>
      <c r="AK6" s="20" t="str">
        <f>IF(Blanks!M5,INDEX(Calculations!$C$88:$V$107,COLUMN(L4),ROW(L4)),INDEX($Z$3:$AS$22,COLUMN(L4),ROW(L4)))</f>
        <v/>
      </c>
      <c r="AL6" s="20" t="str">
        <f>IF(Blanks!N5,INDEX(Calculations!$C$88:$V$107,COLUMN(M4),ROW(M4)),INDEX($Z$3:$AS$22,COLUMN(M4),ROW(M4)))</f>
        <v/>
      </c>
      <c r="AM6" s="20" t="str">
        <f>IF(Blanks!O5,INDEX(Calculations!$C$88:$V$107,COLUMN(N4),ROW(N4)),INDEX($Z$3:$AS$22,COLUMN(N4),ROW(N4)))</f>
        <v/>
      </c>
      <c r="AN6" s="20" t="str">
        <f>IF(Blanks!P5,INDEX(Calculations!$C$88:$V$107,COLUMN(O4),ROW(O4)),INDEX($Z$3:$AS$22,COLUMN(O4),ROW(O4)))</f>
        <v/>
      </c>
      <c r="AO6" s="20" t="str">
        <f>IF(Blanks!Q5,INDEX(Calculations!$C$88:$V$107,COLUMN(P4),ROW(P4)),INDEX($Z$3:$AS$22,COLUMN(P4),ROW(P4)))</f>
        <v/>
      </c>
      <c r="AP6" s="20" t="str">
        <f>IF(Blanks!R5,INDEX(Calculations!$C$88:$V$107,COLUMN(Q4),ROW(Q4)),INDEX($Z$3:$AS$22,COLUMN(Q4),ROW(Q4)))</f>
        <v/>
      </c>
      <c r="AQ6" s="20" t="str">
        <f>IF(Blanks!S5,INDEX(Calculations!$C$88:$V$107,COLUMN(R4),ROW(R4)),INDEX($Z$3:$AS$22,COLUMN(R4),ROW(R4)))</f>
        <v/>
      </c>
      <c r="AR6" s="20" t="str">
        <f>IF(Blanks!T5,INDEX(Calculations!$C$88:$V$107,COLUMN(S4),ROW(S4)),INDEX($Z$3:$AS$22,COLUMN(S4),ROW(S4)))</f>
        <v/>
      </c>
      <c r="AS6" s="20" t="str">
        <f>IF(Blanks!U5,INDEX(Calculations!$C$88:$V$107,COLUMN(T4),ROW(T4)),INDEX($Z$3:$AS$22,COLUMN(T4),ROW(T4)))</f>
        <v/>
      </c>
    </row>
    <row r="7" spans="2:45" ht="16.5" customHeight="1" x14ac:dyDescent="0.25">
      <c r="B7" s="39" t="s">
        <v>83</v>
      </c>
      <c r="C7" s="68" t="s">
        <v>218</v>
      </c>
      <c r="D7" s="40">
        <v>68</v>
      </c>
      <c r="E7" s="16">
        <v>1</v>
      </c>
      <c r="F7" s="16">
        <v>1.2</v>
      </c>
      <c r="G7" s="16">
        <v>50</v>
      </c>
      <c r="H7" s="16">
        <v>2022</v>
      </c>
      <c r="I7" s="18">
        <f>IF($C7="","",MIN(INDEX(Tests!E$3:E$499,MATCH($C7,Tests!$J$3:$J$499,0)),INDEX(Tests!F$3:F$499,MATCH($C7,Tests!$J$3:$J$499,0))))</f>
        <v>2007</v>
      </c>
      <c r="J7" s="19">
        <f t="shared" si="0"/>
        <v>15</v>
      </c>
      <c r="K7" s="67">
        <f t="shared" si="2"/>
        <v>66.2</v>
      </c>
      <c r="L7" s="24">
        <f t="shared" si="1"/>
        <v>68</v>
      </c>
      <c r="M7" s="17">
        <f>IF(ISNA(Calculations!N15),"",Calculations!N15)</f>
        <v>70.507396684088789</v>
      </c>
      <c r="N7" s="17">
        <f>IF(Calculations!Z15="","",Calculations!Z15-M7)</f>
        <v>-4.3073966840887863</v>
      </c>
      <c r="O7" s="18">
        <f>IF(OR(Calculations!Z15="",ISNA(Calculations!Y15)),"",Calculations!Y15)</f>
        <v>0.45</v>
      </c>
      <c r="P7" s="70" t="str">
        <f t="array" ref="P7">IF(O7="","",INDEX(Calculations!$E$33:$E$41,1+SUM(--(Calculations!K15&gt;Calculations!$C$34:$C$41)),1))</f>
        <v>Average-sized deviation</v>
      </c>
      <c r="Q7" s="31">
        <f>IF($C7="","",INDEX(Tests!G$3:G$499,MATCH($C7,Tests!$J$3:$J$499,0)))</f>
        <v>100</v>
      </c>
      <c r="R7" s="11">
        <f>IF($C7="","",INDEX(Tests!H$3:H$499,MATCH($C7,Tests!$J$3:$J$499,0)))</f>
        <v>15</v>
      </c>
      <c r="S7" s="4">
        <f>Calculations!AB15</f>
        <v>0.98</v>
      </c>
      <c r="T7" s="4" t="str">
        <f>IF($C7="","",INDEX(Tests!C$3:C$499,MATCH($C7,Tests!$J$3:$J$499,0)))</f>
        <v>Wechsler</v>
      </c>
      <c r="Y7" s="7" t="str">
        <v>5. WAIS-IV (2008)</v>
      </c>
      <c r="Z7" s="21"/>
      <c r="AA7" s="21"/>
      <c r="AB7" s="21"/>
      <c r="AC7" s="21"/>
      <c r="AD7" s="18">
        <v>1</v>
      </c>
      <c r="AE7" s="20" t="str">
        <f>IF(Blanks!G6,INDEX(Calculations!$C$88:$V$107,COLUMN(F5),ROW(F5)),INDEX($Z$3:$AS$22,COLUMN(F5),ROW(F5)))</f>
        <v/>
      </c>
      <c r="AF7" s="20" t="str">
        <f>IF(Blanks!H6,INDEX(Calculations!$C$88:$V$107,COLUMN(G5),ROW(G5)),INDEX($Z$3:$AS$22,COLUMN(G5),ROW(G5)))</f>
        <v/>
      </c>
      <c r="AG7" s="20" t="str">
        <f>IF(Blanks!I6,INDEX(Calculations!$C$88:$V$107,COLUMN(H5),ROW(H5)),INDEX($Z$3:$AS$22,COLUMN(H5),ROW(H5)))</f>
        <v/>
      </c>
      <c r="AH7" s="20" t="str">
        <f>IF(Blanks!J6,INDEX(Calculations!$C$88:$V$107,COLUMN(I5),ROW(I5)),INDEX($Z$3:$AS$22,COLUMN(I5),ROW(I5)))</f>
        <v/>
      </c>
      <c r="AI7" s="20" t="str">
        <f>IF(Blanks!K6,INDEX(Calculations!$C$88:$V$107,COLUMN(J5),ROW(J5)),INDEX($Z$3:$AS$22,COLUMN(J5),ROW(J5)))</f>
        <v/>
      </c>
      <c r="AJ7" s="20" t="str">
        <f>IF(Blanks!L6,INDEX(Calculations!$C$88:$V$107,COLUMN(K5),ROW(K5)),INDEX($Z$3:$AS$22,COLUMN(K5),ROW(K5)))</f>
        <v/>
      </c>
      <c r="AK7" s="20" t="str">
        <f>IF(Blanks!M6,INDEX(Calculations!$C$88:$V$107,COLUMN(L5),ROW(L5)),INDEX($Z$3:$AS$22,COLUMN(L5),ROW(L5)))</f>
        <v/>
      </c>
      <c r="AL7" s="20" t="str">
        <f>IF(Blanks!N6,INDEX(Calculations!$C$88:$V$107,COLUMN(M5),ROW(M5)),INDEX($Z$3:$AS$22,COLUMN(M5),ROW(M5)))</f>
        <v/>
      </c>
      <c r="AM7" s="20" t="str">
        <f>IF(Blanks!O6,INDEX(Calculations!$C$88:$V$107,COLUMN(N5),ROW(N5)),INDEX($Z$3:$AS$22,COLUMN(N5),ROW(N5)))</f>
        <v/>
      </c>
      <c r="AN7" s="20" t="str">
        <f>IF(Blanks!P6,INDEX(Calculations!$C$88:$V$107,COLUMN(O5),ROW(O5)),INDEX($Z$3:$AS$22,COLUMN(O5),ROW(O5)))</f>
        <v/>
      </c>
      <c r="AO7" s="20" t="str">
        <f>IF(Blanks!Q6,INDEX(Calculations!$C$88:$V$107,COLUMN(P5),ROW(P5)),INDEX($Z$3:$AS$22,COLUMN(P5),ROW(P5)))</f>
        <v/>
      </c>
      <c r="AP7" s="20" t="str">
        <f>IF(Blanks!R6,INDEX(Calculations!$C$88:$V$107,COLUMN(Q5),ROW(Q5)),INDEX($Z$3:$AS$22,COLUMN(Q5),ROW(Q5)))</f>
        <v/>
      </c>
      <c r="AQ7" s="20" t="str">
        <f>IF(Blanks!S6,INDEX(Calculations!$C$88:$V$107,COLUMN(R5),ROW(R5)),INDEX($Z$3:$AS$22,COLUMN(R5),ROW(R5)))</f>
        <v/>
      </c>
      <c r="AR7" s="20" t="str">
        <f>IF(Blanks!T6,INDEX(Calculations!$C$88:$V$107,COLUMN(S5),ROW(S5)),INDEX($Z$3:$AS$22,COLUMN(S5),ROW(S5)))</f>
        <v/>
      </c>
      <c r="AS7" s="20" t="str">
        <f>IF(Blanks!U6,INDEX(Calculations!$C$88:$V$107,COLUMN(T5),ROW(T5)),INDEX($Z$3:$AS$22,COLUMN(T5),ROW(T5)))</f>
        <v/>
      </c>
    </row>
    <row r="8" spans="2:45" ht="16.5" customHeight="1" x14ac:dyDescent="0.25">
      <c r="B8" s="30"/>
      <c r="C8" s="30"/>
      <c r="D8" s="40"/>
      <c r="E8" s="16">
        <v>1</v>
      </c>
      <c r="F8" s="16"/>
      <c r="G8" s="16"/>
      <c r="H8" s="16"/>
      <c r="I8" s="18" t="str">
        <f>IF($C8="","",MIN(INDEX(Tests!E$3:E$499,MATCH($C8,Tests!$J$3:$J$499,0)),INDEX(Tests!F$3:F$499,MATCH($C8,Tests!$J$3:$J$499,0))))</f>
        <v/>
      </c>
      <c r="J8" s="19" t="str">
        <f t="shared" si="0"/>
        <v/>
      </c>
      <c r="K8" s="67" t="str">
        <f t="shared" ref="K8:K22" si="3">IF(OR(J8="",J8&lt;0),"",-0.1*F$1*J8+L8)</f>
        <v/>
      </c>
      <c r="L8" s="24" t="str">
        <f t="shared" si="1"/>
        <v/>
      </c>
      <c r="M8" s="17" t="str">
        <f>IF(ISNA(Calculations!N16),"",Calculations!N16)</f>
        <v/>
      </c>
      <c r="N8" s="17" t="str">
        <f>IF(Calculations!Z16="","",Calculations!Z16-M8)</f>
        <v/>
      </c>
      <c r="O8" s="18" t="str">
        <f>IF(OR(Calculations!Z16="",ISNA(Calculations!Y16)),"",Calculations!Y16)</f>
        <v/>
      </c>
      <c r="P8" s="18" t="str">
        <f t="array" ref="P8">IF(O8="","",INDEX(Calculations!$E$33:$E$41,1+SUM(--(Calculations!K16&gt;Calculations!$C$34:$C$41)),1))</f>
        <v/>
      </c>
      <c r="Q8" s="31" t="str">
        <f>IF($C8="","",INDEX(Tests!G$3:G$499,MATCH($C8,Tests!$J$3:$J$499,0)))</f>
        <v/>
      </c>
      <c r="R8" s="11" t="str">
        <f>IF($C8="","",INDEX(Tests!H$3:H$499,MATCH($C8,Tests!$J$3:$J$499,0)))</f>
        <v/>
      </c>
      <c r="S8" s="4" t="str">
        <f>Calculations!AB16</f>
        <v/>
      </c>
      <c r="T8" s="4" t="str">
        <f>IF($C8="","",INDEX(Tests!C$3:C$499,MATCH($C8,Tests!$J$3:$J$499,0)))</f>
        <v/>
      </c>
      <c r="Y8" s="7">
        <v>6</v>
      </c>
      <c r="Z8" s="21"/>
      <c r="AA8" s="21"/>
      <c r="AB8" s="21"/>
      <c r="AC8" s="21"/>
      <c r="AD8" s="21"/>
      <c r="AE8" s="18">
        <v>1</v>
      </c>
      <c r="AF8" s="20" t="str">
        <f>IF(Blanks!H7,INDEX(Calculations!$C$88:$V$107,COLUMN(G6),ROW(G6)),INDEX($Z$3:$AS$22,COLUMN(G6),ROW(G6)))</f>
        <v/>
      </c>
      <c r="AG8" s="20" t="str">
        <f>IF(Blanks!I7,INDEX(Calculations!$C$88:$V$107,COLUMN(H6),ROW(H6)),INDEX($Z$3:$AS$22,COLUMN(H6),ROW(H6)))</f>
        <v/>
      </c>
      <c r="AH8" s="20" t="str">
        <f>IF(Blanks!J7,INDEX(Calculations!$C$88:$V$107,COLUMN(I6),ROW(I6)),INDEX($Z$3:$AS$22,COLUMN(I6),ROW(I6)))</f>
        <v/>
      </c>
      <c r="AI8" s="20" t="str">
        <f>IF(Blanks!K7,INDEX(Calculations!$C$88:$V$107,COLUMN(J6),ROW(J6)),INDEX($Z$3:$AS$22,COLUMN(J6),ROW(J6)))</f>
        <v/>
      </c>
      <c r="AJ8" s="20" t="str">
        <f>IF(Blanks!L7,INDEX(Calculations!$C$88:$V$107,COLUMN(K6),ROW(K6)),INDEX($Z$3:$AS$22,COLUMN(K6),ROW(K6)))</f>
        <v/>
      </c>
      <c r="AK8" s="20" t="str">
        <f>IF(Blanks!M7,INDEX(Calculations!$C$88:$V$107,COLUMN(L6),ROW(L6)),INDEX($Z$3:$AS$22,COLUMN(L6),ROW(L6)))</f>
        <v/>
      </c>
      <c r="AL8" s="20" t="str">
        <f>IF(Blanks!N7,INDEX(Calculations!$C$88:$V$107,COLUMN(M6),ROW(M6)),INDEX($Z$3:$AS$22,COLUMN(M6),ROW(M6)))</f>
        <v/>
      </c>
      <c r="AM8" s="20" t="str">
        <f>IF(Blanks!O7,INDEX(Calculations!$C$88:$V$107,COLUMN(N6),ROW(N6)),INDEX($Z$3:$AS$22,COLUMN(N6),ROW(N6)))</f>
        <v/>
      </c>
      <c r="AN8" s="20" t="str">
        <f>IF(Blanks!P7,INDEX(Calculations!$C$88:$V$107,COLUMN(O6),ROW(O6)),INDEX($Z$3:$AS$22,COLUMN(O6),ROW(O6)))</f>
        <v/>
      </c>
      <c r="AO8" s="20" t="str">
        <f>IF(Blanks!Q7,INDEX(Calculations!$C$88:$V$107,COLUMN(P6),ROW(P6)),INDEX($Z$3:$AS$22,COLUMN(P6),ROW(P6)))</f>
        <v/>
      </c>
      <c r="AP8" s="20" t="str">
        <f>IF(Blanks!R7,INDEX(Calculations!$C$88:$V$107,COLUMN(Q6),ROW(Q6)),INDEX($Z$3:$AS$22,COLUMN(Q6),ROW(Q6)))</f>
        <v/>
      </c>
      <c r="AQ8" s="20" t="str">
        <f>IF(Blanks!S7,INDEX(Calculations!$C$88:$V$107,COLUMN(R6),ROW(R6)),INDEX($Z$3:$AS$22,COLUMN(R6),ROW(R6)))</f>
        <v/>
      </c>
      <c r="AR8" s="20" t="str">
        <f>IF(Blanks!T7,INDEX(Calculations!$C$88:$V$107,COLUMN(S6),ROW(S6)),INDEX($Z$3:$AS$22,COLUMN(S6),ROW(S6)))</f>
        <v/>
      </c>
      <c r="AS8" s="20" t="str">
        <f>IF(Blanks!U7,INDEX(Calculations!$C$88:$V$107,COLUMN(T6),ROW(T6)),INDEX($Z$3:$AS$22,COLUMN(T6),ROW(T6)))</f>
        <v/>
      </c>
    </row>
    <row r="9" spans="2:45" ht="16.5" customHeight="1" x14ac:dyDescent="0.25">
      <c r="B9" s="39"/>
      <c r="C9" s="68"/>
      <c r="D9" s="40"/>
      <c r="E9" s="16">
        <v>1</v>
      </c>
      <c r="F9" s="16"/>
      <c r="G9" s="16"/>
      <c r="H9" s="16"/>
      <c r="I9" s="18" t="str">
        <f>IF($C9="","",INDEX(Tests!E$3:E$499,MATCH($C9,Tests!$J$3:$J$499,0)))</f>
        <v/>
      </c>
      <c r="J9" s="19" t="str">
        <f t="shared" si="0"/>
        <v/>
      </c>
      <c r="K9" s="23" t="str">
        <f t="shared" si="3"/>
        <v/>
      </c>
      <c r="L9" s="24" t="str">
        <f t="shared" si="1"/>
        <v/>
      </c>
      <c r="M9" s="17" t="str">
        <f>IF(ISNA(Calculations!N17),"",Calculations!N17)</f>
        <v/>
      </c>
      <c r="N9" s="17" t="str">
        <f>IF(Calculations!Z17="","",Calculations!Z17-M9)</f>
        <v/>
      </c>
      <c r="O9" s="18" t="str">
        <f>IF(OR(Calculations!Z17="",ISNA(Calculations!Y17)),"",Calculations!Y17)</f>
        <v/>
      </c>
      <c r="P9" s="18" t="str">
        <f t="array" ref="P9">IF(O9="","",INDEX(Calculations!$E$33:$E$41,1+SUM(--(Calculations!K17&gt;Calculations!$C$34:$C$41)),1))</f>
        <v/>
      </c>
      <c r="Q9" s="31" t="str">
        <f>IF($C9="","",INDEX(Tests!G$3:G$499,MATCH($C9,Tests!$J$3:$J$499,0)))</f>
        <v/>
      </c>
      <c r="R9" s="11" t="str">
        <f>IF($C9="","",INDEX(Tests!H$3:H$499,MATCH($C9,Tests!$J$3:$J$499,0)))</f>
        <v/>
      </c>
      <c r="S9" s="4" t="str">
        <f>Calculations!AB17</f>
        <v/>
      </c>
      <c r="T9" s="4" t="str">
        <f>IF($C9="","",INDEX(Tests!C$3:C$499,MATCH($C9,Tests!$J$3:$J$499,0)))</f>
        <v/>
      </c>
      <c r="Y9" s="7">
        <v>7</v>
      </c>
      <c r="Z9" s="21"/>
      <c r="AA9" s="21"/>
      <c r="AB9" s="21"/>
      <c r="AC9" s="21"/>
      <c r="AD9" s="21"/>
      <c r="AE9" s="21"/>
      <c r="AF9" s="18">
        <v>1</v>
      </c>
      <c r="AG9" s="20" t="str">
        <f>IF(Blanks!I8,INDEX(Calculations!$C$88:$V$107,COLUMN(H7),ROW(H7)),INDEX($Z$3:$AS$22,COLUMN(H7),ROW(H7)))</f>
        <v/>
      </c>
      <c r="AH9" s="20" t="str">
        <f>IF(Blanks!J8,INDEX(Calculations!$C$88:$V$107,COLUMN(I7),ROW(I7)),INDEX($Z$3:$AS$22,COLUMN(I7),ROW(I7)))</f>
        <v/>
      </c>
      <c r="AI9" s="20" t="str">
        <f>IF(Blanks!K8,INDEX(Calculations!$C$88:$V$107,COLUMN(J7),ROW(J7)),INDEX($Z$3:$AS$22,COLUMN(J7),ROW(J7)))</f>
        <v/>
      </c>
      <c r="AJ9" s="20" t="str">
        <f>IF(Blanks!L8,INDEX(Calculations!$C$88:$V$107,COLUMN(K7),ROW(K7)),INDEX($Z$3:$AS$22,COLUMN(K7),ROW(K7)))</f>
        <v/>
      </c>
      <c r="AK9" s="20" t="str">
        <f>IF(Blanks!M8,INDEX(Calculations!$C$88:$V$107,COLUMN(L7),ROW(L7)),INDEX($Z$3:$AS$22,COLUMN(L7),ROW(L7)))</f>
        <v/>
      </c>
      <c r="AL9" s="20" t="str">
        <f>IF(Blanks!N8,INDEX(Calculations!$C$88:$V$107,COLUMN(M7),ROW(M7)),INDEX($Z$3:$AS$22,COLUMN(M7),ROW(M7)))</f>
        <v/>
      </c>
      <c r="AM9" s="20" t="str">
        <f>IF(Blanks!O8,INDEX(Calculations!$C$88:$V$107,COLUMN(N7),ROW(N7)),INDEX($Z$3:$AS$22,COLUMN(N7),ROW(N7)))</f>
        <v/>
      </c>
      <c r="AN9" s="20" t="str">
        <f>IF(Blanks!P8,INDEX(Calculations!$C$88:$V$107,COLUMN(O7),ROW(O7)),INDEX($Z$3:$AS$22,COLUMN(O7),ROW(O7)))</f>
        <v/>
      </c>
      <c r="AO9" s="20" t="str">
        <f>IF(Blanks!Q8,INDEX(Calculations!$C$88:$V$107,COLUMN(P7),ROW(P7)),INDEX($Z$3:$AS$22,COLUMN(P7),ROW(P7)))</f>
        <v/>
      </c>
      <c r="AP9" s="20" t="str">
        <f>IF(Blanks!R8,INDEX(Calculations!$C$88:$V$107,COLUMN(Q7),ROW(Q7)),INDEX($Z$3:$AS$22,COLUMN(Q7),ROW(Q7)))</f>
        <v/>
      </c>
      <c r="AQ9" s="20" t="str">
        <f>IF(Blanks!S8,INDEX(Calculations!$C$88:$V$107,COLUMN(R7),ROW(R7)),INDEX($Z$3:$AS$22,COLUMN(R7),ROW(R7)))</f>
        <v/>
      </c>
      <c r="AR9" s="20" t="str">
        <f>IF(Blanks!T8,INDEX(Calculations!$C$88:$V$107,COLUMN(S7),ROW(S7)),INDEX($Z$3:$AS$22,COLUMN(S7),ROW(S7)))</f>
        <v/>
      </c>
      <c r="AS9" s="20" t="str">
        <f>IF(Blanks!U8,INDEX(Calculations!$C$88:$V$107,COLUMN(T7),ROW(T7)),INDEX($Z$3:$AS$22,COLUMN(T7),ROW(T7)))</f>
        <v/>
      </c>
    </row>
    <row r="10" spans="2:45" ht="16.5" customHeight="1" x14ac:dyDescent="0.25">
      <c r="B10" s="39"/>
      <c r="C10" s="68"/>
      <c r="D10" s="40"/>
      <c r="E10" s="16">
        <v>1</v>
      </c>
      <c r="F10" s="16"/>
      <c r="G10" s="16"/>
      <c r="H10" s="16"/>
      <c r="I10" s="18" t="str">
        <f>IF($C10="","",INDEX(Tests!E$3:E$499,MATCH($C10,Tests!$J$3:$J$499,0)))</f>
        <v/>
      </c>
      <c r="J10" s="19" t="str">
        <f t="shared" si="0"/>
        <v/>
      </c>
      <c r="K10" s="23" t="str">
        <f t="shared" si="3"/>
        <v/>
      </c>
      <c r="L10" s="24" t="str">
        <f t="shared" si="1"/>
        <v/>
      </c>
      <c r="M10" s="17" t="str">
        <f>IF(ISNA(Calculations!N18),"",Calculations!N18)</f>
        <v/>
      </c>
      <c r="N10" s="17" t="str">
        <f>IF(Calculations!Z18="","",Calculations!Z18-M10)</f>
        <v/>
      </c>
      <c r="O10" s="18" t="str">
        <f>IF(OR(Calculations!Z18="",ISNA(Calculations!Y18)),"",Calculations!Y18)</f>
        <v/>
      </c>
      <c r="P10" s="18" t="str">
        <f t="array" ref="P10">IF(O10="","",INDEX(Calculations!$E$33:$E$41,1+SUM(--(Calculations!K18&gt;Calculations!$C$34:$C$41)),1))</f>
        <v/>
      </c>
      <c r="Q10" s="31" t="str">
        <f>IF($C10="","",INDEX(Tests!G$3:G$499,MATCH($C10,Tests!$J$3:$J$499,0)))</f>
        <v/>
      </c>
      <c r="R10" s="11" t="str">
        <f>IF($C10="","",INDEX(Tests!H$3:H$499,MATCH($C10,Tests!$J$3:$J$499,0)))</f>
        <v/>
      </c>
      <c r="S10" s="4" t="str">
        <f>Calculations!AB18</f>
        <v/>
      </c>
      <c r="T10" s="4" t="str">
        <f>IF($C10="","",INDEX(Tests!C$3:C$499,MATCH($C10,Tests!$J$3:$J$499,0)))</f>
        <v/>
      </c>
      <c r="Y10" s="7">
        <v>8</v>
      </c>
      <c r="Z10" s="21"/>
      <c r="AA10" s="21"/>
      <c r="AB10" s="21"/>
      <c r="AC10" s="21"/>
      <c r="AD10" s="21"/>
      <c r="AE10" s="21"/>
      <c r="AF10" s="21"/>
      <c r="AG10" s="18">
        <v>1</v>
      </c>
      <c r="AH10" s="20" t="str">
        <f>IF(Blanks!J9,INDEX(Calculations!$C$88:$V$107,COLUMN(I8),ROW(I8)),INDEX($Z$3:$AS$22,COLUMN(I8),ROW(I8)))</f>
        <v/>
      </c>
      <c r="AI10" s="20" t="str">
        <f>IF(Blanks!K9,INDEX(Calculations!$C$88:$V$107,COLUMN(J8),ROW(J8)),INDEX($Z$3:$AS$22,COLUMN(J8),ROW(J8)))</f>
        <v/>
      </c>
      <c r="AJ10" s="20" t="str">
        <f>IF(Blanks!L9,INDEX(Calculations!$C$88:$V$107,COLUMN(K8),ROW(K8)),INDEX($Z$3:$AS$22,COLUMN(K8),ROW(K8)))</f>
        <v/>
      </c>
      <c r="AK10" s="20" t="str">
        <f>IF(Blanks!M9,INDEX(Calculations!$C$88:$V$107,COLUMN(L8),ROW(L8)),INDEX($Z$3:$AS$22,COLUMN(L8),ROW(L8)))</f>
        <v/>
      </c>
      <c r="AL10" s="20" t="str">
        <f>IF(Blanks!N9,INDEX(Calculations!$C$88:$V$107,COLUMN(M8),ROW(M8)),INDEX($Z$3:$AS$22,COLUMN(M8),ROW(M8)))</f>
        <v/>
      </c>
      <c r="AM10" s="20" t="str">
        <f>IF(Blanks!O9,INDEX(Calculations!$C$88:$V$107,COLUMN(N8),ROW(N8)),INDEX($Z$3:$AS$22,COLUMN(N8),ROW(N8)))</f>
        <v/>
      </c>
      <c r="AN10" s="20" t="str">
        <f>IF(Blanks!P9,INDEX(Calculations!$C$88:$V$107,COLUMN(O8),ROW(O8)),INDEX($Z$3:$AS$22,COLUMN(O8),ROW(O8)))</f>
        <v/>
      </c>
      <c r="AO10" s="20" t="str">
        <f>IF(Blanks!Q9,INDEX(Calculations!$C$88:$V$107,COLUMN(P8),ROW(P8)),INDEX($Z$3:$AS$22,COLUMN(P8),ROW(P8)))</f>
        <v/>
      </c>
      <c r="AP10" s="20" t="str">
        <f>IF(Blanks!R9,INDEX(Calculations!$C$88:$V$107,COLUMN(Q8),ROW(Q8)),INDEX($Z$3:$AS$22,COLUMN(Q8),ROW(Q8)))</f>
        <v/>
      </c>
      <c r="AQ10" s="20" t="str">
        <f>IF(Blanks!S9,INDEX(Calculations!$C$88:$V$107,COLUMN(R8),ROW(R8)),INDEX($Z$3:$AS$22,COLUMN(R8),ROW(R8)))</f>
        <v/>
      </c>
      <c r="AR10" s="20" t="str">
        <f>IF(Blanks!T9,INDEX(Calculations!$C$88:$V$107,COLUMN(S8),ROW(S8)),INDEX($Z$3:$AS$22,COLUMN(S8),ROW(S8)))</f>
        <v/>
      </c>
      <c r="AS10" s="20" t="str">
        <f>IF(Blanks!U9,INDEX(Calculations!$C$88:$V$107,COLUMN(T8),ROW(T8)),INDEX($Z$3:$AS$22,COLUMN(T8),ROW(T8)))</f>
        <v/>
      </c>
    </row>
    <row r="11" spans="2:45" ht="16.5" customHeight="1" x14ac:dyDescent="0.25">
      <c r="B11" s="39"/>
      <c r="C11" s="68"/>
      <c r="D11" s="40"/>
      <c r="E11" s="16">
        <v>1</v>
      </c>
      <c r="F11" s="16"/>
      <c r="G11" s="16"/>
      <c r="H11" s="16"/>
      <c r="I11" s="18" t="str">
        <f>IF($C11="","",INDEX(Tests!E$3:E$499,MATCH($C11,Tests!$J$3:$J$499,0)))</f>
        <v/>
      </c>
      <c r="J11" s="19" t="str">
        <f t="shared" si="0"/>
        <v/>
      </c>
      <c r="K11" s="23" t="str">
        <f t="shared" si="3"/>
        <v/>
      </c>
      <c r="L11" s="24" t="str">
        <f t="shared" si="1"/>
        <v/>
      </c>
      <c r="M11" s="17" t="str">
        <f>IF(ISNA(Calculations!N19),"",Calculations!N19)</f>
        <v/>
      </c>
      <c r="N11" s="17" t="str">
        <f>IF(Calculations!Z19="","",Calculations!Z19-M11)</f>
        <v/>
      </c>
      <c r="O11" s="18" t="str">
        <f>IF(OR(Calculations!Z19="",ISNA(Calculations!Y19)),"",Calculations!Y19)</f>
        <v/>
      </c>
      <c r="P11" s="18" t="str">
        <f t="array" ref="P11">IF(O11="","",INDEX(Calculations!$E$33:$E$41,1+SUM(--(Calculations!K19&gt;Calculations!$C$34:$C$41)),1))</f>
        <v/>
      </c>
      <c r="Q11" s="31" t="str">
        <f>IF($C11="","",INDEX(Tests!G$3:G$499,MATCH($C11,Tests!$J$3:$J$499,0)))</f>
        <v/>
      </c>
      <c r="R11" s="11" t="str">
        <f>IF($C11="","",INDEX(Tests!H$3:H$499,MATCH($C11,Tests!$J$3:$J$499,0)))</f>
        <v/>
      </c>
      <c r="S11" s="4" t="str">
        <f>Calculations!AB19</f>
        <v/>
      </c>
      <c r="T11" s="4" t="str">
        <f>IF($C11="","",INDEX(Tests!C$3:C$499,MATCH($C11,Tests!$J$3:$J$499,0)))</f>
        <v/>
      </c>
      <c r="Y11" s="7">
        <v>9</v>
      </c>
      <c r="Z11" s="21"/>
      <c r="AA11" s="21"/>
      <c r="AB11" s="21"/>
      <c r="AC11" s="21"/>
      <c r="AD11" s="21"/>
      <c r="AE11" s="21"/>
      <c r="AF11" s="21"/>
      <c r="AG11" s="21"/>
      <c r="AH11" s="18">
        <v>1</v>
      </c>
      <c r="AI11" s="20" t="str">
        <f>IF(Blanks!K10,INDEX(Calculations!$C$88:$V$107,COLUMN(J9),ROW(J9)),INDEX($Z$3:$AS$22,COLUMN(J9),ROW(J9)))</f>
        <v/>
      </c>
      <c r="AJ11" s="20" t="str">
        <f>IF(Blanks!L10,INDEX(Calculations!$C$88:$V$107,COLUMN(K9),ROW(K9)),INDEX($Z$3:$AS$22,COLUMN(K9),ROW(K9)))</f>
        <v/>
      </c>
      <c r="AK11" s="20" t="str">
        <f>IF(Blanks!M10,INDEX(Calculations!$C$88:$V$107,COLUMN(L9),ROW(L9)),INDEX($Z$3:$AS$22,COLUMN(L9),ROW(L9)))</f>
        <v/>
      </c>
      <c r="AL11" s="20" t="str">
        <f>IF(Blanks!N10,INDEX(Calculations!$C$88:$V$107,COLUMN(M9),ROW(M9)),INDEX($Z$3:$AS$22,COLUMN(M9),ROW(M9)))</f>
        <v/>
      </c>
      <c r="AM11" s="20" t="str">
        <f>IF(Blanks!O10,INDEX(Calculations!$C$88:$V$107,COLUMN(N9),ROW(N9)),INDEX($Z$3:$AS$22,COLUMN(N9),ROW(N9)))</f>
        <v/>
      </c>
      <c r="AN11" s="20" t="str">
        <f>IF(Blanks!P10,INDEX(Calculations!$C$88:$V$107,COLUMN(O9),ROW(O9)),INDEX($Z$3:$AS$22,COLUMN(O9),ROW(O9)))</f>
        <v/>
      </c>
      <c r="AO11" s="20" t="str">
        <f>IF(Blanks!Q10,INDEX(Calculations!$C$88:$V$107,COLUMN(P9),ROW(P9)),INDEX($Z$3:$AS$22,COLUMN(P9),ROW(P9)))</f>
        <v/>
      </c>
      <c r="AP11" s="20" t="str">
        <f>IF(Blanks!R10,INDEX(Calculations!$C$88:$V$107,COLUMN(Q9),ROW(Q9)),INDEX($Z$3:$AS$22,COLUMN(Q9),ROW(Q9)))</f>
        <v/>
      </c>
      <c r="AQ11" s="20" t="str">
        <f>IF(Blanks!S10,INDEX(Calculations!$C$88:$V$107,COLUMN(R9),ROW(R9)),INDEX($Z$3:$AS$22,COLUMN(R9),ROW(R9)))</f>
        <v/>
      </c>
      <c r="AR11" s="20" t="str">
        <f>IF(Blanks!T10,INDEX(Calculations!$C$88:$V$107,COLUMN(S9),ROW(S9)),INDEX($Z$3:$AS$22,COLUMN(S9),ROW(S9)))</f>
        <v/>
      </c>
      <c r="AS11" s="20" t="str">
        <f>IF(Blanks!U10,INDEX(Calculations!$C$88:$V$107,COLUMN(T9),ROW(T9)),INDEX($Z$3:$AS$22,COLUMN(T9),ROW(T9)))</f>
        <v/>
      </c>
    </row>
    <row r="12" spans="2:45" ht="16.5" customHeight="1" x14ac:dyDescent="0.25">
      <c r="B12" s="39"/>
      <c r="C12" s="68"/>
      <c r="D12" s="40"/>
      <c r="E12" s="16">
        <v>1</v>
      </c>
      <c r="F12" s="16"/>
      <c r="G12" s="16"/>
      <c r="H12" s="16"/>
      <c r="I12" s="18" t="str">
        <f>IF($C12="","",INDEX(Tests!E$3:E$499,MATCH($C12,Tests!$J$3:$J$499,0)))</f>
        <v/>
      </c>
      <c r="J12" s="19" t="str">
        <f t="shared" si="0"/>
        <v/>
      </c>
      <c r="K12" s="23" t="str">
        <f t="shared" si="3"/>
        <v/>
      </c>
      <c r="L12" s="24" t="str">
        <f t="shared" si="1"/>
        <v/>
      </c>
      <c r="M12" s="17" t="str">
        <f>IF(ISNA(Calculations!N20),"",Calculations!N20)</f>
        <v/>
      </c>
      <c r="N12" s="17" t="str">
        <f>IF(Calculations!Z20="","",Calculations!Z20-M12)</f>
        <v/>
      </c>
      <c r="O12" s="18" t="str">
        <f>IF(OR(Calculations!Z20="",ISNA(Calculations!Y20)),"",Calculations!Y20)</f>
        <v/>
      </c>
      <c r="P12" s="18" t="str">
        <f t="array" ref="P12">IF(O12="","",INDEX(Calculations!$E$33:$E$41,1+SUM(--(Calculations!K20&gt;Calculations!$C$34:$C$41)),1))</f>
        <v/>
      </c>
      <c r="Q12" s="31" t="str">
        <f>IF($C12="","",INDEX(Tests!G$3:G$499,MATCH($C12,Tests!$J$3:$J$499,0)))</f>
        <v/>
      </c>
      <c r="R12" s="11" t="str">
        <f>IF($C12="","",INDEX(Tests!H$3:H$499,MATCH($C12,Tests!$J$3:$J$499,0)))</f>
        <v/>
      </c>
      <c r="S12" s="4" t="str">
        <f>Calculations!AB20</f>
        <v/>
      </c>
      <c r="T12" s="4" t="str">
        <f>IF($C12="","",INDEX(Tests!C$3:C$499,MATCH($C12,Tests!$J$3:$J$499,0)))</f>
        <v/>
      </c>
      <c r="Y12" s="7">
        <v>10</v>
      </c>
      <c r="Z12" s="21"/>
      <c r="AA12" s="21"/>
      <c r="AB12" s="21"/>
      <c r="AC12" s="21"/>
      <c r="AD12" s="21"/>
      <c r="AE12" s="21"/>
      <c r="AF12" s="21"/>
      <c r="AG12" s="21"/>
      <c r="AH12" s="21"/>
      <c r="AI12" s="18">
        <v>1</v>
      </c>
      <c r="AJ12" s="20" t="str">
        <f>IF(Blanks!L11,INDEX(Calculations!$C$88:$V$107,COLUMN(K10),ROW(K10)),INDEX($Z$3:$AS$22,COLUMN(K10),ROW(K10)))</f>
        <v/>
      </c>
      <c r="AK12" s="20" t="str">
        <f>IF(Blanks!M11,INDEX(Calculations!$C$88:$V$107,COLUMN(L10),ROW(L10)),INDEX($Z$3:$AS$22,COLUMN(L10),ROW(L10)))</f>
        <v/>
      </c>
      <c r="AL12" s="20" t="str">
        <f>IF(Blanks!N11,INDEX(Calculations!$C$88:$V$107,COLUMN(M10),ROW(M10)),INDEX($Z$3:$AS$22,COLUMN(M10),ROW(M10)))</f>
        <v/>
      </c>
      <c r="AM12" s="20" t="str">
        <f>IF(Blanks!O11,INDEX(Calculations!$C$88:$V$107,COLUMN(N10),ROW(N10)),INDEX($Z$3:$AS$22,COLUMN(N10),ROW(N10)))</f>
        <v/>
      </c>
      <c r="AN12" s="20" t="str">
        <f>IF(Blanks!P11,INDEX(Calculations!$C$88:$V$107,COLUMN(O10),ROW(O10)),INDEX($Z$3:$AS$22,COLUMN(O10),ROW(O10)))</f>
        <v/>
      </c>
      <c r="AO12" s="20" t="str">
        <f>IF(Blanks!Q11,INDEX(Calculations!$C$88:$V$107,COLUMN(P10),ROW(P10)),INDEX($Z$3:$AS$22,COLUMN(P10),ROW(P10)))</f>
        <v/>
      </c>
      <c r="AP12" s="20" t="str">
        <f>IF(Blanks!R11,INDEX(Calculations!$C$88:$V$107,COLUMN(Q10),ROW(Q10)),INDEX($Z$3:$AS$22,COLUMN(Q10),ROW(Q10)))</f>
        <v/>
      </c>
      <c r="AQ12" s="20" t="str">
        <f>IF(Blanks!S11,INDEX(Calculations!$C$88:$V$107,COLUMN(R10),ROW(R10)),INDEX($Z$3:$AS$22,COLUMN(R10),ROW(R10)))</f>
        <v/>
      </c>
      <c r="AR12" s="20" t="str">
        <f>IF(Blanks!T11,INDEX(Calculations!$C$88:$V$107,COLUMN(S10),ROW(S10)),INDEX($Z$3:$AS$22,COLUMN(S10),ROW(S10)))</f>
        <v/>
      </c>
      <c r="AS12" s="20" t="str">
        <f>IF(Blanks!U11,INDEX(Calculations!$C$88:$V$107,COLUMN(T10),ROW(T10)),INDEX($Z$3:$AS$22,COLUMN(T10),ROW(T10)))</f>
        <v/>
      </c>
    </row>
    <row r="13" spans="2:45" ht="16.5" customHeight="1" x14ac:dyDescent="0.25">
      <c r="B13" s="39"/>
      <c r="C13" s="68"/>
      <c r="D13" s="40"/>
      <c r="E13" s="16">
        <v>1</v>
      </c>
      <c r="F13" s="16"/>
      <c r="G13" s="16"/>
      <c r="H13" s="16"/>
      <c r="I13" s="18" t="str">
        <f>IF($C13="","",INDEX(Tests!E$3:E$499,MATCH($C13,Tests!$J$3:$J$499,0)))</f>
        <v/>
      </c>
      <c r="J13" s="19" t="str">
        <f t="shared" si="0"/>
        <v/>
      </c>
      <c r="K13" s="23" t="str">
        <f t="shared" si="3"/>
        <v/>
      </c>
      <c r="L13" s="24" t="str">
        <f t="shared" si="1"/>
        <v/>
      </c>
      <c r="M13" s="17" t="str">
        <f>IF(ISNA(Calculations!N21),"",Calculations!N21)</f>
        <v/>
      </c>
      <c r="N13" s="17" t="str">
        <f>IF(Calculations!Z21="","",Calculations!Z21-M13)</f>
        <v/>
      </c>
      <c r="O13" s="18" t="str">
        <f>IF(OR(Calculations!Z21="",ISNA(Calculations!Y21)),"",Calculations!Y21)</f>
        <v/>
      </c>
      <c r="P13" s="18" t="str">
        <f t="array" ref="P13">IF(O13="","",INDEX(Calculations!$E$33:$E$41,1+SUM(--(Calculations!K21&gt;Calculations!$C$34:$C$41)),1))</f>
        <v/>
      </c>
      <c r="Q13" s="31" t="str">
        <f>IF($C13="","",INDEX(Tests!G$3:G$499,MATCH($C13,Tests!$J$3:$J$499,0)))</f>
        <v/>
      </c>
      <c r="R13" s="11" t="str">
        <f>IF($C13="","",INDEX(Tests!H$3:H$499,MATCH($C13,Tests!$J$3:$J$499,0)))</f>
        <v/>
      </c>
      <c r="S13" s="4" t="str">
        <f>Calculations!AB21</f>
        <v/>
      </c>
      <c r="T13" s="4" t="str">
        <f>IF($C13="","",INDEX(Tests!C$3:C$499,MATCH($C13,Tests!$J$3:$J$499,0)))</f>
        <v/>
      </c>
      <c r="Y13" s="7">
        <v>11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18">
        <v>1</v>
      </c>
      <c r="AK13" s="20" t="str">
        <f>IF(Blanks!M12,INDEX(Calculations!$C$88:$V$107,COLUMN(L11),ROW(L11)),INDEX($Z$3:$AS$22,COLUMN(L11),ROW(L11)))</f>
        <v/>
      </c>
      <c r="AL13" s="20" t="str">
        <f>IF(Blanks!N12,INDEX(Calculations!$C$88:$V$107,COLUMN(M11),ROW(M11)),INDEX($Z$3:$AS$22,COLUMN(M11),ROW(M11)))</f>
        <v/>
      </c>
      <c r="AM13" s="20" t="str">
        <f>IF(Blanks!O12,INDEX(Calculations!$C$88:$V$107,COLUMN(N11),ROW(N11)),INDEX($Z$3:$AS$22,COLUMN(N11),ROW(N11)))</f>
        <v/>
      </c>
      <c r="AN13" s="20" t="str">
        <f>IF(Blanks!P12,INDEX(Calculations!$C$88:$V$107,COLUMN(O11),ROW(O11)),INDEX($Z$3:$AS$22,COLUMN(O11),ROW(O11)))</f>
        <v/>
      </c>
      <c r="AO13" s="20" t="str">
        <f>IF(Blanks!Q12,INDEX(Calculations!$C$88:$V$107,COLUMN(P11),ROW(P11)),INDEX($Z$3:$AS$22,COLUMN(P11),ROW(P11)))</f>
        <v/>
      </c>
      <c r="AP13" s="20" t="str">
        <f>IF(Blanks!R12,INDEX(Calculations!$C$88:$V$107,COLUMN(Q11),ROW(Q11)),INDEX($Z$3:$AS$22,COLUMN(Q11),ROW(Q11)))</f>
        <v/>
      </c>
      <c r="AQ13" s="20" t="str">
        <f>IF(Blanks!S12,INDEX(Calculations!$C$88:$V$107,COLUMN(R11),ROW(R11)),INDEX($Z$3:$AS$22,COLUMN(R11),ROW(R11)))</f>
        <v/>
      </c>
      <c r="AR13" s="20" t="str">
        <f>IF(Blanks!T12,INDEX(Calculations!$C$88:$V$107,COLUMN(S11),ROW(S11)),INDEX($Z$3:$AS$22,COLUMN(S11),ROW(S11)))</f>
        <v/>
      </c>
      <c r="AS13" s="20" t="str">
        <f>IF(Blanks!U12,INDEX(Calculations!$C$88:$V$107,COLUMN(T11),ROW(T11)),INDEX($Z$3:$AS$22,COLUMN(T11),ROW(T11)))</f>
        <v/>
      </c>
    </row>
    <row r="14" spans="2:45" ht="16.5" customHeight="1" x14ac:dyDescent="0.25">
      <c r="B14" s="39"/>
      <c r="C14" s="68"/>
      <c r="D14" s="40"/>
      <c r="E14" s="16">
        <v>1</v>
      </c>
      <c r="F14" s="16"/>
      <c r="G14" s="16"/>
      <c r="H14" s="16"/>
      <c r="I14" s="18" t="str">
        <f>IF($C14="","",INDEX(Tests!E$3:E$499,MATCH($C14,Tests!$J$3:$J$499,0)))</f>
        <v/>
      </c>
      <c r="J14" s="19" t="str">
        <f t="shared" si="0"/>
        <v/>
      </c>
      <c r="K14" s="23" t="str">
        <f t="shared" si="3"/>
        <v/>
      </c>
      <c r="L14" s="24" t="str">
        <f t="shared" si="1"/>
        <v/>
      </c>
      <c r="M14" s="17" t="str">
        <f>IF(ISNA(Calculations!N22),"",Calculations!N22)</f>
        <v/>
      </c>
      <c r="N14" s="17" t="str">
        <f>IF(Calculations!Z22="","",Calculations!Z22-M14)</f>
        <v/>
      </c>
      <c r="O14" s="18" t="str">
        <f>IF(OR(Calculations!Z22="",ISNA(Calculations!Y22)),"",Calculations!Y22)</f>
        <v/>
      </c>
      <c r="P14" s="18" t="str">
        <f t="array" ref="P14">IF(O14="","",INDEX(Calculations!$E$33:$E$41,1+SUM(--(Calculations!K22&gt;Calculations!$C$34:$C$41)),1))</f>
        <v/>
      </c>
      <c r="Q14" s="31" t="str">
        <f>IF($C14="","",INDEX(Tests!G$3:G$499,MATCH($C14,Tests!$J$3:$J$499,0)))</f>
        <v/>
      </c>
      <c r="R14" s="11" t="str">
        <f>IF($C14="","",INDEX(Tests!H$3:H$499,MATCH($C14,Tests!$J$3:$J$499,0)))</f>
        <v/>
      </c>
      <c r="S14" s="4" t="str">
        <f>Calculations!AB22</f>
        <v/>
      </c>
      <c r="T14" s="4" t="str">
        <f>IF($C14="","",INDEX(Tests!C$3:C$499,MATCH($C14,Tests!$J$3:$J$499,0)))</f>
        <v/>
      </c>
      <c r="Y14" s="7">
        <v>12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18">
        <v>1</v>
      </c>
      <c r="AL14" s="20" t="str">
        <f>IF(Blanks!N13,INDEX(Calculations!$C$88:$V$107,COLUMN(M12),ROW(M12)),INDEX($Z$3:$AS$22,COLUMN(M12),ROW(M12)))</f>
        <v/>
      </c>
      <c r="AM14" s="20" t="str">
        <f>IF(Blanks!O13,INDEX(Calculations!$C$88:$V$107,COLUMN(N12),ROW(N12)),INDEX($Z$3:$AS$22,COLUMN(N12),ROW(N12)))</f>
        <v/>
      </c>
      <c r="AN14" s="20" t="str">
        <f>IF(Blanks!P13,INDEX(Calculations!$C$88:$V$107,COLUMN(O12),ROW(O12)),INDEX($Z$3:$AS$22,COLUMN(O12),ROW(O12)))</f>
        <v/>
      </c>
      <c r="AO14" s="20" t="str">
        <f>IF(Blanks!Q13,INDEX(Calculations!$C$88:$V$107,COLUMN(P12),ROW(P12)),INDEX($Z$3:$AS$22,COLUMN(P12),ROW(P12)))</f>
        <v/>
      </c>
      <c r="AP14" s="20" t="str">
        <f>IF(Blanks!R13,INDEX(Calculations!$C$88:$V$107,COLUMN(Q12),ROW(Q12)),INDEX($Z$3:$AS$22,COLUMN(Q12),ROW(Q12)))</f>
        <v/>
      </c>
      <c r="AQ14" s="20" t="str">
        <f>IF(Blanks!S13,INDEX(Calculations!$C$88:$V$107,COLUMN(R12),ROW(R12)),INDEX($Z$3:$AS$22,COLUMN(R12),ROW(R12)))</f>
        <v/>
      </c>
      <c r="AR14" s="20" t="str">
        <f>IF(Blanks!T13,INDEX(Calculations!$C$88:$V$107,COLUMN(S12),ROW(S12)),INDEX($Z$3:$AS$22,COLUMN(S12),ROW(S12)))</f>
        <v/>
      </c>
      <c r="AS14" s="20" t="str">
        <f>IF(Blanks!U13,INDEX(Calculations!$C$88:$V$107,COLUMN(T12),ROW(T12)),INDEX($Z$3:$AS$22,COLUMN(T12),ROW(T12)))</f>
        <v/>
      </c>
    </row>
    <row r="15" spans="2:45" ht="16.5" customHeight="1" x14ac:dyDescent="0.25">
      <c r="B15" s="39"/>
      <c r="C15" s="68"/>
      <c r="D15" s="40"/>
      <c r="E15" s="16">
        <v>1</v>
      </c>
      <c r="F15" s="16"/>
      <c r="G15" s="16"/>
      <c r="H15" s="16"/>
      <c r="I15" s="18" t="str">
        <f>IF($C15="","",INDEX(Tests!E$3:E$499,MATCH($C15,Tests!$J$3:$J$499,0)))</f>
        <v/>
      </c>
      <c r="J15" s="19" t="str">
        <f t="shared" si="0"/>
        <v/>
      </c>
      <c r="K15" s="23" t="str">
        <f t="shared" si="3"/>
        <v/>
      </c>
      <c r="L15" s="24" t="str">
        <f t="shared" si="1"/>
        <v/>
      </c>
      <c r="M15" s="17" t="str">
        <f>IF(ISNA(Calculations!N23),"",Calculations!N23)</f>
        <v/>
      </c>
      <c r="N15" s="17" t="str">
        <f>IF(Calculations!Z23="","",Calculations!Z23-M15)</f>
        <v/>
      </c>
      <c r="O15" s="18" t="str">
        <f>IF(OR(Calculations!Z23="",ISNA(Calculations!Y23)),"",Calculations!Y23)</f>
        <v/>
      </c>
      <c r="P15" s="18" t="str">
        <f t="array" ref="P15">IF(O15="","",INDEX(Calculations!$E$33:$E$41,1+SUM(--(Calculations!K23&gt;Calculations!$C$34:$C$41)),1))</f>
        <v/>
      </c>
      <c r="Q15" s="31" t="str">
        <f>IF($C15="","",INDEX(Tests!G$3:G$499,MATCH($C15,Tests!$J$3:$J$499,0)))</f>
        <v/>
      </c>
      <c r="R15" s="11" t="str">
        <f>IF($C15="","",INDEX(Tests!H$3:H$499,MATCH($C15,Tests!$J$3:$J$499,0)))</f>
        <v/>
      </c>
      <c r="S15" s="4" t="str">
        <f>Calculations!AB23</f>
        <v/>
      </c>
      <c r="T15" s="4" t="str">
        <f>IF($C15="","",INDEX(Tests!C$3:C$499,MATCH($C15,Tests!$J$3:$J$499,0)))</f>
        <v/>
      </c>
      <c r="Y15" s="7">
        <v>13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18">
        <v>1</v>
      </c>
      <c r="AM15" s="20" t="str">
        <f>IF(Blanks!O14,INDEX(Calculations!$C$88:$V$107,COLUMN(N13),ROW(N13)),INDEX($Z$3:$AS$22,COLUMN(N13),ROW(N13)))</f>
        <v/>
      </c>
      <c r="AN15" s="20" t="str">
        <f>IF(Blanks!P14,INDEX(Calculations!$C$88:$V$107,COLUMN(O13),ROW(O13)),INDEX($Z$3:$AS$22,COLUMN(O13),ROW(O13)))</f>
        <v/>
      </c>
      <c r="AO15" s="20" t="str">
        <f>IF(Blanks!Q14,INDEX(Calculations!$C$88:$V$107,COLUMN(P13),ROW(P13)),INDEX($Z$3:$AS$22,COLUMN(P13),ROW(P13)))</f>
        <v/>
      </c>
      <c r="AP15" s="20" t="str">
        <f>IF(Blanks!R14,INDEX(Calculations!$C$88:$V$107,COLUMN(Q13),ROW(Q13)),INDEX($Z$3:$AS$22,COLUMN(Q13),ROW(Q13)))</f>
        <v/>
      </c>
      <c r="AQ15" s="20" t="str">
        <f>IF(Blanks!S14,INDEX(Calculations!$C$88:$V$107,COLUMN(R13),ROW(R13)),INDEX($Z$3:$AS$22,COLUMN(R13),ROW(R13)))</f>
        <v/>
      </c>
      <c r="AR15" s="20" t="str">
        <f>IF(Blanks!T14,INDEX(Calculations!$C$88:$V$107,COLUMN(S13),ROW(S13)),INDEX($Z$3:$AS$22,COLUMN(S13),ROW(S13)))</f>
        <v/>
      </c>
      <c r="AS15" s="20" t="str">
        <f>IF(Blanks!U14,INDEX(Calculations!$C$88:$V$107,COLUMN(T13),ROW(T13)),INDEX($Z$3:$AS$22,COLUMN(T13),ROW(T13)))</f>
        <v/>
      </c>
    </row>
    <row r="16" spans="2:45" ht="16.5" customHeight="1" x14ac:dyDescent="0.25">
      <c r="B16" s="39"/>
      <c r="C16" s="68"/>
      <c r="D16" s="40"/>
      <c r="E16" s="16">
        <v>1</v>
      </c>
      <c r="F16" s="16"/>
      <c r="G16" s="16"/>
      <c r="H16" s="16"/>
      <c r="I16" s="18" t="str">
        <f>IF($C16="","",INDEX(Tests!E$3:E$499,MATCH($C16,Tests!$J$3:$J$499,0)))</f>
        <v/>
      </c>
      <c r="J16" s="19" t="str">
        <f t="shared" si="0"/>
        <v/>
      </c>
      <c r="K16" s="23" t="str">
        <f t="shared" si="3"/>
        <v/>
      </c>
      <c r="L16" s="24" t="str">
        <f t="shared" si="1"/>
        <v/>
      </c>
      <c r="M16" s="17" t="str">
        <f>IF(ISNA(Calculations!N24),"",Calculations!N24)</f>
        <v/>
      </c>
      <c r="N16" s="17" t="str">
        <f>IF(Calculations!Z24="","",Calculations!Z24-M16)</f>
        <v/>
      </c>
      <c r="O16" s="18" t="str">
        <f>IF(OR(Calculations!Z24="",ISNA(Calculations!Y24)),"",Calculations!Y24)</f>
        <v/>
      </c>
      <c r="P16" s="18" t="str">
        <f t="array" ref="P16">IF(O16="","",INDEX(Calculations!$E$33:$E$41,1+SUM(--(Calculations!K24&gt;Calculations!$C$34:$C$41)),1))</f>
        <v/>
      </c>
      <c r="Q16" s="31" t="str">
        <f>IF($C16="","",INDEX(Tests!G$3:G$499,MATCH($C16,Tests!$J$3:$J$499,0)))</f>
        <v/>
      </c>
      <c r="R16" s="11" t="str">
        <f>IF($C16="","",INDEX(Tests!H$3:H$499,MATCH($C16,Tests!$J$3:$J$499,0)))</f>
        <v/>
      </c>
      <c r="S16" s="4" t="str">
        <f>Calculations!AB24</f>
        <v/>
      </c>
      <c r="T16" s="4" t="str">
        <f>IF($C16="","",INDEX(Tests!C$3:C$499,MATCH($C16,Tests!$J$3:$J$499,0)))</f>
        <v/>
      </c>
      <c r="Y16" s="7">
        <v>14</v>
      </c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18">
        <v>1</v>
      </c>
      <c r="AN16" s="20" t="str">
        <f>IF(Blanks!P15,INDEX(Calculations!$C$88:$V$107,COLUMN(O14),ROW(O14)),INDEX($Z$3:$AS$22,COLUMN(O14),ROW(O14)))</f>
        <v/>
      </c>
      <c r="AO16" s="20" t="str">
        <f>IF(Blanks!Q15,INDEX(Calculations!$C$88:$V$107,COLUMN(P14),ROW(P14)),INDEX($Z$3:$AS$22,COLUMN(P14),ROW(P14)))</f>
        <v/>
      </c>
      <c r="AP16" s="20" t="str">
        <f>IF(Blanks!R15,INDEX(Calculations!$C$88:$V$107,COLUMN(Q14),ROW(Q14)),INDEX($Z$3:$AS$22,COLUMN(Q14),ROW(Q14)))</f>
        <v/>
      </c>
      <c r="AQ16" s="20" t="str">
        <f>IF(Blanks!S15,INDEX(Calculations!$C$88:$V$107,COLUMN(R14),ROW(R14)),INDEX($Z$3:$AS$22,COLUMN(R14),ROW(R14)))</f>
        <v/>
      </c>
      <c r="AR16" s="20" t="str">
        <f>IF(Blanks!T15,INDEX(Calculations!$C$88:$V$107,COLUMN(S14),ROW(S14)),INDEX($Z$3:$AS$22,COLUMN(S14),ROW(S14)))</f>
        <v/>
      </c>
      <c r="AS16" s="20" t="str">
        <f>IF(Blanks!U15,INDEX(Calculations!$C$88:$V$107,COLUMN(T14),ROW(T14)),INDEX($Z$3:$AS$22,COLUMN(T14),ROW(T14)))</f>
        <v/>
      </c>
    </row>
    <row r="17" spans="1:45" ht="16.5" customHeight="1" x14ac:dyDescent="0.25">
      <c r="B17" s="39"/>
      <c r="C17" s="68"/>
      <c r="D17" s="40"/>
      <c r="E17" s="16">
        <v>1</v>
      </c>
      <c r="F17" s="16"/>
      <c r="G17" s="16"/>
      <c r="H17" s="16"/>
      <c r="I17" s="18" t="str">
        <f>IF($C17="","",INDEX(Tests!E$3:E$499,MATCH($C17,Tests!$J$3:$J$499,0)))</f>
        <v/>
      </c>
      <c r="J17" s="19" t="str">
        <f t="shared" si="0"/>
        <v/>
      </c>
      <c r="K17" s="23" t="str">
        <f t="shared" si="3"/>
        <v/>
      </c>
      <c r="L17" s="24" t="str">
        <f t="shared" si="1"/>
        <v/>
      </c>
      <c r="M17" s="17" t="str">
        <f>IF(ISNA(Calculations!N25),"",Calculations!N25)</f>
        <v/>
      </c>
      <c r="N17" s="17" t="str">
        <f>IF(Calculations!Z25="","",Calculations!Z25-M17)</f>
        <v/>
      </c>
      <c r="O17" s="18" t="str">
        <f>IF(OR(Calculations!Z25="",ISNA(Calculations!Y25)),"",Calculations!Y25)</f>
        <v/>
      </c>
      <c r="P17" s="18" t="str">
        <f t="array" ref="P17">IF(O17="","",INDEX(Calculations!$E$33:$E$41,1+SUM(--(Calculations!K25&gt;Calculations!$C$34:$C$41)),1))</f>
        <v/>
      </c>
      <c r="Q17" s="31" t="str">
        <f>IF($C17="","",INDEX(Tests!G$3:G$499,MATCH($C17,Tests!$J$3:$J$499,0)))</f>
        <v/>
      </c>
      <c r="R17" s="11" t="str">
        <f>IF($C17="","",INDEX(Tests!H$3:H$499,MATCH($C17,Tests!$J$3:$J$499,0)))</f>
        <v/>
      </c>
      <c r="S17" s="4" t="str">
        <f>Calculations!AB25</f>
        <v/>
      </c>
      <c r="T17" s="4" t="str">
        <f>IF($C17="","",INDEX(Tests!C$3:C$499,MATCH($C17,Tests!$J$3:$J$499,0)))</f>
        <v/>
      </c>
      <c r="Y17" s="7">
        <v>15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8">
        <v>1</v>
      </c>
      <c r="AO17" s="20" t="str">
        <f>IF(Blanks!Q16,INDEX(Calculations!$C$88:$V$107,COLUMN(P15),ROW(P15)),INDEX($Z$3:$AS$22,COLUMN(P15),ROW(P15)))</f>
        <v/>
      </c>
      <c r="AP17" s="20" t="str">
        <f>IF(Blanks!R16,INDEX(Calculations!$C$88:$V$107,COLUMN(Q15),ROW(Q15)),INDEX($Z$3:$AS$22,COLUMN(Q15),ROW(Q15)))</f>
        <v/>
      </c>
      <c r="AQ17" s="20" t="str">
        <f>IF(Blanks!S16,INDEX(Calculations!$C$88:$V$107,COLUMN(R15),ROW(R15)),INDEX($Z$3:$AS$22,COLUMN(R15),ROW(R15)))</f>
        <v/>
      </c>
      <c r="AR17" s="20" t="str">
        <f>IF(Blanks!T16,INDEX(Calculations!$C$88:$V$107,COLUMN(S15),ROW(S15)),INDEX($Z$3:$AS$22,COLUMN(S15),ROW(S15)))</f>
        <v/>
      </c>
      <c r="AS17" s="20" t="str">
        <f>IF(Blanks!U16,INDEX(Calculations!$C$88:$V$107,COLUMN(T15),ROW(T15)),INDEX($Z$3:$AS$22,COLUMN(T15),ROW(T15)))</f>
        <v/>
      </c>
    </row>
    <row r="18" spans="1:45" ht="16.5" customHeight="1" x14ac:dyDescent="0.25">
      <c r="B18" s="39"/>
      <c r="C18" s="68"/>
      <c r="D18" s="40"/>
      <c r="E18" s="16">
        <v>1</v>
      </c>
      <c r="F18" s="16"/>
      <c r="G18" s="16"/>
      <c r="H18" s="16"/>
      <c r="I18" s="18" t="str">
        <f>IF($C18="","",INDEX(Tests!E$3:E$499,MATCH($C18,Tests!$J$3:$J$499,0)))</f>
        <v/>
      </c>
      <c r="J18" s="19" t="str">
        <f t="shared" si="0"/>
        <v/>
      </c>
      <c r="K18" s="23" t="str">
        <f t="shared" si="3"/>
        <v/>
      </c>
      <c r="L18" s="24" t="str">
        <f t="shared" si="1"/>
        <v/>
      </c>
      <c r="M18" s="17" t="str">
        <f>IF(ISNA(Calculations!N26),"",Calculations!N26)</f>
        <v/>
      </c>
      <c r="N18" s="17" t="str">
        <f>IF(Calculations!Z26="","",Calculations!Z26-M18)</f>
        <v/>
      </c>
      <c r="O18" s="18" t="str">
        <f>IF(OR(Calculations!Z26="",ISNA(Calculations!Y26)),"",Calculations!Y26)</f>
        <v/>
      </c>
      <c r="P18" s="18" t="str">
        <f t="array" ref="P18">IF(O18="","",INDEX(Calculations!$E$33:$E$41,1+SUM(--(Calculations!K26&gt;Calculations!$C$34:$C$41)),1))</f>
        <v/>
      </c>
      <c r="Q18" s="31" t="str">
        <f>IF($C18="","",INDEX(Tests!G$3:G$499,MATCH($C18,Tests!$J$3:$J$499,0)))</f>
        <v/>
      </c>
      <c r="R18" s="11" t="str">
        <f>IF($C18="","",INDEX(Tests!H$3:H$499,MATCH($C18,Tests!$J$3:$J$499,0)))</f>
        <v/>
      </c>
      <c r="S18" s="4" t="str">
        <f>Calculations!AB26</f>
        <v/>
      </c>
      <c r="T18" s="4" t="str">
        <f>IF($C18="","",INDEX(Tests!C$3:C$499,MATCH($C18,Tests!$J$3:$J$499,0)))</f>
        <v/>
      </c>
      <c r="Y18" s="7">
        <v>16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18">
        <v>1</v>
      </c>
      <c r="AP18" s="20" t="str">
        <f>IF(Blanks!R17,INDEX(Calculations!$C$88:$V$107,COLUMN(Q16),ROW(Q16)),INDEX($Z$3:$AS$22,COLUMN(Q16),ROW(Q16)))</f>
        <v/>
      </c>
      <c r="AQ18" s="20" t="str">
        <f>IF(Blanks!S17,INDEX(Calculations!$C$88:$V$107,COLUMN(R16),ROW(R16)),INDEX($Z$3:$AS$22,COLUMN(R16),ROW(R16)))</f>
        <v/>
      </c>
      <c r="AR18" s="20" t="str">
        <f>IF(Blanks!T17,INDEX(Calculations!$C$88:$V$107,COLUMN(S16),ROW(S16)),INDEX($Z$3:$AS$22,COLUMN(S16),ROW(S16)))</f>
        <v/>
      </c>
      <c r="AS18" s="20" t="str">
        <f>IF(Blanks!U17,INDEX(Calculations!$C$88:$V$107,COLUMN(T16),ROW(T16)),INDEX($Z$3:$AS$22,COLUMN(T16),ROW(T16)))</f>
        <v/>
      </c>
    </row>
    <row r="19" spans="1:45" ht="16.5" customHeight="1" x14ac:dyDescent="0.25">
      <c r="B19" s="39"/>
      <c r="C19" s="68"/>
      <c r="D19" s="40"/>
      <c r="E19" s="16">
        <v>1</v>
      </c>
      <c r="F19" s="16"/>
      <c r="G19" s="16"/>
      <c r="H19" s="16"/>
      <c r="I19" s="18" t="str">
        <f>IF($C19="","",INDEX(Tests!E$3:E$499,MATCH($C19,Tests!$J$3:$J$499,0)))</f>
        <v/>
      </c>
      <c r="J19" s="19" t="str">
        <f t="shared" si="0"/>
        <v/>
      </c>
      <c r="K19" s="23" t="str">
        <f t="shared" si="3"/>
        <v/>
      </c>
      <c r="L19" s="24" t="str">
        <f t="shared" si="1"/>
        <v/>
      </c>
      <c r="M19" s="17" t="str">
        <f>IF(ISNA(Calculations!N27),"",Calculations!N27)</f>
        <v/>
      </c>
      <c r="N19" s="17" t="str">
        <f>IF(Calculations!Z27="","",Calculations!Z27-M19)</f>
        <v/>
      </c>
      <c r="O19" s="18" t="str">
        <f>IF(OR(Calculations!Z27="",ISNA(Calculations!Y27)),"",Calculations!Y27)</f>
        <v/>
      </c>
      <c r="P19" s="18" t="str">
        <f t="array" ref="P19">IF(O19="","",INDEX(Calculations!$E$33:$E$41,1+SUM(--(Calculations!K27&gt;Calculations!$C$34:$C$41)),1))</f>
        <v/>
      </c>
      <c r="Q19" s="31" t="str">
        <f>IF($C19="","",INDEX(Tests!G$3:G$499,MATCH($C19,Tests!$J$3:$J$499,0)))</f>
        <v/>
      </c>
      <c r="R19" s="11" t="str">
        <f>IF($C19="","",INDEX(Tests!H$3:H$499,MATCH($C19,Tests!$J$3:$J$499,0)))</f>
        <v/>
      </c>
      <c r="S19" s="4" t="str">
        <f>Calculations!AB27</f>
        <v/>
      </c>
      <c r="T19" s="4" t="str">
        <f>IF($C19="","",INDEX(Tests!C$3:C$499,MATCH($C19,Tests!$J$3:$J$499,0)))</f>
        <v/>
      </c>
      <c r="Y19" s="7">
        <v>17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18">
        <v>1</v>
      </c>
      <c r="AQ19" s="20" t="str">
        <f>IF(Blanks!S18,INDEX(Calculations!$C$88:$V$107,COLUMN(R17),ROW(R17)),INDEX($Z$3:$AS$22,COLUMN(R17),ROW(R17)))</f>
        <v/>
      </c>
      <c r="AR19" s="20" t="str">
        <f>IF(Blanks!T18,INDEX(Calculations!$C$88:$V$107,COLUMN(S17),ROW(S17)),INDEX($Z$3:$AS$22,COLUMN(S17),ROW(S17)))</f>
        <v/>
      </c>
      <c r="AS19" s="20" t="str">
        <f>IF(Blanks!U18,INDEX(Calculations!$C$88:$V$107,COLUMN(T17),ROW(T17)),INDEX($Z$3:$AS$22,COLUMN(T17),ROW(T17)))</f>
        <v/>
      </c>
    </row>
    <row r="20" spans="1:45" ht="16.5" customHeight="1" x14ac:dyDescent="0.25">
      <c r="B20" s="39"/>
      <c r="C20" s="68"/>
      <c r="D20" s="40"/>
      <c r="E20" s="16">
        <v>1</v>
      </c>
      <c r="F20" s="16"/>
      <c r="G20" s="16"/>
      <c r="H20" s="16"/>
      <c r="I20" s="18" t="str">
        <f>IF($C20="","",INDEX(Tests!E$3:E$499,MATCH($C20,Tests!$J$3:$J$499,0)))</f>
        <v/>
      </c>
      <c r="J20" s="19" t="str">
        <f t="shared" si="0"/>
        <v/>
      </c>
      <c r="K20" s="23" t="str">
        <f t="shared" si="3"/>
        <v/>
      </c>
      <c r="L20" s="24" t="str">
        <f t="shared" si="1"/>
        <v/>
      </c>
      <c r="M20" s="17" t="str">
        <f>IF(ISNA(Calculations!N28),"",Calculations!N28)</f>
        <v/>
      </c>
      <c r="N20" s="17" t="str">
        <f>IF(Calculations!Z28="","",Calculations!Z28-M20)</f>
        <v/>
      </c>
      <c r="O20" s="18" t="str">
        <f>IF(OR(Calculations!Z28="",ISNA(Calculations!Y28)),"",Calculations!Y28)</f>
        <v/>
      </c>
      <c r="P20" s="18" t="str">
        <f t="array" ref="P20">IF(O20="","",INDEX(Calculations!$E$33:$E$41,1+SUM(--(Calculations!K28&gt;Calculations!$C$34:$C$41)),1))</f>
        <v/>
      </c>
      <c r="Q20" s="31" t="str">
        <f>IF($C20="","",INDEX(Tests!G$3:G$499,MATCH($C20,Tests!$J$3:$J$499,0)))</f>
        <v/>
      </c>
      <c r="R20" s="11" t="str">
        <f>IF($C20="","",INDEX(Tests!H$3:H$499,MATCH($C20,Tests!$J$3:$J$499,0)))</f>
        <v/>
      </c>
      <c r="S20" s="4" t="str">
        <f>Calculations!AB28</f>
        <v/>
      </c>
      <c r="T20" s="4" t="str">
        <f>IF($C20="","",INDEX(Tests!C$3:C$499,MATCH($C20,Tests!$J$3:$J$499,0)))</f>
        <v/>
      </c>
      <c r="Y20" s="7">
        <v>18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18">
        <v>1</v>
      </c>
      <c r="AR20" s="20" t="str">
        <f>IF(Blanks!T19,INDEX(Calculations!$C$88:$V$107,COLUMN(S18),ROW(S18)),INDEX($Z$3:$AS$22,COLUMN(S18),ROW(S18)))</f>
        <v/>
      </c>
      <c r="AS20" s="20" t="str">
        <f>IF(Blanks!U19,INDEX(Calculations!$C$88:$V$107,COLUMN(T18),ROW(T18)),INDEX($Z$3:$AS$22,COLUMN(T18),ROW(T18)))</f>
        <v/>
      </c>
    </row>
    <row r="21" spans="1:45" ht="16.5" customHeight="1" x14ac:dyDescent="0.25">
      <c r="B21" s="39"/>
      <c r="C21" s="68"/>
      <c r="D21" s="40"/>
      <c r="E21" s="16">
        <v>1</v>
      </c>
      <c r="F21" s="16"/>
      <c r="G21" s="16"/>
      <c r="H21" s="16"/>
      <c r="I21" s="18" t="str">
        <f>IF($C21="","",INDEX(Tests!E$3:E$499,MATCH($C21,Tests!$J$3:$J$499,0)))</f>
        <v/>
      </c>
      <c r="J21" s="19" t="str">
        <f t="shared" si="0"/>
        <v/>
      </c>
      <c r="K21" s="23" t="str">
        <f t="shared" si="3"/>
        <v/>
      </c>
      <c r="L21" s="24" t="str">
        <f t="shared" si="1"/>
        <v/>
      </c>
      <c r="M21" s="17" t="str">
        <f>IF(ISNA(Calculations!N29),"",Calculations!N29)</f>
        <v/>
      </c>
      <c r="N21" s="17" t="str">
        <f>IF(Calculations!Z29="","",Calculations!Z29-M21)</f>
        <v/>
      </c>
      <c r="O21" s="18" t="str">
        <f>IF(OR(Calculations!Z29="",ISNA(Calculations!Y29)),"",Calculations!Y29)</f>
        <v/>
      </c>
      <c r="P21" s="18" t="str">
        <f t="array" ref="P21">IF(O21="","",INDEX(Calculations!$E$33:$E$41,1+SUM(--(Calculations!K29&gt;Calculations!$C$34:$C$41)),1))</f>
        <v/>
      </c>
      <c r="Q21" s="31" t="str">
        <f>IF($C21="","",INDEX(Tests!G$3:G$499,MATCH($C21,Tests!$J$3:$J$499,0)))</f>
        <v/>
      </c>
      <c r="R21" s="11" t="str">
        <f>IF($C21="","",INDEX(Tests!H$3:H$499,MATCH($C21,Tests!$J$3:$J$499,0)))</f>
        <v/>
      </c>
      <c r="S21" s="4" t="str">
        <f>Calculations!AB29</f>
        <v/>
      </c>
      <c r="T21" s="4" t="str">
        <f>IF($C21="","",INDEX(Tests!C$3:C$499,MATCH($C21,Tests!$J$3:$J$499,0)))</f>
        <v/>
      </c>
      <c r="Y21" s="7">
        <v>19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0">
        <v>1</v>
      </c>
      <c r="AS21" s="20" t="str">
        <f>IF(Blanks!U20,INDEX(Calculations!$C$88:$V$107,COLUMN(T19),ROW(T19)),INDEX($Z$3:$AS$22,COLUMN(T19),ROW(T19)))</f>
        <v/>
      </c>
    </row>
    <row r="22" spans="1:45" ht="16.5" customHeight="1" x14ac:dyDescent="0.25">
      <c r="B22" s="39"/>
      <c r="C22" s="68"/>
      <c r="D22" s="40"/>
      <c r="E22" s="16">
        <v>1</v>
      </c>
      <c r="F22" s="16"/>
      <c r="G22" s="16"/>
      <c r="H22" s="16"/>
      <c r="I22" s="18" t="str">
        <f>IF($C22="","",INDEX(Tests!E$3:E$499,MATCH($C22,Tests!$J$3:$J$499,0)))</f>
        <v/>
      </c>
      <c r="J22" s="19" t="str">
        <f t="shared" si="0"/>
        <v/>
      </c>
      <c r="K22" s="23" t="str">
        <f t="shared" si="3"/>
        <v/>
      </c>
      <c r="L22" s="24" t="str">
        <f t="shared" si="1"/>
        <v/>
      </c>
      <c r="M22" s="17" t="str">
        <f>IF(ISNA(Calculations!N30),"",Calculations!N30)</f>
        <v/>
      </c>
      <c r="N22" s="17" t="str">
        <f>IF(Calculations!Z30="","",Calculations!Z30-M22)</f>
        <v/>
      </c>
      <c r="O22" s="18" t="str">
        <f>IF(OR(Calculations!Z30="",ISNA(Calculations!Y30)),"",Calculations!Y30)</f>
        <v/>
      </c>
      <c r="P22" s="18" t="str">
        <f t="array" ref="P22">IF(O22="","",INDEX(Calculations!$E$33:$E$41,1+SUM(--(Calculations!K30&gt;Calculations!$C$34:$C$41)),1))</f>
        <v/>
      </c>
      <c r="Q22" s="31" t="str">
        <f>IF($C22="","",INDEX(Tests!G$3:G$499,MATCH($C22,Tests!$J$3:$J$499,0)))</f>
        <v/>
      </c>
      <c r="R22" s="11" t="str">
        <f>IF($C22="","",INDEX(Tests!H$3:H$499,MATCH($C22,Tests!$J$3:$J$499,0)))</f>
        <v/>
      </c>
      <c r="S22" s="4" t="str">
        <f>Calculations!AB30</f>
        <v/>
      </c>
      <c r="T22" s="4" t="str">
        <f>IF($C22="","",INDEX(Tests!C$3:C$499,MATCH($C22,Tests!$J$3:$J$499,0)))</f>
        <v/>
      </c>
      <c r="Y22" s="7">
        <v>20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0">
        <v>1</v>
      </c>
    </row>
    <row r="23" spans="1:45" ht="16.5" customHeight="1" x14ac:dyDescent="0.25"/>
    <row r="24" spans="1:45" ht="16.5" customHeight="1" x14ac:dyDescent="0.25">
      <c r="C24" s="65" t="str">
        <f>IF(Calculations!AC10+Blanks!A69&gt;0,"Warning! These calculations are at least partly based on estimated reliability coefficients and/or correlations.","")</f>
        <v>Warning! These calculations are at least partly based on estimated reliability coefficients and/or correlations.</v>
      </c>
    </row>
    <row r="25" spans="1:45" ht="16.5" customHeight="1" x14ac:dyDescent="0.25">
      <c r="B25" s="1"/>
      <c r="C25" s="63" t="s">
        <v>43</v>
      </c>
      <c r="D25" s="80" t="s">
        <v>174</v>
      </c>
      <c r="E25" s="80"/>
      <c r="F25" s="1"/>
    </row>
    <row r="26" spans="1:45" ht="16.5" customHeight="1" x14ac:dyDescent="0.25">
      <c r="A26" s="69" t="b">
        <v>1</v>
      </c>
      <c r="B26" s="7" t="s">
        <v>169</v>
      </c>
      <c r="C26" s="2">
        <f t="array" ref="C26">15*MMULT(TRANSPOSE(--Calculations!A11:A30),--Calculations!S11:S30)/SQRT(MMULT(MMULT(TRANSPOSE(--Calculations!A11:A30),--Calculations!A44:T63),--Calculations!A11:A30))+100</f>
        <v>66.476018320026895</v>
      </c>
      <c r="D26" s="81">
        <f>Calculations!C2</f>
        <v>0.01</v>
      </c>
      <c r="E26" s="82"/>
      <c r="F26" s="3" t="str">
        <f t="array" ref="F26">INDEX(Calculations!F33:F41,1+SUM(--(Calculations!$B$2&gt;Calculations!C34:C41)),1)</f>
        <v>Very Low</v>
      </c>
    </row>
    <row r="27" spans="1:45" ht="16.5" customHeight="1" x14ac:dyDescent="0.25">
      <c r="B27" s="7" t="s">
        <v>61</v>
      </c>
      <c r="C27" s="4">
        <f t="array" ref="C27">SQRT(ABS(MMULT(MMULT(TRANSPOSE(--Calculations!X11:X30),MINVERSE(--Calculations!A65:T84)),--Calculations!X11:X30)))</f>
        <v>1.0116552462054835</v>
      </c>
      <c r="D27" s="81">
        <f>Calculations!C3</f>
        <v>0.09</v>
      </c>
      <c r="E27" s="82"/>
      <c r="F27" s="6" t="str">
        <f t="array" ref="F27">IF(D27="","",INDEX(Calculations!D33:D41,1+SUM(--(Calculations!$B$3&gt;Calculations!C34:C41)),1)&amp;" (after controlling for overall composite score)")</f>
        <v>Small deviations from expectations (after controlling for overall composite score)</v>
      </c>
      <c r="H27" s="1"/>
      <c r="P27" s="6"/>
    </row>
    <row r="28" spans="1:45" ht="16.5" customHeight="1" x14ac:dyDescent="0.25">
      <c r="B28" s="7" t="s">
        <v>60</v>
      </c>
      <c r="C28" s="4">
        <f t="array" ref="C28">SQRT(ABS(MMULT(MMULT(TRANSPOSE(--Calculations!S11:S30),MINVERSE(---Calculations!A65:T84)),--Calculations!S11:S30)))</f>
        <v>2.4532362059972614</v>
      </c>
      <c r="D28" s="81">
        <f>Calculations!C4</f>
        <v>0.7</v>
      </c>
      <c r="E28" s="82"/>
      <c r="F28" s="6" t="str">
        <f t="array" ref="F28">INDEX(Calculations!D33:D41,1+SUM(--(Calculations!$B$4&gt;Calculations!C34:C41)),1)&amp;" (without controlling for overall composite)"</f>
        <v>Average-sized deviations from expectations (without controlling for overall composite)</v>
      </c>
      <c r="H28" s="1"/>
      <c r="P28" s="6"/>
    </row>
    <row r="29" spans="1:45" ht="16.5" customHeight="1" x14ac:dyDescent="0.25">
      <c r="B29" s="7" t="s">
        <v>5</v>
      </c>
      <c r="C29" s="11">
        <f>COUNT(Calculations!Z11:Z30)</f>
        <v>5</v>
      </c>
      <c r="E29" s="1"/>
      <c r="F29" s="1"/>
      <c r="H29" s="1"/>
      <c r="P29" s="6"/>
      <c r="R29" s="6"/>
      <c r="S29" s="6"/>
      <c r="T29" s="6"/>
      <c r="U29" s="6"/>
      <c r="V29" s="6"/>
      <c r="W29" s="6"/>
    </row>
    <row r="30" spans="1:45" ht="16.5" customHeight="1" x14ac:dyDescent="0.25">
      <c r="B30" s="59" t="s">
        <v>192</v>
      </c>
      <c r="C30" s="11">
        <f>Calculations!C7</f>
        <v>0.99199999999999999</v>
      </c>
      <c r="E30" s="1"/>
      <c r="F30" s="1"/>
      <c r="H30" s="1"/>
      <c r="P30" s="6"/>
      <c r="R30" s="6"/>
      <c r="S30" s="6"/>
      <c r="T30" s="6"/>
      <c r="U30" s="6"/>
      <c r="V30" s="6"/>
      <c r="W30" s="6"/>
    </row>
    <row r="31" spans="1:45" ht="16.5" customHeight="1" x14ac:dyDescent="0.25">
      <c r="B31" s="59" t="s">
        <v>196</v>
      </c>
      <c r="C31" s="11" t="str">
        <f>Calculations!I2</f>
        <v>64–69</v>
      </c>
      <c r="D31" s="1"/>
      <c r="E31" s="1"/>
      <c r="F31" s="1"/>
      <c r="J31" s="1"/>
      <c r="L31" s="1"/>
      <c r="M31" s="6"/>
      <c r="O31" s="6"/>
      <c r="P31" s="6"/>
      <c r="Q31" s="6"/>
      <c r="R31" s="6"/>
      <c r="S31" s="6"/>
      <c r="T31" s="6"/>
      <c r="AE31" s="6"/>
      <c r="AF31" s="6"/>
      <c r="AG31" s="6"/>
      <c r="AM31" s="8"/>
      <c r="AN31" s="8"/>
      <c r="AP31" s="6"/>
      <c r="AQ31" s="6"/>
    </row>
    <row r="32" spans="1:45" ht="16.5" customHeight="1" x14ac:dyDescent="0.25">
      <c r="J32" s="1"/>
      <c r="L32" s="1"/>
      <c r="M32" s="6"/>
      <c r="O32" s="6"/>
      <c r="P32" s="6"/>
      <c r="Q32" s="6"/>
      <c r="R32" s="6"/>
      <c r="S32" s="6"/>
      <c r="T32" s="6"/>
      <c r="AE32" s="6"/>
      <c r="AF32" s="6"/>
      <c r="AG32" s="6"/>
      <c r="AM32" s="8"/>
      <c r="AN32" s="8"/>
      <c r="AP32" s="6"/>
      <c r="AQ32" s="6"/>
    </row>
    <row r="33" spans="2:43" ht="16.5" customHeight="1" x14ac:dyDescent="0.25">
      <c r="C33" s="62" t="s">
        <v>53</v>
      </c>
      <c r="D33" s="72" t="s">
        <v>55</v>
      </c>
      <c r="E33" s="72"/>
      <c r="F33" s="72" t="s">
        <v>54</v>
      </c>
      <c r="G33" s="72"/>
      <c r="J33" s="1"/>
      <c r="L33" s="1"/>
      <c r="M33" s="6"/>
      <c r="O33" s="6"/>
      <c r="P33" s="6"/>
      <c r="Q33" s="6"/>
      <c r="R33" s="6"/>
      <c r="S33" s="6"/>
      <c r="T33" s="6"/>
      <c r="AE33" s="6"/>
      <c r="AF33" s="6"/>
      <c r="AG33" s="6"/>
      <c r="AM33" s="8"/>
      <c r="AN33" s="8"/>
      <c r="AP33" s="6"/>
      <c r="AQ33" s="6"/>
    </row>
    <row r="34" spans="2:43" ht="16.5" customHeight="1" x14ac:dyDescent="0.25">
      <c r="C34" s="52" t="s">
        <v>52</v>
      </c>
      <c r="D34" s="83" t="s">
        <v>63</v>
      </c>
      <c r="E34" s="83"/>
      <c r="F34" s="73" t="s">
        <v>74</v>
      </c>
      <c r="G34" s="73"/>
      <c r="J34" s="1"/>
      <c r="L34" s="1"/>
      <c r="M34" s="6"/>
      <c r="O34" s="6"/>
      <c r="P34" s="6"/>
      <c r="Q34" s="6"/>
      <c r="R34" s="6"/>
      <c r="S34" s="6"/>
      <c r="T34" s="6"/>
      <c r="AE34" s="6"/>
      <c r="AF34" s="6"/>
      <c r="AG34" s="6"/>
      <c r="AM34" s="8"/>
      <c r="AN34" s="8"/>
      <c r="AP34" s="6"/>
      <c r="AQ34" s="6"/>
    </row>
    <row r="35" spans="2:43" ht="16.5" customHeight="1" x14ac:dyDescent="0.25">
      <c r="C35" s="48" t="s">
        <v>50</v>
      </c>
      <c r="D35" s="74" t="s">
        <v>64</v>
      </c>
      <c r="E35" s="74"/>
      <c r="F35" s="74" t="s">
        <v>172</v>
      </c>
      <c r="G35" s="74"/>
      <c r="J35" s="1"/>
      <c r="L35" s="1"/>
      <c r="M35" s="6"/>
      <c r="O35" s="6"/>
      <c r="P35" s="6"/>
      <c r="Q35" s="6"/>
      <c r="R35" s="6"/>
      <c r="S35" s="6"/>
      <c r="T35" s="6"/>
      <c r="U35" s="8"/>
      <c r="AE35" s="6"/>
      <c r="AF35" s="6"/>
      <c r="AG35" s="6"/>
      <c r="AM35" s="8"/>
      <c r="AN35" s="8"/>
      <c r="AP35" s="6"/>
      <c r="AQ35" s="6"/>
    </row>
    <row r="36" spans="2:43" ht="16.5" customHeight="1" x14ac:dyDescent="0.25">
      <c r="C36" s="49" t="s">
        <v>51</v>
      </c>
      <c r="D36" s="75" t="s">
        <v>65</v>
      </c>
      <c r="E36" s="75"/>
      <c r="F36" s="75" t="s">
        <v>71</v>
      </c>
      <c r="G36" s="75"/>
      <c r="J36" s="1"/>
      <c r="L36" s="1"/>
      <c r="M36" s="6"/>
      <c r="O36" s="6"/>
      <c r="P36" s="6"/>
      <c r="Q36" s="6"/>
      <c r="R36" s="6"/>
      <c r="S36" s="6"/>
      <c r="T36" s="6"/>
      <c r="U36" s="8"/>
      <c r="AE36" s="6"/>
      <c r="AF36" s="6"/>
      <c r="AG36" s="6"/>
      <c r="AM36" s="8"/>
      <c r="AN36" s="8"/>
      <c r="AP36" s="6"/>
      <c r="AQ36" s="6"/>
    </row>
    <row r="37" spans="2:43" ht="16.5" customHeight="1" x14ac:dyDescent="0.25">
      <c r="C37" s="50" t="s">
        <v>49</v>
      </c>
      <c r="D37" s="76" t="s">
        <v>66</v>
      </c>
      <c r="E37" s="76"/>
      <c r="F37" s="76" t="s">
        <v>72</v>
      </c>
      <c r="G37" s="76"/>
      <c r="J37" s="1"/>
      <c r="L37" s="1"/>
      <c r="M37" s="6"/>
      <c r="O37" s="6"/>
      <c r="P37" s="6"/>
      <c r="AE37" s="6"/>
      <c r="AF37" s="6"/>
      <c r="AG37" s="6"/>
      <c r="AM37" s="8"/>
      <c r="AN37" s="8"/>
      <c r="AP37" s="6"/>
      <c r="AQ37" s="6"/>
    </row>
    <row r="38" spans="2:43" ht="16.5" customHeight="1" x14ac:dyDescent="0.25">
      <c r="C38" s="47" t="s">
        <v>48</v>
      </c>
      <c r="D38" s="77" t="s">
        <v>170</v>
      </c>
      <c r="E38" s="77"/>
      <c r="F38" s="77" t="s">
        <v>73</v>
      </c>
      <c r="G38" s="77"/>
      <c r="J38" s="1"/>
      <c r="L38" s="1"/>
      <c r="M38" s="6"/>
      <c r="O38" s="6"/>
      <c r="P38" s="6"/>
      <c r="AE38" s="6"/>
      <c r="AF38" s="6"/>
      <c r="AG38" s="6"/>
      <c r="AM38" s="8"/>
      <c r="AN38" s="8"/>
      <c r="AP38" s="6"/>
      <c r="AQ38" s="6"/>
    </row>
    <row r="39" spans="2:43" ht="16.5" customHeight="1" x14ac:dyDescent="0.25">
      <c r="C39" s="50" t="s">
        <v>47</v>
      </c>
      <c r="D39" s="76" t="s">
        <v>67</v>
      </c>
      <c r="E39" s="76"/>
      <c r="F39" s="78" t="str">
        <f>"10–25"</f>
        <v>10–25</v>
      </c>
      <c r="G39" s="78"/>
      <c r="J39" s="1"/>
      <c r="L39" s="1"/>
      <c r="M39" s="6"/>
      <c r="O39" s="6"/>
      <c r="P39" s="6"/>
      <c r="AE39" s="6"/>
      <c r="AF39" s="6"/>
      <c r="AG39" s="6"/>
      <c r="AM39" s="8"/>
      <c r="AN39" s="8"/>
      <c r="AP39" s="6"/>
      <c r="AQ39" s="6"/>
    </row>
    <row r="40" spans="2:43" ht="16.5" customHeight="1" x14ac:dyDescent="0.25">
      <c r="C40" s="49" t="s">
        <v>46</v>
      </c>
      <c r="D40" s="75" t="s">
        <v>68</v>
      </c>
      <c r="E40" s="75"/>
      <c r="F40" s="79" t="str">
        <f>"3–9"</f>
        <v>3–9</v>
      </c>
      <c r="G40" s="79"/>
      <c r="J40" s="1"/>
      <c r="L40" s="1"/>
      <c r="M40" s="6"/>
      <c r="O40" s="6"/>
      <c r="P40" s="6"/>
      <c r="AE40" s="6"/>
      <c r="AF40" s="6"/>
      <c r="AG40" s="6"/>
      <c r="AM40" s="8"/>
      <c r="AN40" s="8"/>
      <c r="AP40" s="6"/>
      <c r="AQ40" s="6"/>
    </row>
    <row r="41" spans="2:43" ht="16.5" customHeight="1" x14ac:dyDescent="0.25">
      <c r="C41" s="48" t="s">
        <v>45</v>
      </c>
      <c r="D41" s="74" t="s">
        <v>69</v>
      </c>
      <c r="E41" s="74"/>
      <c r="F41" s="74" t="s">
        <v>171</v>
      </c>
      <c r="G41" s="74"/>
      <c r="H41" s="1"/>
      <c r="I41" s="1"/>
      <c r="J41" s="1"/>
      <c r="L41" s="1"/>
      <c r="P41" s="6"/>
      <c r="R41" s="6"/>
      <c r="S41" s="6"/>
    </row>
    <row r="42" spans="2:43" ht="16.5" customHeight="1" x14ac:dyDescent="0.25">
      <c r="C42" s="51" t="s">
        <v>44</v>
      </c>
      <c r="D42" s="71" t="s">
        <v>70</v>
      </c>
      <c r="E42" s="71"/>
      <c r="F42" s="71" t="s">
        <v>173</v>
      </c>
      <c r="G42" s="71"/>
      <c r="L42" s="1"/>
      <c r="P42" s="6"/>
      <c r="R42" s="6"/>
      <c r="S42" s="6"/>
    </row>
    <row r="43" spans="2:43" ht="16.5" customHeight="1" x14ac:dyDescent="0.25">
      <c r="L43" s="1"/>
      <c r="P43" s="6"/>
      <c r="R43" s="6"/>
      <c r="S43" s="6"/>
    </row>
    <row r="44" spans="2:43" ht="16.5" customHeight="1" x14ac:dyDescent="0.25">
      <c r="L44" s="1"/>
      <c r="P44" s="6"/>
      <c r="R44" s="6"/>
      <c r="S44" s="6"/>
    </row>
    <row r="45" spans="2:43" ht="16.5" customHeight="1" x14ac:dyDescent="0.25">
      <c r="B45" s="1"/>
      <c r="C45" s="1"/>
      <c r="D45" s="1"/>
      <c r="E45" s="1"/>
      <c r="F45" s="1"/>
      <c r="L45" s="1"/>
      <c r="P45" s="6"/>
      <c r="R45" s="6"/>
      <c r="S45" s="6"/>
    </row>
    <row r="46" spans="2:43" ht="16.5" customHeight="1" x14ac:dyDescent="0.25">
      <c r="B46" s="1"/>
      <c r="C46" s="1"/>
      <c r="D46" s="1"/>
      <c r="E46" s="1"/>
      <c r="L46" s="1"/>
      <c r="P46" s="6"/>
      <c r="R46" s="6"/>
      <c r="S46" s="6"/>
    </row>
    <row r="47" spans="2:43" ht="16.5" customHeight="1" x14ac:dyDescent="0.25">
      <c r="B47" s="1"/>
      <c r="C47" s="1"/>
      <c r="D47" s="1"/>
      <c r="E47" s="1"/>
      <c r="L47" s="1"/>
      <c r="P47" s="6"/>
      <c r="R47" s="6"/>
      <c r="S47" s="6"/>
      <c r="T47" s="6"/>
      <c r="U47" s="6"/>
      <c r="V47" s="6"/>
      <c r="W47" s="6"/>
      <c r="X47" s="8"/>
    </row>
    <row r="48" spans="2:43" ht="16.5" customHeight="1" x14ac:dyDescent="0.25">
      <c r="B48" s="1"/>
      <c r="C48" s="1"/>
      <c r="D48" s="1"/>
      <c r="E48" s="1"/>
      <c r="F48" s="1"/>
      <c r="G48" s="1"/>
      <c r="H48" s="1"/>
      <c r="I48" s="1"/>
      <c r="J48" s="1"/>
      <c r="L48" s="1"/>
      <c r="P48" s="6"/>
      <c r="R48" s="6"/>
      <c r="S48" s="6"/>
      <c r="T48" s="6"/>
      <c r="U48" s="6"/>
      <c r="V48" s="6"/>
      <c r="W48" s="6"/>
      <c r="X48" s="8"/>
    </row>
    <row r="49" spans="2:24" ht="16.5" customHeight="1" x14ac:dyDescent="0.25">
      <c r="B49" s="26"/>
      <c r="D49" s="1"/>
      <c r="R49" s="6"/>
      <c r="S49" s="6"/>
      <c r="T49" s="6"/>
      <c r="U49" s="6"/>
      <c r="V49" s="6"/>
      <c r="W49" s="6"/>
      <c r="X49" s="8"/>
    </row>
    <row r="50" spans="2:24" ht="16.5" customHeight="1" x14ac:dyDescent="0.25">
      <c r="H50" s="46"/>
      <c r="R50" s="6"/>
      <c r="S50" s="6"/>
      <c r="T50" s="6"/>
      <c r="U50" s="6"/>
      <c r="V50" s="6"/>
      <c r="W50" s="6"/>
      <c r="X50" s="8"/>
    </row>
    <row r="51" spans="2:24" ht="16.5" customHeight="1" x14ac:dyDescent="0.25">
      <c r="Q51" s="6"/>
    </row>
    <row r="52" spans="2:24" ht="16.5" customHeight="1" x14ac:dyDescent="0.25">
      <c r="Q52" s="6"/>
    </row>
    <row r="53" spans="2:24" x14ac:dyDescent="0.25">
      <c r="Q53" s="6"/>
    </row>
    <row r="54" spans="2:24" x14ac:dyDescent="0.25">
      <c r="Q54" s="6"/>
    </row>
    <row r="55" spans="2:24" x14ac:dyDescent="0.25">
      <c r="Q55" s="6"/>
    </row>
    <row r="56" spans="2:24" x14ac:dyDescent="0.25">
      <c r="Q56" s="6"/>
    </row>
    <row r="57" spans="2:24" x14ac:dyDescent="0.25">
      <c r="Q57" s="6"/>
    </row>
    <row r="58" spans="2:24" x14ac:dyDescent="0.25">
      <c r="Q58" s="6"/>
    </row>
    <row r="59" spans="2:24" x14ac:dyDescent="0.25">
      <c r="Q59" s="6"/>
    </row>
    <row r="60" spans="2:24" x14ac:dyDescent="0.25">
      <c r="Q60" s="6"/>
    </row>
    <row r="61" spans="2:24" x14ac:dyDescent="0.25">
      <c r="Q61" s="6"/>
    </row>
    <row r="62" spans="2:24" x14ac:dyDescent="0.25">
      <c r="Q62" s="6"/>
    </row>
    <row r="63" spans="2:24" x14ac:dyDescent="0.25">
      <c r="Q63" s="6"/>
    </row>
    <row r="64" spans="2:24" x14ac:dyDescent="0.25">
      <c r="Q64" s="6"/>
    </row>
    <row r="65" spans="5:17" x14ac:dyDescent="0.25">
      <c r="Q65" s="6"/>
    </row>
    <row r="66" spans="5:17" x14ac:dyDescent="0.25">
      <c r="Q66" s="6"/>
    </row>
    <row r="67" spans="5:17" x14ac:dyDescent="0.25">
      <c r="Q67" s="6"/>
    </row>
    <row r="68" spans="5:17" x14ac:dyDescent="0.25">
      <c r="Q68" s="6"/>
    </row>
    <row r="69" spans="5:17" x14ac:dyDescent="0.25">
      <c r="Q69" s="6"/>
    </row>
    <row r="70" spans="5:17" x14ac:dyDescent="0.25">
      <c r="Q70" s="6"/>
    </row>
    <row r="71" spans="5:17" x14ac:dyDescent="0.25">
      <c r="Q71" s="6"/>
    </row>
    <row r="72" spans="5:17" x14ac:dyDescent="0.25">
      <c r="Q72" s="6"/>
    </row>
    <row r="75" spans="5:17" ht="15.75" x14ac:dyDescent="0.25">
      <c r="E75" s="46"/>
      <c r="H75" s="43"/>
    </row>
    <row r="76" spans="5:17" ht="15.75" x14ac:dyDescent="0.25">
      <c r="E76" s="43"/>
      <c r="H76" s="43"/>
    </row>
    <row r="77" spans="5:17" ht="15.75" x14ac:dyDescent="0.25">
      <c r="E77" s="43"/>
      <c r="H77" s="43"/>
    </row>
    <row r="78" spans="5:17" ht="15.75" x14ac:dyDescent="0.25">
      <c r="E78" s="43"/>
      <c r="H78" s="43"/>
    </row>
    <row r="79" spans="5:17" ht="15.75" x14ac:dyDescent="0.25">
      <c r="E79" s="43"/>
      <c r="H79" s="43"/>
    </row>
    <row r="80" spans="5:17" ht="15.75" x14ac:dyDescent="0.25">
      <c r="E80" s="43"/>
      <c r="H80" s="44"/>
    </row>
    <row r="81" spans="2:8" ht="15.75" x14ac:dyDescent="0.25">
      <c r="E81" s="43"/>
      <c r="H81" s="44"/>
    </row>
    <row r="82" spans="2:8" ht="15.75" x14ac:dyDescent="0.25">
      <c r="E82" s="43"/>
      <c r="H82" s="43"/>
    </row>
    <row r="83" spans="2:8" ht="15.75" x14ac:dyDescent="0.25">
      <c r="E83" s="43"/>
      <c r="H83" s="43"/>
    </row>
    <row r="84" spans="2:8" ht="15.75" x14ac:dyDescent="0.25">
      <c r="E84" s="43"/>
    </row>
    <row r="85" spans="2:8" x14ac:dyDescent="0.25">
      <c r="B85" s="12"/>
      <c r="D85" s="1"/>
    </row>
    <row r="86" spans="2:8" x14ac:dyDescent="0.25">
      <c r="B86" s="26"/>
      <c r="D86" s="1"/>
    </row>
    <row r="87" spans="2:8" x14ac:dyDescent="0.25">
      <c r="B87" s="26"/>
      <c r="D87" s="1"/>
    </row>
    <row r="88" spans="2:8" x14ac:dyDescent="0.25">
      <c r="B88" s="12"/>
      <c r="D88" s="1"/>
    </row>
    <row r="89" spans="2:8" x14ac:dyDescent="0.25">
      <c r="B89" s="26"/>
      <c r="D89" s="1"/>
    </row>
    <row r="90" spans="2:8" x14ac:dyDescent="0.25">
      <c r="B90" s="26"/>
      <c r="D90" s="1"/>
    </row>
    <row r="91" spans="2:8" x14ac:dyDescent="0.25">
      <c r="B91" s="26"/>
      <c r="D91" s="1"/>
    </row>
    <row r="92" spans="2:8" x14ac:dyDescent="0.25">
      <c r="B92" s="26"/>
      <c r="D92" s="1"/>
    </row>
    <row r="93" spans="2:8" x14ac:dyDescent="0.25">
      <c r="B93" s="26"/>
      <c r="D93" s="1"/>
    </row>
    <row r="94" spans="2:8" x14ac:dyDescent="0.25">
      <c r="B94" s="12"/>
    </row>
    <row r="95" spans="2:8" x14ac:dyDescent="0.25">
      <c r="B95" s="26"/>
    </row>
    <row r="96" spans="2:8" x14ac:dyDescent="0.25">
      <c r="B96" s="26"/>
    </row>
    <row r="97" spans="2:4" x14ac:dyDescent="0.25">
      <c r="B97" s="26"/>
    </row>
    <row r="98" spans="2:4" x14ac:dyDescent="0.25">
      <c r="B98" s="26"/>
    </row>
    <row r="99" spans="2:4" x14ac:dyDescent="0.25">
      <c r="B99" s="26"/>
    </row>
    <row r="100" spans="2:4" x14ac:dyDescent="0.25">
      <c r="B100" s="12"/>
      <c r="D100" s="1"/>
    </row>
    <row r="101" spans="2:4" x14ac:dyDescent="0.25">
      <c r="B101" s="26"/>
      <c r="D101" s="1"/>
    </row>
    <row r="102" spans="2:4" x14ac:dyDescent="0.25">
      <c r="B102" s="12"/>
      <c r="D102" s="1"/>
    </row>
    <row r="103" spans="2:4" x14ac:dyDescent="0.25">
      <c r="B103" s="26"/>
      <c r="D103" s="1"/>
    </row>
    <row r="104" spans="2:4" x14ac:dyDescent="0.25">
      <c r="B104" s="26"/>
      <c r="D104" s="1"/>
    </row>
    <row r="105" spans="2:4" x14ac:dyDescent="0.25">
      <c r="B105" s="26"/>
      <c r="D105" s="1"/>
    </row>
    <row r="106" spans="2:4" x14ac:dyDescent="0.25">
      <c r="B106" s="26"/>
      <c r="D106" s="1"/>
    </row>
    <row r="107" spans="2:4" x14ac:dyDescent="0.25">
      <c r="B107" s="12"/>
      <c r="D107" s="1"/>
    </row>
    <row r="108" spans="2:4" x14ac:dyDescent="0.25">
      <c r="B108" s="26"/>
      <c r="D108" s="1"/>
    </row>
    <row r="109" spans="2:4" x14ac:dyDescent="0.25">
      <c r="B109" s="26"/>
      <c r="D109" s="1"/>
    </row>
    <row r="110" spans="2:4" x14ac:dyDescent="0.25">
      <c r="B110" s="12"/>
    </row>
    <row r="111" spans="2:4" x14ac:dyDescent="0.25">
      <c r="B111" s="26"/>
    </row>
    <row r="112" spans="2:4" x14ac:dyDescent="0.25">
      <c r="B112" s="26"/>
    </row>
    <row r="113" spans="2:2" x14ac:dyDescent="0.25">
      <c r="B113" s="26"/>
    </row>
    <row r="114" spans="2:2" x14ac:dyDescent="0.25">
      <c r="B114" s="26"/>
    </row>
    <row r="115" spans="2:2" x14ac:dyDescent="0.25">
      <c r="B115" s="26"/>
    </row>
    <row r="116" spans="2:2" x14ac:dyDescent="0.25">
      <c r="B116" s="12"/>
    </row>
    <row r="117" spans="2:2" x14ac:dyDescent="0.25">
      <c r="B117" s="26"/>
    </row>
    <row r="118" spans="2:2" x14ac:dyDescent="0.25">
      <c r="B118" s="26"/>
    </row>
    <row r="119" spans="2:2" x14ac:dyDescent="0.25">
      <c r="B119" s="12"/>
    </row>
    <row r="120" spans="2:2" x14ac:dyDescent="0.25">
      <c r="B120" s="26"/>
    </row>
    <row r="121" spans="2:2" x14ac:dyDescent="0.25">
      <c r="B121" s="26"/>
    </row>
    <row r="122" spans="2:2" x14ac:dyDescent="0.25">
      <c r="B122" s="26"/>
    </row>
    <row r="123" spans="2:2" x14ac:dyDescent="0.25">
      <c r="B123" s="26"/>
    </row>
    <row r="124" spans="2:2" x14ac:dyDescent="0.25">
      <c r="B124" s="12"/>
    </row>
    <row r="125" spans="2:2" x14ac:dyDescent="0.25">
      <c r="B125" s="26"/>
    </row>
    <row r="126" spans="2:2" x14ac:dyDescent="0.25">
      <c r="B126" s="26"/>
    </row>
    <row r="127" spans="2:2" x14ac:dyDescent="0.25">
      <c r="B127" s="26"/>
    </row>
    <row r="128" spans="2:2" x14ac:dyDescent="0.25">
      <c r="B128" s="26"/>
    </row>
    <row r="129" spans="2:4" x14ac:dyDescent="0.25">
      <c r="B129" s="26"/>
    </row>
    <row r="130" spans="2:4" x14ac:dyDescent="0.25">
      <c r="B130" s="12"/>
      <c r="D130" s="1"/>
    </row>
    <row r="131" spans="2:4" x14ac:dyDescent="0.25">
      <c r="B131" s="26"/>
      <c r="D131" s="1"/>
    </row>
    <row r="132" spans="2:4" x14ac:dyDescent="0.25">
      <c r="B132" s="12"/>
      <c r="D132" s="1"/>
    </row>
    <row r="133" spans="2:4" x14ac:dyDescent="0.25">
      <c r="B133" s="26"/>
      <c r="D133" s="12"/>
    </row>
  </sheetData>
  <mergeCells count="24">
    <mergeCell ref="D35:E35"/>
    <mergeCell ref="D33:E33"/>
    <mergeCell ref="D36:E36"/>
    <mergeCell ref="D25:E25"/>
    <mergeCell ref="D26:E26"/>
    <mergeCell ref="D27:E27"/>
    <mergeCell ref="D28:E28"/>
    <mergeCell ref="D34:E34"/>
    <mergeCell ref="D42:E4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D37:E37"/>
    <mergeCell ref="D38:E38"/>
    <mergeCell ref="D39:E39"/>
    <mergeCell ref="D40:E40"/>
    <mergeCell ref="D41:E41"/>
  </mergeCells>
  <conditionalFormatting sqref="H3:H22">
    <cfRule type="expression" dxfId="7" priority="17">
      <formula>H3&lt;I3</formula>
    </cfRule>
  </conditionalFormatting>
  <conditionalFormatting sqref="J3:J22">
    <cfRule type="cellIs" dxfId="6" priority="14" operator="lessThan">
      <formula>0</formula>
    </cfRule>
  </conditionalFormatting>
  <conditionalFormatting sqref="K2:K22">
    <cfRule type="expression" dxfId="5" priority="5">
      <formula>Flynn</formula>
    </cfRule>
    <cfRule type="expression" dxfId="4" priority="6">
      <formula>Flynn</formula>
    </cfRule>
  </conditionalFormatting>
  <conditionalFormatting sqref="L2:L22">
    <cfRule type="expression" dxfId="3" priority="4">
      <formula>Flynn</formula>
    </cfRule>
  </conditionalFormatting>
  <conditionalFormatting sqref="S3:T22">
    <cfRule type="expression" dxfId="2" priority="1">
      <formula>NOT(T3="")</formula>
    </cfRule>
  </conditionalFormatting>
  <dataValidations count="1">
    <dataValidation type="list" allowBlank="1" showInputMessage="1" showErrorMessage="1" promptTitle="Select from drop-down list" sqref="B3:B22" xr:uid="{83AAA1F4-EEE6-4F07-80EA-F68B9C4A35E6}">
      <formula1>Batteries</formula1>
    </dataValidation>
  </dataValidations>
  <pageMargins left="0.7" right="0.7" top="0.75" bottom="0.75" header="0.3" footer="0.3"/>
  <pageSetup paperSize="3276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0</xdr:colOff>
                    <xdr:row>0</xdr:row>
                    <xdr:rowOff>9525</xdr:rowOff>
                  </from>
                  <to>
                    <xdr:col>1</xdr:col>
                    <xdr:colOff>2562225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1F5A9CE3-005C-4B76-9524-619AEFC49BFB}">
            <xm:f>Blanks!B25</xm:f>
            <x14:dxf>
              <font>
                <color theme="0" tint="-4.9989318521683403E-2"/>
              </font>
            </x14:dxf>
          </x14:cfRule>
          <x14:cfRule type="expression" priority="12" id="{607CA0E6-2D5E-41BC-A16D-9248722315CB}">
            <xm:f>Blanks!B2</xm:f>
            <x14:dxf>
              <font>
                <color theme="5"/>
              </font>
            </x14:dxf>
          </x14:cfRule>
          <xm:sqref>Z3:AS22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C7E10-F1B4-4631-BACB-DFE27499C0EE}">
          <x14:formula1>
            <xm:f>OFFSET(TestSorting!$N$1,INDEX(TestSorting!$U$2:$U$501,MATCH(B3,TestSorting!$T$2:$T$501,0)),0,INDEX(TestSorting!$V$2:$V$501,MATCH(B3,TestSorting!$T$2:$T$501,0)),1)</xm:f>
          </x14:formula1>
          <xm:sqref>C3:C22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FC6D-FAAD-4957-BBC6-505726875A9E}">
  <dimension ref="A1:X502"/>
  <sheetViews>
    <sheetView workbookViewId="0">
      <selection activeCell="D1" sqref="D1"/>
    </sheetView>
  </sheetViews>
  <sheetFormatPr defaultRowHeight="15" x14ac:dyDescent="0.25"/>
  <cols>
    <col min="9" max="9" width="45.42578125" style="58" bestFit="1" customWidth="1"/>
    <col min="20" max="20" width="45.42578125" bestFit="1" customWidth="1"/>
  </cols>
  <sheetData>
    <row r="1" spans="1:24" x14ac:dyDescent="0.25">
      <c r="A1" t="str">
        <f>Tests!B2</f>
        <v>Battery</v>
      </c>
      <c r="B1" t="s">
        <v>165</v>
      </c>
      <c r="C1" t="str">
        <f>IF(Tests!E2="","",Tests!E2)</f>
        <v>Year Published</v>
      </c>
      <c r="D1" t="str">
        <f>IF(Tests!G2="","",Tests!G2)</f>
        <v>Mean</v>
      </c>
      <c r="E1" s="53" t="s">
        <v>176</v>
      </c>
      <c r="F1" s="53" t="s">
        <v>177</v>
      </c>
      <c r="G1" s="53" t="s">
        <v>178</v>
      </c>
      <c r="H1" s="53" t="s">
        <v>179</v>
      </c>
      <c r="I1" s="57" t="s">
        <v>180</v>
      </c>
      <c r="S1" s="10">
        <f>COUNTA(T2:T501)-COUNTBLANK(T2:T501)</f>
        <v>23</v>
      </c>
      <c r="T1" s="10" t="s">
        <v>181</v>
      </c>
      <c r="U1" s="10"/>
      <c r="V1" s="10"/>
      <c r="W1" s="10"/>
      <c r="X1" s="10"/>
    </row>
    <row r="2" spans="1:24" x14ac:dyDescent="0.25">
      <c r="A2" t="str">
        <f>IF(Tests!B3="","",Tests!B3)</f>
        <v>Bayley Scales of Infant and Toddler Development</v>
      </c>
      <c r="B2" t="str">
        <f>IF(Tests!D3="","",Tests!D3)</f>
        <v>BSID</v>
      </c>
      <c r="C2">
        <f>IF(Tests!E3="","",Tests!E3)</f>
        <v>1969</v>
      </c>
      <c r="E2" s="54">
        <f>COUNTIF($A$2:$A$501,"&lt;="&amp;A2)</f>
        <v>440</v>
      </c>
      <c r="F2" s="54">
        <f>--ISNUMBER(A2)</f>
        <v>0</v>
      </c>
      <c r="G2" s="54">
        <f>--(A2="")</f>
        <v>0</v>
      </c>
      <c r="H2" s="54">
        <f>IF(ISNUMBER(A2),E2,IF(ISBLANK(A2),E2,E2+$F$502))+$G$502</f>
        <v>877</v>
      </c>
      <c r="I2" s="56" t="str">
        <f>IFERROR(INDEX($A$2:$A$501,MATCH(SMALL($H$2:$H$501,ROWS($I$2:I2)+$G$502),$H$2:$H$501,0)),"")</f>
        <v>Bayley Scales of Infant and Toddler Development</v>
      </c>
      <c r="J2">
        <f>IF(I1=I2,J1+1,1)</f>
        <v>1</v>
      </c>
      <c r="K2" t="str">
        <f t="array" ref="K2">INDEX($B$2:$B$501,SMALL(IF($A$2:$A$501=I2,ROW($A$2:$A$501)-ROW(INDEX($A$2:$A$501,1,1))+1),J2))</f>
        <v>BSID</v>
      </c>
      <c r="L2">
        <f t="array" ref="L2">INDEX($C$2:$C$501,SMALL(IF($A$2:$A$501=I2,ROW($A$2:$A$501)-ROW(INDEX($A$2:$A$501,1,1))+1),J2))</f>
        <v>1969</v>
      </c>
      <c r="M2">
        <f t="array" ref="M2">INDEX($C$2:$C$501,SMALL(IF($A$2:$A$501=I2,ROW($A$2:$A$501)-ROW(INDEX($A$2:$A$501,1,1))+1),J2))</f>
        <v>1969</v>
      </c>
      <c r="N2" t="str">
        <f>IF(K2="","",K2&amp;" ("&amp;L2&amp;")")</f>
        <v>BSID (1969)</v>
      </c>
      <c r="S2" s="10">
        <v>1</v>
      </c>
      <c r="T2" s="10" t="str">
        <f t="array" ref="T2">IFERROR(INDEX(A$2:$A$501,MATCH(0,COUNTIF($T$1:T1,A$2:$A$501),0)),"")</f>
        <v>Bayley Scales of Infant and Toddler Development</v>
      </c>
      <c r="U2" s="10">
        <f>IFERROR(MATCH(T2,I$2:$I$501,0),"")</f>
        <v>1</v>
      </c>
      <c r="V2" s="10">
        <f>COUNTIF(I$2:$I$501,T2)</f>
        <v>3</v>
      </c>
      <c r="W2" s="10"/>
      <c r="X2" s="10"/>
    </row>
    <row r="3" spans="1:24" x14ac:dyDescent="0.25">
      <c r="A3" t="str">
        <f>IF(Tests!B4="","",Tests!B4)</f>
        <v>Bayley Scales of Infant and Toddler Development</v>
      </c>
      <c r="B3" t="str">
        <f>IF(Tests!D4="","",Tests!D4)</f>
        <v>BSID-II</v>
      </c>
      <c r="C3">
        <f>IF(Tests!E4="","",Tests!E4)</f>
        <v>1993</v>
      </c>
      <c r="E3" s="54">
        <f t="shared" ref="E3:E66" si="0">COUNTIF($A$2:$A$501,"&lt;="&amp;A3)</f>
        <v>440</v>
      </c>
      <c r="F3" s="54">
        <f t="shared" ref="F3:F66" si="1">--ISNUMBER(A3)</f>
        <v>0</v>
      </c>
      <c r="G3" s="54">
        <f t="shared" ref="G3:G66" si="2">--(A3="")</f>
        <v>0</v>
      </c>
      <c r="H3" s="54">
        <f t="shared" ref="H3:H66" si="3">IF(ISNUMBER(A3),E3,IF(ISBLANK(A3),E3,E3+$F$502))+$G$502</f>
        <v>877</v>
      </c>
      <c r="I3" s="56" t="str">
        <f>IFERROR(INDEX($A$2:$A$501,MATCH(SMALL($H$2:$H$501,ROWS($I$2:I3)+$G$502),$H$2:$H$501,0)),"")</f>
        <v>Bayley Scales of Infant and Toddler Development</v>
      </c>
      <c r="J3">
        <f t="shared" ref="J3:J66" si="4">IF(I2=I3,J2+1,1)</f>
        <v>2</v>
      </c>
      <c r="K3" t="str">
        <f t="array" ref="K3">INDEX($B$2:$B$501,SMALL(IF($A$2:$A$501=I3,ROW($A$2:$A$501)-ROW(INDEX($A$2:$A$501,1,1))+1),J3))</f>
        <v>BSID-II</v>
      </c>
      <c r="L3">
        <f t="array" ref="L3">INDEX($C$2:$C$501,SMALL(IF($A$2:$A$501=I3,ROW($A$2:$A$501)-ROW(INDEX($A$2:$A$501,1,1))+1),J3))</f>
        <v>1993</v>
      </c>
      <c r="N3" t="str">
        <f t="shared" ref="N3:N66" si="5">IF(K3="","",K3&amp;" ("&amp;L3&amp;")")</f>
        <v>BSID-II (1993)</v>
      </c>
      <c r="S3" s="10">
        <v>2</v>
      </c>
      <c r="T3" s="10" t="str">
        <f t="array" ref="T3">IFERROR(INDEX(A$2:$A$501,MATCH(0,COUNTIF($T$1:T2,A$2:$A$501),0)),"")</f>
        <v>Comprehensive Test of Nonverbal Intelligence</v>
      </c>
      <c r="U3" s="10">
        <f>IFERROR(MATCH(T3,I$2:$I$501,0),"")</f>
        <v>4</v>
      </c>
      <c r="V3" s="10">
        <f>COUNTIF(I$2:$I$501,T3)</f>
        <v>2</v>
      </c>
      <c r="W3" s="10"/>
      <c r="X3" s="10"/>
    </row>
    <row r="4" spans="1:24" x14ac:dyDescent="0.25">
      <c r="A4" t="str">
        <f>IF(Tests!B5="","",Tests!B5)</f>
        <v>Bayley Scales of Infant and Toddler Development</v>
      </c>
      <c r="B4" t="str">
        <f>IF(Tests!D5="","",Tests!D5)</f>
        <v>Bayley III</v>
      </c>
      <c r="C4">
        <f>IF(Tests!E5="","",Tests!E5)</f>
        <v>2005</v>
      </c>
      <c r="E4" s="54">
        <f t="shared" si="0"/>
        <v>440</v>
      </c>
      <c r="F4" s="54">
        <f t="shared" si="1"/>
        <v>0</v>
      </c>
      <c r="G4" s="54">
        <f t="shared" si="2"/>
        <v>0</v>
      </c>
      <c r="H4" s="54">
        <f t="shared" si="3"/>
        <v>877</v>
      </c>
      <c r="I4" s="56" t="str">
        <f>IFERROR(INDEX($A$2:$A$501,MATCH(SMALL($H$2:$H$501,ROWS($I$2:I4)+$G$502),$H$2:$H$501,0)),"")</f>
        <v>Bayley Scales of Infant and Toddler Development</v>
      </c>
      <c r="J4">
        <f t="shared" si="4"/>
        <v>3</v>
      </c>
      <c r="K4" t="str">
        <f t="array" ref="K4">INDEX($B$2:$B$501,SMALL(IF($A$2:$A$501=I4,ROW($A$2:$A$501)-ROW(INDEX($A$2:$A$501,1,1))+1),J4))</f>
        <v>Bayley III</v>
      </c>
      <c r="L4">
        <f t="array" ref="L4">INDEX($C$2:$C$501,SMALL(IF($A$2:$A$501=I4,ROW($A$2:$A$501)-ROW(INDEX($A$2:$A$501,1,1))+1),J4))</f>
        <v>2005</v>
      </c>
      <c r="N4" t="str">
        <f t="shared" si="5"/>
        <v>Bayley III (2005)</v>
      </c>
      <c r="S4" s="10">
        <v>3</v>
      </c>
      <c r="T4" s="10" t="str">
        <f t="array" ref="T4">IFERROR(INDEX(A$2:$A$501,MATCH(0,COUNTIF($T$1:T3,A$2:$A$501),0)),"")</f>
        <v>Das–Naglieri Cognitive Assessment System</v>
      </c>
      <c r="U4" s="10">
        <f>IFERROR(MATCH(T4,I$2:$I$501,0),"")</f>
        <v>6</v>
      </c>
      <c r="V4" s="10">
        <f>COUNTIF(I$2:$I$501,T4)</f>
        <v>2</v>
      </c>
      <c r="W4" s="10"/>
      <c r="X4" s="10"/>
    </row>
    <row r="5" spans="1:24" x14ac:dyDescent="0.25">
      <c r="A5" t="str">
        <f>IF(Tests!B6="","",Tests!B6)</f>
        <v>Comprehensive Test of Nonverbal Intelligence</v>
      </c>
      <c r="B5" t="str">
        <f>IF(Tests!D6="","",Tests!D6)</f>
        <v>CTONI</v>
      </c>
      <c r="C5">
        <f>IF(Tests!E6="","",Tests!E6)</f>
        <v>1997</v>
      </c>
      <c r="E5" s="54">
        <f t="shared" si="0"/>
        <v>442</v>
      </c>
      <c r="F5" s="54">
        <f t="shared" si="1"/>
        <v>0</v>
      </c>
      <c r="G5" s="54">
        <f t="shared" si="2"/>
        <v>0</v>
      </c>
      <c r="H5" s="54">
        <f t="shared" si="3"/>
        <v>879</v>
      </c>
      <c r="I5" s="56" t="str">
        <f>IFERROR(INDEX($A$2:$A$501,MATCH(SMALL($H$2:$H$501,ROWS($I$2:I5)+$G$502),$H$2:$H$501,0)),"")</f>
        <v>Comprehensive Test of Nonverbal Intelligence</v>
      </c>
      <c r="J5">
        <f t="shared" si="4"/>
        <v>1</v>
      </c>
      <c r="K5" t="str">
        <f t="array" ref="K5">INDEX($B$2:$B$501,SMALL(IF($A$2:$A$501=I5,ROW($A$2:$A$501)-ROW(INDEX($A$2:$A$501,1,1))+1),J5))</f>
        <v>CTONI</v>
      </c>
      <c r="L5">
        <f t="array" ref="L5">INDEX($C$2:$C$501,SMALL(IF($A$2:$A$501=I5,ROW($A$2:$A$501)-ROW(INDEX($A$2:$A$501,1,1))+1),J5))</f>
        <v>1997</v>
      </c>
      <c r="N5" t="str">
        <f t="shared" si="5"/>
        <v>CTONI (1997)</v>
      </c>
      <c r="S5" s="10">
        <v>4</v>
      </c>
      <c r="T5" s="10" t="str">
        <f t="array" ref="T5">IFERROR(INDEX(A$2:$A$501,MATCH(0,COUNTIF($T$1:T4,A$2:$A$501),0)),"")</f>
        <v>Differential Ability Scales</v>
      </c>
      <c r="U5" s="10">
        <f>IFERROR(MATCH(T5,I$2:$I$501,0),"")</f>
        <v>8</v>
      </c>
      <c r="V5" s="10">
        <f>COUNTIF(I$2:$I$501,T5)</f>
        <v>2</v>
      </c>
      <c r="W5" s="10"/>
      <c r="X5" s="10"/>
    </row>
    <row r="6" spans="1:24" x14ac:dyDescent="0.25">
      <c r="A6" t="str">
        <f>IF(Tests!B7="","",Tests!B7)</f>
        <v>Comprehensive Test of Nonverbal Intelligence</v>
      </c>
      <c r="B6" t="str">
        <f>IF(Tests!D7="","",Tests!D7)</f>
        <v>CTONI-II</v>
      </c>
      <c r="C6">
        <f>IF(Tests!E7="","",Tests!E7)</f>
        <v>2009</v>
      </c>
      <c r="E6" s="54">
        <f t="shared" si="0"/>
        <v>442</v>
      </c>
      <c r="F6" s="54">
        <f t="shared" si="1"/>
        <v>0</v>
      </c>
      <c r="G6" s="54">
        <f t="shared" si="2"/>
        <v>0</v>
      </c>
      <c r="H6" s="54">
        <f t="shared" si="3"/>
        <v>879</v>
      </c>
      <c r="I6" s="56" t="str">
        <f>IFERROR(INDEX($A$2:$A$501,MATCH(SMALL($H$2:$H$501,ROWS($I$2:I6)+$G$502),$H$2:$H$501,0)),"")</f>
        <v>Comprehensive Test of Nonverbal Intelligence</v>
      </c>
      <c r="J6">
        <f t="shared" si="4"/>
        <v>2</v>
      </c>
      <c r="K6" t="str">
        <f t="array" ref="K6">INDEX($B$2:$B$501,SMALL(IF($A$2:$A$501=I6,ROW($A$2:$A$501)-ROW(INDEX($A$2:$A$501,1,1))+1),J6))</f>
        <v>CTONI-II</v>
      </c>
      <c r="L6">
        <f t="array" ref="L6">INDEX($C$2:$C$501,SMALL(IF($A$2:$A$501=I6,ROW($A$2:$A$501)-ROW(INDEX($A$2:$A$501,1,1))+1),J6))</f>
        <v>2009</v>
      </c>
      <c r="N6" t="str">
        <f t="shared" si="5"/>
        <v>CTONI-II (2009)</v>
      </c>
      <c r="S6" s="10">
        <v>5</v>
      </c>
      <c r="T6" s="10" t="str">
        <f t="array" ref="T6">IFERROR(INDEX(A$2:$A$501,MATCH(0,COUNTIF($T$1:T5,A$2:$A$501),0)),"")</f>
        <v>General Ability Measure for Adults</v>
      </c>
      <c r="U6" s="10">
        <f>IFERROR(MATCH(T6,I$2:$I$501,0),"")</f>
        <v>10</v>
      </c>
      <c r="V6" s="10">
        <f>COUNTIF(I$2:$I$501,T6)</f>
        <v>1</v>
      </c>
      <c r="W6" s="10"/>
      <c r="X6" s="10"/>
    </row>
    <row r="7" spans="1:24" x14ac:dyDescent="0.25">
      <c r="A7" t="str">
        <f>IF(Tests!B8="","",Tests!B8)</f>
        <v>Das–Naglieri Cognitive Assessment System</v>
      </c>
      <c r="B7" t="str">
        <f>IF(Tests!D8="","",Tests!D8)</f>
        <v>CAS</v>
      </c>
      <c r="C7">
        <f>IF(Tests!E8="","",Tests!E8)</f>
        <v>1997</v>
      </c>
      <c r="E7" s="54">
        <f t="shared" si="0"/>
        <v>444</v>
      </c>
      <c r="F7" s="54">
        <f t="shared" si="1"/>
        <v>0</v>
      </c>
      <c r="G7" s="54">
        <f t="shared" si="2"/>
        <v>0</v>
      </c>
      <c r="H7" s="54">
        <f t="shared" si="3"/>
        <v>881</v>
      </c>
      <c r="I7" s="56" t="str">
        <f>IFERROR(INDEX($A$2:$A$501,MATCH(SMALL($H$2:$H$501,ROWS($I$2:I7)+$G$502),$H$2:$H$501,0)),"")</f>
        <v>Das–Naglieri Cognitive Assessment System</v>
      </c>
      <c r="J7">
        <f t="shared" si="4"/>
        <v>1</v>
      </c>
      <c r="K7" t="str">
        <f t="array" ref="K7">INDEX($B$2:$B$501,SMALL(IF($A$2:$A$501=I7,ROW($A$2:$A$501)-ROW(INDEX($A$2:$A$501,1,1))+1),J7))</f>
        <v>CAS</v>
      </c>
      <c r="L7">
        <f t="array" ref="L7">INDEX($C$2:$C$501,SMALL(IF($A$2:$A$501=I7,ROW($A$2:$A$501)-ROW(INDEX($A$2:$A$501,1,1))+1),J7))</f>
        <v>1997</v>
      </c>
      <c r="N7" t="str">
        <f t="shared" si="5"/>
        <v>CAS (1997)</v>
      </c>
      <c r="S7" s="10">
        <v>6</v>
      </c>
      <c r="T7" s="10" t="str">
        <f t="array" ref="T7">IFERROR(INDEX(A$2:$A$501,MATCH(0,COUNTIF($T$1:T6,A$2:$A$501),0)),"")</f>
        <v>Kaufman Adult and Adolescent Intelligence Test</v>
      </c>
      <c r="U7" s="10">
        <f>IFERROR(MATCH(T7,I$2:$I$501,0),"")</f>
        <v>11</v>
      </c>
      <c r="V7" s="10">
        <f>COUNTIF(I$2:$I$501,T7)</f>
        <v>1</v>
      </c>
      <c r="W7" s="10"/>
      <c r="X7" s="10"/>
    </row>
    <row r="8" spans="1:24" x14ac:dyDescent="0.25">
      <c r="A8" t="str">
        <f>IF(Tests!B9="","",Tests!B9)</f>
        <v>Das–Naglieri Cognitive Assessment System</v>
      </c>
      <c r="B8" t="str">
        <f>IF(Tests!D9="","",Tests!D9)</f>
        <v>CAS-II</v>
      </c>
      <c r="C8">
        <f>IF(Tests!E9="","",Tests!E9)</f>
        <v>2014</v>
      </c>
      <c r="E8" s="54">
        <f t="shared" si="0"/>
        <v>444</v>
      </c>
      <c r="F8" s="54">
        <f t="shared" si="1"/>
        <v>0</v>
      </c>
      <c r="G8" s="54">
        <f t="shared" si="2"/>
        <v>0</v>
      </c>
      <c r="H8" s="54">
        <f t="shared" si="3"/>
        <v>881</v>
      </c>
      <c r="I8" s="56" t="str">
        <f>IFERROR(INDEX($A$2:$A$501,MATCH(SMALL($H$2:$H$501,ROWS($I$2:I8)+$G$502),$H$2:$H$501,0)),"")</f>
        <v>Das–Naglieri Cognitive Assessment System</v>
      </c>
      <c r="J8">
        <f t="shared" si="4"/>
        <v>2</v>
      </c>
      <c r="K8" t="str">
        <f t="array" ref="K8">INDEX($B$2:$B$501,SMALL(IF($A$2:$A$501=I8,ROW($A$2:$A$501)-ROW(INDEX($A$2:$A$501,1,1))+1),J8))</f>
        <v>CAS-II</v>
      </c>
      <c r="L8">
        <f t="array" ref="L8">INDEX($C$2:$C$501,SMALL(IF($A$2:$A$501=I8,ROW($A$2:$A$501)-ROW(INDEX($A$2:$A$501,1,1))+1),J8))</f>
        <v>2014</v>
      </c>
      <c r="N8" t="str">
        <f t="shared" si="5"/>
        <v>CAS-II (2014)</v>
      </c>
      <c r="S8" s="10">
        <v>7</v>
      </c>
      <c r="T8" s="10" t="str">
        <f t="array" ref="T8">IFERROR(INDEX(A$2:$A$501,MATCH(0,COUNTIF($T$1:T7,A$2:$A$501),0)),"")</f>
        <v>Kaufman Assessment Battery for Children</v>
      </c>
      <c r="U8" s="10">
        <f>IFERROR(MATCH(T8,I$2:$I$501,0),"")</f>
        <v>12</v>
      </c>
      <c r="V8" s="10">
        <f>COUNTIF(I$2:$I$501,T8)</f>
        <v>3</v>
      </c>
      <c r="W8" s="10"/>
      <c r="X8" s="10"/>
    </row>
    <row r="9" spans="1:24" x14ac:dyDescent="0.25">
      <c r="A9" t="str">
        <f>IF(Tests!B10="","",Tests!B10)</f>
        <v>Differential Ability Scales</v>
      </c>
      <c r="B9" t="str">
        <f>IF(Tests!D10="","",Tests!D10)</f>
        <v>DAS</v>
      </c>
      <c r="C9">
        <f>IF(Tests!E10="","",Tests!E10)</f>
        <v>1990</v>
      </c>
      <c r="E9" s="54">
        <f t="shared" si="0"/>
        <v>446</v>
      </c>
      <c r="F9" s="54">
        <f t="shared" si="1"/>
        <v>0</v>
      </c>
      <c r="G9" s="54">
        <f t="shared" si="2"/>
        <v>0</v>
      </c>
      <c r="H9" s="54">
        <f t="shared" si="3"/>
        <v>883</v>
      </c>
      <c r="I9" s="56" t="str">
        <f>IFERROR(INDEX($A$2:$A$501,MATCH(SMALL($H$2:$H$501,ROWS($I$2:I9)+$G$502),$H$2:$H$501,0)),"")</f>
        <v>Differential Ability Scales</v>
      </c>
      <c r="J9">
        <f t="shared" si="4"/>
        <v>1</v>
      </c>
      <c r="K9" t="str">
        <f t="array" ref="K9">INDEX($B$2:$B$501,SMALL(IF($A$2:$A$501=I9,ROW($A$2:$A$501)-ROW(INDEX($A$2:$A$501,1,1))+1),J9))</f>
        <v>DAS</v>
      </c>
      <c r="L9">
        <f t="array" ref="L9">INDEX($C$2:$C$501,SMALL(IF($A$2:$A$501=I9,ROW($A$2:$A$501)-ROW(INDEX($A$2:$A$501,1,1))+1),J9))</f>
        <v>1990</v>
      </c>
      <c r="N9" t="str">
        <f t="shared" si="5"/>
        <v>DAS (1990)</v>
      </c>
      <c r="S9" s="10">
        <v>8</v>
      </c>
      <c r="T9" s="10" t="str">
        <f t="array" ref="T9">IFERROR(INDEX(A$2:$A$501,MATCH(0,COUNTIF($T$1:T8,A$2:$A$501),0)),"")</f>
        <v>Kaufman Brief Intelligence Test</v>
      </c>
      <c r="U9" s="10">
        <f>IFERROR(MATCH(T9,I$2:$I$501,0),"")</f>
        <v>15</v>
      </c>
      <c r="V9" s="10">
        <f>COUNTIF(I$2:$I$501,T9)</f>
        <v>2</v>
      </c>
      <c r="W9" s="10"/>
      <c r="X9" s="10"/>
    </row>
    <row r="10" spans="1:24" x14ac:dyDescent="0.25">
      <c r="A10" t="str">
        <f>IF(Tests!B11="","",Tests!B11)</f>
        <v>Differential Ability Scales</v>
      </c>
      <c r="B10" t="str">
        <f>IF(Tests!D11="","",Tests!D11)</f>
        <v>DAS-II</v>
      </c>
      <c r="C10">
        <f>IF(Tests!E11="","",Tests!E11)</f>
        <v>2007</v>
      </c>
      <c r="E10" s="54">
        <f t="shared" si="0"/>
        <v>446</v>
      </c>
      <c r="F10" s="54">
        <f t="shared" si="1"/>
        <v>0</v>
      </c>
      <c r="G10" s="54">
        <f t="shared" si="2"/>
        <v>0</v>
      </c>
      <c r="H10" s="54">
        <f t="shared" si="3"/>
        <v>883</v>
      </c>
      <c r="I10" s="56" t="str">
        <f>IFERROR(INDEX($A$2:$A$501,MATCH(SMALL($H$2:$H$501,ROWS($I$2:I10)+$G$502),$H$2:$H$501,0)),"")</f>
        <v>Differential Ability Scales</v>
      </c>
      <c r="J10">
        <f t="shared" si="4"/>
        <v>2</v>
      </c>
      <c r="K10" t="str">
        <f t="array" ref="K10">INDEX($B$2:$B$501,SMALL(IF($A$2:$A$501=I10,ROW($A$2:$A$501)-ROW(INDEX($A$2:$A$501,1,1))+1),J10))</f>
        <v>DAS-II</v>
      </c>
      <c r="L10">
        <f t="array" ref="L10">INDEX($C$2:$C$501,SMALL(IF($A$2:$A$501=I10,ROW($A$2:$A$501)-ROW(INDEX($A$2:$A$501,1,1))+1),J10))</f>
        <v>2007</v>
      </c>
      <c r="N10" t="str">
        <f t="shared" si="5"/>
        <v>DAS-II (2007)</v>
      </c>
      <c r="S10" s="10">
        <v>9</v>
      </c>
      <c r="T10" s="10" t="str">
        <f t="array" ref="T10">IFERROR(INDEX(A$2:$A$501,MATCH(0,COUNTIF($T$1:T9,A$2:$A$501),0)),"")</f>
        <v>Leiter International Performance Scale</v>
      </c>
      <c r="U10" s="10">
        <f>IFERROR(MATCH(T10,I$2:$I$501,0),"")</f>
        <v>17</v>
      </c>
      <c r="V10" s="10">
        <f>COUNTIF(I$2:$I$501,T10)</f>
        <v>3</v>
      </c>
      <c r="W10" s="10"/>
      <c r="X10" s="10"/>
    </row>
    <row r="11" spans="1:24" x14ac:dyDescent="0.25">
      <c r="A11" t="str">
        <f>IF(Tests!B12="","",Tests!B12)</f>
        <v>General Ability Measure for Adults</v>
      </c>
      <c r="B11" t="str">
        <f>IF(Tests!D12="","",Tests!D12)</f>
        <v>GAMA</v>
      </c>
      <c r="C11">
        <f>IF(Tests!E12="","",Tests!E12)</f>
        <v>1997</v>
      </c>
      <c r="E11" s="54">
        <f t="shared" si="0"/>
        <v>447</v>
      </c>
      <c r="F11" s="54">
        <f t="shared" si="1"/>
        <v>0</v>
      </c>
      <c r="G11" s="54">
        <f t="shared" si="2"/>
        <v>0</v>
      </c>
      <c r="H11" s="54">
        <f t="shared" si="3"/>
        <v>884</v>
      </c>
      <c r="I11" s="56" t="str">
        <f>IFERROR(INDEX($A$2:$A$501,MATCH(SMALL($H$2:$H$501,ROWS($I$2:I11)+$G$502),$H$2:$H$501,0)),"")</f>
        <v>General Ability Measure for Adults</v>
      </c>
      <c r="J11">
        <f t="shared" si="4"/>
        <v>1</v>
      </c>
      <c r="K11" t="str">
        <f t="array" ref="K11">INDEX($B$2:$B$501,SMALL(IF($A$2:$A$501=I11,ROW($A$2:$A$501)-ROW(INDEX($A$2:$A$501,1,1))+1),J11))</f>
        <v>GAMA</v>
      </c>
      <c r="L11">
        <f t="array" ref="L11">INDEX($C$2:$C$501,SMALL(IF($A$2:$A$501=I11,ROW($A$2:$A$501)-ROW(INDEX($A$2:$A$501,1,1))+1),J11))</f>
        <v>1997</v>
      </c>
      <c r="N11" t="str">
        <f t="shared" si="5"/>
        <v>GAMA (1997)</v>
      </c>
      <c r="S11" s="10">
        <v>10</v>
      </c>
      <c r="T11" s="10" t="str">
        <f t="array" ref="T11">IFERROR(INDEX(A$2:$A$501,MATCH(0,COUNTIF($T$1:T10,A$2:$A$501),0)),"")</f>
        <v>Naglieri Nonverbal Ability Test</v>
      </c>
      <c r="U11" s="10">
        <f>IFERROR(MATCH(T11,I$2:$I$501,0),"")</f>
        <v>20</v>
      </c>
      <c r="V11" s="10">
        <f>COUNTIF(I$2:$I$501,T11)</f>
        <v>2</v>
      </c>
      <c r="W11" s="10"/>
      <c r="X11" s="10"/>
    </row>
    <row r="12" spans="1:24" x14ac:dyDescent="0.25">
      <c r="A12" t="str">
        <f>IF(Tests!B13="","",Tests!B13)</f>
        <v>Kaufman Adult and Adolescent Intelligence Test</v>
      </c>
      <c r="B12" t="str">
        <f>IF(Tests!D13="","",Tests!D13)</f>
        <v>KAIT</v>
      </c>
      <c r="C12">
        <f>IF(Tests!E13="","",Tests!E13)</f>
        <v>1993</v>
      </c>
      <c r="E12" s="54">
        <f t="shared" si="0"/>
        <v>448</v>
      </c>
      <c r="F12" s="54">
        <f t="shared" si="1"/>
        <v>0</v>
      </c>
      <c r="G12" s="54">
        <f t="shared" si="2"/>
        <v>0</v>
      </c>
      <c r="H12" s="54">
        <f t="shared" si="3"/>
        <v>885</v>
      </c>
      <c r="I12" s="56" t="str">
        <f>IFERROR(INDEX($A$2:$A$501,MATCH(SMALL($H$2:$H$501,ROWS($I$2:I12)+$G$502),$H$2:$H$501,0)),"")</f>
        <v>Kaufman Adult and Adolescent Intelligence Test</v>
      </c>
      <c r="J12">
        <f t="shared" si="4"/>
        <v>1</v>
      </c>
      <c r="K12" t="str">
        <f t="array" ref="K12">INDEX($B$2:$B$501,SMALL(IF($A$2:$A$501=I12,ROW($A$2:$A$501)-ROW(INDEX($A$2:$A$501,1,1))+1),J12))</f>
        <v>KAIT</v>
      </c>
      <c r="L12">
        <f t="array" ref="L12">INDEX($C$2:$C$501,SMALL(IF($A$2:$A$501=I12,ROW($A$2:$A$501)-ROW(INDEX($A$2:$A$501,1,1))+1),J12))</f>
        <v>1993</v>
      </c>
      <c r="N12" t="str">
        <f t="shared" si="5"/>
        <v>KAIT (1993)</v>
      </c>
      <c r="S12" s="10">
        <v>11</v>
      </c>
      <c r="T12" s="10" t="str">
        <f t="array" ref="T12">IFERROR(INDEX(A$2:$A$501,MATCH(0,COUNTIF($T$1:T11,A$2:$A$501),0)),"")</f>
        <v>Reynolds Intellectual Assessment Scales</v>
      </c>
      <c r="U12" s="10">
        <f>IFERROR(MATCH(T12,I$2:$I$501,0),"")</f>
        <v>22</v>
      </c>
      <c r="V12" s="10">
        <f>COUNTIF(I$2:$I$501,T12)</f>
        <v>2</v>
      </c>
      <c r="W12" s="10"/>
      <c r="X12" s="10"/>
    </row>
    <row r="13" spans="1:24" x14ac:dyDescent="0.25">
      <c r="A13" t="str">
        <f>IF(Tests!B14="","",Tests!B14)</f>
        <v>Kaufman Assessment Battery for Children</v>
      </c>
      <c r="B13" t="str">
        <f>IF(Tests!D14="","",Tests!D14)</f>
        <v>KABC</v>
      </c>
      <c r="C13">
        <f>IF(Tests!E14="","",Tests!E14)</f>
        <v>1983</v>
      </c>
      <c r="E13" s="54">
        <f t="shared" si="0"/>
        <v>451</v>
      </c>
      <c r="F13" s="54">
        <f t="shared" si="1"/>
        <v>0</v>
      </c>
      <c r="G13" s="54">
        <f t="shared" si="2"/>
        <v>0</v>
      </c>
      <c r="H13" s="54">
        <f t="shared" si="3"/>
        <v>888</v>
      </c>
      <c r="I13" s="56" t="str">
        <f>IFERROR(INDEX($A$2:$A$501,MATCH(SMALL($H$2:$H$501,ROWS($I$2:I13)+$G$502),$H$2:$H$501,0)),"")</f>
        <v>Kaufman Assessment Battery for Children</v>
      </c>
      <c r="J13">
        <f t="shared" si="4"/>
        <v>1</v>
      </c>
      <c r="K13" t="str">
        <f t="array" ref="K13">INDEX($B$2:$B$501,SMALL(IF($A$2:$A$501=I13,ROW($A$2:$A$501)-ROW(INDEX($A$2:$A$501,1,1))+1),J13))</f>
        <v>KABC</v>
      </c>
      <c r="L13">
        <f t="array" ref="L13">INDEX($C$2:$C$501,SMALL(IF($A$2:$A$501=I13,ROW($A$2:$A$501)-ROW(INDEX($A$2:$A$501,1,1))+1),J13))</f>
        <v>1983</v>
      </c>
      <c r="N13" t="str">
        <f t="shared" si="5"/>
        <v>KABC (1983)</v>
      </c>
      <c r="S13" s="10">
        <v>12</v>
      </c>
      <c r="T13" s="10" t="str">
        <f t="array" ref="T13">IFERROR(INDEX(A$2:$A$501,MATCH(0,COUNTIF($T$1:T12,A$2:$A$501),0)),"")</f>
        <v>Shipley Institute of Living Scale</v>
      </c>
      <c r="U13" s="10">
        <f>IFERROR(MATCH(T13,I$2:$I$501,0),"")</f>
        <v>24</v>
      </c>
      <c r="V13" s="10">
        <f>COUNTIF(I$2:$I$501,T13)</f>
        <v>2</v>
      </c>
      <c r="W13" s="10"/>
      <c r="X13" s="10"/>
    </row>
    <row r="14" spans="1:24" x14ac:dyDescent="0.25">
      <c r="A14" t="str">
        <f>IF(Tests!B15="","",Tests!B15)</f>
        <v>Kaufman Assessment Battery for Children</v>
      </c>
      <c r="B14" t="str">
        <f>IF(Tests!D15="","",Tests!D15)</f>
        <v>KABC-II</v>
      </c>
      <c r="C14">
        <f>IF(Tests!E15="","",Tests!E15)</f>
        <v>2004</v>
      </c>
      <c r="E14" s="54">
        <f t="shared" si="0"/>
        <v>451</v>
      </c>
      <c r="F14" s="54">
        <f t="shared" si="1"/>
        <v>0</v>
      </c>
      <c r="G14" s="54">
        <f t="shared" si="2"/>
        <v>0</v>
      </c>
      <c r="H14" s="54">
        <f t="shared" si="3"/>
        <v>888</v>
      </c>
      <c r="I14" s="56" t="str">
        <f>IFERROR(INDEX($A$2:$A$501,MATCH(SMALL($H$2:$H$501,ROWS($I$2:I14)+$G$502),$H$2:$H$501,0)),"")</f>
        <v>Kaufman Assessment Battery for Children</v>
      </c>
      <c r="J14">
        <f t="shared" si="4"/>
        <v>2</v>
      </c>
      <c r="K14" t="str">
        <f t="array" ref="K14">INDEX($B$2:$B$501,SMALL(IF($A$2:$A$501=I14,ROW($A$2:$A$501)-ROW(INDEX($A$2:$A$501,1,1))+1),J14))</f>
        <v>KABC-II</v>
      </c>
      <c r="L14">
        <f t="array" ref="L14">INDEX($C$2:$C$501,SMALL(IF($A$2:$A$501=I14,ROW($A$2:$A$501)-ROW(INDEX($A$2:$A$501,1,1))+1),J14))</f>
        <v>2004</v>
      </c>
      <c r="N14" t="str">
        <f t="shared" si="5"/>
        <v>KABC-II (2004)</v>
      </c>
      <c r="S14" s="10">
        <v>13</v>
      </c>
      <c r="T14" s="10" t="str">
        <f t="array" ref="T14">IFERROR(INDEX(A$2:$A$501,MATCH(0,COUNTIF($T$1:T13,A$2:$A$501),0)),"")</f>
        <v>Slosson Intelligence Test</v>
      </c>
      <c r="U14" s="10">
        <f>IFERROR(MATCH(T14,I$2:$I$501,0),"")</f>
        <v>26</v>
      </c>
      <c r="V14" s="10">
        <f>COUNTIF(I$2:$I$501,T14)</f>
        <v>5</v>
      </c>
      <c r="W14" s="10"/>
      <c r="X14" s="10"/>
    </row>
    <row r="15" spans="1:24" x14ac:dyDescent="0.25">
      <c r="A15" t="str">
        <f>IF(Tests!B16="","",Tests!B16)</f>
        <v>Kaufman Assessment Battery for Children</v>
      </c>
      <c r="B15" t="str">
        <f>IF(Tests!D16="","",Tests!D16)</f>
        <v>KABC-II NU</v>
      </c>
      <c r="C15">
        <f>IF(Tests!E16="","",Tests!E16)</f>
        <v>2018</v>
      </c>
      <c r="E15" s="54">
        <f t="shared" si="0"/>
        <v>451</v>
      </c>
      <c r="F15" s="54">
        <f t="shared" si="1"/>
        <v>0</v>
      </c>
      <c r="G15" s="54">
        <f t="shared" si="2"/>
        <v>0</v>
      </c>
      <c r="H15" s="54">
        <f t="shared" si="3"/>
        <v>888</v>
      </c>
      <c r="I15" s="56" t="str">
        <f>IFERROR(INDEX($A$2:$A$501,MATCH(SMALL($H$2:$H$501,ROWS($I$2:I15)+$G$502),$H$2:$H$501,0)),"")</f>
        <v>Kaufman Assessment Battery for Children</v>
      </c>
      <c r="J15">
        <f t="shared" si="4"/>
        <v>3</v>
      </c>
      <c r="K15" t="str">
        <f t="array" ref="K15">INDEX($B$2:$B$501,SMALL(IF($A$2:$A$501=I15,ROW($A$2:$A$501)-ROW(INDEX($A$2:$A$501,1,1))+1),J15))</f>
        <v>KABC-II NU</v>
      </c>
      <c r="L15">
        <f t="array" ref="L15">INDEX($C$2:$C$501,SMALL(IF($A$2:$A$501=I15,ROW($A$2:$A$501)-ROW(INDEX($A$2:$A$501,1,1))+1),J15))</f>
        <v>2018</v>
      </c>
      <c r="N15" t="str">
        <f t="shared" si="5"/>
        <v>KABC-II NU (2018)</v>
      </c>
      <c r="S15" s="10">
        <v>14</v>
      </c>
      <c r="T15" s="10" t="str">
        <f t="array" ref="T15">IFERROR(INDEX(A$2:$A$501,MATCH(0,COUNTIF($T$1:T14,A$2:$A$501),0)),"")</f>
        <v>Stanford-Binet</v>
      </c>
      <c r="U15" s="10">
        <f>IFERROR(MATCH(T15,I$2:$I$501,0),"")</f>
        <v>31</v>
      </c>
      <c r="V15" s="10">
        <f>COUNTIF(I$2:$I$501,T15)</f>
        <v>4</v>
      </c>
      <c r="W15" s="10"/>
      <c r="X15" s="10"/>
    </row>
    <row r="16" spans="1:24" x14ac:dyDescent="0.25">
      <c r="A16" t="str">
        <f>IF(Tests!B17="","",Tests!B17)</f>
        <v>Kaufman Brief Intelligence Test</v>
      </c>
      <c r="B16" t="str">
        <f>IF(Tests!D17="","",Tests!D17)</f>
        <v>KBIT</v>
      </c>
      <c r="C16">
        <f>IF(Tests!E17="","",Tests!E17)</f>
        <v>1990</v>
      </c>
      <c r="E16" s="54">
        <f t="shared" si="0"/>
        <v>453</v>
      </c>
      <c r="F16" s="54">
        <f t="shared" si="1"/>
        <v>0</v>
      </c>
      <c r="G16" s="54">
        <f t="shared" si="2"/>
        <v>0</v>
      </c>
      <c r="H16" s="54">
        <f t="shared" si="3"/>
        <v>890</v>
      </c>
      <c r="I16" s="56" t="str">
        <f>IFERROR(INDEX($A$2:$A$501,MATCH(SMALL($H$2:$H$501,ROWS($I$2:I16)+$G$502),$H$2:$H$501,0)),"")</f>
        <v>Kaufman Brief Intelligence Test</v>
      </c>
      <c r="J16">
        <f t="shared" si="4"/>
        <v>1</v>
      </c>
      <c r="K16" t="str">
        <f t="array" ref="K16">INDEX($B$2:$B$501,SMALL(IF($A$2:$A$501=I16,ROW($A$2:$A$501)-ROW(INDEX($A$2:$A$501,1,1))+1),J16))</f>
        <v>KBIT</v>
      </c>
      <c r="L16">
        <f t="array" ref="L16">INDEX($C$2:$C$501,SMALL(IF($A$2:$A$501=I16,ROW($A$2:$A$501)-ROW(INDEX($A$2:$A$501,1,1))+1),J16))</f>
        <v>1990</v>
      </c>
      <c r="N16" t="str">
        <f t="shared" si="5"/>
        <v>KBIT (1990)</v>
      </c>
      <c r="S16" s="10">
        <v>15</v>
      </c>
      <c r="T16" s="10" t="str">
        <f t="array" ref="T16">IFERROR(INDEX(A$2:$A$501,MATCH(0,COUNTIF($T$1:T15,A$2:$A$501),0)),"")</f>
        <v>Test of General Reasoning Ability</v>
      </c>
      <c r="U16" s="10">
        <f>IFERROR(MATCH(T16,I$2:$I$501,0),"")</f>
        <v>35</v>
      </c>
      <c r="V16" s="10">
        <f>COUNTIF(I$2:$I$501,T16)</f>
        <v>1</v>
      </c>
      <c r="W16" s="10"/>
      <c r="X16" s="10"/>
    </row>
    <row r="17" spans="1:24" x14ac:dyDescent="0.25">
      <c r="A17" t="str">
        <f>IF(Tests!B18="","",Tests!B18)</f>
        <v>Kaufman Brief Intelligence Test</v>
      </c>
      <c r="B17" t="str">
        <f>IF(Tests!D18="","",Tests!D18)</f>
        <v>KBIT-2</v>
      </c>
      <c r="C17">
        <f>IF(Tests!E18="","",Tests!E18)</f>
        <v>2004</v>
      </c>
      <c r="E17" s="54">
        <f t="shared" si="0"/>
        <v>453</v>
      </c>
      <c r="F17" s="54">
        <f t="shared" si="1"/>
        <v>0</v>
      </c>
      <c r="G17" s="54">
        <f t="shared" si="2"/>
        <v>0</v>
      </c>
      <c r="H17" s="54">
        <f t="shared" si="3"/>
        <v>890</v>
      </c>
      <c r="I17" s="56" t="str">
        <f>IFERROR(INDEX($A$2:$A$501,MATCH(SMALL($H$2:$H$501,ROWS($I$2:I17)+$G$502),$H$2:$H$501,0)),"")</f>
        <v>Kaufman Brief Intelligence Test</v>
      </c>
      <c r="J17">
        <f t="shared" si="4"/>
        <v>2</v>
      </c>
      <c r="K17" t="str">
        <f t="array" ref="K17">INDEX($B$2:$B$501,SMALL(IF($A$2:$A$501=I17,ROW($A$2:$A$501)-ROW(INDEX($A$2:$A$501,1,1))+1),J17))</f>
        <v>KBIT-2</v>
      </c>
      <c r="L17">
        <f t="array" ref="L17">INDEX($C$2:$C$501,SMALL(IF($A$2:$A$501=I17,ROW($A$2:$A$501)-ROW(INDEX($A$2:$A$501,1,1))+1),J17))</f>
        <v>2004</v>
      </c>
      <c r="N17" t="str">
        <f t="shared" si="5"/>
        <v>KBIT-2 (2004)</v>
      </c>
      <c r="S17" s="10">
        <v>16</v>
      </c>
      <c r="T17" s="10" t="str">
        <f t="array" ref="T17">IFERROR(INDEX(A$2:$A$501,MATCH(0,COUNTIF($T$1:T16,A$2:$A$501),0)),"")</f>
        <v>Test of Nonverbal Intelligence</v>
      </c>
      <c r="U17" s="10">
        <f>IFERROR(MATCH(T17,I$2:$I$501,0),"")</f>
        <v>36</v>
      </c>
      <c r="V17" s="10">
        <f>COUNTIF(I$2:$I$501,T17)</f>
        <v>4</v>
      </c>
      <c r="W17" s="10"/>
      <c r="X17" s="10"/>
    </row>
    <row r="18" spans="1:24" x14ac:dyDescent="0.25">
      <c r="A18" t="str">
        <f>IF(Tests!B19="","",Tests!B19)</f>
        <v>Leiter International Performance Scale</v>
      </c>
      <c r="B18" t="str">
        <f>IF(Tests!D19="","",Tests!D19)</f>
        <v>Leiter</v>
      </c>
      <c r="C18">
        <f>IF(Tests!E19="","",Tests!E19)</f>
        <v>1979</v>
      </c>
      <c r="E18" s="54">
        <f t="shared" si="0"/>
        <v>456</v>
      </c>
      <c r="F18" s="54">
        <f t="shared" si="1"/>
        <v>0</v>
      </c>
      <c r="G18" s="54">
        <f t="shared" si="2"/>
        <v>0</v>
      </c>
      <c r="H18" s="54">
        <f t="shared" si="3"/>
        <v>893</v>
      </c>
      <c r="I18" s="56" t="str">
        <f>IFERROR(INDEX($A$2:$A$501,MATCH(SMALL($H$2:$H$501,ROWS($I$2:I18)+$G$502),$H$2:$H$501,0)),"")</f>
        <v>Leiter International Performance Scale</v>
      </c>
      <c r="J18">
        <f t="shared" si="4"/>
        <v>1</v>
      </c>
      <c r="K18" t="str">
        <f t="array" ref="K18">INDEX($B$2:$B$501,SMALL(IF($A$2:$A$501=I18,ROW($A$2:$A$501)-ROW(INDEX($A$2:$A$501,1,1))+1),J18))</f>
        <v>Leiter</v>
      </c>
      <c r="L18">
        <f t="array" ref="L18">INDEX($C$2:$C$501,SMALL(IF($A$2:$A$501=I18,ROW($A$2:$A$501)-ROW(INDEX($A$2:$A$501,1,1))+1),J18))</f>
        <v>1979</v>
      </c>
      <c r="N18" t="str">
        <f t="shared" si="5"/>
        <v>Leiter (1979)</v>
      </c>
      <c r="S18" s="10">
        <v>17</v>
      </c>
      <c r="T18" s="10" t="str">
        <f t="array" ref="T18">IFERROR(INDEX(A$2:$A$501,MATCH(0,COUNTIF($T$1:T17,A$2:$A$501),0)),"")</f>
        <v>Universal Nonverbal Intelligence Test</v>
      </c>
      <c r="U18" s="10">
        <f>IFERROR(MATCH(T18,I$2:$I$501,0),"")</f>
        <v>40</v>
      </c>
      <c r="V18" s="10">
        <f>COUNTIF(I$2:$I$501,T18)</f>
        <v>2</v>
      </c>
      <c r="W18" s="10"/>
      <c r="X18" s="10"/>
    </row>
    <row r="19" spans="1:24" x14ac:dyDescent="0.25">
      <c r="A19" t="str">
        <f>IF(Tests!B20="","",Tests!B20)</f>
        <v>Leiter International Performance Scale</v>
      </c>
      <c r="B19" t="str">
        <f>IF(Tests!D20="","",Tests!D20)</f>
        <v>Leiter-R</v>
      </c>
      <c r="C19">
        <f>IF(Tests!E20="","",Tests!E20)</f>
        <v>1997</v>
      </c>
      <c r="E19" s="54">
        <f t="shared" si="0"/>
        <v>456</v>
      </c>
      <c r="F19" s="54">
        <f t="shared" si="1"/>
        <v>0</v>
      </c>
      <c r="G19" s="54">
        <f t="shared" si="2"/>
        <v>0</v>
      </c>
      <c r="H19" s="54">
        <f t="shared" si="3"/>
        <v>893</v>
      </c>
      <c r="I19" s="56" t="str">
        <f>IFERROR(INDEX($A$2:$A$501,MATCH(SMALL($H$2:$H$501,ROWS($I$2:I19)+$G$502),$H$2:$H$501,0)),"")</f>
        <v>Leiter International Performance Scale</v>
      </c>
      <c r="J19">
        <f t="shared" si="4"/>
        <v>2</v>
      </c>
      <c r="K19" t="str">
        <f t="array" ref="K19">INDEX($B$2:$B$501,SMALL(IF($A$2:$A$501=I19,ROW($A$2:$A$501)-ROW(INDEX($A$2:$A$501,1,1))+1),J19))</f>
        <v>Leiter-R</v>
      </c>
      <c r="L19">
        <f t="array" ref="L19">INDEX($C$2:$C$501,SMALL(IF($A$2:$A$501=I19,ROW($A$2:$A$501)-ROW(INDEX($A$2:$A$501,1,1))+1),J19))</f>
        <v>1997</v>
      </c>
      <c r="N19" t="str">
        <f t="shared" si="5"/>
        <v>Leiter-R (1997)</v>
      </c>
      <c r="S19" s="10">
        <v>18</v>
      </c>
      <c r="T19" s="10" t="str">
        <f t="array" ref="T19">IFERROR(INDEX(A$2:$A$501,MATCH(0,COUNTIF($T$1:T18,A$2:$A$501),0)),"")</f>
        <v>Wechsler Adult Intelligence Scale</v>
      </c>
      <c r="U19" s="10">
        <f>IFERROR(MATCH(T19,I$2:$I$501,0),"")</f>
        <v>42</v>
      </c>
      <c r="V19" s="10">
        <f>COUNTIF(I$2:$I$501,T19)</f>
        <v>5</v>
      </c>
      <c r="W19" s="10"/>
      <c r="X19" s="10"/>
    </row>
    <row r="20" spans="1:24" x14ac:dyDescent="0.25">
      <c r="A20" t="str">
        <f>IF(Tests!B21="","",Tests!B21)</f>
        <v>Leiter International Performance Scale</v>
      </c>
      <c r="B20" t="str">
        <f>IF(Tests!D21="","",Tests!D21)</f>
        <v>Leiter-3</v>
      </c>
      <c r="C20">
        <f>IF(Tests!E21="","",Tests!E21)</f>
        <v>2013</v>
      </c>
      <c r="E20" s="54">
        <f t="shared" si="0"/>
        <v>456</v>
      </c>
      <c r="F20" s="54">
        <f t="shared" si="1"/>
        <v>0</v>
      </c>
      <c r="G20" s="54">
        <f t="shared" si="2"/>
        <v>0</v>
      </c>
      <c r="H20" s="54">
        <f t="shared" si="3"/>
        <v>893</v>
      </c>
      <c r="I20" s="56" t="str">
        <f>IFERROR(INDEX($A$2:$A$501,MATCH(SMALL($H$2:$H$501,ROWS($I$2:I20)+$G$502),$H$2:$H$501,0)),"")</f>
        <v>Leiter International Performance Scale</v>
      </c>
      <c r="J20">
        <f t="shared" si="4"/>
        <v>3</v>
      </c>
      <c r="K20" t="str">
        <f t="array" ref="K20">INDEX($B$2:$B$501,SMALL(IF($A$2:$A$501=I20,ROW($A$2:$A$501)-ROW(INDEX($A$2:$A$501,1,1))+1),J20))</f>
        <v>Leiter-3</v>
      </c>
      <c r="L20">
        <f t="array" ref="L20">INDEX($C$2:$C$501,SMALL(IF($A$2:$A$501=I20,ROW($A$2:$A$501)-ROW(INDEX($A$2:$A$501,1,1))+1),J20))</f>
        <v>2013</v>
      </c>
      <c r="N20" t="str">
        <f t="shared" si="5"/>
        <v>Leiter-3 (2013)</v>
      </c>
      <c r="S20" s="10">
        <v>19</v>
      </c>
      <c r="T20" s="10" t="str">
        <f t="array" ref="T20">IFERROR(INDEX(A$2:$A$501,MATCH(0,COUNTIF($T$1:T19,A$2:$A$501),0)),"")</f>
        <v>Wechsler Intelligence Scale for Children</v>
      </c>
      <c r="U20" s="10">
        <f>IFERROR(MATCH(T20,I$2:$I$501,0),"")</f>
        <v>47</v>
      </c>
      <c r="V20" s="10">
        <f>COUNTIF(I$2:$I$501,T20)</f>
        <v>6</v>
      </c>
      <c r="W20" s="10"/>
      <c r="X20" s="10"/>
    </row>
    <row r="21" spans="1:24" x14ac:dyDescent="0.25">
      <c r="A21" t="str">
        <f>IF(Tests!B22="","",Tests!B22)</f>
        <v>Naglieri Nonverbal Ability Test</v>
      </c>
      <c r="B21" t="str">
        <f>IF(Tests!D22="","",Tests!D22)</f>
        <v>NNAT</v>
      </c>
      <c r="C21">
        <f>IF(Tests!E22="","",Tests!E22)</f>
        <v>2004</v>
      </c>
      <c r="E21" s="54">
        <f t="shared" si="0"/>
        <v>458</v>
      </c>
      <c r="F21" s="54">
        <f t="shared" si="1"/>
        <v>0</v>
      </c>
      <c r="G21" s="54">
        <f t="shared" si="2"/>
        <v>0</v>
      </c>
      <c r="H21" s="54">
        <f t="shared" si="3"/>
        <v>895</v>
      </c>
      <c r="I21" s="56" t="str">
        <f>IFERROR(INDEX($A$2:$A$501,MATCH(SMALL($H$2:$H$501,ROWS($I$2:I21)+$G$502),$H$2:$H$501,0)),"")</f>
        <v>Naglieri Nonverbal Ability Test</v>
      </c>
      <c r="J21">
        <f t="shared" si="4"/>
        <v>1</v>
      </c>
      <c r="K21" t="str">
        <f t="array" ref="K21">INDEX($B$2:$B$501,SMALL(IF($A$2:$A$501=I21,ROW($A$2:$A$501)-ROW(INDEX($A$2:$A$501,1,1))+1),J21))</f>
        <v>NNAT</v>
      </c>
      <c r="L21">
        <f t="array" ref="L21">INDEX($C$2:$C$501,SMALL(IF($A$2:$A$501=I21,ROW($A$2:$A$501)-ROW(INDEX($A$2:$A$501,1,1))+1),J21))</f>
        <v>2004</v>
      </c>
      <c r="N21" t="str">
        <f t="shared" si="5"/>
        <v>NNAT (2004)</v>
      </c>
      <c r="S21" s="10">
        <v>20</v>
      </c>
      <c r="T21" s="10" t="str">
        <f t="array" ref="T21">IFERROR(INDEX(A$2:$A$501,MATCH(0,COUNTIF($T$1:T20,A$2:$A$501),0)),"")</f>
        <v>Wechsler Nonverbal Scale of Ability</v>
      </c>
      <c r="U21" s="10">
        <f>IFERROR(MATCH(T21,I$2:$I$501,0),"")</f>
        <v>53</v>
      </c>
      <c r="V21" s="10">
        <f>COUNTIF(I$2:$I$501,T21)</f>
        <v>1</v>
      </c>
      <c r="W21" s="10"/>
      <c r="X21" s="10"/>
    </row>
    <row r="22" spans="1:24" x14ac:dyDescent="0.25">
      <c r="A22" t="str">
        <f>IF(Tests!B23="","",Tests!B23)</f>
        <v>Naglieri Nonverbal Ability Test</v>
      </c>
      <c r="B22" t="str">
        <f>IF(Tests!D23="","",Tests!D23)</f>
        <v>NNAT-2</v>
      </c>
      <c r="C22">
        <f>IF(Tests!E23="","",Tests!E23)</f>
        <v>2007</v>
      </c>
      <c r="E22" s="54">
        <f t="shared" si="0"/>
        <v>458</v>
      </c>
      <c r="F22" s="54">
        <f t="shared" si="1"/>
        <v>0</v>
      </c>
      <c r="G22" s="54">
        <f t="shared" si="2"/>
        <v>0</v>
      </c>
      <c r="H22" s="54">
        <f t="shared" si="3"/>
        <v>895</v>
      </c>
      <c r="I22" s="56" t="str">
        <f>IFERROR(INDEX($A$2:$A$501,MATCH(SMALL($H$2:$H$501,ROWS($I$2:I22)+$G$502),$H$2:$H$501,0)),"")</f>
        <v>Naglieri Nonverbal Ability Test</v>
      </c>
      <c r="J22">
        <f t="shared" si="4"/>
        <v>2</v>
      </c>
      <c r="K22" t="str">
        <f t="array" ref="K22">INDEX($B$2:$B$501,SMALL(IF($A$2:$A$501=I22,ROW($A$2:$A$501)-ROW(INDEX($A$2:$A$501,1,1))+1),J22))</f>
        <v>NNAT-2</v>
      </c>
      <c r="L22">
        <f t="array" ref="L22">INDEX($C$2:$C$501,SMALL(IF($A$2:$A$501=I22,ROW($A$2:$A$501)-ROW(INDEX($A$2:$A$501,1,1))+1),J22))</f>
        <v>2007</v>
      </c>
      <c r="N22" t="str">
        <f t="shared" si="5"/>
        <v>NNAT-2 (2007)</v>
      </c>
      <c r="S22" s="10">
        <v>21</v>
      </c>
      <c r="T22" s="10" t="str">
        <f t="array" ref="T22">IFERROR(INDEX(A$2:$A$501,MATCH(0,COUNTIF($T$1:T21,A$2:$A$501),0)),"")</f>
        <v>Weschler Abbreviated Scale of Intelligence</v>
      </c>
      <c r="U22" s="10">
        <f>IFERROR(MATCH(T22,I$2:$I$501,0),"")</f>
        <v>54</v>
      </c>
      <c r="V22" s="10">
        <f>COUNTIF(I$2:$I$501,T22)</f>
        <v>2</v>
      </c>
      <c r="W22" s="10"/>
      <c r="X22" s="10"/>
    </row>
    <row r="23" spans="1:24" x14ac:dyDescent="0.25">
      <c r="A23" t="str">
        <f>IF(Tests!B24="","",Tests!B24)</f>
        <v>Reynolds Intellectual Assessment Scales</v>
      </c>
      <c r="B23" t="str">
        <f>IF(Tests!D24="","",Tests!D24)</f>
        <v>RIAS</v>
      </c>
      <c r="C23">
        <f>IF(Tests!E24="","",Tests!E24)</f>
        <v>2003</v>
      </c>
      <c r="E23" s="54">
        <f t="shared" si="0"/>
        <v>460</v>
      </c>
      <c r="F23" s="54">
        <f t="shared" si="1"/>
        <v>0</v>
      </c>
      <c r="G23" s="54">
        <f t="shared" si="2"/>
        <v>0</v>
      </c>
      <c r="H23" s="54">
        <f t="shared" si="3"/>
        <v>897</v>
      </c>
      <c r="I23" s="56" t="str">
        <f>IFERROR(INDEX($A$2:$A$501,MATCH(SMALL($H$2:$H$501,ROWS($I$2:I23)+$G$502),$H$2:$H$501,0)),"")</f>
        <v>Reynolds Intellectual Assessment Scales</v>
      </c>
      <c r="J23">
        <f t="shared" si="4"/>
        <v>1</v>
      </c>
      <c r="K23" t="str">
        <f t="array" ref="K23">INDEX($B$2:$B$501,SMALL(IF($A$2:$A$501=I23,ROW($A$2:$A$501)-ROW(INDEX($A$2:$A$501,1,1))+1),J23))</f>
        <v>RIAS</v>
      </c>
      <c r="L23">
        <f t="array" ref="L23">INDEX($C$2:$C$501,SMALL(IF($A$2:$A$501=I23,ROW($A$2:$A$501)-ROW(INDEX($A$2:$A$501,1,1))+1),J23))</f>
        <v>2003</v>
      </c>
      <c r="N23" t="str">
        <f t="shared" si="5"/>
        <v>RIAS (2003)</v>
      </c>
      <c r="S23" s="10">
        <v>22</v>
      </c>
      <c r="T23" s="10" t="str">
        <f t="array" ref="T23">IFERROR(INDEX(A$2:$A$501,MATCH(0,COUNTIF($T$1:T22,A$2:$A$501),0)),"")</f>
        <v>Wide Range Intelligence Test</v>
      </c>
      <c r="U23" s="10">
        <f>IFERROR(MATCH(T23,I$2:$I$501,0),"")</f>
        <v>56</v>
      </c>
      <c r="V23" s="10">
        <f>COUNTIF(I$2:$I$501,T23)</f>
        <v>1</v>
      </c>
      <c r="W23" s="10"/>
      <c r="X23" s="10"/>
    </row>
    <row r="24" spans="1:24" x14ac:dyDescent="0.25">
      <c r="A24" t="str">
        <f>IF(Tests!B25="","",Tests!B25)</f>
        <v>Reynolds Intellectual Assessment Scales</v>
      </c>
      <c r="B24" t="str">
        <f>IF(Tests!D25="","",Tests!D25)</f>
        <v>RIAS-II</v>
      </c>
      <c r="C24">
        <f>IF(Tests!E25="","",Tests!E25)</f>
        <v>2015</v>
      </c>
      <c r="E24" s="54">
        <f t="shared" si="0"/>
        <v>460</v>
      </c>
      <c r="F24" s="54">
        <f t="shared" si="1"/>
        <v>0</v>
      </c>
      <c r="G24" s="54">
        <f t="shared" si="2"/>
        <v>0</v>
      </c>
      <c r="H24" s="54">
        <f t="shared" si="3"/>
        <v>897</v>
      </c>
      <c r="I24" s="56" t="str">
        <f>IFERROR(INDEX($A$2:$A$501,MATCH(SMALL($H$2:$H$501,ROWS($I$2:I24)+$G$502),$H$2:$H$501,0)),"")</f>
        <v>Reynolds Intellectual Assessment Scales</v>
      </c>
      <c r="J24">
        <f t="shared" si="4"/>
        <v>2</v>
      </c>
      <c r="K24" t="str">
        <f t="array" ref="K24">INDEX($B$2:$B$501,SMALL(IF($A$2:$A$501=I24,ROW($A$2:$A$501)-ROW(INDEX($A$2:$A$501,1,1))+1),J24))</f>
        <v>RIAS-II</v>
      </c>
      <c r="L24">
        <f t="array" ref="L24">INDEX($C$2:$C$501,SMALL(IF($A$2:$A$501=I24,ROW($A$2:$A$501)-ROW(INDEX($A$2:$A$501,1,1))+1),J24))</f>
        <v>2015</v>
      </c>
      <c r="N24" t="str">
        <f t="shared" si="5"/>
        <v>RIAS-II (2015)</v>
      </c>
      <c r="S24" s="10">
        <v>23</v>
      </c>
      <c r="T24" s="10" t="str">
        <f t="array" ref="T24">IFERROR(INDEX(A$2:$A$501,MATCH(0,COUNTIF($T$1:T23,A$2:$A$501),0)),"")</f>
        <v>Woodcock-Johnson Tests of Cognitive Ability</v>
      </c>
      <c r="U24" s="10">
        <f>IFERROR(MATCH(T24,I$2:$I$501,0),"")</f>
        <v>57</v>
      </c>
      <c r="V24" s="10">
        <f>COUNTIF(I$2:$I$501,T24)</f>
        <v>7</v>
      </c>
      <c r="W24" s="10"/>
      <c r="X24" s="10"/>
    </row>
    <row r="25" spans="1:24" x14ac:dyDescent="0.25">
      <c r="A25" t="str">
        <f>IF(Tests!B26="","",Tests!B26)</f>
        <v>Shipley Institute of Living Scale</v>
      </c>
      <c r="B25" t="str">
        <f>IF(Tests!D26="","",Tests!D26)</f>
        <v>SILS</v>
      </c>
      <c r="C25">
        <f>IF(Tests!E26="","",Tests!E26)</f>
        <v>1946</v>
      </c>
      <c r="E25" s="54">
        <f t="shared" si="0"/>
        <v>462</v>
      </c>
      <c r="F25" s="54">
        <f t="shared" si="1"/>
        <v>0</v>
      </c>
      <c r="G25" s="54">
        <f t="shared" si="2"/>
        <v>0</v>
      </c>
      <c r="H25" s="54">
        <f t="shared" si="3"/>
        <v>899</v>
      </c>
      <c r="I25" s="56" t="str">
        <f>IFERROR(INDEX($A$2:$A$501,MATCH(SMALL($H$2:$H$501,ROWS($I$2:I25)+$G$502),$H$2:$H$501,0)),"")</f>
        <v>Shipley Institute of Living Scale</v>
      </c>
      <c r="J25">
        <f t="shared" si="4"/>
        <v>1</v>
      </c>
      <c r="K25" t="str">
        <f t="array" ref="K25">INDEX($B$2:$B$501,SMALL(IF($A$2:$A$501=I25,ROW($A$2:$A$501)-ROW(INDEX($A$2:$A$501,1,1))+1),J25))</f>
        <v>SILS</v>
      </c>
      <c r="L25">
        <f t="array" ref="L25">INDEX($C$2:$C$501,SMALL(IF($A$2:$A$501=I25,ROW($A$2:$A$501)-ROW(INDEX($A$2:$A$501,1,1))+1),J25))</f>
        <v>1946</v>
      </c>
      <c r="N25" t="str">
        <f t="shared" si="5"/>
        <v>SILS (1946)</v>
      </c>
      <c r="S25" s="10">
        <v>24</v>
      </c>
      <c r="T25" s="10" t="str">
        <f t="array" ref="T25">IFERROR(INDEX(A$2:$A$501,MATCH(0,COUNTIF($T$1:T24,A$2:$A$501),0)),"")</f>
        <v/>
      </c>
      <c r="U25" s="10">
        <f>IFERROR(MATCH(T25,I$2:$I$501,0),"")</f>
        <v>64</v>
      </c>
      <c r="V25" s="10">
        <f>COUNTIF(I$2:$I$501,T25)</f>
        <v>437</v>
      </c>
      <c r="W25" s="10"/>
      <c r="X25" s="10"/>
    </row>
    <row r="26" spans="1:24" x14ac:dyDescent="0.25">
      <c r="A26" t="str">
        <f>IF(Tests!B27="","",Tests!B27)</f>
        <v>Shipley Institute of Living Scale</v>
      </c>
      <c r="B26" t="str">
        <f>IF(Tests!D27="","",Tests!D27)</f>
        <v>Shipley-2</v>
      </c>
      <c r="C26">
        <f>IF(Tests!E27="","",Tests!E27)</f>
        <v>2009</v>
      </c>
      <c r="E26" s="54">
        <f t="shared" si="0"/>
        <v>462</v>
      </c>
      <c r="F26" s="54">
        <f t="shared" si="1"/>
        <v>0</v>
      </c>
      <c r="G26" s="54">
        <f t="shared" si="2"/>
        <v>0</v>
      </c>
      <c r="H26" s="54">
        <f t="shared" si="3"/>
        <v>899</v>
      </c>
      <c r="I26" s="56" t="str">
        <f>IFERROR(INDEX($A$2:$A$501,MATCH(SMALL($H$2:$H$501,ROWS($I$2:I26)+$G$502),$H$2:$H$501,0)),"")</f>
        <v>Shipley Institute of Living Scale</v>
      </c>
      <c r="J26">
        <f t="shared" si="4"/>
        <v>2</v>
      </c>
      <c r="K26" t="str">
        <f t="array" ref="K26">INDEX($B$2:$B$501,SMALL(IF($A$2:$A$501=I26,ROW($A$2:$A$501)-ROW(INDEX($A$2:$A$501,1,1))+1),J26))</f>
        <v>Shipley-2</v>
      </c>
      <c r="L26">
        <f t="array" ref="L26">INDEX($C$2:$C$501,SMALL(IF($A$2:$A$501=I26,ROW($A$2:$A$501)-ROW(INDEX($A$2:$A$501,1,1))+1),J26))</f>
        <v>2009</v>
      </c>
      <c r="N26" t="str">
        <f t="shared" si="5"/>
        <v>Shipley-2 (2009)</v>
      </c>
      <c r="S26" s="10">
        <v>25</v>
      </c>
      <c r="T26" s="10" t="str">
        <f t="array" ref="T26">IFERROR(INDEX(A$2:$A$501,MATCH(0,COUNTIF($T$1:T25,A$2:$A$501),0)),"")</f>
        <v/>
      </c>
      <c r="U26" s="10">
        <f>IFERROR(MATCH(T26,I$2:$I$501,0),"")</f>
        <v>64</v>
      </c>
      <c r="V26" s="10">
        <f>COUNTIF(I$2:$I$501,T26)</f>
        <v>437</v>
      </c>
      <c r="W26" s="10"/>
      <c r="X26" s="10"/>
    </row>
    <row r="27" spans="1:24" x14ac:dyDescent="0.25">
      <c r="A27" t="str">
        <f>IF(Tests!B28="","",Tests!B28)</f>
        <v>Slosson Intelligence Test</v>
      </c>
      <c r="B27" t="str">
        <f>IF(Tests!D28="","",Tests!D28)</f>
        <v>SIT</v>
      </c>
      <c r="C27">
        <f>IF(Tests!E28="","",Tests!E28)</f>
        <v>1963</v>
      </c>
      <c r="E27" s="54">
        <f t="shared" si="0"/>
        <v>467</v>
      </c>
      <c r="F27" s="54">
        <f t="shared" si="1"/>
        <v>0</v>
      </c>
      <c r="G27" s="54">
        <f t="shared" si="2"/>
        <v>0</v>
      </c>
      <c r="H27" s="54">
        <f t="shared" si="3"/>
        <v>904</v>
      </c>
      <c r="I27" s="56" t="str">
        <f>IFERROR(INDEX($A$2:$A$501,MATCH(SMALL($H$2:$H$501,ROWS($I$2:I27)+$G$502),$H$2:$H$501,0)),"")</f>
        <v>Slosson Intelligence Test</v>
      </c>
      <c r="J27">
        <f t="shared" si="4"/>
        <v>1</v>
      </c>
      <c r="K27" t="str">
        <f t="array" ref="K27">INDEX($B$2:$B$501,SMALL(IF($A$2:$A$501=I27,ROW($A$2:$A$501)-ROW(INDEX($A$2:$A$501,1,1))+1),J27))</f>
        <v>SIT</v>
      </c>
      <c r="L27">
        <f t="array" ref="L27">INDEX($C$2:$C$501,SMALL(IF($A$2:$A$501=I27,ROW($A$2:$A$501)-ROW(INDEX($A$2:$A$501,1,1))+1),J27))</f>
        <v>1963</v>
      </c>
      <c r="N27" t="str">
        <f t="shared" si="5"/>
        <v>SIT (1963)</v>
      </c>
      <c r="S27" s="10">
        <v>26</v>
      </c>
      <c r="T27" s="10" t="str">
        <f t="array" ref="T27">IFERROR(INDEX(A$2:$A$501,MATCH(0,COUNTIF($T$1:T26,A$2:$A$501),0)),"")</f>
        <v/>
      </c>
      <c r="U27" s="10">
        <f>IFERROR(MATCH(T27,I$2:$I$501,0),"")</f>
        <v>64</v>
      </c>
      <c r="V27" s="10">
        <f>COUNTIF(I$2:$I$501,T27)</f>
        <v>437</v>
      </c>
      <c r="W27" s="10"/>
      <c r="X27" s="10"/>
    </row>
    <row r="28" spans="1:24" x14ac:dyDescent="0.25">
      <c r="A28" t="str">
        <f>IF(Tests!B29="","",Tests!B29)</f>
        <v>Slosson Intelligence Test</v>
      </c>
      <c r="B28" t="str">
        <f>IF(Tests!D29="","",Tests!D29)</f>
        <v>SIT expanded norms</v>
      </c>
      <c r="C28">
        <f>IF(Tests!E29="","",Tests!E29)</f>
        <v>1981</v>
      </c>
      <c r="E28" s="54">
        <f t="shared" si="0"/>
        <v>467</v>
      </c>
      <c r="F28" s="54">
        <f t="shared" si="1"/>
        <v>0</v>
      </c>
      <c r="G28" s="54">
        <f t="shared" si="2"/>
        <v>0</v>
      </c>
      <c r="H28" s="54">
        <f t="shared" si="3"/>
        <v>904</v>
      </c>
      <c r="I28" s="56" t="str">
        <f>IFERROR(INDEX($A$2:$A$501,MATCH(SMALL($H$2:$H$501,ROWS($I$2:I28)+$G$502),$H$2:$H$501,0)),"")</f>
        <v>Slosson Intelligence Test</v>
      </c>
      <c r="J28">
        <f t="shared" si="4"/>
        <v>2</v>
      </c>
      <c r="K28" t="str">
        <f t="array" ref="K28">INDEX($B$2:$B$501,SMALL(IF($A$2:$A$501=I28,ROW($A$2:$A$501)-ROW(INDEX($A$2:$A$501,1,1))+1),J28))</f>
        <v>SIT expanded norms</v>
      </c>
      <c r="L28">
        <f t="array" ref="L28">INDEX($C$2:$C$501,SMALL(IF($A$2:$A$501=I28,ROW($A$2:$A$501)-ROW(INDEX($A$2:$A$501,1,1))+1),J28))</f>
        <v>1981</v>
      </c>
      <c r="N28" t="str">
        <f t="shared" si="5"/>
        <v>SIT expanded norms (1981)</v>
      </c>
      <c r="S28" s="10">
        <v>27</v>
      </c>
      <c r="T28" s="10" t="str">
        <f t="array" ref="T28">IFERROR(INDEX(A$2:$A$501,MATCH(0,COUNTIF($T$1:T27,A$2:$A$501),0)),"")</f>
        <v/>
      </c>
      <c r="U28" s="10">
        <f>IFERROR(MATCH(T28,I$2:$I$501,0),"")</f>
        <v>64</v>
      </c>
      <c r="V28" s="10">
        <f>COUNTIF(I$2:$I$501,T28)</f>
        <v>437</v>
      </c>
      <c r="W28" s="10"/>
      <c r="X28" s="10"/>
    </row>
    <row r="29" spans="1:24" x14ac:dyDescent="0.25">
      <c r="A29" t="str">
        <f>IF(Tests!B30="","",Tests!B30)</f>
        <v>Slosson Intelligence Test</v>
      </c>
      <c r="B29" t="str">
        <f>IF(Tests!D30="","",Tests!D30)</f>
        <v>SIT-R</v>
      </c>
      <c r="C29">
        <f>IF(Tests!E30="","",Tests!E30)</f>
        <v>1991</v>
      </c>
      <c r="E29" s="54">
        <f t="shared" si="0"/>
        <v>467</v>
      </c>
      <c r="F29" s="54">
        <f t="shared" si="1"/>
        <v>0</v>
      </c>
      <c r="G29" s="54">
        <f t="shared" si="2"/>
        <v>0</v>
      </c>
      <c r="H29" s="54">
        <f t="shared" si="3"/>
        <v>904</v>
      </c>
      <c r="I29" s="56" t="str">
        <f>IFERROR(INDEX($A$2:$A$501,MATCH(SMALL($H$2:$H$501,ROWS($I$2:I29)+$G$502),$H$2:$H$501,0)),"")</f>
        <v>Slosson Intelligence Test</v>
      </c>
      <c r="J29">
        <f t="shared" si="4"/>
        <v>3</v>
      </c>
      <c r="K29" t="str">
        <f t="array" ref="K29">INDEX($B$2:$B$501,SMALL(IF($A$2:$A$501=I29,ROW($A$2:$A$501)-ROW(INDEX($A$2:$A$501,1,1))+1),J29))</f>
        <v>SIT-R</v>
      </c>
      <c r="L29">
        <f t="array" ref="L29">INDEX($C$2:$C$501,SMALL(IF($A$2:$A$501=I29,ROW($A$2:$A$501)-ROW(INDEX($A$2:$A$501,1,1))+1),J29))</f>
        <v>1991</v>
      </c>
      <c r="N29" t="str">
        <f t="shared" si="5"/>
        <v>SIT-R (1991)</v>
      </c>
      <c r="S29" s="10">
        <v>28</v>
      </c>
      <c r="T29" s="10" t="str">
        <f t="array" ref="T29">IFERROR(INDEX(A$2:$A$501,MATCH(0,COUNTIF($T$1:T28,A$2:$A$501),0)),"")</f>
        <v/>
      </c>
      <c r="U29" s="10">
        <f>IFERROR(MATCH(T29,I$2:$I$501,0),"")</f>
        <v>64</v>
      </c>
      <c r="V29" s="10">
        <f>COUNTIF(I$2:$I$501,T29)</f>
        <v>437</v>
      </c>
      <c r="W29" s="10"/>
      <c r="X29" s="10"/>
    </row>
    <row r="30" spans="1:24" x14ac:dyDescent="0.25">
      <c r="A30" t="str">
        <f>IF(Tests!B31="","",Tests!B31)</f>
        <v>Slosson Intelligence Test</v>
      </c>
      <c r="B30" t="str">
        <f>IF(Tests!D31="","",Tests!D31)</f>
        <v>SIT-R3</v>
      </c>
      <c r="C30">
        <f>IF(Tests!E31="","",Tests!E31)</f>
        <v>2002</v>
      </c>
      <c r="E30" s="54">
        <f t="shared" si="0"/>
        <v>467</v>
      </c>
      <c r="F30" s="54">
        <f t="shared" si="1"/>
        <v>0</v>
      </c>
      <c r="G30" s="54">
        <f t="shared" si="2"/>
        <v>0</v>
      </c>
      <c r="H30" s="54">
        <f t="shared" si="3"/>
        <v>904</v>
      </c>
      <c r="I30" s="56" t="str">
        <f>IFERROR(INDEX($A$2:$A$501,MATCH(SMALL($H$2:$H$501,ROWS($I$2:I30)+$G$502),$H$2:$H$501,0)),"")</f>
        <v>Slosson Intelligence Test</v>
      </c>
      <c r="J30">
        <f t="shared" si="4"/>
        <v>4</v>
      </c>
      <c r="K30" t="str">
        <f t="array" ref="K30">INDEX($B$2:$B$501,SMALL(IF($A$2:$A$501=I30,ROW($A$2:$A$501)-ROW(INDEX($A$2:$A$501,1,1))+1),J30))</f>
        <v>SIT-R3</v>
      </c>
      <c r="L30">
        <f t="array" ref="L30">INDEX($C$2:$C$501,SMALL(IF($A$2:$A$501=I30,ROW($A$2:$A$501)-ROW(INDEX($A$2:$A$501,1,1))+1),J30))</f>
        <v>2002</v>
      </c>
      <c r="N30" t="str">
        <f t="shared" si="5"/>
        <v>SIT-R3 (2002)</v>
      </c>
      <c r="S30" s="10">
        <v>29</v>
      </c>
      <c r="T30" s="10" t="str">
        <f t="array" ref="T30">IFERROR(INDEX(A$2:$A$501,MATCH(0,COUNTIF($T$1:T29,A$2:$A$501),0)),"")</f>
        <v/>
      </c>
      <c r="U30" s="10">
        <f>IFERROR(MATCH(T30,I$2:$I$501,0),"")</f>
        <v>64</v>
      </c>
      <c r="V30" s="10">
        <f>COUNTIF(I$2:$I$501,T30)</f>
        <v>437</v>
      </c>
      <c r="W30" s="10"/>
      <c r="X30" s="10"/>
    </row>
    <row r="31" spans="1:24" x14ac:dyDescent="0.25">
      <c r="A31" t="str">
        <f>IF(Tests!B32="","",Tests!B32)</f>
        <v>Slosson Intelligence Test</v>
      </c>
      <c r="B31" t="str">
        <f>IF(Tests!D32="","",Tests!D32)</f>
        <v>SIT-4</v>
      </c>
      <c r="C31">
        <f>IF(Tests!E32="","",Tests!E32)</f>
        <v>2018</v>
      </c>
      <c r="E31" s="54">
        <f t="shared" si="0"/>
        <v>467</v>
      </c>
      <c r="F31" s="54">
        <f t="shared" si="1"/>
        <v>0</v>
      </c>
      <c r="G31" s="54">
        <f t="shared" si="2"/>
        <v>0</v>
      </c>
      <c r="H31" s="54">
        <f t="shared" si="3"/>
        <v>904</v>
      </c>
      <c r="I31" s="56" t="str">
        <f>IFERROR(INDEX($A$2:$A$501,MATCH(SMALL($H$2:$H$501,ROWS($I$2:I31)+$G$502),$H$2:$H$501,0)),"")</f>
        <v>Slosson Intelligence Test</v>
      </c>
      <c r="J31">
        <f t="shared" si="4"/>
        <v>5</v>
      </c>
      <c r="K31" t="str">
        <f t="array" ref="K31">INDEX($B$2:$B$501,SMALL(IF($A$2:$A$501=I31,ROW($A$2:$A$501)-ROW(INDEX($A$2:$A$501,1,1))+1),J31))</f>
        <v>SIT-4</v>
      </c>
      <c r="L31">
        <f t="array" ref="L31">INDEX($C$2:$C$501,SMALL(IF($A$2:$A$501=I31,ROW($A$2:$A$501)-ROW(INDEX($A$2:$A$501,1,1))+1),J31))</f>
        <v>2018</v>
      </c>
      <c r="N31" t="str">
        <f t="shared" si="5"/>
        <v>SIT-4 (2018)</v>
      </c>
      <c r="S31" s="10">
        <v>30</v>
      </c>
      <c r="T31" s="10" t="str">
        <f t="array" ref="T31">IFERROR(INDEX(A$2:$A$501,MATCH(0,COUNTIF($T$1:T30,A$2:$A$501),0)),"")</f>
        <v/>
      </c>
      <c r="U31" s="10">
        <f>IFERROR(MATCH(T31,I$2:$I$501,0),"")</f>
        <v>64</v>
      </c>
      <c r="V31" s="10">
        <f>COUNTIF(I$2:$I$501,T31)</f>
        <v>437</v>
      </c>
      <c r="W31" s="10"/>
      <c r="X31" s="10"/>
    </row>
    <row r="32" spans="1:24" x14ac:dyDescent="0.25">
      <c r="A32" t="str">
        <f>IF(Tests!B33="","",Tests!B33)</f>
        <v>Stanford-Binet</v>
      </c>
      <c r="B32" t="str">
        <f>IF(Tests!D33="","",Tests!D33)</f>
        <v>SBLM</v>
      </c>
      <c r="C32">
        <f>IF(Tests!E33="","",Tests!E33)</f>
        <v>1962</v>
      </c>
      <c r="E32" s="54">
        <f t="shared" si="0"/>
        <v>471</v>
      </c>
      <c r="F32" s="54">
        <f t="shared" si="1"/>
        <v>0</v>
      </c>
      <c r="G32" s="54">
        <f t="shared" si="2"/>
        <v>0</v>
      </c>
      <c r="H32" s="54">
        <f t="shared" si="3"/>
        <v>908</v>
      </c>
      <c r="I32" s="56" t="str">
        <f>IFERROR(INDEX($A$2:$A$501,MATCH(SMALL($H$2:$H$501,ROWS($I$2:I32)+$G$502),$H$2:$H$501,0)),"")</f>
        <v>Stanford-Binet</v>
      </c>
      <c r="J32">
        <f t="shared" si="4"/>
        <v>1</v>
      </c>
      <c r="K32" t="str">
        <f t="array" ref="K32">INDEX($B$2:$B$501,SMALL(IF($A$2:$A$501=I32,ROW($A$2:$A$501)-ROW(INDEX($A$2:$A$501,1,1))+1),J32))</f>
        <v>SBLM</v>
      </c>
      <c r="L32">
        <f t="array" ref="L32">INDEX($C$2:$C$501,SMALL(IF($A$2:$A$501=I32,ROW($A$2:$A$501)-ROW(INDEX($A$2:$A$501,1,1))+1),J32))</f>
        <v>1962</v>
      </c>
      <c r="N32" t="str">
        <f t="shared" si="5"/>
        <v>SBLM (1962)</v>
      </c>
      <c r="S32" s="10">
        <v>31</v>
      </c>
      <c r="T32" s="10" t="str">
        <f t="array" ref="T32">IFERROR(INDEX(A$2:$A$501,MATCH(0,COUNTIF($T$1:T31,A$2:$A$501),0)),"")</f>
        <v/>
      </c>
      <c r="U32" s="10">
        <f>IFERROR(MATCH(T32,I$2:$I$501,0),"")</f>
        <v>64</v>
      </c>
      <c r="V32" s="10">
        <f>COUNTIF(I$2:$I$501,T32)</f>
        <v>437</v>
      </c>
      <c r="W32" s="10"/>
      <c r="X32" s="10"/>
    </row>
    <row r="33" spans="1:24" x14ac:dyDescent="0.25">
      <c r="A33" t="str">
        <f>IF(Tests!B34="","",Tests!B34)</f>
        <v>Stanford-Binet</v>
      </c>
      <c r="B33" t="str">
        <f>IF(Tests!D34="","",Tests!D34)</f>
        <v>SBLM Updated</v>
      </c>
      <c r="C33">
        <f>IF(Tests!E34="","",Tests!E34)</f>
        <v>1973</v>
      </c>
      <c r="E33" s="54">
        <f t="shared" si="0"/>
        <v>471</v>
      </c>
      <c r="F33" s="54">
        <f t="shared" si="1"/>
        <v>0</v>
      </c>
      <c r="G33" s="54">
        <f t="shared" si="2"/>
        <v>0</v>
      </c>
      <c r="H33" s="54">
        <f t="shared" si="3"/>
        <v>908</v>
      </c>
      <c r="I33" s="56" t="str">
        <f>IFERROR(INDEX($A$2:$A$501,MATCH(SMALL($H$2:$H$501,ROWS($I$2:I33)+$G$502),$H$2:$H$501,0)),"")</f>
        <v>Stanford-Binet</v>
      </c>
      <c r="J33">
        <f t="shared" si="4"/>
        <v>2</v>
      </c>
      <c r="K33" t="str">
        <f t="array" ref="K33">INDEX($B$2:$B$501,SMALL(IF($A$2:$A$501=I33,ROW($A$2:$A$501)-ROW(INDEX($A$2:$A$501,1,1))+1),J33))</f>
        <v>SBLM Updated</v>
      </c>
      <c r="L33">
        <f t="array" ref="L33">INDEX($C$2:$C$501,SMALL(IF($A$2:$A$501=I33,ROW($A$2:$A$501)-ROW(INDEX($A$2:$A$501,1,1))+1),J33))</f>
        <v>1973</v>
      </c>
      <c r="N33" t="str">
        <f t="shared" si="5"/>
        <v>SBLM Updated (1973)</v>
      </c>
      <c r="S33" s="10">
        <v>32</v>
      </c>
      <c r="T33" s="10" t="str">
        <f t="array" ref="T33">IFERROR(INDEX(A$2:$A$501,MATCH(0,COUNTIF($T$1:T32,A$2:$A$501),0)),"")</f>
        <v/>
      </c>
      <c r="U33" s="10">
        <f>IFERROR(MATCH(T33,I$2:$I$501,0),"")</f>
        <v>64</v>
      </c>
      <c r="V33" s="10">
        <f>COUNTIF(I$2:$I$501,T33)</f>
        <v>437</v>
      </c>
      <c r="W33" s="10"/>
      <c r="X33" s="10"/>
    </row>
    <row r="34" spans="1:24" x14ac:dyDescent="0.25">
      <c r="A34" t="str">
        <f>IF(Tests!B35="","",Tests!B35)</f>
        <v>Stanford-Binet</v>
      </c>
      <c r="B34" t="str">
        <f>IF(Tests!D35="","",Tests!D35)</f>
        <v>SBIV</v>
      </c>
      <c r="C34">
        <f>IF(Tests!E35="","",Tests!E35)</f>
        <v>1986</v>
      </c>
      <c r="E34" s="54">
        <f t="shared" si="0"/>
        <v>471</v>
      </c>
      <c r="F34" s="54">
        <f t="shared" si="1"/>
        <v>0</v>
      </c>
      <c r="G34" s="54">
        <f t="shared" si="2"/>
        <v>0</v>
      </c>
      <c r="H34" s="54">
        <f t="shared" si="3"/>
        <v>908</v>
      </c>
      <c r="I34" s="56" t="str">
        <f>IFERROR(INDEX($A$2:$A$501,MATCH(SMALL($H$2:$H$501,ROWS($I$2:I34)+$G$502),$H$2:$H$501,0)),"")</f>
        <v>Stanford-Binet</v>
      </c>
      <c r="J34">
        <f t="shared" si="4"/>
        <v>3</v>
      </c>
      <c r="K34" t="str">
        <f t="array" ref="K34">INDEX($B$2:$B$501,SMALL(IF($A$2:$A$501=I34,ROW($A$2:$A$501)-ROW(INDEX($A$2:$A$501,1,1))+1),J34))</f>
        <v>SBIV</v>
      </c>
      <c r="L34">
        <f t="array" ref="L34">INDEX($C$2:$C$501,SMALL(IF($A$2:$A$501=I34,ROW($A$2:$A$501)-ROW(INDEX($A$2:$A$501,1,1))+1),J34))</f>
        <v>1986</v>
      </c>
      <c r="N34" t="str">
        <f t="shared" si="5"/>
        <v>SBIV (1986)</v>
      </c>
      <c r="S34" s="10">
        <v>33</v>
      </c>
      <c r="T34" s="10" t="str">
        <f t="array" ref="T34">IFERROR(INDEX(A$2:$A$501,MATCH(0,COUNTIF($T$1:T33,A$2:$A$501),0)),"")</f>
        <v/>
      </c>
      <c r="U34" s="10">
        <f>IFERROR(MATCH(T34,I$2:$I$501,0),"")</f>
        <v>64</v>
      </c>
      <c r="V34" s="10">
        <f>COUNTIF(I$2:$I$501,T34)</f>
        <v>437</v>
      </c>
      <c r="W34" s="10"/>
      <c r="X34" s="10"/>
    </row>
    <row r="35" spans="1:24" x14ac:dyDescent="0.25">
      <c r="A35" t="str">
        <f>IF(Tests!B36="","",Tests!B36)</f>
        <v>Stanford-Binet</v>
      </c>
      <c r="B35" t="str">
        <f>IF(Tests!D36="","",Tests!D36)</f>
        <v>SB5</v>
      </c>
      <c r="C35">
        <f>IF(Tests!E36="","",Tests!E36)</f>
        <v>2003</v>
      </c>
      <c r="E35" s="54">
        <f t="shared" si="0"/>
        <v>471</v>
      </c>
      <c r="F35" s="54">
        <f t="shared" si="1"/>
        <v>0</v>
      </c>
      <c r="G35" s="54">
        <f t="shared" si="2"/>
        <v>0</v>
      </c>
      <c r="H35" s="54">
        <f t="shared" si="3"/>
        <v>908</v>
      </c>
      <c r="I35" s="56" t="str">
        <f>IFERROR(INDEX($A$2:$A$501,MATCH(SMALL($H$2:$H$501,ROWS($I$2:I35)+$G$502),$H$2:$H$501,0)),"")</f>
        <v>Stanford-Binet</v>
      </c>
      <c r="J35">
        <f t="shared" si="4"/>
        <v>4</v>
      </c>
      <c r="K35" t="str">
        <f t="array" ref="K35">INDEX($B$2:$B$501,SMALL(IF($A$2:$A$501=I35,ROW($A$2:$A$501)-ROW(INDEX($A$2:$A$501,1,1))+1),J35))</f>
        <v>SB5</v>
      </c>
      <c r="L35">
        <f t="array" ref="L35">INDEX($C$2:$C$501,SMALL(IF($A$2:$A$501=I35,ROW($A$2:$A$501)-ROW(INDEX($A$2:$A$501,1,1))+1),J35))</f>
        <v>2003</v>
      </c>
      <c r="N35" t="str">
        <f t="shared" si="5"/>
        <v>SB5 (2003)</v>
      </c>
      <c r="S35" s="10">
        <v>34</v>
      </c>
      <c r="T35" s="10" t="str">
        <f t="array" ref="T35">IFERROR(INDEX(A$2:$A$501,MATCH(0,COUNTIF($T$1:T34,A$2:$A$501),0)),"")</f>
        <v/>
      </c>
      <c r="U35" s="10">
        <f>IFERROR(MATCH(T35,I$2:$I$501,0),"")</f>
        <v>64</v>
      </c>
      <c r="V35" s="10">
        <f>COUNTIF(I$2:$I$501,T35)</f>
        <v>437</v>
      </c>
      <c r="W35" s="10"/>
      <c r="X35" s="10"/>
    </row>
    <row r="36" spans="1:24" x14ac:dyDescent="0.25">
      <c r="A36" t="str">
        <f>IF(Tests!B37="","",Tests!B37)</f>
        <v>Test of General Reasoning Ability</v>
      </c>
      <c r="B36" t="str">
        <f>IF(Tests!D37="","",Tests!D37)</f>
        <v>TOGRA</v>
      </c>
      <c r="C36">
        <f>IF(Tests!E37="","",Tests!E37)</f>
        <v>2014</v>
      </c>
      <c r="E36" s="54">
        <f t="shared" si="0"/>
        <v>472</v>
      </c>
      <c r="F36" s="54">
        <f t="shared" si="1"/>
        <v>0</v>
      </c>
      <c r="G36" s="54">
        <f t="shared" si="2"/>
        <v>0</v>
      </c>
      <c r="H36" s="54">
        <f t="shared" si="3"/>
        <v>909</v>
      </c>
      <c r="I36" s="56" t="str">
        <f>IFERROR(INDEX($A$2:$A$501,MATCH(SMALL($H$2:$H$501,ROWS($I$2:I36)+$G$502),$H$2:$H$501,0)),"")</f>
        <v>Test of General Reasoning Ability</v>
      </c>
      <c r="J36">
        <f t="shared" si="4"/>
        <v>1</v>
      </c>
      <c r="K36" t="str">
        <f t="array" ref="K36">INDEX($B$2:$B$501,SMALL(IF($A$2:$A$501=I36,ROW($A$2:$A$501)-ROW(INDEX($A$2:$A$501,1,1))+1),J36))</f>
        <v>TOGRA</v>
      </c>
      <c r="L36">
        <f t="array" ref="L36">INDEX($C$2:$C$501,SMALL(IF($A$2:$A$501=I36,ROW($A$2:$A$501)-ROW(INDEX($A$2:$A$501,1,1))+1),J36))</f>
        <v>2014</v>
      </c>
      <c r="N36" t="str">
        <f t="shared" si="5"/>
        <v>TOGRA (2014)</v>
      </c>
      <c r="S36" s="10">
        <v>35</v>
      </c>
      <c r="T36" s="10" t="str">
        <f t="array" ref="T36">IFERROR(INDEX(A$2:$A$501,MATCH(0,COUNTIF($T$1:T35,A$2:$A$501),0)),"")</f>
        <v/>
      </c>
      <c r="U36" s="10">
        <f>IFERROR(MATCH(T36,I$2:$I$501,0),"")</f>
        <v>64</v>
      </c>
      <c r="V36" s="10">
        <f>COUNTIF(I$2:$I$501,T36)</f>
        <v>437</v>
      </c>
      <c r="W36" s="10"/>
      <c r="X36" s="10"/>
    </row>
    <row r="37" spans="1:24" x14ac:dyDescent="0.25">
      <c r="A37" t="str">
        <f>IF(Tests!B38="","",Tests!B38)</f>
        <v>Test of Nonverbal Intelligence</v>
      </c>
      <c r="B37" t="str">
        <f>IF(Tests!D38="","",Tests!D38)</f>
        <v>TONI</v>
      </c>
      <c r="C37">
        <f>IF(Tests!E38="","",Tests!E38)</f>
        <v>1982</v>
      </c>
      <c r="E37" s="54">
        <f t="shared" si="0"/>
        <v>476</v>
      </c>
      <c r="F37" s="54">
        <f t="shared" si="1"/>
        <v>0</v>
      </c>
      <c r="G37" s="54">
        <f t="shared" si="2"/>
        <v>0</v>
      </c>
      <c r="H37" s="54">
        <f t="shared" si="3"/>
        <v>913</v>
      </c>
      <c r="I37" s="56" t="str">
        <f>IFERROR(INDEX($A$2:$A$501,MATCH(SMALL($H$2:$H$501,ROWS($I$2:I37)+$G$502),$H$2:$H$501,0)),"")</f>
        <v>Test of Nonverbal Intelligence</v>
      </c>
      <c r="J37">
        <f t="shared" si="4"/>
        <v>1</v>
      </c>
      <c r="K37" t="str">
        <f t="array" ref="K37">INDEX($B$2:$B$501,SMALL(IF($A$2:$A$501=I37,ROW($A$2:$A$501)-ROW(INDEX($A$2:$A$501,1,1))+1),J37))</f>
        <v>TONI</v>
      </c>
      <c r="L37">
        <f t="array" ref="L37">INDEX($C$2:$C$501,SMALL(IF($A$2:$A$501=I37,ROW($A$2:$A$501)-ROW(INDEX($A$2:$A$501,1,1))+1),J37))</f>
        <v>1982</v>
      </c>
      <c r="N37" t="str">
        <f t="shared" si="5"/>
        <v>TONI (1982)</v>
      </c>
      <c r="S37" s="10">
        <v>36</v>
      </c>
      <c r="T37" s="10" t="str">
        <f t="array" ref="T37">IFERROR(INDEX(A$2:$A$501,MATCH(0,COUNTIF($T$1:T36,A$2:$A$501),0)),"")</f>
        <v/>
      </c>
      <c r="U37" s="10">
        <f>IFERROR(MATCH(T37,I$2:$I$501,0),"")</f>
        <v>64</v>
      </c>
      <c r="V37" s="10">
        <f>COUNTIF(I$2:$I$501,T37)</f>
        <v>437</v>
      </c>
      <c r="W37" s="10"/>
      <c r="X37" s="10"/>
    </row>
    <row r="38" spans="1:24" x14ac:dyDescent="0.25">
      <c r="A38" t="str">
        <f>IF(Tests!B39="","",Tests!B39)</f>
        <v>Test of Nonverbal Intelligence</v>
      </c>
      <c r="B38" t="str">
        <f>IF(Tests!D39="","",Tests!D39)</f>
        <v>TONI-2</v>
      </c>
      <c r="C38">
        <f>IF(Tests!E39="","",Tests!E39)</f>
        <v>1990</v>
      </c>
      <c r="E38" s="54">
        <f t="shared" si="0"/>
        <v>476</v>
      </c>
      <c r="F38" s="54">
        <f t="shared" si="1"/>
        <v>0</v>
      </c>
      <c r="G38" s="54">
        <f t="shared" si="2"/>
        <v>0</v>
      </c>
      <c r="H38" s="54">
        <f t="shared" si="3"/>
        <v>913</v>
      </c>
      <c r="I38" s="56" t="str">
        <f>IFERROR(INDEX($A$2:$A$501,MATCH(SMALL($H$2:$H$501,ROWS($I$2:I38)+$G$502),$H$2:$H$501,0)),"")</f>
        <v>Test of Nonverbal Intelligence</v>
      </c>
      <c r="J38">
        <f t="shared" si="4"/>
        <v>2</v>
      </c>
      <c r="K38" t="str">
        <f t="array" ref="K38">INDEX($B$2:$B$501,SMALL(IF($A$2:$A$501=I38,ROW($A$2:$A$501)-ROW(INDEX($A$2:$A$501,1,1))+1),J38))</f>
        <v>TONI-2</v>
      </c>
      <c r="L38">
        <f t="array" ref="L38">INDEX($C$2:$C$501,SMALL(IF($A$2:$A$501=I38,ROW($A$2:$A$501)-ROW(INDEX($A$2:$A$501,1,1))+1),J38))</f>
        <v>1990</v>
      </c>
      <c r="N38" t="str">
        <f t="shared" si="5"/>
        <v>TONI-2 (1990)</v>
      </c>
      <c r="S38" s="10">
        <v>37</v>
      </c>
      <c r="T38" s="10" t="str">
        <f t="array" ref="T38">IFERROR(INDEX(A$2:$A$501,MATCH(0,COUNTIF($T$1:T37,A$2:$A$501),0)),"")</f>
        <v/>
      </c>
      <c r="U38" s="10">
        <f>IFERROR(MATCH(T38,I$2:$I$501,0),"")</f>
        <v>64</v>
      </c>
      <c r="V38" s="10">
        <f>COUNTIF(I$2:$I$501,T38)</f>
        <v>437</v>
      </c>
      <c r="W38" s="10"/>
      <c r="X38" s="10"/>
    </row>
    <row r="39" spans="1:24" x14ac:dyDescent="0.25">
      <c r="A39" t="str">
        <f>IF(Tests!B40="","",Tests!B40)</f>
        <v>Test of Nonverbal Intelligence</v>
      </c>
      <c r="B39" t="str">
        <f>IF(Tests!D40="","",Tests!D40)</f>
        <v>TONI-3</v>
      </c>
      <c r="C39">
        <f>IF(Tests!E40="","",Tests!E40)</f>
        <v>1997</v>
      </c>
      <c r="E39" s="54">
        <f t="shared" si="0"/>
        <v>476</v>
      </c>
      <c r="F39" s="54">
        <f t="shared" si="1"/>
        <v>0</v>
      </c>
      <c r="G39" s="54">
        <f t="shared" si="2"/>
        <v>0</v>
      </c>
      <c r="H39" s="54">
        <f t="shared" si="3"/>
        <v>913</v>
      </c>
      <c r="I39" s="56" t="str">
        <f>IFERROR(INDEX($A$2:$A$501,MATCH(SMALL($H$2:$H$501,ROWS($I$2:I39)+$G$502),$H$2:$H$501,0)),"")</f>
        <v>Test of Nonverbal Intelligence</v>
      </c>
      <c r="J39">
        <f t="shared" si="4"/>
        <v>3</v>
      </c>
      <c r="K39" t="str">
        <f t="array" ref="K39">INDEX($B$2:$B$501,SMALL(IF($A$2:$A$501=I39,ROW($A$2:$A$501)-ROW(INDEX($A$2:$A$501,1,1))+1),J39))</f>
        <v>TONI-3</v>
      </c>
      <c r="L39">
        <f t="array" ref="L39">INDEX($C$2:$C$501,SMALL(IF($A$2:$A$501=I39,ROW($A$2:$A$501)-ROW(INDEX($A$2:$A$501,1,1))+1),J39))</f>
        <v>1997</v>
      </c>
      <c r="N39" t="str">
        <f t="shared" si="5"/>
        <v>TONI-3 (1997)</v>
      </c>
      <c r="S39" s="10">
        <v>38</v>
      </c>
      <c r="T39" s="10" t="str">
        <f t="array" ref="T39">IFERROR(INDEX(A$2:$A$501,MATCH(0,COUNTIF($T$1:T38,A$2:$A$501),0)),"")</f>
        <v/>
      </c>
      <c r="U39" s="10">
        <f>IFERROR(MATCH(T39,I$2:$I$501,0),"")</f>
        <v>64</v>
      </c>
      <c r="V39" s="10">
        <f>COUNTIF(I$2:$I$501,T39)</f>
        <v>437</v>
      </c>
      <c r="W39" s="10"/>
      <c r="X39" s="10"/>
    </row>
    <row r="40" spans="1:24" x14ac:dyDescent="0.25">
      <c r="A40" t="str">
        <f>IF(Tests!B41="","",Tests!B41)</f>
        <v>Test of Nonverbal Intelligence</v>
      </c>
      <c r="B40" t="str">
        <f>IF(Tests!D41="","",Tests!D41)</f>
        <v>TONI-4</v>
      </c>
      <c r="C40">
        <f>IF(Tests!E41="","",Tests!E41)</f>
        <v>2010</v>
      </c>
      <c r="E40" s="54">
        <f t="shared" si="0"/>
        <v>476</v>
      </c>
      <c r="F40" s="54">
        <f t="shared" si="1"/>
        <v>0</v>
      </c>
      <c r="G40" s="54">
        <f t="shared" si="2"/>
        <v>0</v>
      </c>
      <c r="H40" s="54">
        <f t="shared" si="3"/>
        <v>913</v>
      </c>
      <c r="I40" s="56" t="str">
        <f>IFERROR(INDEX($A$2:$A$501,MATCH(SMALL($H$2:$H$501,ROWS($I$2:I40)+$G$502),$H$2:$H$501,0)),"")</f>
        <v>Test of Nonverbal Intelligence</v>
      </c>
      <c r="J40">
        <f t="shared" si="4"/>
        <v>4</v>
      </c>
      <c r="K40" t="str">
        <f t="array" ref="K40">INDEX($B$2:$B$501,SMALL(IF($A$2:$A$501=I40,ROW($A$2:$A$501)-ROW(INDEX($A$2:$A$501,1,1))+1),J40))</f>
        <v>TONI-4</v>
      </c>
      <c r="L40">
        <f t="array" ref="L40">INDEX($C$2:$C$501,SMALL(IF($A$2:$A$501=I40,ROW($A$2:$A$501)-ROW(INDEX($A$2:$A$501,1,1))+1),J40))</f>
        <v>2010</v>
      </c>
      <c r="N40" t="str">
        <f t="shared" si="5"/>
        <v>TONI-4 (2010)</v>
      </c>
      <c r="S40" s="10">
        <v>39</v>
      </c>
      <c r="T40" s="10" t="str">
        <f t="array" ref="T40">IFERROR(INDEX(A$2:$A$501,MATCH(0,COUNTIF($T$1:T39,A$2:$A$501),0)),"")</f>
        <v/>
      </c>
      <c r="U40" s="10">
        <f>IFERROR(MATCH(T40,I$2:$I$501,0),"")</f>
        <v>64</v>
      </c>
      <c r="V40" s="10">
        <f>COUNTIF(I$2:$I$501,T40)</f>
        <v>437</v>
      </c>
      <c r="W40" s="10"/>
      <c r="X40" s="10"/>
    </row>
    <row r="41" spans="1:24" x14ac:dyDescent="0.25">
      <c r="A41" t="str">
        <f>IF(Tests!B42="","",Tests!B42)</f>
        <v>Universal Nonverbal Intelligence Test</v>
      </c>
      <c r="B41" t="str">
        <f>IF(Tests!D42="","",Tests!D42)</f>
        <v>UNIT</v>
      </c>
      <c r="C41">
        <f>IF(Tests!E42="","",Tests!E42)</f>
        <v>1998</v>
      </c>
      <c r="E41" s="54">
        <f t="shared" si="0"/>
        <v>478</v>
      </c>
      <c r="F41" s="54">
        <f t="shared" si="1"/>
        <v>0</v>
      </c>
      <c r="G41" s="54">
        <f t="shared" si="2"/>
        <v>0</v>
      </c>
      <c r="H41" s="54">
        <f t="shared" si="3"/>
        <v>915</v>
      </c>
      <c r="I41" s="56" t="str">
        <f>IFERROR(INDEX($A$2:$A$501,MATCH(SMALL($H$2:$H$501,ROWS($I$2:I41)+$G$502),$H$2:$H$501,0)),"")</f>
        <v>Universal Nonverbal Intelligence Test</v>
      </c>
      <c r="J41">
        <f t="shared" si="4"/>
        <v>1</v>
      </c>
      <c r="K41" t="str">
        <f t="array" ref="K41">INDEX($B$2:$B$501,SMALL(IF($A$2:$A$501=I41,ROW($A$2:$A$501)-ROW(INDEX($A$2:$A$501,1,1))+1),J41))</f>
        <v>UNIT</v>
      </c>
      <c r="L41">
        <f t="array" ref="L41">INDEX($C$2:$C$501,SMALL(IF($A$2:$A$501=I41,ROW($A$2:$A$501)-ROW(INDEX($A$2:$A$501,1,1))+1),J41))</f>
        <v>1998</v>
      </c>
      <c r="N41" t="str">
        <f t="shared" si="5"/>
        <v>UNIT (1998)</v>
      </c>
      <c r="S41" s="10">
        <v>40</v>
      </c>
      <c r="T41" s="10" t="str">
        <f t="array" ref="T41">IFERROR(INDEX(A$2:$A$501,MATCH(0,COUNTIF($T$1:T40,A$2:$A$501),0)),"")</f>
        <v/>
      </c>
      <c r="U41" s="10">
        <f>IFERROR(MATCH(T41,I$2:$I$501,0),"")</f>
        <v>64</v>
      </c>
      <c r="V41" s="10">
        <f>COUNTIF(I$2:$I$501,T41)</f>
        <v>437</v>
      </c>
      <c r="W41" s="10"/>
      <c r="X41" s="10"/>
    </row>
    <row r="42" spans="1:24" x14ac:dyDescent="0.25">
      <c r="A42" t="str">
        <f>IF(Tests!B43="","",Tests!B43)</f>
        <v>Universal Nonverbal Intelligence Test</v>
      </c>
      <c r="B42" t="str">
        <f>IF(Tests!D43="","",Tests!D43)</f>
        <v>UNIT-2</v>
      </c>
      <c r="C42">
        <f>IF(Tests!E43="","",Tests!E43)</f>
        <v>2016</v>
      </c>
      <c r="E42" s="54">
        <f t="shared" si="0"/>
        <v>478</v>
      </c>
      <c r="F42" s="54">
        <f t="shared" si="1"/>
        <v>0</v>
      </c>
      <c r="G42" s="54">
        <f t="shared" si="2"/>
        <v>0</v>
      </c>
      <c r="H42" s="54">
        <f t="shared" si="3"/>
        <v>915</v>
      </c>
      <c r="I42" s="56" t="str">
        <f>IFERROR(INDEX($A$2:$A$501,MATCH(SMALL($H$2:$H$501,ROWS($I$2:I42)+$G$502),$H$2:$H$501,0)),"")</f>
        <v>Universal Nonverbal Intelligence Test</v>
      </c>
      <c r="J42">
        <f t="shared" si="4"/>
        <v>2</v>
      </c>
      <c r="K42" t="str">
        <f t="array" ref="K42">INDEX($B$2:$B$501,SMALL(IF($A$2:$A$501=I42,ROW($A$2:$A$501)-ROW(INDEX($A$2:$A$501,1,1))+1),J42))</f>
        <v>UNIT-2</v>
      </c>
      <c r="L42">
        <f t="array" ref="L42">INDEX($C$2:$C$501,SMALL(IF($A$2:$A$501=I42,ROW($A$2:$A$501)-ROW(INDEX($A$2:$A$501,1,1))+1),J42))</f>
        <v>2016</v>
      </c>
      <c r="N42" t="str">
        <f t="shared" si="5"/>
        <v>UNIT-2 (2016)</v>
      </c>
      <c r="S42" s="10">
        <v>41</v>
      </c>
      <c r="T42" s="10" t="str">
        <f t="array" ref="T42">IFERROR(INDEX(A$2:$A$501,MATCH(0,COUNTIF($T$1:T41,A$2:$A$501),0)),"")</f>
        <v/>
      </c>
      <c r="U42" s="10">
        <f>IFERROR(MATCH(T42,I$2:$I$501,0),"")</f>
        <v>64</v>
      </c>
      <c r="V42" s="10">
        <f>COUNTIF(I$2:$I$501,T42)</f>
        <v>437</v>
      </c>
      <c r="W42" s="10"/>
      <c r="X42" s="10"/>
    </row>
    <row r="43" spans="1:24" x14ac:dyDescent="0.25">
      <c r="A43" t="str">
        <f>IF(Tests!B44="","",Tests!B44)</f>
        <v>Wechsler Adult Intelligence Scale</v>
      </c>
      <c r="B43" t="str">
        <f>IF(Tests!D44="","",Tests!D44)</f>
        <v>WAIS</v>
      </c>
      <c r="C43">
        <f>IF(Tests!E44="","",Tests!E44)</f>
        <v>1955</v>
      </c>
      <c r="E43" s="54">
        <f t="shared" si="0"/>
        <v>483</v>
      </c>
      <c r="F43" s="54">
        <f t="shared" si="1"/>
        <v>0</v>
      </c>
      <c r="G43" s="54">
        <f t="shared" si="2"/>
        <v>0</v>
      </c>
      <c r="H43" s="54">
        <f t="shared" si="3"/>
        <v>920</v>
      </c>
      <c r="I43" s="56" t="str">
        <f>IFERROR(INDEX($A$2:$A$501,MATCH(SMALL($H$2:$H$501,ROWS($I$2:I43)+$G$502),$H$2:$H$501,0)),"")</f>
        <v>Wechsler Adult Intelligence Scale</v>
      </c>
      <c r="J43">
        <f t="shared" si="4"/>
        <v>1</v>
      </c>
      <c r="K43" t="str">
        <f t="array" ref="K43">INDEX($B$2:$B$501,SMALL(IF($A$2:$A$501=I43,ROW($A$2:$A$501)-ROW(INDEX($A$2:$A$501,1,1))+1),J43))</f>
        <v>WAIS</v>
      </c>
      <c r="L43">
        <f t="array" ref="L43">INDEX($C$2:$C$501,SMALL(IF($A$2:$A$501=I43,ROW($A$2:$A$501)-ROW(INDEX($A$2:$A$501,1,1))+1),J43))</f>
        <v>1955</v>
      </c>
      <c r="N43" t="str">
        <f t="shared" si="5"/>
        <v>WAIS (1955)</v>
      </c>
      <c r="S43" s="10">
        <v>42</v>
      </c>
      <c r="T43" s="10" t="str">
        <f t="array" ref="T43">IFERROR(INDEX(A$2:$A$501,MATCH(0,COUNTIF($T$1:T42,A$2:$A$501),0)),"")</f>
        <v/>
      </c>
      <c r="U43" s="10">
        <f>IFERROR(MATCH(T43,I$2:$I$501,0),"")</f>
        <v>64</v>
      </c>
      <c r="V43" s="10">
        <f>COUNTIF(I$2:$I$501,T43)</f>
        <v>437</v>
      </c>
      <c r="W43" s="10"/>
      <c r="X43" s="10"/>
    </row>
    <row r="44" spans="1:24" x14ac:dyDescent="0.25">
      <c r="A44" t="str">
        <f>IF(Tests!B45="","",Tests!B45)</f>
        <v>Wechsler Adult Intelligence Scale</v>
      </c>
      <c r="B44" t="str">
        <f>IF(Tests!D45="","",Tests!D45)</f>
        <v>WAIS-R</v>
      </c>
      <c r="C44">
        <f>IF(Tests!E45="","",Tests!E45)</f>
        <v>1981</v>
      </c>
      <c r="E44" s="54">
        <f t="shared" si="0"/>
        <v>483</v>
      </c>
      <c r="F44" s="54">
        <f t="shared" si="1"/>
        <v>0</v>
      </c>
      <c r="G44" s="54">
        <f t="shared" si="2"/>
        <v>0</v>
      </c>
      <c r="H44" s="54">
        <f t="shared" si="3"/>
        <v>920</v>
      </c>
      <c r="I44" s="56" t="str">
        <f>IFERROR(INDEX($A$2:$A$501,MATCH(SMALL($H$2:$H$501,ROWS($I$2:I44)+$G$502),$H$2:$H$501,0)),"")</f>
        <v>Wechsler Adult Intelligence Scale</v>
      </c>
      <c r="J44">
        <f t="shared" si="4"/>
        <v>2</v>
      </c>
      <c r="K44" t="str">
        <f t="array" ref="K44">INDEX($B$2:$B$501,SMALL(IF($A$2:$A$501=I44,ROW($A$2:$A$501)-ROW(INDEX($A$2:$A$501,1,1))+1),J44))</f>
        <v>WAIS-R</v>
      </c>
      <c r="L44">
        <f t="array" ref="L44">INDEX($C$2:$C$501,SMALL(IF($A$2:$A$501=I44,ROW($A$2:$A$501)-ROW(INDEX($A$2:$A$501,1,1))+1),J44))</f>
        <v>1981</v>
      </c>
      <c r="N44" t="str">
        <f t="shared" si="5"/>
        <v>WAIS-R (1981)</v>
      </c>
      <c r="S44" s="10">
        <v>43</v>
      </c>
      <c r="T44" s="10" t="str">
        <f t="array" ref="T44">IFERROR(INDEX(A$2:$A$501,MATCH(0,COUNTIF($T$1:T43,A$2:$A$501),0)),"")</f>
        <v/>
      </c>
      <c r="U44" s="10">
        <f>IFERROR(MATCH(T44,I$2:$I$501,0),"")</f>
        <v>64</v>
      </c>
      <c r="V44" s="10">
        <f>COUNTIF(I$2:$I$501,T44)</f>
        <v>437</v>
      </c>
      <c r="W44" s="10"/>
      <c r="X44" s="10"/>
    </row>
    <row r="45" spans="1:24" x14ac:dyDescent="0.25">
      <c r="A45" t="str">
        <f>IF(Tests!B46="","",Tests!B46)</f>
        <v>Wechsler Adult Intelligence Scale</v>
      </c>
      <c r="B45" t="str">
        <f>IF(Tests!D46="","",Tests!D46)</f>
        <v>WAIS-III</v>
      </c>
      <c r="C45">
        <f>IF(Tests!E46="","",Tests!E46)</f>
        <v>1997</v>
      </c>
      <c r="E45" s="54">
        <f t="shared" si="0"/>
        <v>483</v>
      </c>
      <c r="F45" s="54">
        <f t="shared" si="1"/>
        <v>0</v>
      </c>
      <c r="G45" s="54">
        <f t="shared" si="2"/>
        <v>0</v>
      </c>
      <c r="H45" s="54">
        <f t="shared" si="3"/>
        <v>920</v>
      </c>
      <c r="I45" s="56" t="str">
        <f>IFERROR(INDEX($A$2:$A$501,MATCH(SMALL($H$2:$H$501,ROWS($I$2:I45)+$G$502),$H$2:$H$501,0)),"")</f>
        <v>Wechsler Adult Intelligence Scale</v>
      </c>
      <c r="J45">
        <f t="shared" si="4"/>
        <v>3</v>
      </c>
      <c r="K45" t="str">
        <f t="array" ref="K45">INDEX($B$2:$B$501,SMALL(IF($A$2:$A$501=I45,ROW($A$2:$A$501)-ROW(INDEX($A$2:$A$501,1,1))+1),J45))</f>
        <v>WAIS-III</v>
      </c>
      <c r="L45">
        <f t="array" ref="L45">INDEX($C$2:$C$501,SMALL(IF($A$2:$A$501=I45,ROW($A$2:$A$501)-ROW(INDEX($A$2:$A$501,1,1))+1),J45))</f>
        <v>1997</v>
      </c>
      <c r="N45" t="str">
        <f t="shared" si="5"/>
        <v>WAIS-III (1997)</v>
      </c>
      <c r="S45" s="10">
        <v>44</v>
      </c>
      <c r="T45" s="10" t="str">
        <f t="array" ref="T45">IFERROR(INDEX(A$2:$A$501,MATCH(0,COUNTIF($T$1:T44,A$2:$A$501),0)),"")</f>
        <v/>
      </c>
      <c r="U45" s="10">
        <f>IFERROR(MATCH(T45,I$2:$I$501,0),"")</f>
        <v>64</v>
      </c>
      <c r="V45" s="10">
        <f>COUNTIF(I$2:$I$501,T45)</f>
        <v>437</v>
      </c>
      <c r="W45" s="10"/>
      <c r="X45" s="10"/>
    </row>
    <row r="46" spans="1:24" x14ac:dyDescent="0.25">
      <c r="A46" t="str">
        <f>IF(Tests!B47="","",Tests!B47)</f>
        <v>Wechsler Adult Intelligence Scale</v>
      </c>
      <c r="B46" t="str">
        <f>IF(Tests!D47="","",Tests!D47)</f>
        <v>WAIS-IV</v>
      </c>
      <c r="C46">
        <f>IF(Tests!E47="","",Tests!E47)</f>
        <v>2008</v>
      </c>
      <c r="E46" s="54">
        <f t="shared" si="0"/>
        <v>483</v>
      </c>
      <c r="F46" s="54">
        <f t="shared" si="1"/>
        <v>0</v>
      </c>
      <c r="G46" s="54">
        <f t="shared" si="2"/>
        <v>0</v>
      </c>
      <c r="H46" s="54">
        <f t="shared" si="3"/>
        <v>920</v>
      </c>
      <c r="I46" s="56" t="str">
        <f>IFERROR(INDEX($A$2:$A$501,MATCH(SMALL($H$2:$H$501,ROWS($I$2:I46)+$G$502),$H$2:$H$501,0)),"")</f>
        <v>Wechsler Adult Intelligence Scale</v>
      </c>
      <c r="J46">
        <f t="shared" si="4"/>
        <v>4</v>
      </c>
      <c r="K46" t="str">
        <f t="array" ref="K46">INDEX($B$2:$B$501,SMALL(IF($A$2:$A$501=I46,ROW($A$2:$A$501)-ROW(INDEX($A$2:$A$501,1,1))+1),J46))</f>
        <v>WAIS-IV</v>
      </c>
      <c r="L46">
        <f t="array" ref="L46">INDEX($C$2:$C$501,SMALL(IF($A$2:$A$501=I46,ROW($A$2:$A$501)-ROW(INDEX($A$2:$A$501,1,1))+1),J46))</f>
        <v>2008</v>
      </c>
      <c r="N46" t="str">
        <f t="shared" si="5"/>
        <v>WAIS-IV (2008)</v>
      </c>
      <c r="S46" s="10">
        <v>45</v>
      </c>
      <c r="T46" s="10" t="str">
        <f t="array" ref="T46">IFERROR(INDEX(A$2:$A$501,MATCH(0,COUNTIF($T$1:T45,A$2:$A$501),0)),"")</f>
        <v/>
      </c>
      <c r="U46" s="10">
        <f>IFERROR(MATCH(T46,I$2:$I$501,0),"")</f>
        <v>64</v>
      </c>
      <c r="V46" s="10">
        <f>COUNTIF(I$2:$I$501,T46)</f>
        <v>437</v>
      </c>
      <c r="W46" s="10"/>
      <c r="X46" s="10"/>
    </row>
    <row r="47" spans="1:24" x14ac:dyDescent="0.25">
      <c r="A47" t="str">
        <f>IF(Tests!B48="","",Tests!B48)</f>
        <v>Wechsler Adult Intelligence Scale</v>
      </c>
      <c r="B47" t="str">
        <f>IF(Tests!D48="","",Tests!D48)</f>
        <v>WAIS-5</v>
      </c>
      <c r="C47">
        <f>IF(Tests!E48="","",Tests!E48)</f>
        <v>2024</v>
      </c>
      <c r="E47" s="54">
        <f t="shared" si="0"/>
        <v>483</v>
      </c>
      <c r="F47" s="54">
        <f t="shared" si="1"/>
        <v>0</v>
      </c>
      <c r="G47" s="54">
        <f t="shared" si="2"/>
        <v>0</v>
      </c>
      <c r="H47" s="54">
        <f t="shared" si="3"/>
        <v>920</v>
      </c>
      <c r="I47" s="56" t="str">
        <f>IFERROR(INDEX($A$2:$A$501,MATCH(SMALL($H$2:$H$501,ROWS($I$2:I47)+$G$502),$H$2:$H$501,0)),"")</f>
        <v>Wechsler Adult Intelligence Scale</v>
      </c>
      <c r="J47">
        <f t="shared" si="4"/>
        <v>5</v>
      </c>
      <c r="K47" t="str">
        <f t="array" ref="K47">INDEX($B$2:$B$501,SMALL(IF($A$2:$A$501=I47,ROW($A$2:$A$501)-ROW(INDEX($A$2:$A$501,1,1))+1),J47))</f>
        <v>WAIS-5</v>
      </c>
      <c r="L47">
        <f t="array" ref="L47">INDEX($C$2:$C$501,SMALL(IF($A$2:$A$501=I47,ROW($A$2:$A$501)-ROW(INDEX($A$2:$A$501,1,1))+1),J47))</f>
        <v>2024</v>
      </c>
      <c r="N47" t="str">
        <f t="shared" si="5"/>
        <v>WAIS-5 (2024)</v>
      </c>
      <c r="S47" s="10">
        <v>46</v>
      </c>
      <c r="T47" s="10" t="str">
        <f t="array" ref="T47">IFERROR(INDEX(A$2:$A$501,MATCH(0,COUNTIF($T$1:T46,A$2:$A$501),0)),"")</f>
        <v/>
      </c>
      <c r="U47" s="10">
        <f>IFERROR(MATCH(T47,I$2:$I$501,0),"")</f>
        <v>64</v>
      </c>
      <c r="V47" s="10">
        <f>COUNTIF(I$2:$I$501,T47)</f>
        <v>437</v>
      </c>
      <c r="W47" s="10"/>
      <c r="X47" s="10"/>
    </row>
    <row r="48" spans="1:24" x14ac:dyDescent="0.25">
      <c r="A48" t="str">
        <f>IF(Tests!B49="","",Tests!B49)</f>
        <v>Wechsler Intelligence Scale for Children</v>
      </c>
      <c r="B48" t="str">
        <f>IF(Tests!D49="","",Tests!D49)</f>
        <v>WISC</v>
      </c>
      <c r="C48">
        <f>IF(Tests!E49="","",Tests!E49)</f>
        <v>1949</v>
      </c>
      <c r="E48" s="54">
        <f t="shared" si="0"/>
        <v>489</v>
      </c>
      <c r="F48" s="54">
        <f t="shared" si="1"/>
        <v>0</v>
      </c>
      <c r="G48" s="54">
        <f t="shared" si="2"/>
        <v>0</v>
      </c>
      <c r="H48" s="54">
        <f t="shared" si="3"/>
        <v>926</v>
      </c>
      <c r="I48" s="56" t="str">
        <f>IFERROR(INDEX($A$2:$A$501,MATCH(SMALL($H$2:$H$501,ROWS($I$2:I48)+$G$502),$H$2:$H$501,0)),"")</f>
        <v>Wechsler Intelligence Scale for Children</v>
      </c>
      <c r="J48">
        <f t="shared" si="4"/>
        <v>1</v>
      </c>
      <c r="K48" t="str">
        <f t="array" ref="K48">INDEX($B$2:$B$501,SMALL(IF($A$2:$A$501=I48,ROW($A$2:$A$501)-ROW(INDEX($A$2:$A$501,1,1))+1),J48))</f>
        <v>WISC</v>
      </c>
      <c r="L48">
        <f t="array" ref="L48">INDEX($C$2:$C$501,SMALL(IF($A$2:$A$501=I48,ROW($A$2:$A$501)-ROW(INDEX($A$2:$A$501,1,1))+1),J48))</f>
        <v>1949</v>
      </c>
      <c r="N48" t="str">
        <f t="shared" si="5"/>
        <v>WISC (1949)</v>
      </c>
      <c r="S48" s="10">
        <v>47</v>
      </c>
      <c r="T48" s="10" t="str">
        <f t="array" ref="T48">IFERROR(INDEX(A$2:$A$501,MATCH(0,COUNTIF($T$1:T47,A$2:$A$501),0)),"")</f>
        <v/>
      </c>
      <c r="U48" s="10">
        <f>IFERROR(MATCH(T48,I$2:$I$501,0),"")</f>
        <v>64</v>
      </c>
      <c r="V48" s="10">
        <f>COUNTIF(I$2:$I$501,T48)</f>
        <v>437</v>
      </c>
      <c r="W48" s="10"/>
      <c r="X48" s="10"/>
    </row>
    <row r="49" spans="1:24" x14ac:dyDescent="0.25">
      <c r="A49" t="str">
        <f>IF(Tests!B50="","",Tests!B50)</f>
        <v>Wechsler Intelligence Scale for Children</v>
      </c>
      <c r="B49" t="str">
        <f>IF(Tests!D50="","",Tests!D50)</f>
        <v>WISC-R</v>
      </c>
      <c r="C49">
        <f>IF(Tests!E50="","",Tests!E50)</f>
        <v>1974</v>
      </c>
      <c r="E49" s="54">
        <f t="shared" si="0"/>
        <v>489</v>
      </c>
      <c r="F49" s="54">
        <f t="shared" si="1"/>
        <v>0</v>
      </c>
      <c r="G49" s="54">
        <f t="shared" si="2"/>
        <v>0</v>
      </c>
      <c r="H49" s="54">
        <f t="shared" si="3"/>
        <v>926</v>
      </c>
      <c r="I49" s="56" t="str">
        <f>IFERROR(INDEX($A$2:$A$501,MATCH(SMALL($H$2:$H$501,ROWS($I$2:I49)+$G$502),$H$2:$H$501,0)),"")</f>
        <v>Wechsler Intelligence Scale for Children</v>
      </c>
      <c r="J49">
        <f t="shared" si="4"/>
        <v>2</v>
      </c>
      <c r="K49" t="str">
        <f t="array" ref="K49">INDEX($B$2:$B$501,SMALL(IF($A$2:$A$501=I49,ROW($A$2:$A$501)-ROW(INDEX($A$2:$A$501,1,1))+1),J49))</f>
        <v>WISC-R</v>
      </c>
      <c r="L49">
        <f t="array" ref="L49">INDEX($C$2:$C$501,SMALL(IF($A$2:$A$501=I49,ROW($A$2:$A$501)-ROW(INDEX($A$2:$A$501,1,1))+1),J49))</f>
        <v>1974</v>
      </c>
      <c r="N49" t="str">
        <f t="shared" si="5"/>
        <v>WISC-R (1974)</v>
      </c>
      <c r="S49" s="10">
        <v>48</v>
      </c>
      <c r="T49" s="10" t="str">
        <f t="array" ref="T49">IFERROR(INDEX(A$2:$A$501,MATCH(0,COUNTIF($T$1:T48,A$2:$A$501),0)),"")</f>
        <v/>
      </c>
      <c r="U49" s="10">
        <f>IFERROR(MATCH(T49,I$2:$I$501,0),"")</f>
        <v>64</v>
      </c>
      <c r="V49" s="10">
        <f>COUNTIF(I$2:$I$501,T49)</f>
        <v>437</v>
      </c>
      <c r="W49" s="10"/>
      <c r="X49" s="10"/>
    </row>
    <row r="50" spans="1:24" x14ac:dyDescent="0.25">
      <c r="A50" t="str">
        <f>IF(Tests!B51="","",Tests!B51)</f>
        <v>Wechsler Intelligence Scale for Children</v>
      </c>
      <c r="B50" t="str">
        <f>IF(Tests!D51="","",Tests!D51)</f>
        <v>WISC-III</v>
      </c>
      <c r="C50">
        <f>IF(Tests!E51="","",Tests!E51)</f>
        <v>1991</v>
      </c>
      <c r="E50" s="54">
        <f t="shared" si="0"/>
        <v>489</v>
      </c>
      <c r="F50" s="54">
        <f t="shared" si="1"/>
        <v>0</v>
      </c>
      <c r="G50" s="54">
        <f t="shared" si="2"/>
        <v>0</v>
      </c>
      <c r="H50" s="54">
        <f t="shared" si="3"/>
        <v>926</v>
      </c>
      <c r="I50" s="56" t="str">
        <f>IFERROR(INDEX($A$2:$A$501,MATCH(SMALL($H$2:$H$501,ROWS($I$2:I50)+$G$502),$H$2:$H$501,0)),"")</f>
        <v>Wechsler Intelligence Scale for Children</v>
      </c>
      <c r="J50">
        <f t="shared" si="4"/>
        <v>3</v>
      </c>
      <c r="K50" t="str">
        <f t="array" ref="K50">INDEX($B$2:$B$501,SMALL(IF($A$2:$A$501=I50,ROW($A$2:$A$501)-ROW(INDEX($A$2:$A$501,1,1))+1),J50))</f>
        <v>WISC-III</v>
      </c>
      <c r="L50">
        <f t="array" ref="L50">INDEX($C$2:$C$501,SMALL(IF($A$2:$A$501=I50,ROW($A$2:$A$501)-ROW(INDEX($A$2:$A$501,1,1))+1),J50))</f>
        <v>1991</v>
      </c>
      <c r="N50" t="str">
        <f t="shared" si="5"/>
        <v>WISC-III (1991)</v>
      </c>
      <c r="S50" s="10">
        <v>49</v>
      </c>
      <c r="T50" s="10" t="str">
        <f t="array" ref="T50">IFERROR(INDEX(A$2:$A$501,MATCH(0,COUNTIF($T$1:T49,A$2:$A$501),0)),"")</f>
        <v/>
      </c>
      <c r="U50" s="10">
        <f>IFERROR(MATCH(T50,I$2:$I$501,0),"")</f>
        <v>64</v>
      </c>
      <c r="V50" s="10">
        <f>COUNTIF(I$2:$I$501,T50)</f>
        <v>437</v>
      </c>
      <c r="W50" s="10"/>
      <c r="X50" s="10"/>
    </row>
    <row r="51" spans="1:24" x14ac:dyDescent="0.25">
      <c r="A51" t="str">
        <f>IF(Tests!B52="","",Tests!B52)</f>
        <v>Wechsler Intelligence Scale for Children</v>
      </c>
      <c r="B51" t="str">
        <f>IF(Tests!D52="","",Tests!D52)</f>
        <v>WISC-IV</v>
      </c>
      <c r="C51">
        <f>IF(Tests!E52="","",Tests!E52)</f>
        <v>2003</v>
      </c>
      <c r="E51" s="54">
        <f t="shared" si="0"/>
        <v>489</v>
      </c>
      <c r="F51" s="54">
        <f t="shared" si="1"/>
        <v>0</v>
      </c>
      <c r="G51" s="54">
        <f t="shared" si="2"/>
        <v>0</v>
      </c>
      <c r="H51" s="54">
        <f t="shared" si="3"/>
        <v>926</v>
      </c>
      <c r="I51" s="56" t="str">
        <f>IFERROR(INDEX($A$2:$A$501,MATCH(SMALL($H$2:$H$501,ROWS($I$2:I51)+$G$502),$H$2:$H$501,0)),"")</f>
        <v>Wechsler Intelligence Scale for Children</v>
      </c>
      <c r="J51">
        <f t="shared" si="4"/>
        <v>4</v>
      </c>
      <c r="K51" t="str">
        <f t="array" ref="K51">INDEX($B$2:$B$501,SMALL(IF($A$2:$A$501=I51,ROW($A$2:$A$501)-ROW(INDEX($A$2:$A$501,1,1))+1),J51))</f>
        <v>WISC-IV</v>
      </c>
      <c r="L51">
        <f t="array" ref="L51">INDEX($C$2:$C$501,SMALL(IF($A$2:$A$501=I51,ROW($A$2:$A$501)-ROW(INDEX($A$2:$A$501,1,1))+1),J51))</f>
        <v>2003</v>
      </c>
      <c r="N51" t="str">
        <f t="shared" si="5"/>
        <v>WISC-IV (2003)</v>
      </c>
      <c r="S51" s="10">
        <v>50</v>
      </c>
      <c r="T51" s="10" t="str">
        <f t="array" ref="T51">IFERROR(INDEX(A$2:$A$501,MATCH(0,COUNTIF($T$1:T50,A$2:$A$501),0)),"")</f>
        <v/>
      </c>
      <c r="U51" s="10">
        <f>IFERROR(MATCH(T51,I$2:$I$501,0),"")</f>
        <v>64</v>
      </c>
      <c r="V51" s="10">
        <f>COUNTIF(I$2:$I$501,T51)</f>
        <v>437</v>
      </c>
      <c r="W51" s="10"/>
      <c r="X51" s="10"/>
    </row>
    <row r="52" spans="1:24" x14ac:dyDescent="0.25">
      <c r="A52" t="str">
        <f>IF(Tests!B53="","",Tests!B53)</f>
        <v>Wechsler Intelligence Scale for Children</v>
      </c>
      <c r="B52" t="str">
        <f>IF(Tests!D53="","",Tests!D53)</f>
        <v>WISC-V</v>
      </c>
      <c r="C52">
        <f>IF(Tests!E53="","",Tests!E53)</f>
        <v>2014</v>
      </c>
      <c r="E52" s="54">
        <f t="shared" si="0"/>
        <v>489</v>
      </c>
      <c r="F52" s="54">
        <f t="shared" si="1"/>
        <v>0</v>
      </c>
      <c r="G52" s="54">
        <f t="shared" si="2"/>
        <v>0</v>
      </c>
      <c r="H52" s="54">
        <f t="shared" si="3"/>
        <v>926</v>
      </c>
      <c r="I52" s="56" t="str">
        <f>IFERROR(INDEX($A$2:$A$501,MATCH(SMALL($H$2:$H$501,ROWS($I$2:I52)+$G$502),$H$2:$H$501,0)),"")</f>
        <v>Wechsler Intelligence Scale for Children</v>
      </c>
      <c r="J52">
        <f t="shared" si="4"/>
        <v>5</v>
      </c>
      <c r="K52" t="str">
        <f t="array" ref="K52">INDEX($B$2:$B$501,SMALL(IF($A$2:$A$501=I52,ROW($A$2:$A$501)-ROW(INDEX($A$2:$A$501,1,1))+1),J52))</f>
        <v>WISC-V</v>
      </c>
      <c r="L52">
        <f t="array" ref="L52">INDEX($C$2:$C$501,SMALL(IF($A$2:$A$501=I52,ROW($A$2:$A$501)-ROW(INDEX($A$2:$A$501,1,1))+1),J52))</f>
        <v>2014</v>
      </c>
      <c r="N52" t="str">
        <f t="shared" si="5"/>
        <v>WISC-V (2014)</v>
      </c>
      <c r="S52" s="10">
        <v>51</v>
      </c>
      <c r="T52" s="10" t="str">
        <f t="array" ref="T52">IFERROR(INDEX(A$2:$A$501,MATCH(0,COUNTIF($T$1:T51,A$2:$A$501),0)),"")</f>
        <v/>
      </c>
      <c r="U52" s="10">
        <f>IFERROR(MATCH(T52,I$2:$I$501,0),"")</f>
        <v>64</v>
      </c>
      <c r="V52" s="10">
        <f>COUNTIF(I$2:$I$501,T52)</f>
        <v>437</v>
      </c>
      <c r="W52" s="10"/>
      <c r="X52" s="10"/>
    </row>
    <row r="53" spans="1:24" x14ac:dyDescent="0.25">
      <c r="A53" t="str">
        <f>IF(Tests!B54="","",Tests!B54)</f>
        <v>Wechsler Intelligence Scale for Children</v>
      </c>
      <c r="B53" t="str">
        <f>IF(Tests!D54="","",Tests!D54)</f>
        <v>WISC-III PIQ</v>
      </c>
      <c r="C53">
        <f>IF(Tests!E54="","",Tests!E54)</f>
        <v>1991</v>
      </c>
      <c r="E53" s="54">
        <f t="shared" si="0"/>
        <v>489</v>
      </c>
      <c r="F53" s="54">
        <f t="shared" si="1"/>
        <v>0</v>
      </c>
      <c r="G53" s="54">
        <f t="shared" si="2"/>
        <v>0</v>
      </c>
      <c r="H53" s="54">
        <f t="shared" si="3"/>
        <v>926</v>
      </c>
      <c r="I53" s="56" t="str">
        <f>IFERROR(INDEX($A$2:$A$501,MATCH(SMALL($H$2:$H$501,ROWS($I$2:I53)+$G$502),$H$2:$H$501,0)),"")</f>
        <v>Wechsler Intelligence Scale for Children</v>
      </c>
      <c r="J53">
        <f t="shared" si="4"/>
        <v>6</v>
      </c>
      <c r="K53" t="str">
        <f t="array" ref="K53">INDEX($B$2:$B$501,SMALL(IF($A$2:$A$501=I53,ROW($A$2:$A$501)-ROW(INDEX($A$2:$A$501,1,1))+1),J53))</f>
        <v>WISC-III PIQ</v>
      </c>
      <c r="L53">
        <f t="array" ref="L53">INDEX($C$2:$C$501,SMALL(IF($A$2:$A$501=I53,ROW($A$2:$A$501)-ROW(INDEX($A$2:$A$501,1,1))+1),J53))</f>
        <v>1991</v>
      </c>
      <c r="N53" t="str">
        <f t="shared" si="5"/>
        <v>WISC-III PIQ (1991)</v>
      </c>
      <c r="S53" s="10">
        <v>52</v>
      </c>
      <c r="T53" s="10" t="str">
        <f t="array" ref="T53">IFERROR(INDEX(A$2:$A$501,MATCH(0,COUNTIF($T$1:T52,A$2:$A$501),0)),"")</f>
        <v/>
      </c>
      <c r="U53" s="10">
        <f>IFERROR(MATCH(T53,I$2:$I$501,0),"")</f>
        <v>64</v>
      </c>
      <c r="V53" s="10">
        <f>COUNTIF(I$2:$I$501,T53)</f>
        <v>437</v>
      </c>
      <c r="W53" s="10"/>
      <c r="X53" s="10"/>
    </row>
    <row r="54" spans="1:24" x14ac:dyDescent="0.25">
      <c r="A54" t="str">
        <f>IF(Tests!B55="","",Tests!B55)</f>
        <v>Wechsler Nonverbal Scale of Ability</v>
      </c>
      <c r="B54" t="str">
        <f>IF(Tests!D55="","",Tests!D55)</f>
        <v>WNA</v>
      </c>
      <c r="C54">
        <f>IF(Tests!E55="","",Tests!E55)</f>
        <v>2006</v>
      </c>
      <c r="E54" s="54">
        <f t="shared" si="0"/>
        <v>490</v>
      </c>
      <c r="F54" s="54">
        <f t="shared" si="1"/>
        <v>0</v>
      </c>
      <c r="G54" s="54">
        <f t="shared" si="2"/>
        <v>0</v>
      </c>
      <c r="H54" s="54">
        <f t="shared" si="3"/>
        <v>927</v>
      </c>
      <c r="I54" s="56" t="str">
        <f>IFERROR(INDEX($A$2:$A$501,MATCH(SMALL($H$2:$H$501,ROWS($I$2:I54)+$G$502),$H$2:$H$501,0)),"")</f>
        <v>Wechsler Nonverbal Scale of Ability</v>
      </c>
      <c r="J54">
        <f t="shared" si="4"/>
        <v>1</v>
      </c>
      <c r="K54" t="str">
        <f t="array" ref="K54">INDEX($B$2:$B$501,SMALL(IF($A$2:$A$501=I54,ROW($A$2:$A$501)-ROW(INDEX($A$2:$A$501,1,1))+1),J54))</f>
        <v>WNA</v>
      </c>
      <c r="L54">
        <f t="array" ref="L54">INDEX($C$2:$C$501,SMALL(IF($A$2:$A$501=I54,ROW($A$2:$A$501)-ROW(INDEX($A$2:$A$501,1,1))+1),J54))</f>
        <v>2006</v>
      </c>
      <c r="N54" t="str">
        <f t="shared" si="5"/>
        <v>WNA (2006)</v>
      </c>
      <c r="S54" s="10">
        <v>53</v>
      </c>
      <c r="T54" s="10" t="str">
        <f t="array" ref="T54">IFERROR(INDEX(A$2:$A$501,MATCH(0,COUNTIF($T$1:T53,A$2:$A$501),0)),"")</f>
        <v/>
      </c>
      <c r="U54" s="10">
        <f>IFERROR(MATCH(T54,I$2:$I$501,0),"")</f>
        <v>64</v>
      </c>
      <c r="V54" s="10">
        <f>COUNTIF(I$2:$I$501,T54)</f>
        <v>437</v>
      </c>
      <c r="W54" s="10"/>
      <c r="X54" s="10"/>
    </row>
    <row r="55" spans="1:24" x14ac:dyDescent="0.25">
      <c r="A55" t="str">
        <f>IF(Tests!B56="","",Tests!B56)</f>
        <v>Weschler Abbreviated Scale of Intelligence</v>
      </c>
      <c r="B55" t="str">
        <f>IF(Tests!D56="","",Tests!D56)</f>
        <v>WASI</v>
      </c>
      <c r="C55">
        <f>IF(Tests!E56="","",Tests!E56)</f>
        <v>1999</v>
      </c>
      <c r="E55" s="54">
        <f t="shared" si="0"/>
        <v>492</v>
      </c>
      <c r="F55" s="54">
        <f t="shared" si="1"/>
        <v>0</v>
      </c>
      <c r="G55" s="54">
        <f t="shared" si="2"/>
        <v>0</v>
      </c>
      <c r="H55" s="54">
        <f t="shared" si="3"/>
        <v>929</v>
      </c>
      <c r="I55" s="56" t="str">
        <f>IFERROR(INDEX($A$2:$A$501,MATCH(SMALL($H$2:$H$501,ROWS($I$2:I55)+$G$502),$H$2:$H$501,0)),"")</f>
        <v>Weschler Abbreviated Scale of Intelligence</v>
      </c>
      <c r="J55">
        <f t="shared" si="4"/>
        <v>1</v>
      </c>
      <c r="K55" t="str">
        <f t="array" ref="K55">INDEX($B$2:$B$501,SMALL(IF($A$2:$A$501=I55,ROW($A$2:$A$501)-ROW(INDEX($A$2:$A$501,1,1))+1),J55))</f>
        <v>WASI</v>
      </c>
      <c r="L55">
        <f t="array" ref="L55">INDEX($C$2:$C$501,SMALL(IF($A$2:$A$501=I55,ROW($A$2:$A$501)-ROW(INDEX($A$2:$A$501,1,1))+1),J55))</f>
        <v>1999</v>
      </c>
      <c r="N55" t="str">
        <f t="shared" si="5"/>
        <v>WASI (1999)</v>
      </c>
      <c r="S55" s="10">
        <v>54</v>
      </c>
      <c r="T55" s="10" t="str">
        <f t="array" ref="T55">IFERROR(INDEX(A$2:$A$501,MATCH(0,COUNTIF($T$1:T54,A$2:$A$501),0)),"")</f>
        <v/>
      </c>
      <c r="U55" s="10">
        <f>IFERROR(MATCH(T55,I$2:$I$501,0),"")</f>
        <v>64</v>
      </c>
      <c r="V55" s="10">
        <f>COUNTIF(I$2:$I$501,T55)</f>
        <v>437</v>
      </c>
      <c r="W55" s="10"/>
      <c r="X55" s="10"/>
    </row>
    <row r="56" spans="1:24" x14ac:dyDescent="0.25">
      <c r="A56" t="str">
        <f>IF(Tests!B57="","",Tests!B57)</f>
        <v>Weschler Abbreviated Scale of Intelligence</v>
      </c>
      <c r="B56" t="str">
        <f>IF(Tests!D57="","",Tests!D57)</f>
        <v>WASI-II</v>
      </c>
      <c r="C56">
        <f>IF(Tests!E57="","",Tests!E57)</f>
        <v>2011</v>
      </c>
      <c r="E56" s="54">
        <f t="shared" si="0"/>
        <v>492</v>
      </c>
      <c r="F56" s="54">
        <f t="shared" si="1"/>
        <v>0</v>
      </c>
      <c r="G56" s="54">
        <f t="shared" si="2"/>
        <v>0</v>
      </c>
      <c r="H56" s="54">
        <f t="shared" si="3"/>
        <v>929</v>
      </c>
      <c r="I56" s="56" t="str">
        <f>IFERROR(INDEX($A$2:$A$501,MATCH(SMALL($H$2:$H$501,ROWS($I$2:I56)+$G$502),$H$2:$H$501,0)),"")</f>
        <v>Weschler Abbreviated Scale of Intelligence</v>
      </c>
      <c r="J56">
        <f t="shared" si="4"/>
        <v>2</v>
      </c>
      <c r="K56" t="str">
        <f t="array" ref="K56">INDEX($B$2:$B$501,SMALL(IF($A$2:$A$501=I56,ROW($A$2:$A$501)-ROW(INDEX($A$2:$A$501,1,1))+1),J56))</f>
        <v>WASI-II</v>
      </c>
      <c r="L56">
        <f t="array" ref="L56">INDEX($C$2:$C$501,SMALL(IF($A$2:$A$501=I56,ROW($A$2:$A$501)-ROW(INDEX($A$2:$A$501,1,1))+1),J56))</f>
        <v>2011</v>
      </c>
      <c r="N56" t="str">
        <f t="shared" si="5"/>
        <v>WASI-II (2011)</v>
      </c>
      <c r="S56" s="10">
        <v>55</v>
      </c>
      <c r="T56" s="10" t="str">
        <f t="array" ref="T56">IFERROR(INDEX(A$2:$A$501,MATCH(0,COUNTIF($T$1:T55,A$2:$A$501),0)),"")</f>
        <v/>
      </c>
      <c r="U56" s="10">
        <f>IFERROR(MATCH(T56,I$2:$I$501,0),"")</f>
        <v>64</v>
      </c>
      <c r="V56" s="10">
        <f>COUNTIF(I$2:$I$501,T56)</f>
        <v>437</v>
      </c>
      <c r="W56" s="10"/>
      <c r="X56" s="10"/>
    </row>
    <row r="57" spans="1:24" x14ac:dyDescent="0.25">
      <c r="A57" t="str">
        <f>IF(Tests!B58="","",Tests!B58)</f>
        <v>Wide Range Intelligence Test</v>
      </c>
      <c r="B57" t="str">
        <f>IF(Tests!D58="","",Tests!D58)</f>
        <v>WRIT</v>
      </c>
      <c r="C57">
        <f>IF(Tests!E58="","",Tests!E58)</f>
        <v>1999</v>
      </c>
      <c r="E57" s="54">
        <f t="shared" si="0"/>
        <v>493</v>
      </c>
      <c r="F57" s="54">
        <f t="shared" si="1"/>
        <v>0</v>
      </c>
      <c r="G57" s="54">
        <f t="shared" si="2"/>
        <v>0</v>
      </c>
      <c r="H57" s="54">
        <f t="shared" si="3"/>
        <v>930</v>
      </c>
      <c r="I57" s="56" t="str">
        <f>IFERROR(INDEX($A$2:$A$501,MATCH(SMALL($H$2:$H$501,ROWS($I$2:I57)+$G$502),$H$2:$H$501,0)),"")</f>
        <v>Wide Range Intelligence Test</v>
      </c>
      <c r="J57">
        <f t="shared" si="4"/>
        <v>1</v>
      </c>
      <c r="K57" t="str">
        <f t="array" ref="K57">INDEX($B$2:$B$501,SMALL(IF($A$2:$A$501=I57,ROW($A$2:$A$501)-ROW(INDEX($A$2:$A$501,1,1))+1),J57))</f>
        <v>WRIT</v>
      </c>
      <c r="L57">
        <f t="array" ref="L57">INDEX($C$2:$C$501,SMALL(IF($A$2:$A$501=I57,ROW($A$2:$A$501)-ROW(INDEX($A$2:$A$501,1,1))+1),J57))</f>
        <v>1999</v>
      </c>
      <c r="N57" t="str">
        <f t="shared" si="5"/>
        <v>WRIT (1999)</v>
      </c>
      <c r="S57" s="10">
        <v>56</v>
      </c>
      <c r="T57" s="10" t="str">
        <f t="array" ref="T57">IFERROR(INDEX(A$2:$A$501,MATCH(0,COUNTIF($T$1:T56,A$2:$A$501),0)),"")</f>
        <v/>
      </c>
      <c r="U57" s="10">
        <f>IFERROR(MATCH(T57,I$2:$I$501,0),"")</f>
        <v>64</v>
      </c>
      <c r="V57" s="10">
        <f>COUNTIF(I$2:$I$501,T57)</f>
        <v>437</v>
      </c>
      <c r="W57" s="10"/>
      <c r="X57" s="10"/>
    </row>
    <row r="58" spans="1:24" x14ac:dyDescent="0.25">
      <c r="A58" t="str">
        <f>IF(Tests!B59="","",Tests!B59)</f>
        <v>Woodcock-Johnson Tests of Cognitive Ability</v>
      </c>
      <c r="B58" t="str">
        <f>IF(Tests!D59="","",Tests!D59)</f>
        <v>WJ77</v>
      </c>
      <c r="C58">
        <f>IF(Tests!E59="","",Tests!E59)</f>
        <v>1977</v>
      </c>
      <c r="E58" s="54">
        <f t="shared" si="0"/>
        <v>500</v>
      </c>
      <c r="F58" s="54">
        <f t="shared" si="1"/>
        <v>0</v>
      </c>
      <c r="G58" s="54">
        <f t="shared" si="2"/>
        <v>0</v>
      </c>
      <c r="H58" s="54">
        <f t="shared" si="3"/>
        <v>937</v>
      </c>
      <c r="I58" s="56" t="str">
        <f>IFERROR(INDEX($A$2:$A$501,MATCH(SMALL($H$2:$H$501,ROWS($I$2:I58)+$G$502),$H$2:$H$501,0)),"")</f>
        <v>Woodcock-Johnson Tests of Cognitive Ability</v>
      </c>
      <c r="J58">
        <f t="shared" si="4"/>
        <v>1</v>
      </c>
      <c r="K58" t="str">
        <f t="array" ref="K58">INDEX($B$2:$B$501,SMALL(IF($A$2:$A$501=I58,ROW($A$2:$A$501)-ROW(INDEX($A$2:$A$501,1,1))+1),J58))</f>
        <v>WJ77</v>
      </c>
      <c r="L58">
        <f t="array" ref="L58">INDEX($C$2:$C$501,SMALL(IF($A$2:$A$501=I58,ROW($A$2:$A$501)-ROW(INDEX($A$2:$A$501,1,1))+1),J58))</f>
        <v>1977</v>
      </c>
      <c r="N58" t="str">
        <f t="shared" si="5"/>
        <v>WJ77 (1977)</v>
      </c>
      <c r="S58" s="10">
        <v>57</v>
      </c>
      <c r="T58" s="10" t="str">
        <f t="array" ref="T58">IFERROR(INDEX(A$2:$A$501,MATCH(0,COUNTIF($T$1:T57,A$2:$A$501),0)),"")</f>
        <v/>
      </c>
      <c r="U58" s="10">
        <f>IFERROR(MATCH(T58,I$2:$I$501,0),"")</f>
        <v>64</v>
      </c>
      <c r="V58" s="10">
        <f>COUNTIF(I$2:$I$501,T58)</f>
        <v>437</v>
      </c>
      <c r="W58" s="10"/>
      <c r="X58" s="10"/>
    </row>
    <row r="59" spans="1:24" x14ac:dyDescent="0.25">
      <c r="A59" t="str">
        <f>IF(Tests!B60="","",Tests!B60)</f>
        <v>Woodcock-Johnson Tests of Cognitive Ability</v>
      </c>
      <c r="B59" t="str">
        <f>IF(Tests!D60="","",Tests!D60)</f>
        <v>WJ R Standard Scale</v>
      </c>
      <c r="C59">
        <f>IF(Tests!E60="","",Tests!E60)</f>
        <v>1989</v>
      </c>
      <c r="E59" s="54">
        <f t="shared" si="0"/>
        <v>500</v>
      </c>
      <c r="F59" s="54">
        <f t="shared" si="1"/>
        <v>0</v>
      </c>
      <c r="G59" s="54">
        <f t="shared" si="2"/>
        <v>0</v>
      </c>
      <c r="H59" s="54">
        <f t="shared" si="3"/>
        <v>937</v>
      </c>
      <c r="I59" s="56" t="str">
        <f>IFERROR(INDEX($A$2:$A$501,MATCH(SMALL($H$2:$H$501,ROWS($I$2:I59)+$G$502),$H$2:$H$501,0)),"")</f>
        <v>Woodcock-Johnson Tests of Cognitive Ability</v>
      </c>
      <c r="J59">
        <f t="shared" si="4"/>
        <v>2</v>
      </c>
      <c r="K59" t="str">
        <f t="array" ref="K59">INDEX($B$2:$B$501,SMALL(IF($A$2:$A$501=I59,ROW($A$2:$A$501)-ROW(INDEX($A$2:$A$501,1,1))+1),J59))</f>
        <v>WJ R Standard Scale</v>
      </c>
      <c r="L59">
        <f t="array" ref="L59">INDEX($C$2:$C$501,SMALL(IF($A$2:$A$501=I59,ROW($A$2:$A$501)-ROW(INDEX($A$2:$A$501,1,1))+1),J59))</f>
        <v>1989</v>
      </c>
      <c r="N59" t="str">
        <f t="shared" si="5"/>
        <v>WJ R Standard Scale (1989)</v>
      </c>
      <c r="S59" s="10">
        <v>58</v>
      </c>
      <c r="T59" s="10" t="str">
        <f t="array" ref="T59">IFERROR(INDEX(A$2:$A$501,MATCH(0,COUNTIF($T$1:T58,A$2:$A$501),0)),"")</f>
        <v/>
      </c>
      <c r="U59" s="10">
        <f>IFERROR(MATCH(T59,I$2:$I$501,0),"")</f>
        <v>64</v>
      </c>
      <c r="V59" s="10">
        <f>COUNTIF(I$2:$I$501,T59)</f>
        <v>437</v>
      </c>
      <c r="W59" s="10"/>
      <c r="X59" s="10"/>
    </row>
    <row r="60" spans="1:24" x14ac:dyDescent="0.25">
      <c r="A60" t="str">
        <f>IF(Tests!B61="","",Tests!B61)</f>
        <v>Woodcock-Johnson Tests of Cognitive Ability</v>
      </c>
      <c r="B60" t="str">
        <f>IF(Tests!D61="","",Tests!D61)</f>
        <v>WJ R Extended Scale</v>
      </c>
      <c r="C60">
        <f>IF(Tests!E61="","",Tests!E61)</f>
        <v>1989</v>
      </c>
      <c r="E60" s="54">
        <f t="shared" si="0"/>
        <v>500</v>
      </c>
      <c r="F60" s="54">
        <f t="shared" si="1"/>
        <v>0</v>
      </c>
      <c r="G60" s="54">
        <f t="shared" si="2"/>
        <v>0</v>
      </c>
      <c r="H60" s="54">
        <f t="shared" si="3"/>
        <v>937</v>
      </c>
      <c r="I60" s="56" t="str">
        <f>IFERROR(INDEX($A$2:$A$501,MATCH(SMALL($H$2:$H$501,ROWS($I$2:I60)+$G$502),$H$2:$H$501,0)),"")</f>
        <v>Woodcock-Johnson Tests of Cognitive Ability</v>
      </c>
      <c r="J60">
        <f t="shared" si="4"/>
        <v>3</v>
      </c>
      <c r="K60" t="str">
        <f t="array" ref="K60">INDEX($B$2:$B$501,SMALL(IF($A$2:$A$501=I60,ROW($A$2:$A$501)-ROW(INDEX($A$2:$A$501,1,1))+1),J60))</f>
        <v>WJ R Extended Scale</v>
      </c>
      <c r="L60">
        <f t="array" ref="L60">INDEX($C$2:$C$501,SMALL(IF($A$2:$A$501=I60,ROW($A$2:$A$501)-ROW(INDEX($A$2:$A$501,1,1))+1),J60))</f>
        <v>1989</v>
      </c>
      <c r="N60" t="str">
        <f t="shared" si="5"/>
        <v>WJ R Extended Scale (1989)</v>
      </c>
      <c r="S60" s="10">
        <v>59</v>
      </c>
      <c r="T60" s="10" t="str">
        <f t="array" ref="T60">IFERROR(INDEX(A$2:$A$501,MATCH(0,COUNTIF($T$1:T59,A$2:$A$501),0)),"")</f>
        <v/>
      </c>
      <c r="U60" s="10">
        <f>IFERROR(MATCH(T60,I$2:$I$501,0),"")</f>
        <v>64</v>
      </c>
      <c r="V60" s="10">
        <f>COUNTIF(I$2:$I$501,T60)</f>
        <v>437</v>
      </c>
      <c r="W60" s="10"/>
      <c r="X60" s="10"/>
    </row>
    <row r="61" spans="1:24" x14ac:dyDescent="0.25">
      <c r="A61" t="str">
        <f>IF(Tests!B62="","",Tests!B62)</f>
        <v>Woodcock-Johnson Tests of Cognitive Ability</v>
      </c>
      <c r="B61" t="str">
        <f>IF(Tests!D62="","",Tests!D62)</f>
        <v>WJ III</v>
      </c>
      <c r="C61">
        <f>IF(Tests!E62="","",Tests!E62)</f>
        <v>2001</v>
      </c>
      <c r="E61" s="54">
        <f t="shared" si="0"/>
        <v>500</v>
      </c>
      <c r="F61" s="54">
        <f t="shared" si="1"/>
        <v>0</v>
      </c>
      <c r="G61" s="54">
        <f t="shared" si="2"/>
        <v>0</v>
      </c>
      <c r="H61" s="54">
        <f t="shared" si="3"/>
        <v>937</v>
      </c>
      <c r="I61" s="56" t="str">
        <f>IFERROR(INDEX($A$2:$A$501,MATCH(SMALL($H$2:$H$501,ROWS($I$2:I61)+$G$502),$H$2:$H$501,0)),"")</f>
        <v>Woodcock-Johnson Tests of Cognitive Ability</v>
      </c>
      <c r="J61">
        <f t="shared" si="4"/>
        <v>4</v>
      </c>
      <c r="K61" t="str">
        <f t="array" ref="K61">INDEX($B$2:$B$501,SMALL(IF($A$2:$A$501=I61,ROW($A$2:$A$501)-ROW(INDEX($A$2:$A$501,1,1))+1),J61))</f>
        <v>WJ III</v>
      </c>
      <c r="L61">
        <f t="array" ref="L61">INDEX($C$2:$C$501,SMALL(IF($A$2:$A$501=I61,ROW($A$2:$A$501)-ROW(INDEX($A$2:$A$501,1,1))+1),J61))</f>
        <v>2001</v>
      </c>
      <c r="N61" t="str">
        <f t="shared" si="5"/>
        <v>WJ III (2001)</v>
      </c>
      <c r="S61" s="10">
        <v>60</v>
      </c>
      <c r="T61" s="10" t="str">
        <f t="array" ref="T61">IFERROR(INDEX(A$2:$A$501,MATCH(0,COUNTIF($T$1:T60,A$2:$A$501),0)),"")</f>
        <v/>
      </c>
      <c r="U61" s="10">
        <f>IFERROR(MATCH(T61,I$2:$I$501,0),"")</f>
        <v>64</v>
      </c>
      <c r="V61" s="10">
        <f>COUNTIF(I$2:$I$501,T61)</f>
        <v>437</v>
      </c>
      <c r="W61" s="10"/>
      <c r="X61" s="10"/>
    </row>
    <row r="62" spans="1:24" x14ac:dyDescent="0.25">
      <c r="A62" t="str">
        <f>IF(Tests!B63="","",Tests!B63)</f>
        <v>Woodcock-Johnson Tests of Cognitive Ability</v>
      </c>
      <c r="B62" t="str">
        <f>IF(Tests!D63="","",Tests!D63)</f>
        <v>WJ III NU</v>
      </c>
      <c r="C62">
        <f>IF(Tests!E63="","",Tests!E63)</f>
        <v>2007</v>
      </c>
      <c r="E62" s="54">
        <f t="shared" si="0"/>
        <v>500</v>
      </c>
      <c r="F62" s="54">
        <f t="shared" si="1"/>
        <v>0</v>
      </c>
      <c r="G62" s="54">
        <f t="shared" si="2"/>
        <v>0</v>
      </c>
      <c r="H62" s="54">
        <f t="shared" si="3"/>
        <v>937</v>
      </c>
      <c r="I62" s="56" t="str">
        <f>IFERROR(INDEX($A$2:$A$501,MATCH(SMALL($H$2:$H$501,ROWS($I$2:I62)+$G$502),$H$2:$H$501,0)),"")</f>
        <v>Woodcock-Johnson Tests of Cognitive Ability</v>
      </c>
      <c r="J62">
        <f t="shared" si="4"/>
        <v>5</v>
      </c>
      <c r="K62" t="str">
        <f t="array" ref="K62">INDEX($B$2:$B$501,SMALL(IF($A$2:$A$501=I62,ROW($A$2:$A$501)-ROW(INDEX($A$2:$A$501,1,1))+1),J62))</f>
        <v>WJ III NU</v>
      </c>
      <c r="L62">
        <f t="array" ref="L62">INDEX($C$2:$C$501,SMALL(IF($A$2:$A$501=I62,ROW($A$2:$A$501)-ROW(INDEX($A$2:$A$501,1,1))+1),J62))</f>
        <v>2007</v>
      </c>
      <c r="N62" t="str">
        <f t="shared" si="5"/>
        <v>WJ III NU (2007)</v>
      </c>
      <c r="S62" s="10">
        <v>61</v>
      </c>
      <c r="T62" s="10" t="str">
        <f t="array" ref="T62">IFERROR(INDEX(A$2:$A$501,MATCH(0,COUNTIF($T$1:T61,A$2:$A$501),0)),"")</f>
        <v/>
      </c>
      <c r="U62" s="10">
        <f>IFERROR(MATCH(T62,I$2:$I$501,0),"")</f>
        <v>64</v>
      </c>
      <c r="V62" s="10">
        <f>COUNTIF(I$2:$I$501,T62)</f>
        <v>437</v>
      </c>
      <c r="W62" s="10"/>
      <c r="X62" s="10"/>
    </row>
    <row r="63" spans="1:24" x14ac:dyDescent="0.25">
      <c r="A63" t="str">
        <f>IF(Tests!B64="","",Tests!B64)</f>
        <v>Woodcock-Johnson Tests of Cognitive Ability</v>
      </c>
      <c r="B63" t="str">
        <f>IF(Tests!D64="","",Tests!D64)</f>
        <v>WJ IV</v>
      </c>
      <c r="C63">
        <f>IF(Tests!E64="","",Tests!E64)</f>
        <v>2014</v>
      </c>
      <c r="E63" s="54">
        <f t="shared" si="0"/>
        <v>500</v>
      </c>
      <c r="F63" s="54">
        <f t="shared" si="1"/>
        <v>0</v>
      </c>
      <c r="G63" s="54">
        <f t="shared" si="2"/>
        <v>0</v>
      </c>
      <c r="H63" s="54">
        <f t="shared" si="3"/>
        <v>937</v>
      </c>
      <c r="I63" s="56" t="str">
        <f>IFERROR(INDEX($A$2:$A$501,MATCH(SMALL($H$2:$H$501,ROWS($I$2:I63)+$G$502),$H$2:$H$501,0)),"")</f>
        <v>Woodcock-Johnson Tests of Cognitive Ability</v>
      </c>
      <c r="J63">
        <f t="shared" si="4"/>
        <v>6</v>
      </c>
      <c r="K63" t="str">
        <f t="array" ref="K63">INDEX($B$2:$B$501,SMALL(IF($A$2:$A$501=I63,ROW($A$2:$A$501)-ROW(INDEX($A$2:$A$501,1,1))+1),J63))</f>
        <v>WJ IV</v>
      </c>
      <c r="L63">
        <f t="array" ref="L63">INDEX($C$2:$C$501,SMALL(IF($A$2:$A$501=I63,ROW($A$2:$A$501)-ROW(INDEX($A$2:$A$501,1,1))+1),J63))</f>
        <v>2014</v>
      </c>
      <c r="N63" t="str">
        <f t="shared" si="5"/>
        <v>WJ IV (2014)</v>
      </c>
      <c r="S63" s="10">
        <v>62</v>
      </c>
      <c r="T63" s="10" t="str">
        <f t="array" ref="T63">IFERROR(INDEX(A$2:$A$501,MATCH(0,COUNTIF($T$1:T62,A$2:$A$501),0)),"")</f>
        <v/>
      </c>
      <c r="U63" s="10">
        <f>IFERROR(MATCH(T63,I$2:$I$501,0),"")</f>
        <v>64</v>
      </c>
      <c r="V63" s="10">
        <f>COUNTIF(I$2:$I$501,T63)</f>
        <v>437</v>
      </c>
      <c r="W63" s="10"/>
      <c r="X63" s="10"/>
    </row>
    <row r="64" spans="1:24" x14ac:dyDescent="0.25">
      <c r="A64" t="str">
        <f>IF(Tests!B65="","",Tests!B65)</f>
        <v>Woodcock-Johnson Tests of Cognitive Ability</v>
      </c>
      <c r="B64" t="str">
        <f>IF(Tests!D65="","",Tests!D65)</f>
        <v>WJ V</v>
      </c>
      <c r="C64">
        <f>IF(Tests!E65="","",Tests!E65)</f>
        <v>2025</v>
      </c>
      <c r="E64" s="54">
        <f t="shared" si="0"/>
        <v>500</v>
      </c>
      <c r="F64" s="54">
        <f t="shared" si="1"/>
        <v>0</v>
      </c>
      <c r="G64" s="54">
        <f t="shared" si="2"/>
        <v>0</v>
      </c>
      <c r="H64" s="54">
        <f t="shared" si="3"/>
        <v>937</v>
      </c>
      <c r="I64" s="56" t="str">
        <f>IFERROR(INDEX($A$2:$A$501,MATCH(SMALL($H$2:$H$501,ROWS($I$2:I64)+$G$502),$H$2:$H$501,0)),"")</f>
        <v>Woodcock-Johnson Tests of Cognitive Ability</v>
      </c>
      <c r="J64">
        <f t="shared" si="4"/>
        <v>7</v>
      </c>
      <c r="K64" t="str">
        <f t="array" ref="K64">INDEX($B$2:$B$501,SMALL(IF($A$2:$A$501=I64,ROW($A$2:$A$501)-ROW(INDEX($A$2:$A$501,1,1))+1),J64))</f>
        <v>WJ V</v>
      </c>
      <c r="L64">
        <f t="array" ref="L64">INDEX($C$2:$C$501,SMALL(IF($A$2:$A$501=I64,ROW($A$2:$A$501)-ROW(INDEX($A$2:$A$501,1,1))+1),J64))</f>
        <v>2025</v>
      </c>
      <c r="N64" t="str">
        <f t="shared" si="5"/>
        <v>WJ V (2025)</v>
      </c>
      <c r="S64" s="10">
        <v>63</v>
      </c>
      <c r="T64" s="10" t="str">
        <f t="array" ref="T64">IFERROR(INDEX(A$2:$A$501,MATCH(0,COUNTIF($T$1:T63,A$2:$A$501),0)),"")</f>
        <v/>
      </c>
      <c r="U64" s="10">
        <f>IFERROR(MATCH(T64,I$2:$I$501,0),"")</f>
        <v>64</v>
      </c>
      <c r="V64" s="10">
        <f>COUNTIF(I$2:$I$501,T64)</f>
        <v>437</v>
      </c>
      <c r="W64" s="10"/>
      <c r="X64" s="10"/>
    </row>
    <row r="65" spans="1:24" x14ac:dyDescent="0.25">
      <c r="A65" t="str">
        <f>IF(Tests!B66="","",Tests!B66)</f>
        <v/>
      </c>
      <c r="B65" t="str">
        <f>IF(Tests!D66="","",Tests!D66)</f>
        <v/>
      </c>
      <c r="C65" t="str">
        <f>IF(Tests!E66="","",Tests!E66)</f>
        <v/>
      </c>
      <c r="E65" s="54">
        <f t="shared" si="0"/>
        <v>0</v>
      </c>
      <c r="F65" s="54">
        <f t="shared" si="1"/>
        <v>0</v>
      </c>
      <c r="G65" s="54">
        <f t="shared" si="2"/>
        <v>1</v>
      </c>
      <c r="H65" s="54">
        <f t="shared" si="3"/>
        <v>437</v>
      </c>
      <c r="I65" s="56" t="str">
        <f>IFERROR(INDEX($A$2:$A$501,MATCH(SMALL($H$2:$H$501,ROWS($I$2:I65)+$G$502),$H$2:$H$501,0)),"")</f>
        <v/>
      </c>
      <c r="J65">
        <f t="shared" si="4"/>
        <v>1</v>
      </c>
      <c r="K65" t="str">
        <f t="array" ref="K65">INDEX($B$2:$B$501,SMALL(IF($A$2:$A$501=I65,ROW($A$2:$A$501)-ROW(INDEX($A$2:$A$501,1,1))+1),J65))</f>
        <v/>
      </c>
      <c r="L65" t="str">
        <f t="array" ref="L65">INDEX($C$2:$C$501,SMALL(IF($A$2:$A$501=I65,ROW($A$2:$A$501)-ROW(INDEX($A$2:$A$501,1,1))+1),J65))</f>
        <v/>
      </c>
      <c r="N65" t="str">
        <f t="shared" si="5"/>
        <v/>
      </c>
      <c r="S65" s="10">
        <v>64</v>
      </c>
      <c r="T65" s="10" t="str">
        <f t="array" ref="T65">IFERROR(INDEX(A$2:$A$501,MATCH(0,COUNTIF($T$1:T64,A$2:$A$501),0)),"")</f>
        <v/>
      </c>
      <c r="U65" s="10">
        <f>IFERROR(MATCH(T65,I$2:$I$501,0),"")</f>
        <v>64</v>
      </c>
      <c r="V65" s="10">
        <f>COUNTIF(I$2:$I$501,T65)</f>
        <v>437</v>
      </c>
      <c r="W65" s="10"/>
      <c r="X65" s="10"/>
    </row>
    <row r="66" spans="1:24" x14ac:dyDescent="0.25">
      <c r="A66" t="str">
        <f>IF(Tests!B67="","",Tests!B67)</f>
        <v/>
      </c>
      <c r="B66" t="str">
        <f>IF(Tests!D67="","",Tests!D67)</f>
        <v/>
      </c>
      <c r="C66" t="str">
        <f>IF(Tests!E67="","",Tests!E67)</f>
        <v/>
      </c>
      <c r="E66" s="54">
        <f t="shared" si="0"/>
        <v>0</v>
      </c>
      <c r="F66" s="54">
        <f t="shared" si="1"/>
        <v>0</v>
      </c>
      <c r="G66" s="54">
        <f t="shared" si="2"/>
        <v>1</v>
      </c>
      <c r="H66" s="54">
        <f t="shared" si="3"/>
        <v>437</v>
      </c>
      <c r="I66" s="56" t="str">
        <f>IFERROR(INDEX($A$2:$A$501,MATCH(SMALL($H$2:$H$501,ROWS($I$2:I66)+$G$502),$H$2:$H$501,0)),"")</f>
        <v/>
      </c>
      <c r="J66">
        <f t="shared" si="4"/>
        <v>2</v>
      </c>
      <c r="K66" t="str">
        <f t="array" ref="K66">INDEX($B$2:$B$501,SMALL(IF($A$2:$A$501=I66,ROW($A$2:$A$501)-ROW(INDEX($A$2:$A$501,1,1))+1),J66))</f>
        <v/>
      </c>
      <c r="L66" t="str">
        <f t="array" ref="L66">INDEX($C$2:$C$501,SMALL(IF($A$2:$A$501=I66,ROW($A$2:$A$501)-ROW(INDEX($A$2:$A$501,1,1))+1),J66))</f>
        <v/>
      </c>
      <c r="N66" t="str">
        <f t="shared" si="5"/>
        <v/>
      </c>
      <c r="S66" s="10">
        <v>65</v>
      </c>
      <c r="T66" s="10" t="str">
        <f t="array" ref="T66">IFERROR(INDEX(A$2:$A$501,MATCH(0,COUNTIF($T$1:T65,A$2:$A$501),0)),"")</f>
        <v/>
      </c>
      <c r="U66" s="10">
        <f>IFERROR(MATCH(T66,I$2:$I$501,0),"")</f>
        <v>64</v>
      </c>
      <c r="V66" s="10">
        <f>COUNTIF(I$2:$I$501,T66)</f>
        <v>437</v>
      </c>
      <c r="W66" s="10"/>
      <c r="X66" s="10"/>
    </row>
    <row r="67" spans="1:24" x14ac:dyDescent="0.25">
      <c r="A67" t="str">
        <f>IF(Tests!B68="","",Tests!B68)</f>
        <v/>
      </c>
      <c r="B67" t="str">
        <f>IF(Tests!D68="","",Tests!D68)</f>
        <v/>
      </c>
      <c r="C67" t="str">
        <f>IF(Tests!E68="","",Tests!E68)</f>
        <v/>
      </c>
      <c r="E67" s="54">
        <f t="shared" ref="E67:E130" si="6">COUNTIF($A$2:$A$501,"&lt;="&amp;A67)</f>
        <v>0</v>
      </c>
      <c r="F67" s="54">
        <f t="shared" ref="F67:F130" si="7">--ISNUMBER(A67)</f>
        <v>0</v>
      </c>
      <c r="G67" s="54">
        <f t="shared" ref="G67:G130" si="8">--(A67="")</f>
        <v>1</v>
      </c>
      <c r="H67" s="54">
        <f t="shared" ref="H67:H130" si="9">IF(ISNUMBER(A67),E67,IF(ISBLANK(A67),E67,E67+$F$502))+$G$502</f>
        <v>437</v>
      </c>
      <c r="I67" s="56" t="str">
        <f>IFERROR(INDEX($A$2:$A$501,MATCH(SMALL($H$2:$H$501,ROWS($I$2:I67)+$G$502),$H$2:$H$501,0)),"")</f>
        <v/>
      </c>
      <c r="J67">
        <f t="shared" ref="J67:J130" si="10">IF(I66=I67,J66+1,1)</f>
        <v>3</v>
      </c>
      <c r="K67" t="str">
        <f t="array" ref="K67">INDEX($B$2:$B$501,SMALL(IF($A$2:$A$501=I67,ROW($A$2:$A$501)-ROW(INDEX($A$2:$A$501,1,1))+1),J67))</f>
        <v/>
      </c>
      <c r="L67" t="str">
        <f t="array" ref="L67">INDEX($C$2:$C$501,SMALL(IF($A$2:$A$501=I67,ROW($A$2:$A$501)-ROW(INDEX($A$2:$A$501,1,1))+1),J67))</f>
        <v/>
      </c>
      <c r="N67" t="str">
        <f t="shared" ref="N67:N130" si="11">IF(K67="","",K67&amp;" ("&amp;L67&amp;")")</f>
        <v/>
      </c>
      <c r="S67" s="10">
        <v>66</v>
      </c>
      <c r="T67" s="10" t="str">
        <f t="array" ref="T67">IFERROR(INDEX(A$2:$A$501,MATCH(0,COUNTIF($T$1:T66,A$2:$A$501),0)),"")</f>
        <v/>
      </c>
      <c r="U67" s="10">
        <f>IFERROR(MATCH(T67,I$2:$I$501,0),"")</f>
        <v>64</v>
      </c>
      <c r="V67" s="10">
        <f>COUNTIF(I$2:$I$501,T67)</f>
        <v>437</v>
      </c>
      <c r="W67" s="10"/>
      <c r="X67" s="10"/>
    </row>
    <row r="68" spans="1:24" x14ac:dyDescent="0.25">
      <c r="A68" t="str">
        <f>IF(Tests!B69="","",Tests!B69)</f>
        <v/>
      </c>
      <c r="B68" t="str">
        <f>IF(Tests!D69="","",Tests!D69)</f>
        <v/>
      </c>
      <c r="C68" t="str">
        <f>IF(Tests!E69="","",Tests!E69)</f>
        <v/>
      </c>
      <c r="E68" s="54">
        <f t="shared" si="6"/>
        <v>0</v>
      </c>
      <c r="F68" s="54">
        <f t="shared" si="7"/>
        <v>0</v>
      </c>
      <c r="G68" s="54">
        <f t="shared" si="8"/>
        <v>1</v>
      </c>
      <c r="H68" s="54">
        <f t="shared" si="9"/>
        <v>437</v>
      </c>
      <c r="I68" s="56" t="str">
        <f>IFERROR(INDEX($A$2:$A$501,MATCH(SMALL($H$2:$H$501,ROWS($I$2:I68)+$G$502),$H$2:$H$501,0)),"")</f>
        <v/>
      </c>
      <c r="J68">
        <f t="shared" si="10"/>
        <v>4</v>
      </c>
      <c r="K68" t="str">
        <f t="array" ref="K68">INDEX($B$2:$B$501,SMALL(IF($A$2:$A$501=I68,ROW($A$2:$A$501)-ROW(INDEX($A$2:$A$501,1,1))+1),J68))</f>
        <v/>
      </c>
      <c r="L68" t="str">
        <f t="array" ref="L68">INDEX($C$2:$C$501,SMALL(IF($A$2:$A$501=I68,ROW($A$2:$A$501)-ROW(INDEX($A$2:$A$501,1,1))+1),J68))</f>
        <v/>
      </c>
      <c r="N68" t="str">
        <f t="shared" si="11"/>
        <v/>
      </c>
      <c r="S68" s="10">
        <v>67</v>
      </c>
      <c r="T68" s="10" t="str">
        <f t="array" ref="T68">IFERROR(INDEX(A$2:$A$501,MATCH(0,COUNTIF($T$1:T67,A$2:$A$501),0)),"")</f>
        <v/>
      </c>
      <c r="U68" s="10">
        <f>IFERROR(MATCH(T68,I$2:$I$501,0),"")</f>
        <v>64</v>
      </c>
      <c r="V68" s="10">
        <f>COUNTIF(I$2:$I$501,T68)</f>
        <v>437</v>
      </c>
      <c r="W68" s="10"/>
      <c r="X68" s="10"/>
    </row>
    <row r="69" spans="1:24" x14ac:dyDescent="0.25">
      <c r="A69" t="str">
        <f>IF(Tests!B70="","",Tests!B70)</f>
        <v/>
      </c>
      <c r="B69" t="str">
        <f>IF(Tests!D70="","",Tests!D70)</f>
        <v/>
      </c>
      <c r="C69" t="str">
        <f>IF(Tests!E70="","",Tests!E70)</f>
        <v/>
      </c>
      <c r="E69" s="54">
        <f t="shared" si="6"/>
        <v>0</v>
      </c>
      <c r="F69" s="54">
        <f t="shared" si="7"/>
        <v>0</v>
      </c>
      <c r="G69" s="54">
        <f t="shared" si="8"/>
        <v>1</v>
      </c>
      <c r="H69" s="54">
        <f t="shared" si="9"/>
        <v>437</v>
      </c>
      <c r="I69" s="56" t="str">
        <f>IFERROR(INDEX($A$2:$A$501,MATCH(SMALL($H$2:$H$501,ROWS($I$2:I69)+$G$502),$H$2:$H$501,0)),"")</f>
        <v/>
      </c>
      <c r="J69">
        <f t="shared" si="10"/>
        <v>5</v>
      </c>
      <c r="K69" t="str">
        <f t="array" ref="K69">INDEX($B$2:$B$501,SMALL(IF($A$2:$A$501=I69,ROW($A$2:$A$501)-ROW(INDEX($A$2:$A$501,1,1))+1),J69))</f>
        <v/>
      </c>
      <c r="L69" t="str">
        <f t="array" ref="L69">INDEX($C$2:$C$501,SMALL(IF($A$2:$A$501=I69,ROW($A$2:$A$501)-ROW(INDEX($A$2:$A$501,1,1))+1),J69))</f>
        <v/>
      </c>
      <c r="N69" t="str">
        <f t="shared" si="11"/>
        <v/>
      </c>
      <c r="S69" s="10">
        <v>68</v>
      </c>
      <c r="T69" s="10" t="str">
        <f t="array" ref="T69">IFERROR(INDEX(A$2:$A$501,MATCH(0,COUNTIF($T$1:T68,A$2:$A$501),0)),"")</f>
        <v/>
      </c>
      <c r="U69" s="10">
        <f>IFERROR(MATCH(T69,I$2:$I$501,0),"")</f>
        <v>64</v>
      </c>
      <c r="V69" s="10">
        <f>COUNTIF(I$2:$I$501,T69)</f>
        <v>437</v>
      </c>
      <c r="W69" s="10"/>
      <c r="X69" s="10"/>
    </row>
    <row r="70" spans="1:24" x14ac:dyDescent="0.25">
      <c r="A70" t="str">
        <f>IF(Tests!B71="","",Tests!B71)</f>
        <v/>
      </c>
      <c r="B70" t="str">
        <f>IF(Tests!D71="","",Tests!D71)</f>
        <v/>
      </c>
      <c r="C70" t="str">
        <f>IF(Tests!E71="","",Tests!E71)</f>
        <v/>
      </c>
      <c r="E70" s="54">
        <f t="shared" si="6"/>
        <v>0</v>
      </c>
      <c r="F70" s="54">
        <f t="shared" si="7"/>
        <v>0</v>
      </c>
      <c r="G70" s="54">
        <f t="shared" si="8"/>
        <v>1</v>
      </c>
      <c r="H70" s="54">
        <f t="shared" si="9"/>
        <v>437</v>
      </c>
      <c r="I70" s="56" t="str">
        <f>IFERROR(INDEX($A$2:$A$501,MATCH(SMALL($H$2:$H$501,ROWS($I$2:I70)+$G$502),$H$2:$H$501,0)),"")</f>
        <v/>
      </c>
      <c r="J70">
        <f t="shared" si="10"/>
        <v>6</v>
      </c>
      <c r="K70" t="str">
        <f t="array" ref="K70">INDEX($B$2:$B$501,SMALL(IF($A$2:$A$501=I70,ROW($A$2:$A$501)-ROW(INDEX($A$2:$A$501,1,1))+1),J70))</f>
        <v/>
      </c>
      <c r="L70" t="str">
        <f t="array" ref="L70">INDEX($C$2:$C$501,SMALL(IF($A$2:$A$501=I70,ROW($A$2:$A$501)-ROW(INDEX($A$2:$A$501,1,1))+1),J70))</f>
        <v/>
      </c>
      <c r="N70" t="str">
        <f t="shared" si="11"/>
        <v/>
      </c>
      <c r="S70" s="10">
        <v>69</v>
      </c>
      <c r="T70" s="10" t="str">
        <f t="array" ref="T70">IFERROR(INDEX(A$2:$A$501,MATCH(0,COUNTIF($T$1:T69,A$2:$A$501),0)),"")</f>
        <v/>
      </c>
      <c r="U70" s="10">
        <f>IFERROR(MATCH(T70,I$2:$I$501,0),"")</f>
        <v>64</v>
      </c>
      <c r="V70" s="10">
        <f>COUNTIF(I$2:$I$501,T70)</f>
        <v>437</v>
      </c>
      <c r="W70" s="10"/>
      <c r="X70" s="10"/>
    </row>
    <row r="71" spans="1:24" x14ac:dyDescent="0.25">
      <c r="A71" t="str">
        <f>IF(Tests!B72="","",Tests!B72)</f>
        <v/>
      </c>
      <c r="B71" t="str">
        <f>IF(Tests!D72="","",Tests!D72)</f>
        <v/>
      </c>
      <c r="C71" t="str">
        <f>IF(Tests!E72="","",Tests!E72)</f>
        <v/>
      </c>
      <c r="E71" s="54">
        <f t="shared" si="6"/>
        <v>0</v>
      </c>
      <c r="F71" s="54">
        <f t="shared" si="7"/>
        <v>0</v>
      </c>
      <c r="G71" s="54">
        <f t="shared" si="8"/>
        <v>1</v>
      </c>
      <c r="H71" s="54">
        <f t="shared" si="9"/>
        <v>437</v>
      </c>
      <c r="I71" s="56" t="str">
        <f>IFERROR(INDEX($A$2:$A$501,MATCH(SMALL($H$2:$H$501,ROWS($I$2:I71)+$G$502),$H$2:$H$501,0)),"")</f>
        <v/>
      </c>
      <c r="J71">
        <f t="shared" si="10"/>
        <v>7</v>
      </c>
      <c r="K71" t="str">
        <f t="array" ref="K71">INDEX($B$2:$B$501,SMALL(IF($A$2:$A$501=I71,ROW($A$2:$A$501)-ROW(INDEX($A$2:$A$501,1,1))+1),J71))</f>
        <v/>
      </c>
      <c r="L71" t="str">
        <f t="array" ref="L71">INDEX($C$2:$C$501,SMALL(IF($A$2:$A$501=I71,ROW($A$2:$A$501)-ROW(INDEX($A$2:$A$501,1,1))+1),J71))</f>
        <v/>
      </c>
      <c r="N71" t="str">
        <f t="shared" si="11"/>
        <v/>
      </c>
      <c r="S71" s="10">
        <v>70</v>
      </c>
      <c r="T71" s="10" t="str">
        <f t="array" ref="T71">IFERROR(INDEX(A$2:$A$501,MATCH(0,COUNTIF($T$1:T70,A$2:$A$501),0)),"")</f>
        <v/>
      </c>
      <c r="U71" s="10">
        <f>IFERROR(MATCH(T71,I$2:$I$501,0),"")</f>
        <v>64</v>
      </c>
      <c r="V71" s="10">
        <f>COUNTIF(I$2:$I$501,T71)</f>
        <v>437</v>
      </c>
      <c r="W71" s="10"/>
      <c r="X71" s="10"/>
    </row>
    <row r="72" spans="1:24" x14ac:dyDescent="0.25">
      <c r="A72" t="str">
        <f>IF(Tests!B73="","",Tests!B73)</f>
        <v/>
      </c>
      <c r="B72" t="str">
        <f>IF(Tests!D73="","",Tests!D73)</f>
        <v/>
      </c>
      <c r="C72" t="str">
        <f>IF(Tests!E73="","",Tests!E73)</f>
        <v/>
      </c>
      <c r="E72" s="54">
        <f t="shared" si="6"/>
        <v>0</v>
      </c>
      <c r="F72" s="54">
        <f t="shared" si="7"/>
        <v>0</v>
      </c>
      <c r="G72" s="54">
        <f t="shared" si="8"/>
        <v>1</v>
      </c>
      <c r="H72" s="54">
        <f t="shared" si="9"/>
        <v>437</v>
      </c>
      <c r="I72" s="56" t="str">
        <f>IFERROR(INDEX($A$2:$A$501,MATCH(SMALL($H$2:$H$501,ROWS($I$2:I72)+$G$502),$H$2:$H$501,0)),"")</f>
        <v/>
      </c>
      <c r="J72">
        <f t="shared" si="10"/>
        <v>8</v>
      </c>
      <c r="K72" t="str">
        <f t="array" ref="K72">INDEX($B$2:$B$501,SMALL(IF($A$2:$A$501=I72,ROW($A$2:$A$501)-ROW(INDEX($A$2:$A$501,1,1))+1),J72))</f>
        <v/>
      </c>
      <c r="L72" t="str">
        <f t="array" ref="L72">INDEX($C$2:$C$501,SMALL(IF($A$2:$A$501=I72,ROW($A$2:$A$501)-ROW(INDEX($A$2:$A$501,1,1))+1),J72))</f>
        <v/>
      </c>
      <c r="N72" t="str">
        <f t="shared" si="11"/>
        <v/>
      </c>
      <c r="S72" s="10">
        <v>71</v>
      </c>
      <c r="T72" s="10" t="str">
        <f t="array" ref="T72">IFERROR(INDEX(A$2:$A$501,MATCH(0,COUNTIF($T$1:T71,A$2:$A$501),0)),"")</f>
        <v/>
      </c>
      <c r="U72" s="10">
        <f>IFERROR(MATCH(T72,I$2:$I$501,0),"")</f>
        <v>64</v>
      </c>
      <c r="V72" s="10">
        <f>COUNTIF(I$2:$I$501,T72)</f>
        <v>437</v>
      </c>
      <c r="W72" s="10"/>
      <c r="X72" s="10"/>
    </row>
    <row r="73" spans="1:24" x14ac:dyDescent="0.25">
      <c r="A73" t="str">
        <f>IF(Tests!B74="","",Tests!B74)</f>
        <v/>
      </c>
      <c r="B73" t="str">
        <f>IF(Tests!D74="","",Tests!D74)</f>
        <v/>
      </c>
      <c r="C73" t="str">
        <f>IF(Tests!E74="","",Tests!E74)</f>
        <v/>
      </c>
      <c r="E73" s="54">
        <f t="shared" si="6"/>
        <v>0</v>
      </c>
      <c r="F73" s="54">
        <f t="shared" si="7"/>
        <v>0</v>
      </c>
      <c r="G73" s="54">
        <f t="shared" si="8"/>
        <v>1</v>
      </c>
      <c r="H73" s="54">
        <f t="shared" si="9"/>
        <v>437</v>
      </c>
      <c r="I73" s="56" t="str">
        <f>IFERROR(INDEX($A$2:$A$501,MATCH(SMALL($H$2:$H$501,ROWS($I$2:I73)+$G$502),$H$2:$H$501,0)),"")</f>
        <v/>
      </c>
      <c r="J73">
        <f t="shared" si="10"/>
        <v>9</v>
      </c>
      <c r="K73" t="str">
        <f t="array" ref="K73">INDEX($B$2:$B$501,SMALL(IF($A$2:$A$501=I73,ROW($A$2:$A$501)-ROW(INDEX($A$2:$A$501,1,1))+1),J73))</f>
        <v/>
      </c>
      <c r="L73" t="str">
        <f t="array" ref="L73">INDEX($C$2:$C$501,SMALL(IF($A$2:$A$501=I73,ROW($A$2:$A$501)-ROW(INDEX($A$2:$A$501,1,1))+1),J73))</f>
        <v/>
      </c>
      <c r="N73" t="str">
        <f t="shared" si="11"/>
        <v/>
      </c>
      <c r="S73" s="10">
        <v>72</v>
      </c>
      <c r="T73" s="10" t="str">
        <f t="array" ref="T73">IFERROR(INDEX(A$2:$A$501,MATCH(0,COUNTIF($T$1:T72,A$2:$A$501),0)),"")</f>
        <v/>
      </c>
      <c r="U73" s="10">
        <f>IFERROR(MATCH(T73,I$2:$I$501,0),"")</f>
        <v>64</v>
      </c>
      <c r="V73" s="10">
        <f>COUNTIF(I$2:$I$501,T73)</f>
        <v>437</v>
      </c>
      <c r="W73" s="10"/>
      <c r="X73" s="10"/>
    </row>
    <row r="74" spans="1:24" x14ac:dyDescent="0.25">
      <c r="A74" t="str">
        <f>IF(Tests!B75="","",Tests!B75)</f>
        <v/>
      </c>
      <c r="B74" t="str">
        <f>IF(Tests!D75="","",Tests!D75)</f>
        <v/>
      </c>
      <c r="C74" t="str">
        <f>IF(Tests!E75="","",Tests!E75)</f>
        <v/>
      </c>
      <c r="E74" s="54">
        <f t="shared" si="6"/>
        <v>0</v>
      </c>
      <c r="F74" s="54">
        <f t="shared" si="7"/>
        <v>0</v>
      </c>
      <c r="G74" s="54">
        <f t="shared" si="8"/>
        <v>1</v>
      </c>
      <c r="H74" s="54">
        <f t="shared" si="9"/>
        <v>437</v>
      </c>
      <c r="I74" s="56" t="str">
        <f>IFERROR(INDEX($A$2:$A$501,MATCH(SMALL($H$2:$H$501,ROWS($I$2:I74)+$G$502),$H$2:$H$501,0)),"")</f>
        <v/>
      </c>
      <c r="J74">
        <f t="shared" si="10"/>
        <v>10</v>
      </c>
      <c r="K74" t="str">
        <f t="array" ref="K74">INDEX($B$2:$B$501,SMALL(IF($A$2:$A$501=I74,ROW($A$2:$A$501)-ROW(INDEX($A$2:$A$501,1,1))+1),J74))</f>
        <v/>
      </c>
      <c r="L74" t="str">
        <f t="array" ref="L74">INDEX($C$2:$C$501,SMALL(IF($A$2:$A$501=I74,ROW($A$2:$A$501)-ROW(INDEX($A$2:$A$501,1,1))+1),J74))</f>
        <v/>
      </c>
      <c r="N74" t="str">
        <f t="shared" si="11"/>
        <v/>
      </c>
      <c r="S74" s="10">
        <v>73</v>
      </c>
      <c r="T74" s="10" t="str">
        <f t="array" ref="T74">IFERROR(INDEX(A$2:$A$501,MATCH(0,COUNTIF($T$1:T73,A$2:$A$501),0)),"")</f>
        <v/>
      </c>
      <c r="U74" s="10">
        <f>IFERROR(MATCH(T74,I$2:$I$501,0),"")</f>
        <v>64</v>
      </c>
      <c r="V74" s="10">
        <f>COUNTIF(I$2:$I$501,T74)</f>
        <v>437</v>
      </c>
      <c r="W74" s="10"/>
      <c r="X74" s="10"/>
    </row>
    <row r="75" spans="1:24" x14ac:dyDescent="0.25">
      <c r="A75" t="str">
        <f>IF(Tests!B76="","",Tests!B76)</f>
        <v/>
      </c>
      <c r="B75" t="str">
        <f>IF(Tests!D76="","",Tests!D76)</f>
        <v/>
      </c>
      <c r="C75" t="str">
        <f>IF(Tests!E76="","",Tests!E76)</f>
        <v/>
      </c>
      <c r="E75" s="54">
        <f t="shared" si="6"/>
        <v>0</v>
      </c>
      <c r="F75" s="54">
        <f t="shared" si="7"/>
        <v>0</v>
      </c>
      <c r="G75" s="54">
        <f t="shared" si="8"/>
        <v>1</v>
      </c>
      <c r="H75" s="54">
        <f t="shared" si="9"/>
        <v>437</v>
      </c>
      <c r="I75" s="56" t="str">
        <f>IFERROR(INDEX($A$2:$A$501,MATCH(SMALL($H$2:$H$501,ROWS($I$2:I75)+$G$502),$H$2:$H$501,0)),"")</f>
        <v/>
      </c>
      <c r="J75">
        <f t="shared" si="10"/>
        <v>11</v>
      </c>
      <c r="K75" t="str">
        <f t="array" ref="K75">INDEX($B$2:$B$501,SMALL(IF($A$2:$A$501=I75,ROW($A$2:$A$501)-ROW(INDEX($A$2:$A$501,1,1))+1),J75))</f>
        <v/>
      </c>
      <c r="L75" t="str">
        <f t="array" ref="L75">INDEX($C$2:$C$501,SMALL(IF($A$2:$A$501=I75,ROW($A$2:$A$501)-ROW(INDEX($A$2:$A$501,1,1))+1),J75))</f>
        <v/>
      </c>
      <c r="N75" t="str">
        <f t="shared" si="11"/>
        <v/>
      </c>
      <c r="S75" s="10">
        <v>74</v>
      </c>
      <c r="T75" s="10" t="str">
        <f t="array" ref="T75">IFERROR(INDEX(A$2:$A$501,MATCH(0,COUNTIF($T$1:T74,A$2:$A$501),0)),"")</f>
        <v/>
      </c>
      <c r="U75" s="10">
        <f>IFERROR(MATCH(T75,I$2:$I$501,0),"")</f>
        <v>64</v>
      </c>
      <c r="V75" s="10">
        <f>COUNTIF(I$2:$I$501,T75)</f>
        <v>437</v>
      </c>
      <c r="W75" s="10"/>
      <c r="X75" s="10"/>
    </row>
    <row r="76" spans="1:24" x14ac:dyDescent="0.25">
      <c r="A76" t="str">
        <f>IF(Tests!B77="","",Tests!B77)</f>
        <v/>
      </c>
      <c r="B76" t="str">
        <f>IF(Tests!D77="","",Tests!D77)</f>
        <v/>
      </c>
      <c r="C76" t="str">
        <f>IF(Tests!E77="","",Tests!E77)</f>
        <v/>
      </c>
      <c r="E76" s="54">
        <f t="shared" si="6"/>
        <v>0</v>
      </c>
      <c r="F76" s="54">
        <f t="shared" si="7"/>
        <v>0</v>
      </c>
      <c r="G76" s="54">
        <f t="shared" si="8"/>
        <v>1</v>
      </c>
      <c r="H76" s="54">
        <f t="shared" si="9"/>
        <v>437</v>
      </c>
      <c r="I76" s="56" t="str">
        <f>IFERROR(INDEX($A$2:$A$501,MATCH(SMALL($H$2:$H$501,ROWS($I$2:I76)+$G$502),$H$2:$H$501,0)),"")</f>
        <v/>
      </c>
      <c r="J76">
        <f t="shared" si="10"/>
        <v>12</v>
      </c>
      <c r="K76" t="str">
        <f t="array" ref="K76">INDEX($B$2:$B$501,SMALL(IF($A$2:$A$501=I76,ROW($A$2:$A$501)-ROW(INDEX($A$2:$A$501,1,1))+1),J76))</f>
        <v/>
      </c>
      <c r="L76" t="str">
        <f t="array" ref="L76">INDEX($C$2:$C$501,SMALL(IF($A$2:$A$501=I76,ROW($A$2:$A$501)-ROW(INDEX($A$2:$A$501,1,1))+1),J76))</f>
        <v/>
      </c>
      <c r="N76" t="str">
        <f t="shared" si="11"/>
        <v/>
      </c>
      <c r="S76" s="10">
        <v>75</v>
      </c>
      <c r="T76" s="10" t="str">
        <f t="array" ref="T76">IFERROR(INDEX(A$2:$A$501,MATCH(0,COUNTIF($T$1:T75,A$2:$A$501),0)),"")</f>
        <v/>
      </c>
      <c r="U76" s="10">
        <f>IFERROR(MATCH(T76,I$2:$I$501,0),"")</f>
        <v>64</v>
      </c>
      <c r="V76" s="10">
        <f>COUNTIF(I$2:$I$501,T76)</f>
        <v>437</v>
      </c>
      <c r="W76" s="10"/>
      <c r="X76" s="10"/>
    </row>
    <row r="77" spans="1:24" x14ac:dyDescent="0.25">
      <c r="A77" t="str">
        <f>IF(Tests!B78="","",Tests!B78)</f>
        <v/>
      </c>
      <c r="B77" t="str">
        <f>IF(Tests!D78="","",Tests!D78)</f>
        <v/>
      </c>
      <c r="C77" t="str">
        <f>IF(Tests!E78="","",Tests!E78)</f>
        <v/>
      </c>
      <c r="E77" s="54">
        <f t="shared" si="6"/>
        <v>0</v>
      </c>
      <c r="F77" s="54">
        <f t="shared" si="7"/>
        <v>0</v>
      </c>
      <c r="G77" s="54">
        <f t="shared" si="8"/>
        <v>1</v>
      </c>
      <c r="H77" s="54">
        <f t="shared" si="9"/>
        <v>437</v>
      </c>
      <c r="I77" s="56" t="str">
        <f>IFERROR(INDEX($A$2:$A$501,MATCH(SMALL($H$2:$H$501,ROWS($I$2:I77)+$G$502),$H$2:$H$501,0)),"")</f>
        <v/>
      </c>
      <c r="J77">
        <f t="shared" si="10"/>
        <v>13</v>
      </c>
      <c r="K77" t="str">
        <f t="array" ref="K77">INDEX($B$2:$B$501,SMALL(IF($A$2:$A$501=I77,ROW($A$2:$A$501)-ROW(INDEX($A$2:$A$501,1,1))+1),J77))</f>
        <v/>
      </c>
      <c r="L77" t="str">
        <f t="array" ref="L77">INDEX($C$2:$C$501,SMALL(IF($A$2:$A$501=I77,ROW($A$2:$A$501)-ROW(INDEX($A$2:$A$501,1,1))+1),J77))</f>
        <v/>
      </c>
      <c r="N77" t="str">
        <f t="shared" si="11"/>
        <v/>
      </c>
      <c r="S77" s="10">
        <v>76</v>
      </c>
      <c r="T77" s="10" t="str">
        <f t="array" ref="T77">IFERROR(INDEX(A$2:$A$501,MATCH(0,COUNTIF($T$1:T76,A$2:$A$501),0)),"")</f>
        <v/>
      </c>
      <c r="U77" s="10">
        <f>IFERROR(MATCH(T77,I$2:$I$501,0),"")</f>
        <v>64</v>
      </c>
      <c r="V77" s="10">
        <f>COUNTIF(I$2:$I$501,T77)</f>
        <v>437</v>
      </c>
      <c r="W77" s="10"/>
      <c r="X77" s="10"/>
    </row>
    <row r="78" spans="1:24" x14ac:dyDescent="0.25">
      <c r="A78" t="str">
        <f>IF(Tests!B79="","",Tests!B79)</f>
        <v/>
      </c>
      <c r="B78" t="str">
        <f>IF(Tests!D79="","",Tests!D79)</f>
        <v/>
      </c>
      <c r="C78" t="str">
        <f>IF(Tests!E79="","",Tests!E79)</f>
        <v/>
      </c>
      <c r="E78" s="54">
        <f t="shared" si="6"/>
        <v>0</v>
      </c>
      <c r="F78" s="54">
        <f t="shared" si="7"/>
        <v>0</v>
      </c>
      <c r="G78" s="54">
        <f t="shared" si="8"/>
        <v>1</v>
      </c>
      <c r="H78" s="54">
        <f t="shared" si="9"/>
        <v>437</v>
      </c>
      <c r="I78" s="56" t="str">
        <f>IFERROR(INDEX($A$2:$A$501,MATCH(SMALL($H$2:$H$501,ROWS($I$2:I78)+$G$502),$H$2:$H$501,0)),"")</f>
        <v/>
      </c>
      <c r="J78">
        <f t="shared" si="10"/>
        <v>14</v>
      </c>
      <c r="K78" t="str">
        <f t="array" ref="K78">INDEX($B$2:$B$501,SMALL(IF($A$2:$A$501=I78,ROW($A$2:$A$501)-ROW(INDEX($A$2:$A$501,1,1))+1),J78))</f>
        <v/>
      </c>
      <c r="L78" t="str">
        <f t="array" ref="L78">INDEX($C$2:$C$501,SMALL(IF($A$2:$A$501=I78,ROW($A$2:$A$501)-ROW(INDEX($A$2:$A$501,1,1))+1),J78))</f>
        <v/>
      </c>
      <c r="N78" t="str">
        <f t="shared" si="11"/>
        <v/>
      </c>
      <c r="S78" s="10">
        <v>77</v>
      </c>
      <c r="T78" s="10" t="str">
        <f t="array" ref="T78">IFERROR(INDEX(A$2:$A$501,MATCH(0,COUNTIF($T$1:T77,A$2:$A$501),0)),"")</f>
        <v/>
      </c>
      <c r="U78" s="10">
        <f>IFERROR(MATCH(T78,I$2:$I$501,0),"")</f>
        <v>64</v>
      </c>
      <c r="V78" s="10">
        <f>COUNTIF(I$2:$I$501,T78)</f>
        <v>437</v>
      </c>
      <c r="W78" s="10"/>
      <c r="X78" s="10"/>
    </row>
    <row r="79" spans="1:24" x14ac:dyDescent="0.25">
      <c r="A79" t="str">
        <f>IF(Tests!B80="","",Tests!B80)</f>
        <v/>
      </c>
      <c r="B79" t="str">
        <f>IF(Tests!D80="","",Tests!D80)</f>
        <v/>
      </c>
      <c r="C79" t="str">
        <f>IF(Tests!E80="","",Tests!E80)</f>
        <v/>
      </c>
      <c r="E79" s="54">
        <f t="shared" si="6"/>
        <v>0</v>
      </c>
      <c r="F79" s="54">
        <f t="shared" si="7"/>
        <v>0</v>
      </c>
      <c r="G79" s="54">
        <f t="shared" si="8"/>
        <v>1</v>
      </c>
      <c r="H79" s="54">
        <f t="shared" si="9"/>
        <v>437</v>
      </c>
      <c r="I79" s="56" t="str">
        <f>IFERROR(INDEX($A$2:$A$501,MATCH(SMALL($H$2:$H$501,ROWS($I$2:I79)+$G$502),$H$2:$H$501,0)),"")</f>
        <v/>
      </c>
      <c r="J79">
        <f t="shared" si="10"/>
        <v>15</v>
      </c>
      <c r="K79" t="str">
        <f t="array" ref="K79">INDEX($B$2:$B$501,SMALL(IF($A$2:$A$501=I79,ROW($A$2:$A$501)-ROW(INDEX($A$2:$A$501,1,1))+1),J79))</f>
        <v/>
      </c>
      <c r="L79" t="str">
        <f t="array" ref="L79">INDEX($C$2:$C$501,SMALL(IF($A$2:$A$501=I79,ROW($A$2:$A$501)-ROW(INDEX($A$2:$A$501,1,1))+1),J79))</f>
        <v/>
      </c>
      <c r="N79" t="str">
        <f t="shared" si="11"/>
        <v/>
      </c>
      <c r="S79" s="10">
        <v>78</v>
      </c>
      <c r="T79" s="10" t="str">
        <f t="array" ref="T79">IFERROR(INDEX(A$2:$A$501,MATCH(0,COUNTIF($T$1:T78,A$2:$A$501),0)),"")</f>
        <v/>
      </c>
      <c r="U79" s="10">
        <f>IFERROR(MATCH(T79,I$2:$I$501,0),"")</f>
        <v>64</v>
      </c>
      <c r="V79" s="10">
        <f>COUNTIF(I$2:$I$501,T79)</f>
        <v>437</v>
      </c>
      <c r="W79" s="10"/>
      <c r="X79" s="10"/>
    </row>
    <row r="80" spans="1:24" x14ac:dyDescent="0.25">
      <c r="A80" t="str">
        <f>IF(Tests!B81="","",Tests!B81)</f>
        <v/>
      </c>
      <c r="B80" t="str">
        <f>IF(Tests!D81="","",Tests!D81)</f>
        <v/>
      </c>
      <c r="C80" t="str">
        <f>IF(Tests!E81="","",Tests!E81)</f>
        <v/>
      </c>
      <c r="E80" s="54">
        <f t="shared" si="6"/>
        <v>0</v>
      </c>
      <c r="F80" s="54">
        <f t="shared" si="7"/>
        <v>0</v>
      </c>
      <c r="G80" s="54">
        <f t="shared" si="8"/>
        <v>1</v>
      </c>
      <c r="H80" s="54">
        <f t="shared" si="9"/>
        <v>437</v>
      </c>
      <c r="I80" s="56" t="str">
        <f>IFERROR(INDEX($A$2:$A$501,MATCH(SMALL($H$2:$H$501,ROWS($I$2:I80)+$G$502),$H$2:$H$501,0)),"")</f>
        <v/>
      </c>
      <c r="J80">
        <f t="shared" si="10"/>
        <v>16</v>
      </c>
      <c r="K80" t="str">
        <f t="array" ref="K80">INDEX($B$2:$B$501,SMALL(IF($A$2:$A$501=I80,ROW($A$2:$A$501)-ROW(INDEX($A$2:$A$501,1,1))+1),J80))</f>
        <v/>
      </c>
      <c r="L80" t="str">
        <f t="array" ref="L80">INDEX($C$2:$C$501,SMALL(IF($A$2:$A$501=I80,ROW($A$2:$A$501)-ROW(INDEX($A$2:$A$501,1,1))+1),J80))</f>
        <v/>
      </c>
      <c r="N80" t="str">
        <f t="shared" si="11"/>
        <v/>
      </c>
      <c r="S80" s="10">
        <v>79</v>
      </c>
      <c r="T80" s="10" t="str">
        <f t="array" ref="T80">IFERROR(INDEX(A$2:$A$501,MATCH(0,COUNTIF($T$1:T79,A$2:$A$501),0)),"")</f>
        <v/>
      </c>
      <c r="U80" s="10">
        <f>IFERROR(MATCH(T80,I$2:$I$501,0),"")</f>
        <v>64</v>
      </c>
      <c r="V80" s="10">
        <f>COUNTIF(I$2:$I$501,T80)</f>
        <v>437</v>
      </c>
      <c r="W80" s="10"/>
      <c r="X80" s="10"/>
    </row>
    <row r="81" spans="1:24" x14ac:dyDescent="0.25">
      <c r="A81" t="str">
        <f>IF(Tests!B82="","",Tests!B82)</f>
        <v/>
      </c>
      <c r="B81" t="str">
        <f>IF(Tests!D82="","",Tests!D82)</f>
        <v/>
      </c>
      <c r="C81" t="str">
        <f>IF(Tests!E82="","",Tests!E82)</f>
        <v/>
      </c>
      <c r="E81" s="54">
        <f t="shared" si="6"/>
        <v>0</v>
      </c>
      <c r="F81" s="54">
        <f t="shared" si="7"/>
        <v>0</v>
      </c>
      <c r="G81" s="54">
        <f t="shared" si="8"/>
        <v>1</v>
      </c>
      <c r="H81" s="54">
        <f t="shared" si="9"/>
        <v>437</v>
      </c>
      <c r="I81" s="56" t="str">
        <f>IFERROR(INDEX($A$2:$A$501,MATCH(SMALL($H$2:$H$501,ROWS($I$2:I81)+$G$502),$H$2:$H$501,0)),"")</f>
        <v/>
      </c>
      <c r="J81">
        <f t="shared" si="10"/>
        <v>17</v>
      </c>
      <c r="K81" t="str">
        <f t="array" ref="K81">INDEX($B$2:$B$501,SMALL(IF($A$2:$A$501=I81,ROW($A$2:$A$501)-ROW(INDEX($A$2:$A$501,1,1))+1),J81))</f>
        <v/>
      </c>
      <c r="L81" t="str">
        <f t="array" ref="L81">INDEX($C$2:$C$501,SMALL(IF($A$2:$A$501=I81,ROW($A$2:$A$501)-ROW(INDEX($A$2:$A$501,1,1))+1),J81))</f>
        <v/>
      </c>
      <c r="N81" t="str">
        <f t="shared" si="11"/>
        <v/>
      </c>
      <c r="S81" s="10">
        <v>80</v>
      </c>
      <c r="T81" s="10" t="str">
        <f t="array" ref="T81">IFERROR(INDEX(A$2:$A$501,MATCH(0,COUNTIF($T$1:T80,A$2:$A$501),0)),"")</f>
        <v/>
      </c>
      <c r="U81" s="10">
        <f>IFERROR(MATCH(T81,I$2:$I$501,0),"")</f>
        <v>64</v>
      </c>
      <c r="V81" s="10">
        <f>COUNTIF(I$2:$I$501,T81)</f>
        <v>437</v>
      </c>
      <c r="W81" s="10"/>
      <c r="X81" s="10"/>
    </row>
    <row r="82" spans="1:24" x14ac:dyDescent="0.25">
      <c r="A82" t="str">
        <f>IF(Tests!B83="","",Tests!B83)</f>
        <v/>
      </c>
      <c r="B82" t="str">
        <f>IF(Tests!D83="","",Tests!D83)</f>
        <v/>
      </c>
      <c r="C82" t="str">
        <f>IF(Tests!E83="","",Tests!E83)</f>
        <v/>
      </c>
      <c r="E82" s="54">
        <f t="shared" si="6"/>
        <v>0</v>
      </c>
      <c r="F82" s="54">
        <f t="shared" si="7"/>
        <v>0</v>
      </c>
      <c r="G82" s="54">
        <f t="shared" si="8"/>
        <v>1</v>
      </c>
      <c r="H82" s="54">
        <f t="shared" si="9"/>
        <v>437</v>
      </c>
      <c r="I82" s="56" t="str">
        <f>IFERROR(INDEX($A$2:$A$501,MATCH(SMALL($H$2:$H$501,ROWS($I$2:I82)+$G$502),$H$2:$H$501,0)),"")</f>
        <v/>
      </c>
      <c r="J82">
        <f t="shared" si="10"/>
        <v>18</v>
      </c>
      <c r="K82" t="str">
        <f t="array" ref="K82">INDEX($B$2:$B$501,SMALL(IF($A$2:$A$501=I82,ROW($A$2:$A$501)-ROW(INDEX($A$2:$A$501,1,1))+1),J82))</f>
        <v/>
      </c>
      <c r="L82" t="str">
        <f t="array" ref="L82">INDEX($C$2:$C$501,SMALL(IF($A$2:$A$501=I82,ROW($A$2:$A$501)-ROW(INDEX($A$2:$A$501,1,1))+1),J82))</f>
        <v/>
      </c>
      <c r="N82" t="str">
        <f t="shared" si="11"/>
        <v/>
      </c>
      <c r="S82" s="10">
        <v>81</v>
      </c>
      <c r="T82" s="10" t="str">
        <f t="array" ref="T82">IFERROR(INDEX(A$2:$A$501,MATCH(0,COUNTIF($T$1:T81,A$2:$A$501),0)),"")</f>
        <v/>
      </c>
      <c r="U82" s="10">
        <f>IFERROR(MATCH(T82,I$2:$I$501,0),"")</f>
        <v>64</v>
      </c>
      <c r="V82" s="10">
        <f>COUNTIF(I$2:$I$501,T82)</f>
        <v>437</v>
      </c>
      <c r="W82" s="10"/>
      <c r="X82" s="10"/>
    </row>
    <row r="83" spans="1:24" x14ac:dyDescent="0.25">
      <c r="A83" t="str">
        <f>IF(Tests!B84="","",Tests!B84)</f>
        <v/>
      </c>
      <c r="B83" t="str">
        <f>IF(Tests!D84="","",Tests!D84)</f>
        <v/>
      </c>
      <c r="C83" t="str">
        <f>IF(Tests!E84="","",Tests!E84)</f>
        <v/>
      </c>
      <c r="E83" s="54">
        <f t="shared" si="6"/>
        <v>0</v>
      </c>
      <c r="F83" s="54">
        <f t="shared" si="7"/>
        <v>0</v>
      </c>
      <c r="G83" s="54">
        <f t="shared" si="8"/>
        <v>1</v>
      </c>
      <c r="H83" s="54">
        <f t="shared" si="9"/>
        <v>437</v>
      </c>
      <c r="I83" s="56" t="str">
        <f>IFERROR(INDEX($A$2:$A$501,MATCH(SMALL($H$2:$H$501,ROWS($I$2:I83)+$G$502),$H$2:$H$501,0)),"")</f>
        <v/>
      </c>
      <c r="J83">
        <f t="shared" si="10"/>
        <v>19</v>
      </c>
      <c r="K83" t="str">
        <f t="array" ref="K83">INDEX($B$2:$B$501,SMALL(IF($A$2:$A$501=I83,ROW($A$2:$A$501)-ROW(INDEX($A$2:$A$501,1,1))+1),J83))</f>
        <v/>
      </c>
      <c r="L83" t="str">
        <f t="array" ref="L83">INDEX($C$2:$C$501,SMALL(IF($A$2:$A$501=I83,ROW($A$2:$A$501)-ROW(INDEX($A$2:$A$501,1,1))+1),J83))</f>
        <v/>
      </c>
      <c r="N83" t="str">
        <f t="shared" si="11"/>
        <v/>
      </c>
      <c r="S83" s="10">
        <v>82</v>
      </c>
      <c r="T83" s="10" t="str">
        <f t="array" ref="T83">IFERROR(INDEX(A$2:$A$501,MATCH(0,COUNTIF($T$1:T82,A$2:$A$501),0)),"")</f>
        <v/>
      </c>
      <c r="U83" s="10">
        <f>IFERROR(MATCH(T83,I$2:$I$501,0),"")</f>
        <v>64</v>
      </c>
      <c r="V83" s="10">
        <f>COUNTIF(I$2:$I$501,T83)</f>
        <v>437</v>
      </c>
      <c r="W83" s="10"/>
      <c r="X83" s="10"/>
    </row>
    <row r="84" spans="1:24" x14ac:dyDescent="0.25">
      <c r="A84" t="str">
        <f>IF(Tests!B85="","",Tests!B85)</f>
        <v/>
      </c>
      <c r="B84" t="str">
        <f>IF(Tests!D85="","",Tests!D85)</f>
        <v/>
      </c>
      <c r="C84" t="str">
        <f>IF(Tests!E85="","",Tests!E85)</f>
        <v/>
      </c>
      <c r="E84" s="54">
        <f t="shared" si="6"/>
        <v>0</v>
      </c>
      <c r="F84" s="54">
        <f t="shared" si="7"/>
        <v>0</v>
      </c>
      <c r="G84" s="54">
        <f t="shared" si="8"/>
        <v>1</v>
      </c>
      <c r="H84" s="54">
        <f t="shared" si="9"/>
        <v>437</v>
      </c>
      <c r="I84" s="56" t="str">
        <f>IFERROR(INDEX($A$2:$A$501,MATCH(SMALL($H$2:$H$501,ROWS($I$2:I84)+$G$502),$H$2:$H$501,0)),"")</f>
        <v/>
      </c>
      <c r="J84">
        <f t="shared" si="10"/>
        <v>20</v>
      </c>
      <c r="K84" t="str">
        <f t="array" ref="K84">INDEX($B$2:$B$501,SMALL(IF($A$2:$A$501=I84,ROW($A$2:$A$501)-ROW(INDEX($A$2:$A$501,1,1))+1),J84))</f>
        <v/>
      </c>
      <c r="L84" t="str">
        <f t="array" ref="L84">INDEX($C$2:$C$501,SMALL(IF($A$2:$A$501=I84,ROW($A$2:$A$501)-ROW(INDEX($A$2:$A$501,1,1))+1),J84))</f>
        <v/>
      </c>
      <c r="N84" t="str">
        <f t="shared" si="11"/>
        <v/>
      </c>
      <c r="S84" s="10">
        <v>83</v>
      </c>
      <c r="T84" s="10" t="str">
        <f t="array" ref="T84">IFERROR(INDEX(A$2:$A$501,MATCH(0,COUNTIF($T$1:T83,A$2:$A$501),0)),"")</f>
        <v/>
      </c>
      <c r="U84" s="10">
        <f>IFERROR(MATCH(T84,I$2:$I$501,0),"")</f>
        <v>64</v>
      </c>
      <c r="V84" s="10">
        <f>COUNTIF(I$2:$I$501,T84)</f>
        <v>437</v>
      </c>
      <c r="W84" s="10"/>
      <c r="X84" s="10"/>
    </row>
    <row r="85" spans="1:24" x14ac:dyDescent="0.25">
      <c r="A85" t="str">
        <f>IF(Tests!B86="","",Tests!B86)</f>
        <v/>
      </c>
      <c r="B85" t="str">
        <f>IF(Tests!D86="","",Tests!D86)</f>
        <v/>
      </c>
      <c r="C85" t="str">
        <f>IF(Tests!E86="","",Tests!E86)</f>
        <v/>
      </c>
      <c r="E85" s="54">
        <f t="shared" si="6"/>
        <v>0</v>
      </c>
      <c r="F85" s="54">
        <f t="shared" si="7"/>
        <v>0</v>
      </c>
      <c r="G85" s="54">
        <f t="shared" si="8"/>
        <v>1</v>
      </c>
      <c r="H85" s="54">
        <f t="shared" si="9"/>
        <v>437</v>
      </c>
      <c r="I85" s="56" t="str">
        <f>IFERROR(INDEX($A$2:$A$501,MATCH(SMALL($H$2:$H$501,ROWS($I$2:I85)+$G$502),$H$2:$H$501,0)),"")</f>
        <v/>
      </c>
      <c r="J85">
        <f t="shared" si="10"/>
        <v>21</v>
      </c>
      <c r="K85" t="str">
        <f t="array" ref="K85">INDEX($B$2:$B$501,SMALL(IF($A$2:$A$501=I85,ROW($A$2:$A$501)-ROW(INDEX($A$2:$A$501,1,1))+1),J85))</f>
        <v/>
      </c>
      <c r="L85" t="str">
        <f t="array" ref="L85">INDEX($C$2:$C$501,SMALL(IF($A$2:$A$501=I85,ROW($A$2:$A$501)-ROW(INDEX($A$2:$A$501,1,1))+1),J85))</f>
        <v/>
      </c>
      <c r="N85" t="str">
        <f t="shared" si="11"/>
        <v/>
      </c>
      <c r="S85" s="10">
        <v>84</v>
      </c>
      <c r="T85" s="10" t="str">
        <f t="array" ref="T85">IFERROR(INDEX(A$2:$A$501,MATCH(0,COUNTIF($T$1:T84,A$2:$A$501),0)),"")</f>
        <v/>
      </c>
      <c r="U85" s="10">
        <f>IFERROR(MATCH(T85,I$2:$I$501,0),"")</f>
        <v>64</v>
      </c>
      <c r="V85" s="10">
        <f>COUNTIF(I$2:$I$501,T85)</f>
        <v>437</v>
      </c>
      <c r="W85" s="10"/>
      <c r="X85" s="10"/>
    </row>
    <row r="86" spans="1:24" x14ac:dyDescent="0.25">
      <c r="A86" t="str">
        <f>IF(Tests!B87="","",Tests!B87)</f>
        <v/>
      </c>
      <c r="B86" t="str">
        <f>IF(Tests!D87="","",Tests!D87)</f>
        <v/>
      </c>
      <c r="C86" t="str">
        <f>IF(Tests!E87="","",Tests!E87)</f>
        <v/>
      </c>
      <c r="E86" s="54">
        <f t="shared" si="6"/>
        <v>0</v>
      </c>
      <c r="F86" s="54">
        <f t="shared" si="7"/>
        <v>0</v>
      </c>
      <c r="G86" s="54">
        <f t="shared" si="8"/>
        <v>1</v>
      </c>
      <c r="H86" s="54">
        <f t="shared" si="9"/>
        <v>437</v>
      </c>
      <c r="I86" s="56" t="str">
        <f>IFERROR(INDEX($A$2:$A$501,MATCH(SMALL($H$2:$H$501,ROWS($I$2:I86)+$G$502),$H$2:$H$501,0)),"")</f>
        <v/>
      </c>
      <c r="J86">
        <f t="shared" si="10"/>
        <v>22</v>
      </c>
      <c r="K86" t="str">
        <f t="array" ref="K86">INDEX($B$2:$B$501,SMALL(IF($A$2:$A$501=I86,ROW($A$2:$A$501)-ROW(INDEX($A$2:$A$501,1,1))+1),J86))</f>
        <v/>
      </c>
      <c r="L86" t="str">
        <f t="array" ref="L86">INDEX($C$2:$C$501,SMALL(IF($A$2:$A$501=I86,ROW($A$2:$A$501)-ROW(INDEX($A$2:$A$501,1,1))+1),J86))</f>
        <v/>
      </c>
      <c r="N86" t="str">
        <f t="shared" si="11"/>
        <v/>
      </c>
      <c r="S86" s="10">
        <v>85</v>
      </c>
      <c r="T86" s="10" t="str">
        <f t="array" ref="T86">IFERROR(INDEX(A$2:$A$501,MATCH(0,COUNTIF($T$1:T85,A$2:$A$501),0)),"")</f>
        <v/>
      </c>
      <c r="U86" s="10">
        <f>IFERROR(MATCH(T86,I$2:$I$501,0),"")</f>
        <v>64</v>
      </c>
      <c r="V86" s="10">
        <f>COUNTIF(I$2:$I$501,T86)</f>
        <v>437</v>
      </c>
      <c r="W86" s="10"/>
      <c r="X86" s="10"/>
    </row>
    <row r="87" spans="1:24" x14ac:dyDescent="0.25">
      <c r="A87" t="str">
        <f>IF(Tests!B88="","",Tests!B88)</f>
        <v/>
      </c>
      <c r="B87" t="str">
        <f>IF(Tests!D88="","",Tests!D88)</f>
        <v/>
      </c>
      <c r="C87" t="str">
        <f>IF(Tests!E88="","",Tests!E88)</f>
        <v/>
      </c>
      <c r="E87" s="54">
        <f t="shared" si="6"/>
        <v>0</v>
      </c>
      <c r="F87" s="54">
        <f t="shared" si="7"/>
        <v>0</v>
      </c>
      <c r="G87" s="54">
        <f t="shared" si="8"/>
        <v>1</v>
      </c>
      <c r="H87" s="54">
        <f t="shared" si="9"/>
        <v>437</v>
      </c>
      <c r="I87" s="56" t="str">
        <f>IFERROR(INDEX($A$2:$A$501,MATCH(SMALL($H$2:$H$501,ROWS($I$2:I87)+$G$502),$H$2:$H$501,0)),"")</f>
        <v/>
      </c>
      <c r="J87">
        <f t="shared" si="10"/>
        <v>23</v>
      </c>
      <c r="K87" t="str">
        <f t="array" ref="K87">INDEX($B$2:$B$501,SMALL(IF($A$2:$A$501=I87,ROW($A$2:$A$501)-ROW(INDEX($A$2:$A$501,1,1))+1),J87))</f>
        <v/>
      </c>
      <c r="L87" t="str">
        <f t="array" ref="L87">INDEX($C$2:$C$501,SMALL(IF($A$2:$A$501=I87,ROW($A$2:$A$501)-ROW(INDEX($A$2:$A$501,1,1))+1),J87))</f>
        <v/>
      </c>
      <c r="N87" t="str">
        <f t="shared" si="11"/>
        <v/>
      </c>
      <c r="S87" s="10">
        <v>86</v>
      </c>
      <c r="T87" s="10" t="str">
        <f t="array" ref="T87">IFERROR(INDEX(A$2:$A$501,MATCH(0,COUNTIF($T$1:T86,A$2:$A$501),0)),"")</f>
        <v/>
      </c>
      <c r="U87" s="10">
        <f>IFERROR(MATCH(T87,I$2:$I$501,0),"")</f>
        <v>64</v>
      </c>
      <c r="V87" s="10">
        <f>COUNTIF(I$2:$I$501,T87)</f>
        <v>437</v>
      </c>
      <c r="W87" s="10"/>
      <c r="X87" s="10"/>
    </row>
    <row r="88" spans="1:24" x14ac:dyDescent="0.25">
      <c r="A88" t="str">
        <f>IF(Tests!B89="","",Tests!B89)</f>
        <v/>
      </c>
      <c r="B88" t="str">
        <f>IF(Tests!D89="","",Tests!D89)</f>
        <v/>
      </c>
      <c r="C88" t="str">
        <f>IF(Tests!E89="","",Tests!E89)</f>
        <v/>
      </c>
      <c r="E88" s="54">
        <f t="shared" si="6"/>
        <v>0</v>
      </c>
      <c r="F88" s="54">
        <f t="shared" si="7"/>
        <v>0</v>
      </c>
      <c r="G88" s="54">
        <f t="shared" si="8"/>
        <v>1</v>
      </c>
      <c r="H88" s="54">
        <f t="shared" si="9"/>
        <v>437</v>
      </c>
      <c r="I88" s="56" t="str">
        <f>IFERROR(INDEX($A$2:$A$501,MATCH(SMALL($H$2:$H$501,ROWS($I$2:I88)+$G$502),$H$2:$H$501,0)),"")</f>
        <v/>
      </c>
      <c r="J88">
        <f t="shared" si="10"/>
        <v>24</v>
      </c>
      <c r="K88" t="str">
        <f t="array" ref="K88">INDEX($B$2:$B$501,SMALL(IF($A$2:$A$501=I88,ROW($A$2:$A$501)-ROW(INDEX($A$2:$A$501,1,1))+1),J88))</f>
        <v/>
      </c>
      <c r="L88" t="str">
        <f t="array" ref="L88">INDEX($C$2:$C$501,SMALL(IF($A$2:$A$501=I88,ROW($A$2:$A$501)-ROW(INDEX($A$2:$A$501,1,1))+1),J88))</f>
        <v/>
      </c>
      <c r="N88" t="str">
        <f t="shared" si="11"/>
        <v/>
      </c>
      <c r="S88" s="10">
        <v>87</v>
      </c>
      <c r="T88" s="10" t="str">
        <f t="array" ref="T88">IFERROR(INDEX(A$2:$A$501,MATCH(0,COUNTIF($T$1:T87,A$2:$A$501),0)),"")</f>
        <v/>
      </c>
      <c r="U88" s="10">
        <f>IFERROR(MATCH(T88,I$2:$I$501,0),"")</f>
        <v>64</v>
      </c>
      <c r="V88" s="10">
        <f>COUNTIF(I$2:$I$501,T88)</f>
        <v>437</v>
      </c>
      <c r="W88" s="10"/>
      <c r="X88" s="10"/>
    </row>
    <row r="89" spans="1:24" x14ac:dyDescent="0.25">
      <c r="A89" t="str">
        <f>IF(Tests!B90="","",Tests!B90)</f>
        <v/>
      </c>
      <c r="B89" t="str">
        <f>IF(Tests!D90="","",Tests!D90)</f>
        <v/>
      </c>
      <c r="C89" t="str">
        <f>IF(Tests!E90="","",Tests!E90)</f>
        <v/>
      </c>
      <c r="E89" s="54">
        <f t="shared" si="6"/>
        <v>0</v>
      </c>
      <c r="F89" s="54">
        <f t="shared" si="7"/>
        <v>0</v>
      </c>
      <c r="G89" s="54">
        <f t="shared" si="8"/>
        <v>1</v>
      </c>
      <c r="H89" s="54">
        <f t="shared" si="9"/>
        <v>437</v>
      </c>
      <c r="I89" s="56" t="str">
        <f>IFERROR(INDEX($A$2:$A$501,MATCH(SMALL($H$2:$H$501,ROWS($I$2:I89)+$G$502),$H$2:$H$501,0)),"")</f>
        <v/>
      </c>
      <c r="J89">
        <f t="shared" si="10"/>
        <v>25</v>
      </c>
      <c r="K89" t="str">
        <f t="array" ref="K89">INDEX($B$2:$B$501,SMALL(IF($A$2:$A$501=I89,ROW($A$2:$A$501)-ROW(INDEX($A$2:$A$501,1,1))+1),J89))</f>
        <v/>
      </c>
      <c r="L89" t="str">
        <f t="array" ref="L89">INDEX($C$2:$C$501,SMALL(IF($A$2:$A$501=I89,ROW($A$2:$A$501)-ROW(INDEX($A$2:$A$501,1,1))+1),J89))</f>
        <v/>
      </c>
      <c r="N89" t="str">
        <f t="shared" si="11"/>
        <v/>
      </c>
      <c r="S89" s="10">
        <v>88</v>
      </c>
      <c r="T89" s="10" t="str">
        <f t="array" ref="T89">IFERROR(INDEX(A$2:$A$501,MATCH(0,COUNTIF($T$1:T88,A$2:$A$501),0)),"")</f>
        <v/>
      </c>
      <c r="U89" s="10">
        <f>IFERROR(MATCH(T89,I$2:$I$501,0),"")</f>
        <v>64</v>
      </c>
      <c r="V89" s="10">
        <f>COUNTIF(I$2:$I$501,T89)</f>
        <v>437</v>
      </c>
      <c r="W89" s="10"/>
      <c r="X89" s="10"/>
    </row>
    <row r="90" spans="1:24" x14ac:dyDescent="0.25">
      <c r="A90" t="str">
        <f>IF(Tests!B91="","",Tests!B91)</f>
        <v/>
      </c>
      <c r="B90" t="str">
        <f>IF(Tests!D91="","",Tests!D91)</f>
        <v/>
      </c>
      <c r="C90" t="str">
        <f>IF(Tests!E91="","",Tests!E91)</f>
        <v/>
      </c>
      <c r="E90" s="54">
        <f t="shared" si="6"/>
        <v>0</v>
      </c>
      <c r="F90" s="54">
        <f t="shared" si="7"/>
        <v>0</v>
      </c>
      <c r="G90" s="54">
        <f t="shared" si="8"/>
        <v>1</v>
      </c>
      <c r="H90" s="54">
        <f t="shared" si="9"/>
        <v>437</v>
      </c>
      <c r="I90" s="56" t="str">
        <f>IFERROR(INDEX($A$2:$A$501,MATCH(SMALL($H$2:$H$501,ROWS($I$2:I90)+$G$502),$H$2:$H$501,0)),"")</f>
        <v/>
      </c>
      <c r="J90">
        <f t="shared" si="10"/>
        <v>26</v>
      </c>
      <c r="K90" t="str">
        <f t="array" ref="K90">INDEX($B$2:$B$501,SMALL(IF($A$2:$A$501=I90,ROW($A$2:$A$501)-ROW(INDEX($A$2:$A$501,1,1))+1),J90))</f>
        <v/>
      </c>
      <c r="L90" t="str">
        <f t="array" ref="L90">INDEX($C$2:$C$501,SMALL(IF($A$2:$A$501=I90,ROW($A$2:$A$501)-ROW(INDEX($A$2:$A$501,1,1))+1),J90))</f>
        <v/>
      </c>
      <c r="N90" t="str">
        <f t="shared" si="11"/>
        <v/>
      </c>
      <c r="S90" s="10">
        <v>89</v>
      </c>
      <c r="T90" s="10" t="str">
        <f t="array" ref="T90">IFERROR(INDEX(A$2:$A$501,MATCH(0,COUNTIF($T$1:T89,A$2:$A$501),0)),"")</f>
        <v/>
      </c>
      <c r="U90" s="10">
        <f>IFERROR(MATCH(T90,I$2:$I$501,0),"")</f>
        <v>64</v>
      </c>
      <c r="V90" s="10">
        <f>COUNTIF(I$2:$I$501,T90)</f>
        <v>437</v>
      </c>
      <c r="W90" s="10"/>
      <c r="X90" s="10"/>
    </row>
    <row r="91" spans="1:24" x14ac:dyDescent="0.25">
      <c r="A91" t="str">
        <f>IF(Tests!B92="","",Tests!B92)</f>
        <v/>
      </c>
      <c r="B91" t="str">
        <f>IF(Tests!D92="","",Tests!D92)</f>
        <v/>
      </c>
      <c r="C91" t="str">
        <f>IF(Tests!E92="","",Tests!E92)</f>
        <v/>
      </c>
      <c r="E91" s="54">
        <f t="shared" si="6"/>
        <v>0</v>
      </c>
      <c r="F91" s="54">
        <f t="shared" si="7"/>
        <v>0</v>
      </c>
      <c r="G91" s="54">
        <f t="shared" si="8"/>
        <v>1</v>
      </c>
      <c r="H91" s="54">
        <f t="shared" si="9"/>
        <v>437</v>
      </c>
      <c r="I91" s="56" t="str">
        <f>IFERROR(INDEX($A$2:$A$501,MATCH(SMALL($H$2:$H$501,ROWS($I$2:I91)+$G$502),$H$2:$H$501,0)),"")</f>
        <v/>
      </c>
      <c r="J91">
        <f t="shared" si="10"/>
        <v>27</v>
      </c>
      <c r="K91" t="str">
        <f t="array" ref="K91">INDEX($B$2:$B$501,SMALL(IF($A$2:$A$501=I91,ROW($A$2:$A$501)-ROW(INDEX($A$2:$A$501,1,1))+1),J91))</f>
        <v/>
      </c>
      <c r="L91" t="str">
        <f t="array" ref="L91">INDEX($C$2:$C$501,SMALL(IF($A$2:$A$501=I91,ROW($A$2:$A$501)-ROW(INDEX($A$2:$A$501,1,1))+1),J91))</f>
        <v/>
      </c>
      <c r="N91" t="str">
        <f t="shared" si="11"/>
        <v/>
      </c>
      <c r="S91" s="10">
        <v>90</v>
      </c>
      <c r="T91" s="10" t="str">
        <f t="array" ref="T91">IFERROR(INDEX(A$2:$A$501,MATCH(0,COUNTIF($T$1:T90,A$2:$A$501),0)),"")</f>
        <v/>
      </c>
      <c r="U91" s="10">
        <f>IFERROR(MATCH(T91,I$2:$I$501,0),"")</f>
        <v>64</v>
      </c>
      <c r="V91" s="10">
        <f>COUNTIF(I$2:$I$501,T91)</f>
        <v>437</v>
      </c>
      <c r="W91" s="10"/>
      <c r="X91" s="10"/>
    </row>
    <row r="92" spans="1:24" x14ac:dyDescent="0.25">
      <c r="A92" t="str">
        <f>IF(Tests!B93="","",Tests!B93)</f>
        <v/>
      </c>
      <c r="B92" t="str">
        <f>IF(Tests!D93="","",Tests!D93)</f>
        <v/>
      </c>
      <c r="C92" t="str">
        <f>IF(Tests!E93="","",Tests!E93)</f>
        <v/>
      </c>
      <c r="E92" s="54">
        <f t="shared" si="6"/>
        <v>0</v>
      </c>
      <c r="F92" s="54">
        <f t="shared" si="7"/>
        <v>0</v>
      </c>
      <c r="G92" s="54">
        <f t="shared" si="8"/>
        <v>1</v>
      </c>
      <c r="H92" s="54">
        <f t="shared" si="9"/>
        <v>437</v>
      </c>
      <c r="I92" s="56" t="str">
        <f>IFERROR(INDEX($A$2:$A$501,MATCH(SMALL($H$2:$H$501,ROWS($I$2:I92)+$G$502),$H$2:$H$501,0)),"")</f>
        <v/>
      </c>
      <c r="J92">
        <f t="shared" si="10"/>
        <v>28</v>
      </c>
      <c r="K92" t="str">
        <f t="array" ref="K92">INDEX($B$2:$B$501,SMALL(IF($A$2:$A$501=I92,ROW($A$2:$A$501)-ROW(INDEX($A$2:$A$501,1,1))+1),J92))</f>
        <v/>
      </c>
      <c r="L92" t="str">
        <f t="array" ref="L92">INDEX($C$2:$C$501,SMALL(IF($A$2:$A$501=I92,ROW($A$2:$A$501)-ROW(INDEX($A$2:$A$501,1,1))+1),J92))</f>
        <v/>
      </c>
      <c r="N92" t="str">
        <f t="shared" si="11"/>
        <v/>
      </c>
      <c r="S92" s="10">
        <v>91</v>
      </c>
      <c r="T92" s="10" t="str">
        <f t="array" ref="T92">IFERROR(INDEX(A$2:$A$501,MATCH(0,COUNTIF($T$1:T91,A$2:$A$501),0)),"")</f>
        <v/>
      </c>
      <c r="U92" s="10">
        <f>IFERROR(MATCH(T92,I$2:$I$501,0),"")</f>
        <v>64</v>
      </c>
      <c r="V92" s="10">
        <f>COUNTIF(I$2:$I$501,T92)</f>
        <v>437</v>
      </c>
      <c r="W92" s="10"/>
      <c r="X92" s="10"/>
    </row>
    <row r="93" spans="1:24" x14ac:dyDescent="0.25">
      <c r="A93" t="str">
        <f>IF(Tests!B94="","",Tests!B94)</f>
        <v/>
      </c>
      <c r="B93" t="str">
        <f>IF(Tests!D94="","",Tests!D94)</f>
        <v/>
      </c>
      <c r="C93" t="str">
        <f>IF(Tests!E94="","",Tests!E94)</f>
        <v/>
      </c>
      <c r="E93" s="54">
        <f t="shared" si="6"/>
        <v>0</v>
      </c>
      <c r="F93" s="54">
        <f t="shared" si="7"/>
        <v>0</v>
      </c>
      <c r="G93" s="54">
        <f t="shared" si="8"/>
        <v>1</v>
      </c>
      <c r="H93" s="54">
        <f t="shared" si="9"/>
        <v>437</v>
      </c>
      <c r="I93" s="56" t="str">
        <f>IFERROR(INDEX($A$2:$A$501,MATCH(SMALL($H$2:$H$501,ROWS($I$2:I93)+$G$502),$H$2:$H$501,0)),"")</f>
        <v/>
      </c>
      <c r="J93">
        <f t="shared" si="10"/>
        <v>29</v>
      </c>
      <c r="K93" t="str">
        <f t="array" ref="K93">INDEX($B$2:$B$501,SMALL(IF($A$2:$A$501=I93,ROW($A$2:$A$501)-ROW(INDEX($A$2:$A$501,1,1))+1),J93))</f>
        <v/>
      </c>
      <c r="L93" t="str">
        <f t="array" ref="L93">INDEX($C$2:$C$501,SMALL(IF($A$2:$A$501=I93,ROW($A$2:$A$501)-ROW(INDEX($A$2:$A$501,1,1))+1),J93))</f>
        <v/>
      </c>
      <c r="N93" t="str">
        <f t="shared" si="11"/>
        <v/>
      </c>
      <c r="S93" s="10">
        <v>92</v>
      </c>
      <c r="T93" s="10" t="str">
        <f t="array" ref="T93">IFERROR(INDEX(A$2:$A$501,MATCH(0,COUNTIF($T$1:T92,A$2:$A$501),0)),"")</f>
        <v/>
      </c>
      <c r="U93" s="10">
        <f>IFERROR(MATCH(T93,I$2:$I$501,0),"")</f>
        <v>64</v>
      </c>
      <c r="V93" s="10">
        <f>COUNTIF(I$2:$I$501,T93)</f>
        <v>437</v>
      </c>
      <c r="W93" s="10"/>
      <c r="X93" s="10"/>
    </row>
    <row r="94" spans="1:24" x14ac:dyDescent="0.25">
      <c r="A94" t="str">
        <f>IF(Tests!B95="","",Tests!B95)</f>
        <v/>
      </c>
      <c r="B94" t="str">
        <f>IF(Tests!D95="","",Tests!D95)</f>
        <v/>
      </c>
      <c r="C94" t="str">
        <f>IF(Tests!E95="","",Tests!E95)</f>
        <v/>
      </c>
      <c r="E94" s="54">
        <f t="shared" si="6"/>
        <v>0</v>
      </c>
      <c r="F94" s="54">
        <f t="shared" si="7"/>
        <v>0</v>
      </c>
      <c r="G94" s="54">
        <f t="shared" si="8"/>
        <v>1</v>
      </c>
      <c r="H94" s="54">
        <f t="shared" si="9"/>
        <v>437</v>
      </c>
      <c r="I94" s="56" t="str">
        <f>IFERROR(INDEX($A$2:$A$501,MATCH(SMALL($H$2:$H$501,ROWS($I$2:I94)+$G$502),$H$2:$H$501,0)),"")</f>
        <v/>
      </c>
      <c r="J94">
        <f t="shared" si="10"/>
        <v>30</v>
      </c>
      <c r="K94" t="str">
        <f t="array" ref="K94">INDEX($B$2:$B$501,SMALL(IF($A$2:$A$501=I94,ROW($A$2:$A$501)-ROW(INDEX($A$2:$A$501,1,1))+1),J94))</f>
        <v/>
      </c>
      <c r="L94" t="str">
        <f t="array" ref="L94">INDEX($C$2:$C$501,SMALL(IF($A$2:$A$501=I94,ROW($A$2:$A$501)-ROW(INDEX($A$2:$A$501,1,1))+1),J94))</f>
        <v/>
      </c>
      <c r="N94" t="str">
        <f t="shared" si="11"/>
        <v/>
      </c>
      <c r="S94" s="10">
        <v>93</v>
      </c>
      <c r="T94" s="10" t="str">
        <f t="array" ref="T94">IFERROR(INDEX(A$2:$A$501,MATCH(0,COUNTIF($T$1:T93,A$2:$A$501),0)),"")</f>
        <v/>
      </c>
      <c r="U94" s="10">
        <f>IFERROR(MATCH(T94,I$2:$I$501,0),"")</f>
        <v>64</v>
      </c>
      <c r="V94" s="10">
        <f>COUNTIF(I$2:$I$501,T94)</f>
        <v>437</v>
      </c>
      <c r="W94" s="10"/>
      <c r="X94" s="10"/>
    </row>
    <row r="95" spans="1:24" x14ac:dyDescent="0.25">
      <c r="A95" t="str">
        <f>IF(Tests!B96="","",Tests!B96)</f>
        <v/>
      </c>
      <c r="B95" t="str">
        <f>IF(Tests!D96="","",Tests!D96)</f>
        <v/>
      </c>
      <c r="C95" t="str">
        <f>IF(Tests!E96="","",Tests!E96)</f>
        <v/>
      </c>
      <c r="E95" s="54">
        <f t="shared" si="6"/>
        <v>0</v>
      </c>
      <c r="F95" s="54">
        <f t="shared" si="7"/>
        <v>0</v>
      </c>
      <c r="G95" s="54">
        <f t="shared" si="8"/>
        <v>1</v>
      </c>
      <c r="H95" s="54">
        <f t="shared" si="9"/>
        <v>437</v>
      </c>
      <c r="I95" s="56" t="str">
        <f>IFERROR(INDEX($A$2:$A$501,MATCH(SMALL($H$2:$H$501,ROWS($I$2:I95)+$G$502),$H$2:$H$501,0)),"")</f>
        <v/>
      </c>
      <c r="J95">
        <f t="shared" si="10"/>
        <v>31</v>
      </c>
      <c r="K95" t="str">
        <f t="array" ref="K95">INDEX($B$2:$B$501,SMALL(IF($A$2:$A$501=I95,ROW($A$2:$A$501)-ROW(INDEX($A$2:$A$501,1,1))+1),J95))</f>
        <v/>
      </c>
      <c r="L95" t="str">
        <f t="array" ref="L95">INDEX($C$2:$C$501,SMALL(IF($A$2:$A$501=I95,ROW($A$2:$A$501)-ROW(INDEX($A$2:$A$501,1,1))+1),J95))</f>
        <v/>
      </c>
      <c r="N95" t="str">
        <f t="shared" si="11"/>
        <v/>
      </c>
      <c r="S95" s="10">
        <v>94</v>
      </c>
      <c r="T95" s="10" t="str">
        <f t="array" ref="T95">IFERROR(INDEX(A$2:$A$501,MATCH(0,COUNTIF($T$1:T94,A$2:$A$501),0)),"")</f>
        <v/>
      </c>
      <c r="U95" s="10">
        <f>IFERROR(MATCH(T95,I$2:$I$501,0),"")</f>
        <v>64</v>
      </c>
      <c r="V95" s="10">
        <f>COUNTIF(I$2:$I$501,T95)</f>
        <v>437</v>
      </c>
      <c r="W95" s="10"/>
      <c r="X95" s="10"/>
    </row>
    <row r="96" spans="1:24" x14ac:dyDescent="0.25">
      <c r="A96" t="str">
        <f>IF(Tests!B97="","",Tests!B97)</f>
        <v/>
      </c>
      <c r="B96" t="str">
        <f>IF(Tests!D97="","",Tests!D97)</f>
        <v/>
      </c>
      <c r="C96" t="str">
        <f>IF(Tests!E97="","",Tests!E97)</f>
        <v/>
      </c>
      <c r="E96" s="54">
        <f t="shared" si="6"/>
        <v>0</v>
      </c>
      <c r="F96" s="54">
        <f t="shared" si="7"/>
        <v>0</v>
      </c>
      <c r="G96" s="54">
        <f t="shared" si="8"/>
        <v>1</v>
      </c>
      <c r="H96" s="54">
        <f t="shared" si="9"/>
        <v>437</v>
      </c>
      <c r="I96" s="56" t="str">
        <f>IFERROR(INDEX($A$2:$A$501,MATCH(SMALL($H$2:$H$501,ROWS($I$2:I96)+$G$502),$H$2:$H$501,0)),"")</f>
        <v/>
      </c>
      <c r="J96">
        <f t="shared" si="10"/>
        <v>32</v>
      </c>
      <c r="K96" t="str">
        <f t="array" ref="K96">INDEX($B$2:$B$501,SMALL(IF($A$2:$A$501=I96,ROW($A$2:$A$501)-ROW(INDEX($A$2:$A$501,1,1))+1),J96))</f>
        <v/>
      </c>
      <c r="L96" t="str">
        <f t="array" ref="L96">INDEX($C$2:$C$501,SMALL(IF($A$2:$A$501=I96,ROW($A$2:$A$501)-ROW(INDEX($A$2:$A$501,1,1))+1),J96))</f>
        <v/>
      </c>
      <c r="N96" t="str">
        <f t="shared" si="11"/>
        <v/>
      </c>
      <c r="S96" s="10">
        <v>95</v>
      </c>
      <c r="T96" s="10" t="str">
        <f t="array" ref="T96">IFERROR(INDEX(A$2:$A$501,MATCH(0,COUNTIF($T$1:T95,A$2:$A$501),0)),"")</f>
        <v/>
      </c>
      <c r="U96" s="10">
        <f>IFERROR(MATCH(T96,I$2:$I$501,0),"")</f>
        <v>64</v>
      </c>
      <c r="V96" s="10">
        <f>COUNTIF(I$2:$I$501,T96)</f>
        <v>437</v>
      </c>
      <c r="W96" s="10"/>
      <c r="X96" s="10"/>
    </row>
    <row r="97" spans="1:24" x14ac:dyDescent="0.25">
      <c r="A97" t="str">
        <f>IF(Tests!B98="","",Tests!B98)</f>
        <v/>
      </c>
      <c r="B97" t="str">
        <f>IF(Tests!D98="","",Tests!D98)</f>
        <v/>
      </c>
      <c r="C97" t="str">
        <f>IF(Tests!E98="","",Tests!E98)</f>
        <v/>
      </c>
      <c r="E97" s="54">
        <f t="shared" si="6"/>
        <v>0</v>
      </c>
      <c r="F97" s="54">
        <f t="shared" si="7"/>
        <v>0</v>
      </c>
      <c r="G97" s="54">
        <f t="shared" si="8"/>
        <v>1</v>
      </c>
      <c r="H97" s="54">
        <f t="shared" si="9"/>
        <v>437</v>
      </c>
      <c r="I97" s="56" t="str">
        <f>IFERROR(INDEX($A$2:$A$501,MATCH(SMALL($H$2:$H$501,ROWS($I$2:I97)+$G$502),$H$2:$H$501,0)),"")</f>
        <v/>
      </c>
      <c r="J97">
        <f t="shared" si="10"/>
        <v>33</v>
      </c>
      <c r="K97" t="str">
        <f t="array" ref="K97">INDEX($B$2:$B$501,SMALL(IF($A$2:$A$501=I97,ROW($A$2:$A$501)-ROW(INDEX($A$2:$A$501,1,1))+1),J97))</f>
        <v/>
      </c>
      <c r="L97" t="str">
        <f t="array" ref="L97">INDEX($C$2:$C$501,SMALL(IF($A$2:$A$501=I97,ROW($A$2:$A$501)-ROW(INDEX($A$2:$A$501,1,1))+1),J97))</f>
        <v/>
      </c>
      <c r="N97" t="str">
        <f t="shared" si="11"/>
        <v/>
      </c>
      <c r="S97" s="10">
        <v>96</v>
      </c>
      <c r="T97" s="10" t="str">
        <f t="array" ref="T97">IFERROR(INDEX(A$2:$A$501,MATCH(0,COUNTIF($T$1:T96,A$2:$A$501),0)),"")</f>
        <v/>
      </c>
      <c r="U97" s="10">
        <f>IFERROR(MATCH(T97,I$2:$I$501,0),"")</f>
        <v>64</v>
      </c>
      <c r="V97" s="10">
        <f>COUNTIF(I$2:$I$501,T97)</f>
        <v>437</v>
      </c>
      <c r="W97" s="10"/>
      <c r="X97" s="10"/>
    </row>
    <row r="98" spans="1:24" x14ac:dyDescent="0.25">
      <c r="A98" t="str">
        <f>IF(Tests!B99="","",Tests!B99)</f>
        <v/>
      </c>
      <c r="B98" t="str">
        <f>IF(Tests!D99="","",Tests!D99)</f>
        <v/>
      </c>
      <c r="C98" t="str">
        <f>IF(Tests!E99="","",Tests!E99)</f>
        <v/>
      </c>
      <c r="E98" s="54">
        <f t="shared" si="6"/>
        <v>0</v>
      </c>
      <c r="F98" s="54">
        <f t="shared" si="7"/>
        <v>0</v>
      </c>
      <c r="G98" s="54">
        <f t="shared" si="8"/>
        <v>1</v>
      </c>
      <c r="H98" s="54">
        <f t="shared" si="9"/>
        <v>437</v>
      </c>
      <c r="I98" s="56" t="str">
        <f>IFERROR(INDEX($A$2:$A$501,MATCH(SMALL($H$2:$H$501,ROWS($I$2:I98)+$G$502),$H$2:$H$501,0)),"")</f>
        <v/>
      </c>
      <c r="J98">
        <f t="shared" si="10"/>
        <v>34</v>
      </c>
      <c r="K98" t="str">
        <f t="array" ref="K98">INDEX($B$2:$B$501,SMALL(IF($A$2:$A$501=I98,ROW($A$2:$A$501)-ROW(INDEX($A$2:$A$501,1,1))+1),J98))</f>
        <v/>
      </c>
      <c r="L98" t="str">
        <f t="array" ref="L98">INDEX($C$2:$C$501,SMALL(IF($A$2:$A$501=I98,ROW($A$2:$A$501)-ROW(INDEX($A$2:$A$501,1,1))+1),J98))</f>
        <v/>
      </c>
      <c r="N98" t="str">
        <f t="shared" si="11"/>
        <v/>
      </c>
      <c r="S98" s="10">
        <v>97</v>
      </c>
      <c r="T98" s="10" t="str">
        <f t="array" ref="T98">IFERROR(INDEX(A$2:$A$501,MATCH(0,COUNTIF($T$1:T97,A$2:$A$501),0)),"")</f>
        <v/>
      </c>
      <c r="U98" s="10">
        <f>IFERROR(MATCH(T98,I$2:$I$501,0),"")</f>
        <v>64</v>
      </c>
      <c r="V98" s="10">
        <f>COUNTIF(I$2:$I$501,T98)</f>
        <v>437</v>
      </c>
      <c r="W98" s="10"/>
      <c r="X98" s="10"/>
    </row>
    <row r="99" spans="1:24" x14ac:dyDescent="0.25">
      <c r="A99" t="str">
        <f>IF(Tests!B100="","",Tests!B100)</f>
        <v/>
      </c>
      <c r="B99" t="str">
        <f>IF(Tests!D100="","",Tests!D100)</f>
        <v/>
      </c>
      <c r="C99" t="str">
        <f>IF(Tests!E100="","",Tests!E100)</f>
        <v/>
      </c>
      <c r="E99" s="54">
        <f t="shared" si="6"/>
        <v>0</v>
      </c>
      <c r="F99" s="54">
        <f t="shared" si="7"/>
        <v>0</v>
      </c>
      <c r="G99" s="54">
        <f t="shared" si="8"/>
        <v>1</v>
      </c>
      <c r="H99" s="54">
        <f t="shared" si="9"/>
        <v>437</v>
      </c>
      <c r="I99" s="56" t="str">
        <f>IFERROR(INDEX($A$2:$A$501,MATCH(SMALL($H$2:$H$501,ROWS($I$2:I99)+$G$502),$H$2:$H$501,0)),"")</f>
        <v/>
      </c>
      <c r="J99">
        <f t="shared" si="10"/>
        <v>35</v>
      </c>
      <c r="K99" t="str">
        <f t="array" ref="K99">INDEX($B$2:$B$501,SMALL(IF($A$2:$A$501=I99,ROW($A$2:$A$501)-ROW(INDEX($A$2:$A$501,1,1))+1),J99))</f>
        <v/>
      </c>
      <c r="L99" t="str">
        <f t="array" ref="L99">INDEX($C$2:$C$501,SMALL(IF($A$2:$A$501=I99,ROW($A$2:$A$501)-ROW(INDEX($A$2:$A$501,1,1))+1),J99))</f>
        <v/>
      </c>
      <c r="N99" t="str">
        <f t="shared" si="11"/>
        <v/>
      </c>
      <c r="S99" s="10">
        <v>98</v>
      </c>
      <c r="T99" s="10" t="str">
        <f t="array" ref="T99">IFERROR(INDEX(A$2:$A$501,MATCH(0,COUNTIF($T$1:T98,A$2:$A$501),0)),"")</f>
        <v/>
      </c>
      <c r="U99" s="10">
        <f>IFERROR(MATCH(T99,I$2:$I$501,0),"")</f>
        <v>64</v>
      </c>
      <c r="V99" s="10">
        <f>COUNTIF(I$2:$I$501,T99)</f>
        <v>437</v>
      </c>
      <c r="W99" s="10"/>
      <c r="X99" s="10"/>
    </row>
    <row r="100" spans="1:24" x14ac:dyDescent="0.25">
      <c r="A100" t="str">
        <f>IF(Tests!B101="","",Tests!B101)</f>
        <v/>
      </c>
      <c r="B100" t="str">
        <f>IF(Tests!D101="","",Tests!D101)</f>
        <v/>
      </c>
      <c r="C100" t="str">
        <f>IF(Tests!E101="","",Tests!E101)</f>
        <v/>
      </c>
      <c r="E100" s="54">
        <f t="shared" si="6"/>
        <v>0</v>
      </c>
      <c r="F100" s="54">
        <f t="shared" si="7"/>
        <v>0</v>
      </c>
      <c r="G100" s="54">
        <f t="shared" si="8"/>
        <v>1</v>
      </c>
      <c r="H100" s="54">
        <f t="shared" si="9"/>
        <v>437</v>
      </c>
      <c r="I100" s="56" t="str">
        <f>IFERROR(INDEX($A$2:$A$501,MATCH(SMALL($H$2:$H$501,ROWS($I$2:I100)+$G$502),$H$2:$H$501,0)),"")</f>
        <v/>
      </c>
      <c r="J100">
        <f t="shared" si="10"/>
        <v>36</v>
      </c>
      <c r="K100" t="str">
        <f t="array" ref="K100">INDEX($B$2:$B$501,SMALL(IF($A$2:$A$501=I100,ROW($A$2:$A$501)-ROW(INDEX($A$2:$A$501,1,1))+1),J100))</f>
        <v/>
      </c>
      <c r="L100" t="str">
        <f t="array" ref="L100">INDEX($C$2:$C$501,SMALL(IF($A$2:$A$501=I100,ROW($A$2:$A$501)-ROW(INDEX($A$2:$A$501,1,1))+1),J100))</f>
        <v/>
      </c>
      <c r="N100" t="str">
        <f t="shared" si="11"/>
        <v/>
      </c>
      <c r="S100" s="10">
        <v>99</v>
      </c>
      <c r="T100" s="10" t="str">
        <f t="array" ref="T100">IFERROR(INDEX(A$2:$A$501,MATCH(0,COUNTIF($T$1:T99,A$2:$A$501),0)),"")</f>
        <v/>
      </c>
      <c r="U100" s="10">
        <f>IFERROR(MATCH(T100,I$2:$I$501,0),"")</f>
        <v>64</v>
      </c>
      <c r="V100" s="10">
        <f>COUNTIF(I$2:$I$501,T100)</f>
        <v>437</v>
      </c>
      <c r="W100" s="10"/>
      <c r="X100" s="10"/>
    </row>
    <row r="101" spans="1:24" x14ac:dyDescent="0.25">
      <c r="A101" t="str">
        <f>IF(Tests!B102="","",Tests!B102)</f>
        <v/>
      </c>
      <c r="B101" t="str">
        <f>IF(Tests!D102="","",Tests!D102)</f>
        <v/>
      </c>
      <c r="C101" t="str">
        <f>IF(Tests!E102="","",Tests!E102)</f>
        <v/>
      </c>
      <c r="E101" s="54">
        <f t="shared" si="6"/>
        <v>0</v>
      </c>
      <c r="F101" s="54">
        <f t="shared" si="7"/>
        <v>0</v>
      </c>
      <c r="G101" s="54">
        <f t="shared" si="8"/>
        <v>1</v>
      </c>
      <c r="H101" s="54">
        <f t="shared" si="9"/>
        <v>437</v>
      </c>
      <c r="I101" s="56" t="str">
        <f>IFERROR(INDEX($A$2:$A$501,MATCH(SMALL($H$2:$H$501,ROWS($I$2:I101)+$G$502),$H$2:$H$501,0)),"")</f>
        <v/>
      </c>
      <c r="J101">
        <f t="shared" si="10"/>
        <v>37</v>
      </c>
      <c r="K101" t="str">
        <f t="array" ref="K101">INDEX($B$2:$B$501,SMALL(IF($A$2:$A$501=I101,ROW($A$2:$A$501)-ROW(INDEX($A$2:$A$501,1,1))+1),J101))</f>
        <v/>
      </c>
      <c r="L101" t="str">
        <f t="array" ref="L101">INDEX($C$2:$C$501,SMALL(IF($A$2:$A$501=I101,ROW($A$2:$A$501)-ROW(INDEX($A$2:$A$501,1,1))+1),J101))</f>
        <v/>
      </c>
      <c r="N101" t="str">
        <f t="shared" si="11"/>
        <v/>
      </c>
      <c r="S101" s="10">
        <v>100</v>
      </c>
      <c r="T101" s="10" t="str">
        <f t="array" ref="T101">IFERROR(INDEX(A$2:$A$501,MATCH(0,COUNTIF($T$1:T100,A$2:$A$501),0)),"")</f>
        <v/>
      </c>
      <c r="U101" s="10">
        <f>IFERROR(MATCH(T101,I$2:$I$501,0),"")</f>
        <v>64</v>
      </c>
      <c r="V101" s="10">
        <f>COUNTIF(I$2:$I$501,T101)</f>
        <v>437</v>
      </c>
      <c r="W101" s="10"/>
      <c r="X101" s="10"/>
    </row>
    <row r="102" spans="1:24" x14ac:dyDescent="0.25">
      <c r="A102" t="str">
        <f>IF(Tests!B103="","",Tests!B103)</f>
        <v/>
      </c>
      <c r="B102" t="str">
        <f>IF(Tests!D103="","",Tests!D103)</f>
        <v/>
      </c>
      <c r="C102" t="str">
        <f>IF(Tests!E103="","",Tests!E103)</f>
        <v/>
      </c>
      <c r="E102" s="54">
        <f t="shared" si="6"/>
        <v>0</v>
      </c>
      <c r="F102" s="54">
        <f t="shared" si="7"/>
        <v>0</v>
      </c>
      <c r="G102" s="54">
        <f t="shared" si="8"/>
        <v>1</v>
      </c>
      <c r="H102" s="54">
        <f t="shared" si="9"/>
        <v>437</v>
      </c>
      <c r="I102" s="56" t="str">
        <f>IFERROR(INDEX($A$2:$A$501,MATCH(SMALL($H$2:$H$501,ROWS($I$2:I102)+$G$502),$H$2:$H$501,0)),"")</f>
        <v/>
      </c>
      <c r="J102">
        <f t="shared" si="10"/>
        <v>38</v>
      </c>
      <c r="K102" t="str">
        <f t="array" ref="K102">INDEX($B$2:$B$501,SMALL(IF($A$2:$A$501=I102,ROW($A$2:$A$501)-ROW(INDEX($A$2:$A$501,1,1))+1),J102))</f>
        <v/>
      </c>
      <c r="L102" t="str">
        <f t="array" ref="L102">INDEX($C$2:$C$501,SMALL(IF($A$2:$A$501=I102,ROW($A$2:$A$501)-ROW(INDEX($A$2:$A$501,1,1))+1),J102))</f>
        <v/>
      </c>
      <c r="N102" t="str">
        <f t="shared" si="11"/>
        <v/>
      </c>
      <c r="S102" s="10">
        <v>101</v>
      </c>
      <c r="T102" s="10" t="str">
        <f t="array" ref="T102">IFERROR(INDEX(A$2:$A$501,MATCH(0,COUNTIF($T$1:T101,A$2:$A$501),0)),"")</f>
        <v/>
      </c>
      <c r="U102" s="10">
        <f>IFERROR(MATCH(T102,I$2:$I$501,0),"")</f>
        <v>64</v>
      </c>
      <c r="V102" s="10">
        <f>COUNTIF(I$2:$I$501,T102)</f>
        <v>437</v>
      </c>
      <c r="W102" s="10"/>
      <c r="X102" s="10"/>
    </row>
    <row r="103" spans="1:24" x14ac:dyDescent="0.25">
      <c r="A103" t="str">
        <f>IF(Tests!B104="","",Tests!B104)</f>
        <v/>
      </c>
      <c r="B103" t="str">
        <f>IF(Tests!D104="","",Tests!D104)</f>
        <v/>
      </c>
      <c r="C103" t="str">
        <f>IF(Tests!E104="","",Tests!E104)</f>
        <v/>
      </c>
      <c r="E103" s="54">
        <f t="shared" si="6"/>
        <v>0</v>
      </c>
      <c r="F103" s="54">
        <f t="shared" si="7"/>
        <v>0</v>
      </c>
      <c r="G103" s="54">
        <f t="shared" si="8"/>
        <v>1</v>
      </c>
      <c r="H103" s="54">
        <f t="shared" si="9"/>
        <v>437</v>
      </c>
      <c r="I103" s="56" t="str">
        <f>IFERROR(INDEX($A$2:$A$501,MATCH(SMALL($H$2:$H$501,ROWS($I$2:I103)+$G$502),$H$2:$H$501,0)),"")</f>
        <v/>
      </c>
      <c r="J103">
        <f t="shared" si="10"/>
        <v>39</v>
      </c>
      <c r="K103" t="str">
        <f t="array" ref="K103">INDEX($B$2:$B$501,SMALL(IF($A$2:$A$501=I103,ROW($A$2:$A$501)-ROW(INDEX($A$2:$A$501,1,1))+1),J103))</f>
        <v/>
      </c>
      <c r="L103" t="str">
        <f t="array" ref="L103">INDEX($C$2:$C$501,SMALL(IF($A$2:$A$501=I103,ROW($A$2:$A$501)-ROW(INDEX($A$2:$A$501,1,1))+1),J103))</f>
        <v/>
      </c>
      <c r="N103" t="str">
        <f t="shared" si="11"/>
        <v/>
      </c>
      <c r="S103" s="10">
        <v>102</v>
      </c>
      <c r="T103" s="10" t="str">
        <f t="array" ref="T103">IFERROR(INDEX(A$2:$A$501,MATCH(0,COUNTIF($T$1:T102,A$2:$A$501),0)),"")</f>
        <v/>
      </c>
      <c r="U103" s="10">
        <f>IFERROR(MATCH(T103,I$2:$I$501,0),"")</f>
        <v>64</v>
      </c>
      <c r="V103" s="10">
        <f>COUNTIF(I$2:$I$501,T103)</f>
        <v>437</v>
      </c>
      <c r="W103" s="10"/>
      <c r="X103" s="10"/>
    </row>
    <row r="104" spans="1:24" x14ac:dyDescent="0.25">
      <c r="A104" t="str">
        <f>IF(Tests!B105="","",Tests!B105)</f>
        <v/>
      </c>
      <c r="B104" t="str">
        <f>IF(Tests!D105="","",Tests!D105)</f>
        <v/>
      </c>
      <c r="C104" t="str">
        <f>IF(Tests!E105="","",Tests!E105)</f>
        <v/>
      </c>
      <c r="E104" s="54">
        <f t="shared" si="6"/>
        <v>0</v>
      </c>
      <c r="F104" s="54">
        <f t="shared" si="7"/>
        <v>0</v>
      </c>
      <c r="G104" s="54">
        <f t="shared" si="8"/>
        <v>1</v>
      </c>
      <c r="H104" s="54">
        <f t="shared" si="9"/>
        <v>437</v>
      </c>
      <c r="I104" s="56" t="str">
        <f>IFERROR(INDEX($A$2:$A$501,MATCH(SMALL($H$2:$H$501,ROWS($I$2:I104)+$G$502),$H$2:$H$501,0)),"")</f>
        <v/>
      </c>
      <c r="J104">
        <f t="shared" si="10"/>
        <v>40</v>
      </c>
      <c r="K104" t="str">
        <f t="array" ref="K104">INDEX($B$2:$B$501,SMALL(IF($A$2:$A$501=I104,ROW($A$2:$A$501)-ROW(INDEX($A$2:$A$501,1,1))+1),J104))</f>
        <v/>
      </c>
      <c r="L104" t="str">
        <f t="array" ref="L104">INDEX($C$2:$C$501,SMALL(IF($A$2:$A$501=I104,ROW($A$2:$A$501)-ROW(INDEX($A$2:$A$501,1,1))+1),J104))</f>
        <v/>
      </c>
      <c r="N104" t="str">
        <f t="shared" si="11"/>
        <v/>
      </c>
      <c r="S104" s="10">
        <v>103</v>
      </c>
      <c r="T104" s="10" t="str">
        <f t="array" ref="T104">IFERROR(INDEX(A$2:$A$501,MATCH(0,COUNTIF($T$1:T103,A$2:$A$501),0)),"")</f>
        <v/>
      </c>
      <c r="U104" s="10">
        <f>IFERROR(MATCH(T104,I$2:$I$501,0),"")</f>
        <v>64</v>
      </c>
      <c r="V104" s="10">
        <f>COUNTIF(I$2:$I$501,T104)</f>
        <v>437</v>
      </c>
      <c r="W104" s="10"/>
      <c r="X104" s="10"/>
    </row>
    <row r="105" spans="1:24" x14ac:dyDescent="0.25">
      <c r="A105" t="str">
        <f>IF(Tests!B106="","",Tests!B106)</f>
        <v/>
      </c>
      <c r="B105" t="str">
        <f>IF(Tests!D106="","",Tests!D106)</f>
        <v/>
      </c>
      <c r="C105" t="str">
        <f>IF(Tests!E106="","",Tests!E106)</f>
        <v/>
      </c>
      <c r="E105" s="54">
        <f t="shared" si="6"/>
        <v>0</v>
      </c>
      <c r="F105" s="54">
        <f t="shared" si="7"/>
        <v>0</v>
      </c>
      <c r="G105" s="54">
        <f t="shared" si="8"/>
        <v>1</v>
      </c>
      <c r="H105" s="54">
        <f t="shared" si="9"/>
        <v>437</v>
      </c>
      <c r="I105" s="56" t="str">
        <f>IFERROR(INDEX($A$2:$A$501,MATCH(SMALL($H$2:$H$501,ROWS($I$2:I105)+$G$502),$H$2:$H$501,0)),"")</f>
        <v/>
      </c>
      <c r="J105">
        <f t="shared" si="10"/>
        <v>41</v>
      </c>
      <c r="K105" t="str">
        <f t="array" ref="K105">INDEX($B$2:$B$501,SMALL(IF($A$2:$A$501=I105,ROW($A$2:$A$501)-ROW(INDEX($A$2:$A$501,1,1))+1),J105))</f>
        <v/>
      </c>
      <c r="L105" t="str">
        <f t="array" ref="L105">INDEX($C$2:$C$501,SMALL(IF($A$2:$A$501=I105,ROW($A$2:$A$501)-ROW(INDEX($A$2:$A$501,1,1))+1),J105))</f>
        <v/>
      </c>
      <c r="N105" t="str">
        <f t="shared" si="11"/>
        <v/>
      </c>
      <c r="S105" s="10">
        <v>104</v>
      </c>
      <c r="T105" s="10" t="str">
        <f t="array" ref="T105">IFERROR(INDEX(A$2:$A$501,MATCH(0,COUNTIF($T$1:T104,A$2:$A$501),0)),"")</f>
        <v/>
      </c>
      <c r="U105" s="10">
        <f>IFERROR(MATCH(T105,I$2:$I$501,0),"")</f>
        <v>64</v>
      </c>
      <c r="V105" s="10">
        <f>COUNTIF(I$2:$I$501,T105)</f>
        <v>437</v>
      </c>
      <c r="W105" s="10"/>
      <c r="X105" s="10"/>
    </row>
    <row r="106" spans="1:24" x14ac:dyDescent="0.25">
      <c r="A106" t="str">
        <f>IF(Tests!B107="","",Tests!B107)</f>
        <v/>
      </c>
      <c r="B106" t="str">
        <f>IF(Tests!D107="","",Tests!D107)</f>
        <v/>
      </c>
      <c r="C106" t="str">
        <f>IF(Tests!E107="","",Tests!E107)</f>
        <v/>
      </c>
      <c r="E106" s="54">
        <f t="shared" si="6"/>
        <v>0</v>
      </c>
      <c r="F106" s="54">
        <f t="shared" si="7"/>
        <v>0</v>
      </c>
      <c r="G106" s="54">
        <f t="shared" si="8"/>
        <v>1</v>
      </c>
      <c r="H106" s="54">
        <f t="shared" si="9"/>
        <v>437</v>
      </c>
      <c r="I106" s="56" t="str">
        <f>IFERROR(INDEX($A$2:$A$501,MATCH(SMALL($H$2:$H$501,ROWS($I$2:I106)+$G$502),$H$2:$H$501,0)),"")</f>
        <v/>
      </c>
      <c r="J106">
        <f t="shared" si="10"/>
        <v>42</v>
      </c>
      <c r="K106" t="str">
        <f t="array" ref="K106">INDEX($B$2:$B$501,SMALL(IF($A$2:$A$501=I106,ROW($A$2:$A$501)-ROW(INDEX($A$2:$A$501,1,1))+1),J106))</f>
        <v/>
      </c>
      <c r="L106" t="str">
        <f t="array" ref="L106">INDEX($C$2:$C$501,SMALL(IF($A$2:$A$501=I106,ROW($A$2:$A$501)-ROW(INDEX($A$2:$A$501,1,1))+1),J106))</f>
        <v/>
      </c>
      <c r="N106" t="str">
        <f t="shared" si="11"/>
        <v/>
      </c>
      <c r="S106" s="10">
        <v>105</v>
      </c>
      <c r="T106" s="10" t="str">
        <f t="array" ref="T106">IFERROR(INDEX(A$2:$A$501,MATCH(0,COUNTIF($T$1:T105,A$2:$A$501),0)),"")</f>
        <v/>
      </c>
      <c r="U106" s="10">
        <f>IFERROR(MATCH(T106,I$2:$I$501,0),"")</f>
        <v>64</v>
      </c>
      <c r="V106" s="10">
        <f>COUNTIF(I$2:$I$501,T106)</f>
        <v>437</v>
      </c>
      <c r="W106" s="10"/>
      <c r="X106" s="10"/>
    </row>
    <row r="107" spans="1:24" x14ac:dyDescent="0.25">
      <c r="A107" t="str">
        <f>IF(Tests!B108="","",Tests!B108)</f>
        <v/>
      </c>
      <c r="B107" t="str">
        <f>IF(Tests!D108="","",Tests!D108)</f>
        <v/>
      </c>
      <c r="C107" t="str">
        <f>IF(Tests!E108="","",Tests!E108)</f>
        <v/>
      </c>
      <c r="E107" s="54">
        <f t="shared" si="6"/>
        <v>0</v>
      </c>
      <c r="F107" s="54">
        <f t="shared" si="7"/>
        <v>0</v>
      </c>
      <c r="G107" s="54">
        <f t="shared" si="8"/>
        <v>1</v>
      </c>
      <c r="H107" s="54">
        <f t="shared" si="9"/>
        <v>437</v>
      </c>
      <c r="I107" s="56" t="str">
        <f>IFERROR(INDEX($A$2:$A$501,MATCH(SMALL($H$2:$H$501,ROWS($I$2:I107)+$G$502),$H$2:$H$501,0)),"")</f>
        <v/>
      </c>
      <c r="J107">
        <f t="shared" si="10"/>
        <v>43</v>
      </c>
      <c r="K107" t="str">
        <f t="array" ref="K107">INDEX($B$2:$B$501,SMALL(IF($A$2:$A$501=I107,ROW($A$2:$A$501)-ROW(INDEX($A$2:$A$501,1,1))+1),J107))</f>
        <v/>
      </c>
      <c r="L107" t="str">
        <f t="array" ref="L107">INDEX($C$2:$C$501,SMALL(IF($A$2:$A$501=I107,ROW($A$2:$A$501)-ROW(INDEX($A$2:$A$501,1,1))+1),J107))</f>
        <v/>
      </c>
      <c r="N107" t="str">
        <f t="shared" si="11"/>
        <v/>
      </c>
      <c r="S107" s="10">
        <v>106</v>
      </c>
      <c r="T107" s="10" t="str">
        <f t="array" ref="T107">IFERROR(INDEX(A$2:$A$501,MATCH(0,COUNTIF($T$1:T106,A$2:$A$501),0)),"")</f>
        <v/>
      </c>
      <c r="U107" s="10">
        <f>IFERROR(MATCH(T107,I$2:$I$501,0),"")</f>
        <v>64</v>
      </c>
      <c r="V107" s="10">
        <f>COUNTIF(I$2:$I$501,T107)</f>
        <v>437</v>
      </c>
      <c r="W107" s="10"/>
      <c r="X107" s="10"/>
    </row>
    <row r="108" spans="1:24" x14ac:dyDescent="0.25">
      <c r="A108" t="str">
        <f>IF(Tests!B109="","",Tests!B109)</f>
        <v/>
      </c>
      <c r="B108" t="str">
        <f>IF(Tests!D109="","",Tests!D109)</f>
        <v/>
      </c>
      <c r="C108" t="str">
        <f>IF(Tests!E109="","",Tests!E109)</f>
        <v/>
      </c>
      <c r="E108" s="54">
        <f t="shared" si="6"/>
        <v>0</v>
      </c>
      <c r="F108" s="54">
        <f t="shared" si="7"/>
        <v>0</v>
      </c>
      <c r="G108" s="54">
        <f t="shared" si="8"/>
        <v>1</v>
      </c>
      <c r="H108" s="54">
        <f t="shared" si="9"/>
        <v>437</v>
      </c>
      <c r="I108" s="56" t="str">
        <f>IFERROR(INDEX($A$2:$A$501,MATCH(SMALL($H$2:$H$501,ROWS($I$2:I108)+$G$502),$H$2:$H$501,0)),"")</f>
        <v/>
      </c>
      <c r="J108">
        <f t="shared" si="10"/>
        <v>44</v>
      </c>
      <c r="K108" t="str">
        <f t="array" ref="K108">INDEX($B$2:$B$501,SMALL(IF($A$2:$A$501=I108,ROW($A$2:$A$501)-ROW(INDEX($A$2:$A$501,1,1))+1),J108))</f>
        <v/>
      </c>
      <c r="L108" t="str">
        <f t="array" ref="L108">INDEX($C$2:$C$501,SMALL(IF($A$2:$A$501=I108,ROW($A$2:$A$501)-ROW(INDEX($A$2:$A$501,1,1))+1),J108))</f>
        <v/>
      </c>
      <c r="N108" t="str">
        <f t="shared" si="11"/>
        <v/>
      </c>
      <c r="S108" s="10">
        <v>107</v>
      </c>
      <c r="T108" s="10" t="str">
        <f t="array" ref="T108">IFERROR(INDEX(A$2:$A$501,MATCH(0,COUNTIF($T$1:T107,A$2:$A$501),0)),"")</f>
        <v/>
      </c>
      <c r="U108" s="10">
        <f>IFERROR(MATCH(T108,I$2:$I$501,0),"")</f>
        <v>64</v>
      </c>
      <c r="V108" s="10">
        <f>COUNTIF(I$2:$I$501,T108)</f>
        <v>437</v>
      </c>
      <c r="W108" s="10"/>
      <c r="X108" s="10"/>
    </row>
    <row r="109" spans="1:24" x14ac:dyDescent="0.25">
      <c r="A109" t="str">
        <f>IF(Tests!B110="","",Tests!B110)</f>
        <v/>
      </c>
      <c r="B109" t="str">
        <f>IF(Tests!D110="","",Tests!D110)</f>
        <v/>
      </c>
      <c r="C109" t="str">
        <f>IF(Tests!E110="","",Tests!E110)</f>
        <v/>
      </c>
      <c r="E109" s="54">
        <f t="shared" si="6"/>
        <v>0</v>
      </c>
      <c r="F109" s="54">
        <f t="shared" si="7"/>
        <v>0</v>
      </c>
      <c r="G109" s="54">
        <f t="shared" si="8"/>
        <v>1</v>
      </c>
      <c r="H109" s="54">
        <f t="shared" si="9"/>
        <v>437</v>
      </c>
      <c r="I109" s="56" t="str">
        <f>IFERROR(INDEX($A$2:$A$501,MATCH(SMALL($H$2:$H$501,ROWS($I$2:I109)+$G$502),$H$2:$H$501,0)),"")</f>
        <v/>
      </c>
      <c r="J109">
        <f t="shared" si="10"/>
        <v>45</v>
      </c>
      <c r="K109" t="str">
        <f t="array" ref="K109">INDEX($B$2:$B$501,SMALL(IF($A$2:$A$501=I109,ROW($A$2:$A$501)-ROW(INDEX($A$2:$A$501,1,1))+1),J109))</f>
        <v/>
      </c>
      <c r="L109" t="str">
        <f t="array" ref="L109">INDEX($C$2:$C$501,SMALL(IF($A$2:$A$501=I109,ROW($A$2:$A$501)-ROW(INDEX($A$2:$A$501,1,1))+1),J109))</f>
        <v/>
      </c>
      <c r="N109" t="str">
        <f t="shared" si="11"/>
        <v/>
      </c>
      <c r="S109" s="10">
        <v>108</v>
      </c>
      <c r="T109" s="10" t="str">
        <f t="array" ref="T109">IFERROR(INDEX(A$2:$A$501,MATCH(0,COUNTIF($T$1:T108,A$2:$A$501),0)),"")</f>
        <v/>
      </c>
      <c r="U109" s="10">
        <f>IFERROR(MATCH(T109,I$2:$I$501,0),"")</f>
        <v>64</v>
      </c>
      <c r="V109" s="10">
        <f>COUNTIF(I$2:$I$501,T109)</f>
        <v>437</v>
      </c>
      <c r="W109" s="10"/>
      <c r="X109" s="10"/>
    </row>
    <row r="110" spans="1:24" x14ac:dyDescent="0.25">
      <c r="A110" t="str">
        <f>IF(Tests!B111="","",Tests!B111)</f>
        <v/>
      </c>
      <c r="B110" t="str">
        <f>IF(Tests!D111="","",Tests!D111)</f>
        <v/>
      </c>
      <c r="C110" t="str">
        <f>IF(Tests!E111="","",Tests!E111)</f>
        <v/>
      </c>
      <c r="E110" s="54">
        <f t="shared" si="6"/>
        <v>0</v>
      </c>
      <c r="F110" s="54">
        <f t="shared" si="7"/>
        <v>0</v>
      </c>
      <c r="G110" s="54">
        <f t="shared" si="8"/>
        <v>1</v>
      </c>
      <c r="H110" s="54">
        <f t="shared" si="9"/>
        <v>437</v>
      </c>
      <c r="I110" s="56" t="str">
        <f>IFERROR(INDEX($A$2:$A$501,MATCH(SMALL($H$2:$H$501,ROWS($I$2:I110)+$G$502),$H$2:$H$501,0)),"")</f>
        <v/>
      </c>
      <c r="J110">
        <f t="shared" si="10"/>
        <v>46</v>
      </c>
      <c r="K110" t="str">
        <f t="array" ref="K110">INDEX($B$2:$B$501,SMALL(IF($A$2:$A$501=I110,ROW($A$2:$A$501)-ROW(INDEX($A$2:$A$501,1,1))+1),J110))</f>
        <v/>
      </c>
      <c r="L110" t="str">
        <f t="array" ref="L110">INDEX($C$2:$C$501,SMALL(IF($A$2:$A$501=I110,ROW($A$2:$A$501)-ROW(INDEX($A$2:$A$501,1,1))+1),J110))</f>
        <v/>
      </c>
      <c r="N110" t="str">
        <f t="shared" si="11"/>
        <v/>
      </c>
      <c r="S110" s="10">
        <v>109</v>
      </c>
      <c r="T110" s="10" t="str">
        <f t="array" ref="T110">IFERROR(INDEX(A$2:$A$501,MATCH(0,COUNTIF($T$1:T109,A$2:$A$501),0)),"")</f>
        <v/>
      </c>
      <c r="U110" s="10">
        <f>IFERROR(MATCH(T110,I$2:$I$501,0),"")</f>
        <v>64</v>
      </c>
      <c r="V110" s="10">
        <f>COUNTIF(I$2:$I$501,T110)</f>
        <v>437</v>
      </c>
      <c r="W110" s="10"/>
      <c r="X110" s="10"/>
    </row>
    <row r="111" spans="1:24" x14ac:dyDescent="0.25">
      <c r="A111" t="str">
        <f>IF(Tests!B112="","",Tests!B112)</f>
        <v/>
      </c>
      <c r="B111" t="str">
        <f>IF(Tests!D112="","",Tests!D112)</f>
        <v/>
      </c>
      <c r="C111" t="str">
        <f>IF(Tests!E112="","",Tests!E112)</f>
        <v/>
      </c>
      <c r="E111" s="54">
        <f t="shared" si="6"/>
        <v>0</v>
      </c>
      <c r="F111" s="54">
        <f t="shared" si="7"/>
        <v>0</v>
      </c>
      <c r="G111" s="54">
        <f t="shared" si="8"/>
        <v>1</v>
      </c>
      <c r="H111" s="54">
        <f t="shared" si="9"/>
        <v>437</v>
      </c>
      <c r="I111" s="56" t="str">
        <f>IFERROR(INDEX($A$2:$A$501,MATCH(SMALL($H$2:$H$501,ROWS($I$2:I111)+$G$502),$H$2:$H$501,0)),"")</f>
        <v/>
      </c>
      <c r="J111">
        <f t="shared" si="10"/>
        <v>47</v>
      </c>
      <c r="K111" t="str">
        <f t="array" ref="K111">INDEX($B$2:$B$501,SMALL(IF($A$2:$A$501=I111,ROW($A$2:$A$501)-ROW(INDEX($A$2:$A$501,1,1))+1),J111))</f>
        <v/>
      </c>
      <c r="L111" t="str">
        <f t="array" ref="L111">INDEX($C$2:$C$501,SMALL(IF($A$2:$A$501=I111,ROW($A$2:$A$501)-ROW(INDEX($A$2:$A$501,1,1))+1),J111))</f>
        <v/>
      </c>
      <c r="N111" t="str">
        <f t="shared" si="11"/>
        <v/>
      </c>
      <c r="S111" s="10">
        <v>110</v>
      </c>
      <c r="T111" s="10" t="str">
        <f t="array" ref="T111">IFERROR(INDEX(A$2:$A$501,MATCH(0,COUNTIF($T$1:T110,A$2:$A$501),0)),"")</f>
        <v/>
      </c>
      <c r="U111" s="10">
        <f>IFERROR(MATCH(T111,I$2:$I$501,0),"")</f>
        <v>64</v>
      </c>
      <c r="V111" s="10">
        <f>COUNTIF(I$2:$I$501,T111)</f>
        <v>437</v>
      </c>
      <c r="W111" s="10"/>
      <c r="X111" s="10"/>
    </row>
    <row r="112" spans="1:24" x14ac:dyDescent="0.25">
      <c r="A112" t="str">
        <f>IF(Tests!B113="","",Tests!B113)</f>
        <v/>
      </c>
      <c r="B112" t="str">
        <f>IF(Tests!D113="","",Tests!D113)</f>
        <v/>
      </c>
      <c r="C112" t="str">
        <f>IF(Tests!E113="","",Tests!E113)</f>
        <v/>
      </c>
      <c r="E112" s="54">
        <f t="shared" si="6"/>
        <v>0</v>
      </c>
      <c r="F112" s="54">
        <f t="shared" si="7"/>
        <v>0</v>
      </c>
      <c r="G112" s="54">
        <f t="shared" si="8"/>
        <v>1</v>
      </c>
      <c r="H112" s="54">
        <f t="shared" si="9"/>
        <v>437</v>
      </c>
      <c r="I112" s="56" t="str">
        <f>IFERROR(INDEX($A$2:$A$501,MATCH(SMALL($H$2:$H$501,ROWS($I$2:I112)+$G$502),$H$2:$H$501,0)),"")</f>
        <v/>
      </c>
      <c r="J112">
        <f t="shared" si="10"/>
        <v>48</v>
      </c>
      <c r="K112" t="str">
        <f t="array" ref="K112">INDEX($B$2:$B$501,SMALL(IF($A$2:$A$501=I112,ROW($A$2:$A$501)-ROW(INDEX($A$2:$A$501,1,1))+1),J112))</f>
        <v/>
      </c>
      <c r="L112" t="str">
        <f t="array" ref="L112">INDEX($C$2:$C$501,SMALL(IF($A$2:$A$501=I112,ROW($A$2:$A$501)-ROW(INDEX($A$2:$A$501,1,1))+1),J112))</f>
        <v/>
      </c>
      <c r="N112" t="str">
        <f t="shared" si="11"/>
        <v/>
      </c>
      <c r="S112" s="10">
        <v>111</v>
      </c>
      <c r="T112" s="10" t="str">
        <f t="array" ref="T112">IFERROR(INDEX(A$2:$A$501,MATCH(0,COUNTIF($T$1:T111,A$2:$A$501),0)),"")</f>
        <v/>
      </c>
      <c r="U112" s="10">
        <f>IFERROR(MATCH(T112,I$2:$I$501,0),"")</f>
        <v>64</v>
      </c>
      <c r="V112" s="10">
        <f>COUNTIF(I$2:$I$501,T112)</f>
        <v>437</v>
      </c>
      <c r="W112" s="10"/>
      <c r="X112" s="10"/>
    </row>
    <row r="113" spans="1:24" x14ac:dyDescent="0.25">
      <c r="A113" t="str">
        <f>IF(Tests!B114="","",Tests!B114)</f>
        <v/>
      </c>
      <c r="B113" t="str">
        <f>IF(Tests!D114="","",Tests!D114)</f>
        <v/>
      </c>
      <c r="C113" t="str">
        <f>IF(Tests!E114="","",Tests!E114)</f>
        <v/>
      </c>
      <c r="E113" s="54">
        <f t="shared" si="6"/>
        <v>0</v>
      </c>
      <c r="F113" s="54">
        <f t="shared" si="7"/>
        <v>0</v>
      </c>
      <c r="G113" s="54">
        <f t="shared" si="8"/>
        <v>1</v>
      </c>
      <c r="H113" s="54">
        <f t="shared" si="9"/>
        <v>437</v>
      </c>
      <c r="I113" s="56" t="str">
        <f>IFERROR(INDEX($A$2:$A$501,MATCH(SMALL($H$2:$H$501,ROWS($I$2:I113)+$G$502),$H$2:$H$501,0)),"")</f>
        <v/>
      </c>
      <c r="J113">
        <f t="shared" si="10"/>
        <v>49</v>
      </c>
      <c r="K113" t="str">
        <f t="array" ref="K113">INDEX($B$2:$B$501,SMALL(IF($A$2:$A$501=I113,ROW($A$2:$A$501)-ROW(INDEX($A$2:$A$501,1,1))+1),J113))</f>
        <v/>
      </c>
      <c r="L113" t="str">
        <f t="array" ref="L113">INDEX($C$2:$C$501,SMALL(IF($A$2:$A$501=I113,ROW($A$2:$A$501)-ROW(INDEX($A$2:$A$501,1,1))+1),J113))</f>
        <v/>
      </c>
      <c r="N113" t="str">
        <f t="shared" si="11"/>
        <v/>
      </c>
      <c r="S113" s="10">
        <v>112</v>
      </c>
      <c r="T113" s="10" t="str">
        <f t="array" ref="T113">IFERROR(INDEX(A$2:$A$501,MATCH(0,COUNTIF($T$1:T112,A$2:$A$501),0)),"")</f>
        <v/>
      </c>
      <c r="U113" s="10">
        <f>IFERROR(MATCH(T113,I$2:$I$501,0),"")</f>
        <v>64</v>
      </c>
      <c r="V113" s="10">
        <f>COUNTIF(I$2:$I$501,T113)</f>
        <v>437</v>
      </c>
      <c r="W113" s="10"/>
      <c r="X113" s="10"/>
    </row>
    <row r="114" spans="1:24" x14ac:dyDescent="0.25">
      <c r="A114" t="str">
        <f>IF(Tests!B115="","",Tests!B115)</f>
        <v/>
      </c>
      <c r="B114" t="str">
        <f>IF(Tests!D115="","",Tests!D115)</f>
        <v/>
      </c>
      <c r="C114" t="str">
        <f>IF(Tests!E115="","",Tests!E115)</f>
        <v/>
      </c>
      <c r="E114" s="54">
        <f t="shared" si="6"/>
        <v>0</v>
      </c>
      <c r="F114" s="54">
        <f t="shared" si="7"/>
        <v>0</v>
      </c>
      <c r="G114" s="54">
        <f t="shared" si="8"/>
        <v>1</v>
      </c>
      <c r="H114" s="54">
        <f t="shared" si="9"/>
        <v>437</v>
      </c>
      <c r="I114" s="56" t="str">
        <f>IFERROR(INDEX($A$2:$A$501,MATCH(SMALL($H$2:$H$501,ROWS($I$2:I114)+$G$502),$H$2:$H$501,0)),"")</f>
        <v/>
      </c>
      <c r="J114">
        <f t="shared" si="10"/>
        <v>50</v>
      </c>
      <c r="K114" t="str">
        <f t="array" ref="K114">INDEX($B$2:$B$501,SMALL(IF($A$2:$A$501=I114,ROW($A$2:$A$501)-ROW(INDEX($A$2:$A$501,1,1))+1),J114))</f>
        <v/>
      </c>
      <c r="L114" t="str">
        <f t="array" ref="L114">INDEX($C$2:$C$501,SMALL(IF($A$2:$A$501=I114,ROW($A$2:$A$501)-ROW(INDEX($A$2:$A$501,1,1))+1),J114))</f>
        <v/>
      </c>
      <c r="N114" t="str">
        <f t="shared" si="11"/>
        <v/>
      </c>
      <c r="S114" s="10">
        <v>113</v>
      </c>
      <c r="T114" s="10" t="str">
        <f t="array" ref="T114">IFERROR(INDEX(A$2:$A$501,MATCH(0,COUNTIF($T$1:T113,A$2:$A$501),0)),"")</f>
        <v/>
      </c>
      <c r="U114" s="10">
        <f>IFERROR(MATCH(T114,I$2:$I$501,0),"")</f>
        <v>64</v>
      </c>
      <c r="V114" s="10">
        <f>COUNTIF(I$2:$I$501,T114)</f>
        <v>437</v>
      </c>
      <c r="W114" s="10"/>
      <c r="X114" s="10"/>
    </row>
    <row r="115" spans="1:24" x14ac:dyDescent="0.25">
      <c r="A115" t="str">
        <f>IF(Tests!B116="","",Tests!B116)</f>
        <v/>
      </c>
      <c r="B115" t="str">
        <f>IF(Tests!D116="","",Tests!D116)</f>
        <v/>
      </c>
      <c r="C115" t="str">
        <f>IF(Tests!E116="","",Tests!E116)</f>
        <v/>
      </c>
      <c r="E115" s="54">
        <f t="shared" si="6"/>
        <v>0</v>
      </c>
      <c r="F115" s="54">
        <f t="shared" si="7"/>
        <v>0</v>
      </c>
      <c r="G115" s="54">
        <f t="shared" si="8"/>
        <v>1</v>
      </c>
      <c r="H115" s="54">
        <f t="shared" si="9"/>
        <v>437</v>
      </c>
      <c r="I115" s="56" t="str">
        <f>IFERROR(INDEX($A$2:$A$501,MATCH(SMALL($H$2:$H$501,ROWS($I$2:I115)+$G$502),$H$2:$H$501,0)),"")</f>
        <v/>
      </c>
      <c r="J115">
        <f t="shared" si="10"/>
        <v>51</v>
      </c>
      <c r="K115" t="str">
        <f t="array" ref="K115">INDEX($B$2:$B$501,SMALL(IF($A$2:$A$501=I115,ROW($A$2:$A$501)-ROW(INDEX($A$2:$A$501,1,1))+1),J115))</f>
        <v/>
      </c>
      <c r="L115" t="str">
        <f t="array" ref="L115">INDEX($C$2:$C$501,SMALL(IF($A$2:$A$501=I115,ROW($A$2:$A$501)-ROW(INDEX($A$2:$A$501,1,1))+1),J115))</f>
        <v/>
      </c>
      <c r="N115" t="str">
        <f t="shared" si="11"/>
        <v/>
      </c>
      <c r="S115" s="10">
        <v>114</v>
      </c>
      <c r="T115" s="10" t="str">
        <f t="array" ref="T115">IFERROR(INDEX(A$2:$A$501,MATCH(0,COUNTIF($T$1:T114,A$2:$A$501),0)),"")</f>
        <v/>
      </c>
      <c r="U115" s="10">
        <f>IFERROR(MATCH(T115,I$2:$I$501,0),"")</f>
        <v>64</v>
      </c>
      <c r="V115" s="10">
        <f>COUNTIF(I$2:$I$501,T115)</f>
        <v>437</v>
      </c>
      <c r="W115" s="10"/>
      <c r="X115" s="10"/>
    </row>
    <row r="116" spans="1:24" x14ac:dyDescent="0.25">
      <c r="A116" t="str">
        <f>IF(Tests!B117="","",Tests!B117)</f>
        <v/>
      </c>
      <c r="B116" t="str">
        <f>IF(Tests!D117="","",Tests!D117)</f>
        <v/>
      </c>
      <c r="C116" t="str">
        <f>IF(Tests!E117="","",Tests!E117)</f>
        <v/>
      </c>
      <c r="E116" s="54">
        <f t="shared" si="6"/>
        <v>0</v>
      </c>
      <c r="F116" s="54">
        <f t="shared" si="7"/>
        <v>0</v>
      </c>
      <c r="G116" s="54">
        <f t="shared" si="8"/>
        <v>1</v>
      </c>
      <c r="H116" s="54">
        <f t="shared" si="9"/>
        <v>437</v>
      </c>
      <c r="I116" s="56" t="str">
        <f>IFERROR(INDEX($A$2:$A$501,MATCH(SMALL($H$2:$H$501,ROWS($I$2:I116)+$G$502),$H$2:$H$501,0)),"")</f>
        <v/>
      </c>
      <c r="J116">
        <f t="shared" si="10"/>
        <v>52</v>
      </c>
      <c r="K116" t="str">
        <f t="array" ref="K116">INDEX($B$2:$B$501,SMALL(IF($A$2:$A$501=I116,ROW($A$2:$A$501)-ROW(INDEX($A$2:$A$501,1,1))+1),J116))</f>
        <v/>
      </c>
      <c r="L116" t="str">
        <f t="array" ref="L116">INDEX($C$2:$C$501,SMALL(IF($A$2:$A$501=I116,ROW($A$2:$A$501)-ROW(INDEX($A$2:$A$501,1,1))+1),J116))</f>
        <v/>
      </c>
      <c r="N116" t="str">
        <f t="shared" si="11"/>
        <v/>
      </c>
      <c r="S116" s="10">
        <v>115</v>
      </c>
      <c r="T116" s="10" t="str">
        <f t="array" ref="T116">IFERROR(INDEX(A$2:$A$501,MATCH(0,COUNTIF($T$1:T115,A$2:$A$501),0)),"")</f>
        <v/>
      </c>
      <c r="U116" s="10">
        <f>IFERROR(MATCH(T116,I$2:$I$501,0),"")</f>
        <v>64</v>
      </c>
      <c r="V116" s="10">
        <f>COUNTIF(I$2:$I$501,T116)</f>
        <v>437</v>
      </c>
      <c r="W116" s="10"/>
      <c r="X116" s="10"/>
    </row>
    <row r="117" spans="1:24" x14ac:dyDescent="0.25">
      <c r="A117" t="str">
        <f>IF(Tests!B118="","",Tests!B118)</f>
        <v/>
      </c>
      <c r="B117" t="str">
        <f>IF(Tests!D118="","",Tests!D118)</f>
        <v/>
      </c>
      <c r="C117" t="str">
        <f>IF(Tests!E118="","",Tests!E118)</f>
        <v/>
      </c>
      <c r="E117" s="54">
        <f t="shared" si="6"/>
        <v>0</v>
      </c>
      <c r="F117" s="54">
        <f t="shared" si="7"/>
        <v>0</v>
      </c>
      <c r="G117" s="54">
        <f t="shared" si="8"/>
        <v>1</v>
      </c>
      <c r="H117" s="54">
        <f t="shared" si="9"/>
        <v>437</v>
      </c>
      <c r="I117" s="56" t="str">
        <f>IFERROR(INDEX($A$2:$A$501,MATCH(SMALL($H$2:$H$501,ROWS($I$2:I117)+$G$502),$H$2:$H$501,0)),"")</f>
        <v/>
      </c>
      <c r="J117">
        <f t="shared" si="10"/>
        <v>53</v>
      </c>
      <c r="K117" t="str">
        <f t="array" ref="K117">INDEX($B$2:$B$501,SMALL(IF($A$2:$A$501=I117,ROW($A$2:$A$501)-ROW(INDEX($A$2:$A$501,1,1))+1),J117))</f>
        <v/>
      </c>
      <c r="L117" t="str">
        <f t="array" ref="L117">INDEX($C$2:$C$501,SMALL(IF($A$2:$A$501=I117,ROW($A$2:$A$501)-ROW(INDEX($A$2:$A$501,1,1))+1),J117))</f>
        <v/>
      </c>
      <c r="N117" t="str">
        <f t="shared" si="11"/>
        <v/>
      </c>
      <c r="S117" s="10">
        <v>116</v>
      </c>
      <c r="T117" s="10" t="str">
        <f t="array" ref="T117">IFERROR(INDEX(A$2:$A$501,MATCH(0,COUNTIF($T$1:T116,A$2:$A$501),0)),"")</f>
        <v/>
      </c>
      <c r="U117" s="10">
        <f>IFERROR(MATCH(T117,I$2:$I$501,0),"")</f>
        <v>64</v>
      </c>
      <c r="V117" s="10">
        <f>COUNTIF(I$2:$I$501,T117)</f>
        <v>437</v>
      </c>
      <c r="W117" s="10"/>
      <c r="X117" s="10"/>
    </row>
    <row r="118" spans="1:24" x14ac:dyDescent="0.25">
      <c r="A118" t="str">
        <f>IF(Tests!B119="","",Tests!B119)</f>
        <v/>
      </c>
      <c r="B118" t="str">
        <f>IF(Tests!D119="","",Tests!D119)</f>
        <v/>
      </c>
      <c r="C118" t="str">
        <f>IF(Tests!E119="","",Tests!E119)</f>
        <v/>
      </c>
      <c r="E118" s="54">
        <f t="shared" si="6"/>
        <v>0</v>
      </c>
      <c r="F118" s="54">
        <f t="shared" si="7"/>
        <v>0</v>
      </c>
      <c r="G118" s="54">
        <f t="shared" si="8"/>
        <v>1</v>
      </c>
      <c r="H118" s="54">
        <f t="shared" si="9"/>
        <v>437</v>
      </c>
      <c r="I118" s="56" t="str">
        <f>IFERROR(INDEX($A$2:$A$501,MATCH(SMALL($H$2:$H$501,ROWS($I$2:I118)+$G$502),$H$2:$H$501,0)),"")</f>
        <v/>
      </c>
      <c r="J118">
        <f t="shared" si="10"/>
        <v>54</v>
      </c>
      <c r="K118" t="str">
        <f t="array" ref="K118">INDEX($B$2:$B$501,SMALL(IF($A$2:$A$501=I118,ROW($A$2:$A$501)-ROW(INDEX($A$2:$A$501,1,1))+1),J118))</f>
        <v/>
      </c>
      <c r="L118" t="str">
        <f t="array" ref="L118">INDEX($C$2:$C$501,SMALL(IF($A$2:$A$501=I118,ROW($A$2:$A$501)-ROW(INDEX($A$2:$A$501,1,1))+1),J118))</f>
        <v/>
      </c>
      <c r="N118" t="str">
        <f t="shared" si="11"/>
        <v/>
      </c>
      <c r="S118" s="10">
        <v>117</v>
      </c>
      <c r="T118" s="10" t="str">
        <f t="array" ref="T118">IFERROR(INDEX(A$2:$A$501,MATCH(0,COUNTIF($T$1:T117,A$2:$A$501),0)),"")</f>
        <v/>
      </c>
      <c r="U118" s="10">
        <f>IFERROR(MATCH(T118,I$2:$I$501,0),"")</f>
        <v>64</v>
      </c>
      <c r="V118" s="10">
        <f>COUNTIF(I$2:$I$501,T118)</f>
        <v>437</v>
      </c>
      <c r="W118" s="10"/>
      <c r="X118" s="10"/>
    </row>
    <row r="119" spans="1:24" x14ac:dyDescent="0.25">
      <c r="A119" t="str">
        <f>IF(Tests!B120="","",Tests!B120)</f>
        <v/>
      </c>
      <c r="B119" t="str">
        <f>IF(Tests!D120="","",Tests!D120)</f>
        <v/>
      </c>
      <c r="C119" t="str">
        <f>IF(Tests!E120="","",Tests!E120)</f>
        <v/>
      </c>
      <c r="E119" s="54">
        <f t="shared" si="6"/>
        <v>0</v>
      </c>
      <c r="F119" s="54">
        <f t="shared" si="7"/>
        <v>0</v>
      </c>
      <c r="G119" s="54">
        <f t="shared" si="8"/>
        <v>1</v>
      </c>
      <c r="H119" s="54">
        <f t="shared" si="9"/>
        <v>437</v>
      </c>
      <c r="I119" s="56" t="str">
        <f>IFERROR(INDEX($A$2:$A$501,MATCH(SMALL($H$2:$H$501,ROWS($I$2:I119)+$G$502),$H$2:$H$501,0)),"")</f>
        <v/>
      </c>
      <c r="J119">
        <f t="shared" si="10"/>
        <v>55</v>
      </c>
      <c r="K119" t="str">
        <f t="array" ref="K119">INDEX($B$2:$B$501,SMALL(IF($A$2:$A$501=I119,ROW($A$2:$A$501)-ROW(INDEX($A$2:$A$501,1,1))+1),J119))</f>
        <v/>
      </c>
      <c r="L119" t="str">
        <f t="array" ref="L119">INDEX($C$2:$C$501,SMALL(IF($A$2:$A$501=I119,ROW($A$2:$A$501)-ROW(INDEX($A$2:$A$501,1,1))+1),J119))</f>
        <v/>
      </c>
      <c r="N119" t="str">
        <f t="shared" si="11"/>
        <v/>
      </c>
      <c r="S119" s="10">
        <v>118</v>
      </c>
      <c r="T119" s="10" t="str">
        <f t="array" ref="T119">IFERROR(INDEX(A$2:$A$501,MATCH(0,COUNTIF($T$1:T118,A$2:$A$501),0)),"")</f>
        <v/>
      </c>
      <c r="U119" s="10">
        <f>IFERROR(MATCH(T119,I$2:$I$501,0),"")</f>
        <v>64</v>
      </c>
      <c r="V119" s="10">
        <f>COUNTIF(I$2:$I$501,T119)</f>
        <v>437</v>
      </c>
      <c r="W119" s="10"/>
      <c r="X119" s="10"/>
    </row>
    <row r="120" spans="1:24" x14ac:dyDescent="0.25">
      <c r="A120" t="str">
        <f>IF(Tests!B121="","",Tests!B121)</f>
        <v/>
      </c>
      <c r="B120" t="str">
        <f>IF(Tests!D121="","",Tests!D121)</f>
        <v/>
      </c>
      <c r="C120" t="str">
        <f>IF(Tests!E121="","",Tests!E121)</f>
        <v/>
      </c>
      <c r="E120" s="54">
        <f t="shared" si="6"/>
        <v>0</v>
      </c>
      <c r="F120" s="54">
        <f t="shared" si="7"/>
        <v>0</v>
      </c>
      <c r="G120" s="54">
        <f t="shared" si="8"/>
        <v>1</v>
      </c>
      <c r="H120" s="54">
        <f t="shared" si="9"/>
        <v>437</v>
      </c>
      <c r="I120" s="56" t="str">
        <f>IFERROR(INDEX($A$2:$A$501,MATCH(SMALL($H$2:$H$501,ROWS($I$2:I120)+$G$502),$H$2:$H$501,0)),"")</f>
        <v/>
      </c>
      <c r="J120">
        <f t="shared" si="10"/>
        <v>56</v>
      </c>
      <c r="K120" t="str">
        <f t="array" ref="K120">INDEX($B$2:$B$501,SMALL(IF($A$2:$A$501=I120,ROW($A$2:$A$501)-ROW(INDEX($A$2:$A$501,1,1))+1),J120))</f>
        <v/>
      </c>
      <c r="L120" t="str">
        <f t="array" ref="L120">INDEX($C$2:$C$501,SMALL(IF($A$2:$A$501=I120,ROW($A$2:$A$501)-ROW(INDEX($A$2:$A$501,1,1))+1),J120))</f>
        <v/>
      </c>
      <c r="N120" t="str">
        <f t="shared" si="11"/>
        <v/>
      </c>
      <c r="S120" s="10">
        <v>119</v>
      </c>
      <c r="T120" s="10" t="str">
        <f t="array" ref="T120">IFERROR(INDEX(A$2:$A$501,MATCH(0,COUNTIF($T$1:T119,A$2:$A$501),0)),"")</f>
        <v/>
      </c>
      <c r="U120" s="10">
        <f>IFERROR(MATCH(T120,I$2:$I$501,0),"")</f>
        <v>64</v>
      </c>
      <c r="V120" s="10">
        <f>COUNTIF(I$2:$I$501,T120)</f>
        <v>437</v>
      </c>
      <c r="W120" s="10"/>
      <c r="X120" s="10"/>
    </row>
    <row r="121" spans="1:24" x14ac:dyDescent="0.25">
      <c r="A121" t="str">
        <f>IF(Tests!B122="","",Tests!B122)</f>
        <v/>
      </c>
      <c r="B121" t="str">
        <f>IF(Tests!D122="","",Tests!D122)</f>
        <v/>
      </c>
      <c r="C121" t="str">
        <f>IF(Tests!E122="","",Tests!E122)</f>
        <v/>
      </c>
      <c r="E121" s="54">
        <f t="shared" si="6"/>
        <v>0</v>
      </c>
      <c r="F121" s="54">
        <f t="shared" si="7"/>
        <v>0</v>
      </c>
      <c r="G121" s="54">
        <f t="shared" si="8"/>
        <v>1</v>
      </c>
      <c r="H121" s="54">
        <f t="shared" si="9"/>
        <v>437</v>
      </c>
      <c r="I121" s="56" t="str">
        <f>IFERROR(INDEX($A$2:$A$501,MATCH(SMALL($H$2:$H$501,ROWS($I$2:I121)+$G$502),$H$2:$H$501,0)),"")</f>
        <v/>
      </c>
      <c r="J121">
        <f t="shared" si="10"/>
        <v>57</v>
      </c>
      <c r="K121" t="str">
        <f t="array" ref="K121">INDEX($B$2:$B$501,SMALL(IF($A$2:$A$501=I121,ROW($A$2:$A$501)-ROW(INDEX($A$2:$A$501,1,1))+1),J121))</f>
        <v/>
      </c>
      <c r="L121" t="str">
        <f t="array" ref="L121">INDEX($C$2:$C$501,SMALL(IF($A$2:$A$501=I121,ROW($A$2:$A$501)-ROW(INDEX($A$2:$A$501,1,1))+1),J121))</f>
        <v/>
      </c>
      <c r="N121" t="str">
        <f t="shared" si="11"/>
        <v/>
      </c>
      <c r="S121" s="10">
        <v>120</v>
      </c>
      <c r="T121" s="10" t="str">
        <f t="array" ref="T121">IFERROR(INDEX(A$2:$A$501,MATCH(0,COUNTIF($T$1:T120,A$2:$A$501),0)),"")</f>
        <v/>
      </c>
      <c r="U121" s="10">
        <f>IFERROR(MATCH(T121,I$2:$I$501,0),"")</f>
        <v>64</v>
      </c>
      <c r="V121" s="10">
        <f>COUNTIF(I$2:$I$501,T121)</f>
        <v>437</v>
      </c>
      <c r="W121" s="10"/>
      <c r="X121" s="10"/>
    </row>
    <row r="122" spans="1:24" x14ac:dyDescent="0.25">
      <c r="A122" t="str">
        <f>IF(Tests!B123="","",Tests!B123)</f>
        <v/>
      </c>
      <c r="B122" t="str">
        <f>IF(Tests!D123="","",Tests!D123)</f>
        <v/>
      </c>
      <c r="C122" t="str">
        <f>IF(Tests!E123="","",Tests!E123)</f>
        <v/>
      </c>
      <c r="E122" s="54">
        <f t="shared" si="6"/>
        <v>0</v>
      </c>
      <c r="F122" s="54">
        <f t="shared" si="7"/>
        <v>0</v>
      </c>
      <c r="G122" s="54">
        <f t="shared" si="8"/>
        <v>1</v>
      </c>
      <c r="H122" s="54">
        <f t="shared" si="9"/>
        <v>437</v>
      </c>
      <c r="I122" s="56" t="str">
        <f>IFERROR(INDEX($A$2:$A$501,MATCH(SMALL($H$2:$H$501,ROWS($I$2:I122)+$G$502),$H$2:$H$501,0)),"")</f>
        <v/>
      </c>
      <c r="J122">
        <f t="shared" si="10"/>
        <v>58</v>
      </c>
      <c r="K122" t="str">
        <f t="array" ref="K122">INDEX($B$2:$B$501,SMALL(IF($A$2:$A$501=I122,ROW($A$2:$A$501)-ROW(INDEX($A$2:$A$501,1,1))+1),J122))</f>
        <v/>
      </c>
      <c r="L122" t="str">
        <f t="array" ref="L122">INDEX($C$2:$C$501,SMALL(IF($A$2:$A$501=I122,ROW($A$2:$A$501)-ROW(INDEX($A$2:$A$501,1,1))+1),J122))</f>
        <v/>
      </c>
      <c r="N122" t="str">
        <f t="shared" si="11"/>
        <v/>
      </c>
      <c r="S122" s="10">
        <v>121</v>
      </c>
      <c r="T122" s="10" t="str">
        <f t="array" ref="T122">IFERROR(INDEX(A$2:$A$501,MATCH(0,COUNTIF($T$1:T121,A$2:$A$501),0)),"")</f>
        <v/>
      </c>
      <c r="U122" s="10">
        <f>IFERROR(MATCH(T122,I$2:$I$501,0),"")</f>
        <v>64</v>
      </c>
      <c r="V122" s="10">
        <f>COUNTIF(I$2:$I$501,T122)</f>
        <v>437</v>
      </c>
      <c r="W122" s="10"/>
      <c r="X122" s="10"/>
    </row>
    <row r="123" spans="1:24" x14ac:dyDescent="0.25">
      <c r="A123" t="str">
        <f>IF(Tests!B124="","",Tests!B124)</f>
        <v/>
      </c>
      <c r="B123" t="str">
        <f>IF(Tests!D124="","",Tests!D124)</f>
        <v/>
      </c>
      <c r="C123" t="str">
        <f>IF(Tests!E124="","",Tests!E124)</f>
        <v/>
      </c>
      <c r="E123" s="54">
        <f t="shared" si="6"/>
        <v>0</v>
      </c>
      <c r="F123" s="54">
        <f t="shared" si="7"/>
        <v>0</v>
      </c>
      <c r="G123" s="54">
        <f t="shared" si="8"/>
        <v>1</v>
      </c>
      <c r="H123" s="54">
        <f t="shared" si="9"/>
        <v>437</v>
      </c>
      <c r="I123" s="56" t="str">
        <f>IFERROR(INDEX($A$2:$A$501,MATCH(SMALL($H$2:$H$501,ROWS($I$2:I123)+$G$502),$H$2:$H$501,0)),"")</f>
        <v/>
      </c>
      <c r="J123">
        <f t="shared" si="10"/>
        <v>59</v>
      </c>
      <c r="K123" t="str">
        <f t="array" ref="K123">INDEX($B$2:$B$501,SMALL(IF($A$2:$A$501=I123,ROW($A$2:$A$501)-ROW(INDEX($A$2:$A$501,1,1))+1),J123))</f>
        <v/>
      </c>
      <c r="L123" t="str">
        <f t="array" ref="L123">INDEX($C$2:$C$501,SMALL(IF($A$2:$A$501=I123,ROW($A$2:$A$501)-ROW(INDEX($A$2:$A$501,1,1))+1),J123))</f>
        <v/>
      </c>
      <c r="N123" t="str">
        <f t="shared" si="11"/>
        <v/>
      </c>
      <c r="S123" s="10">
        <v>122</v>
      </c>
      <c r="T123" s="10" t="str">
        <f t="array" ref="T123">IFERROR(INDEX(A$2:$A$501,MATCH(0,COUNTIF($T$1:T122,A$2:$A$501),0)),"")</f>
        <v/>
      </c>
      <c r="U123" s="10">
        <f>IFERROR(MATCH(T123,I$2:$I$501,0),"")</f>
        <v>64</v>
      </c>
      <c r="V123" s="10">
        <f>COUNTIF(I$2:$I$501,T123)</f>
        <v>437</v>
      </c>
      <c r="W123" s="10"/>
      <c r="X123" s="10"/>
    </row>
    <row r="124" spans="1:24" x14ac:dyDescent="0.25">
      <c r="A124" t="str">
        <f>IF(Tests!B125="","",Tests!B125)</f>
        <v/>
      </c>
      <c r="B124" t="str">
        <f>IF(Tests!D125="","",Tests!D125)</f>
        <v/>
      </c>
      <c r="C124" t="str">
        <f>IF(Tests!E125="","",Tests!E125)</f>
        <v/>
      </c>
      <c r="E124" s="54">
        <f t="shared" si="6"/>
        <v>0</v>
      </c>
      <c r="F124" s="54">
        <f t="shared" si="7"/>
        <v>0</v>
      </c>
      <c r="G124" s="54">
        <f t="shared" si="8"/>
        <v>1</v>
      </c>
      <c r="H124" s="54">
        <f t="shared" si="9"/>
        <v>437</v>
      </c>
      <c r="I124" s="56" t="str">
        <f>IFERROR(INDEX($A$2:$A$501,MATCH(SMALL($H$2:$H$501,ROWS($I$2:I124)+$G$502),$H$2:$H$501,0)),"")</f>
        <v/>
      </c>
      <c r="J124">
        <f t="shared" si="10"/>
        <v>60</v>
      </c>
      <c r="K124" t="str">
        <f t="array" ref="K124">INDEX($B$2:$B$501,SMALL(IF($A$2:$A$501=I124,ROW($A$2:$A$501)-ROW(INDEX($A$2:$A$501,1,1))+1),J124))</f>
        <v/>
      </c>
      <c r="L124" t="str">
        <f t="array" ref="L124">INDEX($C$2:$C$501,SMALL(IF($A$2:$A$501=I124,ROW($A$2:$A$501)-ROW(INDEX($A$2:$A$501,1,1))+1),J124))</f>
        <v/>
      </c>
      <c r="N124" t="str">
        <f t="shared" si="11"/>
        <v/>
      </c>
      <c r="S124" s="10">
        <v>123</v>
      </c>
      <c r="T124" s="10" t="str">
        <f t="array" ref="T124">IFERROR(INDEX(A$2:$A$501,MATCH(0,COUNTIF($T$1:T123,A$2:$A$501),0)),"")</f>
        <v/>
      </c>
      <c r="U124" s="10">
        <f>IFERROR(MATCH(T124,I$2:$I$501,0),"")</f>
        <v>64</v>
      </c>
      <c r="V124" s="10">
        <f>COUNTIF(I$2:$I$501,T124)</f>
        <v>437</v>
      </c>
      <c r="W124" s="10"/>
      <c r="X124" s="10"/>
    </row>
    <row r="125" spans="1:24" x14ac:dyDescent="0.25">
      <c r="A125" t="str">
        <f>IF(Tests!B126="","",Tests!B126)</f>
        <v/>
      </c>
      <c r="B125" t="str">
        <f>IF(Tests!D126="","",Tests!D126)</f>
        <v/>
      </c>
      <c r="C125" t="str">
        <f>IF(Tests!E126="","",Tests!E126)</f>
        <v/>
      </c>
      <c r="E125" s="54">
        <f t="shared" si="6"/>
        <v>0</v>
      </c>
      <c r="F125" s="54">
        <f t="shared" si="7"/>
        <v>0</v>
      </c>
      <c r="G125" s="54">
        <f t="shared" si="8"/>
        <v>1</v>
      </c>
      <c r="H125" s="54">
        <f t="shared" si="9"/>
        <v>437</v>
      </c>
      <c r="I125" s="56" t="str">
        <f>IFERROR(INDEX($A$2:$A$501,MATCH(SMALL($H$2:$H$501,ROWS($I$2:I125)+$G$502),$H$2:$H$501,0)),"")</f>
        <v/>
      </c>
      <c r="J125">
        <f t="shared" si="10"/>
        <v>61</v>
      </c>
      <c r="K125" t="str">
        <f t="array" ref="K125">INDEX($B$2:$B$501,SMALL(IF($A$2:$A$501=I125,ROW($A$2:$A$501)-ROW(INDEX($A$2:$A$501,1,1))+1),J125))</f>
        <v/>
      </c>
      <c r="L125" t="str">
        <f t="array" ref="L125">INDEX($C$2:$C$501,SMALL(IF($A$2:$A$501=I125,ROW($A$2:$A$501)-ROW(INDEX($A$2:$A$501,1,1))+1),J125))</f>
        <v/>
      </c>
      <c r="N125" t="str">
        <f t="shared" si="11"/>
        <v/>
      </c>
      <c r="S125" s="10">
        <v>124</v>
      </c>
      <c r="T125" s="10" t="str">
        <f t="array" ref="T125">IFERROR(INDEX(A$2:$A$501,MATCH(0,COUNTIF($T$1:T124,A$2:$A$501),0)),"")</f>
        <v/>
      </c>
      <c r="U125" s="10">
        <f>IFERROR(MATCH(T125,I$2:$I$501,0),"")</f>
        <v>64</v>
      </c>
      <c r="V125" s="10">
        <f>COUNTIF(I$2:$I$501,T125)</f>
        <v>437</v>
      </c>
      <c r="W125" s="10"/>
      <c r="X125" s="10"/>
    </row>
    <row r="126" spans="1:24" x14ac:dyDescent="0.25">
      <c r="A126" t="str">
        <f>IF(Tests!B127="","",Tests!B127)</f>
        <v/>
      </c>
      <c r="B126" t="str">
        <f>IF(Tests!D127="","",Tests!D127)</f>
        <v/>
      </c>
      <c r="C126" t="str">
        <f>IF(Tests!E127="","",Tests!E127)</f>
        <v/>
      </c>
      <c r="E126" s="54">
        <f t="shared" si="6"/>
        <v>0</v>
      </c>
      <c r="F126" s="54">
        <f t="shared" si="7"/>
        <v>0</v>
      </c>
      <c r="G126" s="54">
        <f t="shared" si="8"/>
        <v>1</v>
      </c>
      <c r="H126" s="54">
        <f t="shared" si="9"/>
        <v>437</v>
      </c>
      <c r="I126" s="56" t="str">
        <f>IFERROR(INDEX($A$2:$A$501,MATCH(SMALL($H$2:$H$501,ROWS($I$2:I126)+$G$502),$H$2:$H$501,0)),"")</f>
        <v/>
      </c>
      <c r="J126">
        <f t="shared" si="10"/>
        <v>62</v>
      </c>
      <c r="K126" t="str">
        <f t="array" ref="K126">INDEX($B$2:$B$501,SMALL(IF($A$2:$A$501=I126,ROW($A$2:$A$501)-ROW(INDEX($A$2:$A$501,1,1))+1),J126))</f>
        <v/>
      </c>
      <c r="L126" t="str">
        <f t="array" ref="L126">INDEX($C$2:$C$501,SMALL(IF($A$2:$A$501=I126,ROW($A$2:$A$501)-ROW(INDEX($A$2:$A$501,1,1))+1),J126))</f>
        <v/>
      </c>
      <c r="N126" t="str">
        <f t="shared" si="11"/>
        <v/>
      </c>
      <c r="S126" s="10">
        <v>125</v>
      </c>
      <c r="T126" s="10" t="str">
        <f t="array" ref="T126">IFERROR(INDEX(A$2:$A$501,MATCH(0,COUNTIF($T$1:T125,A$2:$A$501),0)),"")</f>
        <v/>
      </c>
      <c r="U126" s="10">
        <f>IFERROR(MATCH(T126,I$2:$I$501,0),"")</f>
        <v>64</v>
      </c>
      <c r="V126" s="10">
        <f>COUNTIF(I$2:$I$501,T126)</f>
        <v>437</v>
      </c>
      <c r="W126" s="10"/>
      <c r="X126" s="10"/>
    </row>
    <row r="127" spans="1:24" x14ac:dyDescent="0.25">
      <c r="A127" t="str">
        <f>IF(Tests!B128="","",Tests!B128)</f>
        <v/>
      </c>
      <c r="B127" t="str">
        <f>IF(Tests!D128="","",Tests!D128)</f>
        <v/>
      </c>
      <c r="C127" t="str">
        <f>IF(Tests!E128="","",Tests!E128)</f>
        <v/>
      </c>
      <c r="E127" s="54">
        <f t="shared" si="6"/>
        <v>0</v>
      </c>
      <c r="F127" s="54">
        <f t="shared" si="7"/>
        <v>0</v>
      </c>
      <c r="G127" s="54">
        <f t="shared" si="8"/>
        <v>1</v>
      </c>
      <c r="H127" s="54">
        <f t="shared" si="9"/>
        <v>437</v>
      </c>
      <c r="I127" s="56" t="str">
        <f>IFERROR(INDEX($A$2:$A$501,MATCH(SMALL($H$2:$H$501,ROWS($I$2:I127)+$G$502),$H$2:$H$501,0)),"")</f>
        <v/>
      </c>
      <c r="J127">
        <f t="shared" si="10"/>
        <v>63</v>
      </c>
      <c r="K127" t="str">
        <f t="array" ref="K127">INDEX($B$2:$B$501,SMALL(IF($A$2:$A$501=I127,ROW($A$2:$A$501)-ROW(INDEX($A$2:$A$501,1,1))+1),J127))</f>
        <v/>
      </c>
      <c r="L127" t="str">
        <f t="array" ref="L127">INDEX($C$2:$C$501,SMALL(IF($A$2:$A$501=I127,ROW($A$2:$A$501)-ROW(INDEX($A$2:$A$501,1,1))+1),J127))</f>
        <v/>
      </c>
      <c r="N127" t="str">
        <f t="shared" si="11"/>
        <v/>
      </c>
      <c r="S127" s="10">
        <v>126</v>
      </c>
      <c r="T127" s="10" t="str">
        <f t="array" ref="T127">IFERROR(INDEX(A$2:$A$501,MATCH(0,COUNTIF($T$1:T126,A$2:$A$501),0)),"")</f>
        <v/>
      </c>
      <c r="U127" s="10">
        <f>IFERROR(MATCH(T127,I$2:$I$501,0),"")</f>
        <v>64</v>
      </c>
      <c r="V127" s="10">
        <f>COUNTIF(I$2:$I$501,T127)</f>
        <v>437</v>
      </c>
      <c r="W127" s="10"/>
      <c r="X127" s="10"/>
    </row>
    <row r="128" spans="1:24" x14ac:dyDescent="0.25">
      <c r="A128" t="str">
        <f>IF(Tests!B129="","",Tests!B129)</f>
        <v/>
      </c>
      <c r="B128" t="str">
        <f>IF(Tests!D129="","",Tests!D129)</f>
        <v/>
      </c>
      <c r="C128" t="str">
        <f>IF(Tests!E129="","",Tests!E129)</f>
        <v/>
      </c>
      <c r="E128" s="54">
        <f t="shared" si="6"/>
        <v>0</v>
      </c>
      <c r="F128" s="54">
        <f t="shared" si="7"/>
        <v>0</v>
      </c>
      <c r="G128" s="54">
        <f t="shared" si="8"/>
        <v>1</v>
      </c>
      <c r="H128" s="54">
        <f t="shared" si="9"/>
        <v>437</v>
      </c>
      <c r="I128" s="56" t="str">
        <f>IFERROR(INDEX($A$2:$A$501,MATCH(SMALL($H$2:$H$501,ROWS($I$2:I128)+$G$502),$H$2:$H$501,0)),"")</f>
        <v/>
      </c>
      <c r="J128">
        <f t="shared" si="10"/>
        <v>64</v>
      </c>
      <c r="K128" t="str">
        <f t="array" ref="K128">INDEX($B$2:$B$501,SMALL(IF($A$2:$A$501=I128,ROW($A$2:$A$501)-ROW(INDEX($A$2:$A$501,1,1))+1),J128))</f>
        <v/>
      </c>
      <c r="L128" t="str">
        <f t="array" ref="L128">INDEX($C$2:$C$501,SMALL(IF($A$2:$A$501=I128,ROW($A$2:$A$501)-ROW(INDEX($A$2:$A$501,1,1))+1),J128))</f>
        <v/>
      </c>
      <c r="N128" t="str">
        <f t="shared" si="11"/>
        <v/>
      </c>
      <c r="S128" s="10">
        <v>127</v>
      </c>
      <c r="T128" s="10" t="str">
        <f t="array" ref="T128">IFERROR(INDEX(A$2:$A$501,MATCH(0,COUNTIF($T$1:T127,A$2:$A$501),0)),"")</f>
        <v/>
      </c>
      <c r="U128" s="10">
        <f>IFERROR(MATCH(T128,I$2:$I$501,0),"")</f>
        <v>64</v>
      </c>
      <c r="V128" s="10">
        <f>COUNTIF(I$2:$I$501,T128)</f>
        <v>437</v>
      </c>
      <c r="W128" s="10"/>
      <c r="X128" s="10"/>
    </row>
    <row r="129" spans="1:24" x14ac:dyDescent="0.25">
      <c r="A129" t="str">
        <f>IF(Tests!B130="","",Tests!B130)</f>
        <v/>
      </c>
      <c r="B129" t="str">
        <f>IF(Tests!D130="","",Tests!D130)</f>
        <v/>
      </c>
      <c r="C129" t="str">
        <f>IF(Tests!E130="","",Tests!E130)</f>
        <v/>
      </c>
      <c r="E129" s="54">
        <f t="shared" si="6"/>
        <v>0</v>
      </c>
      <c r="F129" s="54">
        <f t="shared" si="7"/>
        <v>0</v>
      </c>
      <c r="G129" s="54">
        <f t="shared" si="8"/>
        <v>1</v>
      </c>
      <c r="H129" s="54">
        <f t="shared" si="9"/>
        <v>437</v>
      </c>
      <c r="I129" s="56" t="str">
        <f>IFERROR(INDEX($A$2:$A$501,MATCH(SMALL($H$2:$H$501,ROWS($I$2:I129)+$G$502),$H$2:$H$501,0)),"")</f>
        <v/>
      </c>
      <c r="J129">
        <f t="shared" si="10"/>
        <v>65</v>
      </c>
      <c r="K129" t="str">
        <f t="array" ref="K129">INDEX($B$2:$B$501,SMALL(IF($A$2:$A$501=I129,ROW($A$2:$A$501)-ROW(INDEX($A$2:$A$501,1,1))+1),J129))</f>
        <v/>
      </c>
      <c r="L129" t="str">
        <f t="array" ref="L129">INDEX($C$2:$C$501,SMALL(IF($A$2:$A$501=I129,ROW($A$2:$A$501)-ROW(INDEX($A$2:$A$501,1,1))+1),J129))</f>
        <v/>
      </c>
      <c r="N129" t="str">
        <f t="shared" si="11"/>
        <v/>
      </c>
      <c r="S129" s="10">
        <v>128</v>
      </c>
      <c r="T129" s="10" t="str">
        <f t="array" ref="T129">IFERROR(INDEX(A$2:$A$501,MATCH(0,COUNTIF($T$1:T128,A$2:$A$501),0)),"")</f>
        <v/>
      </c>
      <c r="U129" s="10">
        <f>IFERROR(MATCH(T129,I$2:$I$501,0),"")</f>
        <v>64</v>
      </c>
      <c r="V129" s="10">
        <f>COUNTIF(I$2:$I$501,T129)</f>
        <v>437</v>
      </c>
      <c r="W129" s="10"/>
      <c r="X129" s="10"/>
    </row>
    <row r="130" spans="1:24" x14ac:dyDescent="0.25">
      <c r="A130" t="str">
        <f>IF(Tests!B131="","",Tests!B131)</f>
        <v/>
      </c>
      <c r="B130" t="str">
        <f>IF(Tests!D131="","",Tests!D131)</f>
        <v/>
      </c>
      <c r="C130" t="str">
        <f>IF(Tests!E131="","",Tests!E131)</f>
        <v/>
      </c>
      <c r="E130" s="54">
        <f t="shared" si="6"/>
        <v>0</v>
      </c>
      <c r="F130" s="54">
        <f t="shared" si="7"/>
        <v>0</v>
      </c>
      <c r="G130" s="54">
        <f t="shared" si="8"/>
        <v>1</v>
      </c>
      <c r="H130" s="54">
        <f t="shared" si="9"/>
        <v>437</v>
      </c>
      <c r="I130" s="56" t="str">
        <f>IFERROR(INDEX($A$2:$A$501,MATCH(SMALL($H$2:$H$501,ROWS($I$2:I130)+$G$502),$H$2:$H$501,0)),"")</f>
        <v/>
      </c>
      <c r="J130">
        <f t="shared" si="10"/>
        <v>66</v>
      </c>
      <c r="K130" t="str">
        <f t="array" ref="K130">INDEX($B$2:$B$501,SMALL(IF($A$2:$A$501=I130,ROW($A$2:$A$501)-ROW(INDEX($A$2:$A$501,1,1))+1),J130))</f>
        <v/>
      </c>
      <c r="L130" t="str">
        <f t="array" ref="L130">INDEX($C$2:$C$501,SMALL(IF($A$2:$A$501=I130,ROW($A$2:$A$501)-ROW(INDEX($A$2:$A$501,1,1))+1),J130))</f>
        <v/>
      </c>
      <c r="N130" t="str">
        <f t="shared" si="11"/>
        <v/>
      </c>
      <c r="S130" s="10">
        <v>129</v>
      </c>
      <c r="T130" s="10" t="str">
        <f t="array" ref="T130">IFERROR(INDEX(A$2:$A$501,MATCH(0,COUNTIF($T$1:T129,A$2:$A$501),0)),"")</f>
        <v/>
      </c>
      <c r="U130" s="10">
        <f>IFERROR(MATCH(T130,I$2:$I$501,0),"")</f>
        <v>64</v>
      </c>
      <c r="V130" s="10">
        <f>COUNTIF(I$2:$I$501,T130)</f>
        <v>437</v>
      </c>
      <c r="W130" s="10"/>
      <c r="X130" s="10"/>
    </row>
    <row r="131" spans="1:24" x14ac:dyDescent="0.25">
      <c r="A131" t="str">
        <f>IF(Tests!B132="","",Tests!B132)</f>
        <v/>
      </c>
      <c r="B131" t="str">
        <f>IF(Tests!D132="","",Tests!D132)</f>
        <v/>
      </c>
      <c r="C131" t="str">
        <f>IF(Tests!E132="","",Tests!E132)</f>
        <v/>
      </c>
      <c r="E131" s="54">
        <f t="shared" ref="E131:E194" si="12">COUNTIF($A$2:$A$501,"&lt;="&amp;A131)</f>
        <v>0</v>
      </c>
      <c r="F131" s="54">
        <f t="shared" ref="F131:F194" si="13">--ISNUMBER(A131)</f>
        <v>0</v>
      </c>
      <c r="G131" s="54">
        <f t="shared" ref="G131:G194" si="14">--(A131="")</f>
        <v>1</v>
      </c>
      <c r="H131" s="54">
        <f t="shared" ref="H131:H194" si="15">IF(ISNUMBER(A131),E131,IF(ISBLANK(A131),E131,E131+$F$502))+$G$502</f>
        <v>437</v>
      </c>
      <c r="I131" s="56" t="str">
        <f>IFERROR(INDEX($A$2:$A$501,MATCH(SMALL($H$2:$H$501,ROWS($I$2:I131)+$G$502),$H$2:$H$501,0)),"")</f>
        <v/>
      </c>
      <c r="J131">
        <f t="shared" ref="J131:J194" si="16">IF(I130=I131,J130+1,1)</f>
        <v>67</v>
      </c>
      <c r="K131" t="str">
        <f t="array" ref="K131">INDEX($B$2:$B$501,SMALL(IF($A$2:$A$501=I131,ROW($A$2:$A$501)-ROW(INDEX($A$2:$A$501,1,1))+1),J131))</f>
        <v/>
      </c>
      <c r="L131" t="str">
        <f t="array" ref="L131">INDEX($C$2:$C$501,SMALL(IF($A$2:$A$501=I131,ROW($A$2:$A$501)-ROW(INDEX($A$2:$A$501,1,1))+1),J131))</f>
        <v/>
      </c>
      <c r="N131" t="str">
        <f t="shared" ref="N131:N194" si="17">IF(K131="","",K131&amp;" ("&amp;L131&amp;")")</f>
        <v/>
      </c>
      <c r="S131" s="10">
        <v>130</v>
      </c>
      <c r="T131" s="10" t="str">
        <f t="array" ref="T131">IFERROR(INDEX(A$2:$A$501,MATCH(0,COUNTIF($T$1:T130,A$2:$A$501),0)),"")</f>
        <v/>
      </c>
      <c r="U131" s="10">
        <f>IFERROR(MATCH(T131,I$2:$I$501,0),"")</f>
        <v>64</v>
      </c>
      <c r="V131" s="10">
        <f>COUNTIF(I$2:$I$501,T131)</f>
        <v>437</v>
      </c>
      <c r="W131" s="10"/>
      <c r="X131" s="10"/>
    </row>
    <row r="132" spans="1:24" x14ac:dyDescent="0.25">
      <c r="A132" t="str">
        <f>IF(Tests!B133="","",Tests!B133)</f>
        <v/>
      </c>
      <c r="B132" t="str">
        <f>IF(Tests!D133="","",Tests!D133)</f>
        <v/>
      </c>
      <c r="C132" t="str">
        <f>IF(Tests!E133="","",Tests!E133)</f>
        <v/>
      </c>
      <c r="E132" s="54">
        <f t="shared" si="12"/>
        <v>0</v>
      </c>
      <c r="F132" s="54">
        <f t="shared" si="13"/>
        <v>0</v>
      </c>
      <c r="G132" s="54">
        <f t="shared" si="14"/>
        <v>1</v>
      </c>
      <c r="H132" s="54">
        <f t="shared" si="15"/>
        <v>437</v>
      </c>
      <c r="I132" s="56" t="str">
        <f>IFERROR(INDEX($A$2:$A$501,MATCH(SMALL($H$2:$H$501,ROWS($I$2:I132)+$G$502),$H$2:$H$501,0)),"")</f>
        <v/>
      </c>
      <c r="J132">
        <f t="shared" si="16"/>
        <v>68</v>
      </c>
      <c r="K132" t="str">
        <f t="array" ref="K132">INDEX($B$2:$B$501,SMALL(IF($A$2:$A$501=I132,ROW($A$2:$A$501)-ROW(INDEX($A$2:$A$501,1,1))+1),J132))</f>
        <v/>
      </c>
      <c r="L132" t="str">
        <f t="array" ref="L132">INDEX($C$2:$C$501,SMALL(IF($A$2:$A$501=I132,ROW($A$2:$A$501)-ROW(INDEX($A$2:$A$501,1,1))+1),J132))</f>
        <v/>
      </c>
      <c r="N132" t="str">
        <f t="shared" si="17"/>
        <v/>
      </c>
      <c r="S132" s="10">
        <v>131</v>
      </c>
      <c r="T132" s="10" t="str">
        <f t="array" ref="T132">IFERROR(INDEX(A$2:$A$501,MATCH(0,COUNTIF($T$1:T131,A$2:$A$501),0)),"")</f>
        <v/>
      </c>
      <c r="U132" s="10">
        <f>IFERROR(MATCH(T132,I$2:$I$501,0),"")</f>
        <v>64</v>
      </c>
      <c r="V132" s="10">
        <f>COUNTIF(I$2:$I$501,T132)</f>
        <v>437</v>
      </c>
      <c r="W132" s="10"/>
      <c r="X132" s="10"/>
    </row>
    <row r="133" spans="1:24" x14ac:dyDescent="0.25">
      <c r="A133" t="str">
        <f>IF(Tests!B134="","",Tests!B134)</f>
        <v/>
      </c>
      <c r="B133" t="str">
        <f>IF(Tests!D134="","",Tests!D134)</f>
        <v/>
      </c>
      <c r="C133" t="str">
        <f>IF(Tests!E134="","",Tests!E134)</f>
        <v/>
      </c>
      <c r="E133" s="54">
        <f t="shared" si="12"/>
        <v>0</v>
      </c>
      <c r="F133" s="54">
        <f t="shared" si="13"/>
        <v>0</v>
      </c>
      <c r="G133" s="54">
        <f t="shared" si="14"/>
        <v>1</v>
      </c>
      <c r="H133" s="54">
        <f t="shared" si="15"/>
        <v>437</v>
      </c>
      <c r="I133" s="56" t="str">
        <f>IFERROR(INDEX($A$2:$A$501,MATCH(SMALL($H$2:$H$501,ROWS($I$2:I133)+$G$502),$H$2:$H$501,0)),"")</f>
        <v/>
      </c>
      <c r="J133">
        <f t="shared" si="16"/>
        <v>69</v>
      </c>
      <c r="K133" t="str">
        <f t="array" ref="K133">INDEX($B$2:$B$501,SMALL(IF($A$2:$A$501=I133,ROW($A$2:$A$501)-ROW(INDEX($A$2:$A$501,1,1))+1),J133))</f>
        <v/>
      </c>
      <c r="L133" t="str">
        <f t="array" ref="L133">INDEX($C$2:$C$501,SMALL(IF($A$2:$A$501=I133,ROW($A$2:$A$501)-ROW(INDEX($A$2:$A$501,1,1))+1),J133))</f>
        <v/>
      </c>
      <c r="N133" t="str">
        <f t="shared" si="17"/>
        <v/>
      </c>
      <c r="S133" s="10">
        <v>132</v>
      </c>
      <c r="T133" s="10" t="str">
        <f t="array" ref="T133">IFERROR(INDEX(A$2:$A$501,MATCH(0,COUNTIF($T$1:T132,A$2:$A$501),0)),"")</f>
        <v/>
      </c>
      <c r="U133" s="10">
        <f>IFERROR(MATCH(T133,I$2:$I$501,0),"")</f>
        <v>64</v>
      </c>
      <c r="V133" s="10">
        <f>COUNTIF(I$2:$I$501,T133)</f>
        <v>437</v>
      </c>
      <c r="W133" s="10"/>
      <c r="X133" s="10"/>
    </row>
    <row r="134" spans="1:24" x14ac:dyDescent="0.25">
      <c r="A134" t="str">
        <f>IF(Tests!B135="","",Tests!B135)</f>
        <v/>
      </c>
      <c r="B134" t="str">
        <f>IF(Tests!D135="","",Tests!D135)</f>
        <v/>
      </c>
      <c r="C134" t="str">
        <f>IF(Tests!E135="","",Tests!E135)</f>
        <v/>
      </c>
      <c r="E134" s="54">
        <f t="shared" si="12"/>
        <v>0</v>
      </c>
      <c r="F134" s="54">
        <f t="shared" si="13"/>
        <v>0</v>
      </c>
      <c r="G134" s="54">
        <f t="shared" si="14"/>
        <v>1</v>
      </c>
      <c r="H134" s="54">
        <f t="shared" si="15"/>
        <v>437</v>
      </c>
      <c r="I134" s="56" t="str">
        <f>IFERROR(INDEX($A$2:$A$501,MATCH(SMALL($H$2:$H$501,ROWS($I$2:I134)+$G$502),$H$2:$H$501,0)),"")</f>
        <v/>
      </c>
      <c r="J134">
        <f t="shared" si="16"/>
        <v>70</v>
      </c>
      <c r="K134" t="str">
        <f t="array" ref="K134">INDEX($B$2:$B$501,SMALL(IF($A$2:$A$501=I134,ROW($A$2:$A$501)-ROW(INDEX($A$2:$A$501,1,1))+1),J134))</f>
        <v/>
      </c>
      <c r="L134" t="str">
        <f t="array" ref="L134">INDEX($C$2:$C$501,SMALL(IF($A$2:$A$501=I134,ROW($A$2:$A$501)-ROW(INDEX($A$2:$A$501,1,1))+1),J134))</f>
        <v/>
      </c>
      <c r="N134" t="str">
        <f t="shared" si="17"/>
        <v/>
      </c>
      <c r="S134" s="10">
        <v>133</v>
      </c>
      <c r="T134" s="10" t="str">
        <f t="array" ref="T134">IFERROR(INDEX(A$2:$A$501,MATCH(0,COUNTIF($T$1:T133,A$2:$A$501),0)),"")</f>
        <v/>
      </c>
      <c r="U134" s="10">
        <f>IFERROR(MATCH(T134,I$2:$I$501,0),"")</f>
        <v>64</v>
      </c>
      <c r="V134" s="10">
        <f>COUNTIF(I$2:$I$501,T134)</f>
        <v>437</v>
      </c>
      <c r="W134" s="10"/>
      <c r="X134" s="10"/>
    </row>
    <row r="135" spans="1:24" x14ac:dyDescent="0.25">
      <c r="A135" t="str">
        <f>IF(Tests!B136="","",Tests!B136)</f>
        <v/>
      </c>
      <c r="B135" t="str">
        <f>IF(Tests!D136="","",Tests!D136)</f>
        <v/>
      </c>
      <c r="C135" t="str">
        <f>IF(Tests!E136="","",Tests!E136)</f>
        <v/>
      </c>
      <c r="E135" s="54">
        <f t="shared" si="12"/>
        <v>0</v>
      </c>
      <c r="F135" s="54">
        <f t="shared" si="13"/>
        <v>0</v>
      </c>
      <c r="G135" s="54">
        <f t="shared" si="14"/>
        <v>1</v>
      </c>
      <c r="H135" s="54">
        <f t="shared" si="15"/>
        <v>437</v>
      </c>
      <c r="I135" s="56" t="str">
        <f>IFERROR(INDEX($A$2:$A$501,MATCH(SMALL($H$2:$H$501,ROWS($I$2:I135)+$G$502),$H$2:$H$501,0)),"")</f>
        <v/>
      </c>
      <c r="J135">
        <f t="shared" si="16"/>
        <v>71</v>
      </c>
      <c r="K135" t="str">
        <f t="array" ref="K135">INDEX($B$2:$B$501,SMALL(IF($A$2:$A$501=I135,ROW($A$2:$A$501)-ROW(INDEX($A$2:$A$501,1,1))+1),J135))</f>
        <v/>
      </c>
      <c r="L135" t="str">
        <f t="array" ref="L135">INDEX($C$2:$C$501,SMALL(IF($A$2:$A$501=I135,ROW($A$2:$A$501)-ROW(INDEX($A$2:$A$501,1,1))+1),J135))</f>
        <v/>
      </c>
      <c r="N135" t="str">
        <f t="shared" si="17"/>
        <v/>
      </c>
      <c r="S135" s="10">
        <v>134</v>
      </c>
      <c r="T135" s="10" t="str">
        <f t="array" ref="T135">IFERROR(INDEX(A$2:$A$501,MATCH(0,COUNTIF($T$1:T134,A$2:$A$501),0)),"")</f>
        <v/>
      </c>
      <c r="U135" s="10">
        <f>IFERROR(MATCH(T135,I$2:$I$501,0),"")</f>
        <v>64</v>
      </c>
      <c r="V135" s="10">
        <f>COUNTIF(I$2:$I$501,T135)</f>
        <v>437</v>
      </c>
      <c r="W135" s="10"/>
      <c r="X135" s="10"/>
    </row>
    <row r="136" spans="1:24" x14ac:dyDescent="0.25">
      <c r="A136" t="str">
        <f>IF(Tests!B137="","",Tests!B137)</f>
        <v/>
      </c>
      <c r="B136" t="str">
        <f>IF(Tests!D137="","",Tests!D137)</f>
        <v/>
      </c>
      <c r="C136" t="str">
        <f>IF(Tests!E137="","",Tests!E137)</f>
        <v/>
      </c>
      <c r="E136" s="54">
        <f t="shared" si="12"/>
        <v>0</v>
      </c>
      <c r="F136" s="54">
        <f t="shared" si="13"/>
        <v>0</v>
      </c>
      <c r="G136" s="54">
        <f t="shared" si="14"/>
        <v>1</v>
      </c>
      <c r="H136" s="54">
        <f t="shared" si="15"/>
        <v>437</v>
      </c>
      <c r="I136" s="56" t="str">
        <f>IFERROR(INDEX($A$2:$A$501,MATCH(SMALL($H$2:$H$501,ROWS($I$2:I136)+$G$502),$H$2:$H$501,0)),"")</f>
        <v/>
      </c>
      <c r="J136">
        <f t="shared" si="16"/>
        <v>72</v>
      </c>
      <c r="K136" t="str">
        <f t="array" ref="K136">INDEX($B$2:$B$501,SMALL(IF($A$2:$A$501=I136,ROW($A$2:$A$501)-ROW(INDEX($A$2:$A$501,1,1))+1),J136))</f>
        <v/>
      </c>
      <c r="L136" t="str">
        <f t="array" ref="L136">INDEX($C$2:$C$501,SMALL(IF($A$2:$A$501=I136,ROW($A$2:$A$501)-ROW(INDEX($A$2:$A$501,1,1))+1),J136))</f>
        <v/>
      </c>
      <c r="N136" t="str">
        <f t="shared" si="17"/>
        <v/>
      </c>
      <c r="S136" s="10">
        <v>135</v>
      </c>
      <c r="T136" s="10" t="str">
        <f t="array" ref="T136">IFERROR(INDEX(A$2:$A$501,MATCH(0,COUNTIF($T$1:T135,A$2:$A$501),0)),"")</f>
        <v/>
      </c>
      <c r="U136" s="10">
        <f>IFERROR(MATCH(T136,I$2:$I$501,0),"")</f>
        <v>64</v>
      </c>
      <c r="V136" s="10">
        <f>COUNTIF(I$2:$I$501,T136)</f>
        <v>437</v>
      </c>
      <c r="W136" s="10"/>
      <c r="X136" s="10"/>
    </row>
    <row r="137" spans="1:24" x14ac:dyDescent="0.25">
      <c r="A137" t="str">
        <f>IF(Tests!B138="","",Tests!B138)</f>
        <v/>
      </c>
      <c r="B137" t="str">
        <f>IF(Tests!D138="","",Tests!D138)</f>
        <v/>
      </c>
      <c r="C137" t="str">
        <f>IF(Tests!E138="","",Tests!E138)</f>
        <v/>
      </c>
      <c r="E137" s="54">
        <f t="shared" si="12"/>
        <v>0</v>
      </c>
      <c r="F137" s="54">
        <f t="shared" si="13"/>
        <v>0</v>
      </c>
      <c r="G137" s="54">
        <f t="shared" si="14"/>
        <v>1</v>
      </c>
      <c r="H137" s="54">
        <f t="shared" si="15"/>
        <v>437</v>
      </c>
      <c r="I137" s="56" t="str">
        <f>IFERROR(INDEX($A$2:$A$501,MATCH(SMALL($H$2:$H$501,ROWS($I$2:I137)+$G$502),$H$2:$H$501,0)),"")</f>
        <v/>
      </c>
      <c r="J137">
        <f t="shared" si="16"/>
        <v>73</v>
      </c>
      <c r="K137" t="str">
        <f t="array" ref="K137">INDEX($B$2:$B$501,SMALL(IF($A$2:$A$501=I137,ROW($A$2:$A$501)-ROW(INDEX($A$2:$A$501,1,1))+1),J137))</f>
        <v/>
      </c>
      <c r="L137" t="str">
        <f t="array" ref="L137">INDEX($C$2:$C$501,SMALL(IF($A$2:$A$501=I137,ROW($A$2:$A$501)-ROW(INDEX($A$2:$A$501,1,1))+1),J137))</f>
        <v/>
      </c>
      <c r="N137" t="str">
        <f t="shared" si="17"/>
        <v/>
      </c>
      <c r="S137" s="10">
        <v>136</v>
      </c>
      <c r="T137" s="10" t="str">
        <f t="array" ref="T137">IFERROR(INDEX(A$2:$A$501,MATCH(0,COUNTIF($T$1:T136,A$2:$A$501),0)),"")</f>
        <v/>
      </c>
      <c r="U137" s="10">
        <f>IFERROR(MATCH(T137,I$2:$I$501,0),"")</f>
        <v>64</v>
      </c>
      <c r="V137" s="10">
        <f>COUNTIF(I$2:$I$501,T137)</f>
        <v>437</v>
      </c>
      <c r="W137" s="10"/>
      <c r="X137" s="10"/>
    </row>
    <row r="138" spans="1:24" x14ac:dyDescent="0.25">
      <c r="A138" t="str">
        <f>IF(Tests!B139="","",Tests!B139)</f>
        <v/>
      </c>
      <c r="B138" t="str">
        <f>IF(Tests!D139="","",Tests!D139)</f>
        <v/>
      </c>
      <c r="C138" t="str">
        <f>IF(Tests!E139="","",Tests!E139)</f>
        <v/>
      </c>
      <c r="E138" s="54">
        <f t="shared" si="12"/>
        <v>0</v>
      </c>
      <c r="F138" s="54">
        <f t="shared" si="13"/>
        <v>0</v>
      </c>
      <c r="G138" s="54">
        <f t="shared" si="14"/>
        <v>1</v>
      </c>
      <c r="H138" s="54">
        <f t="shared" si="15"/>
        <v>437</v>
      </c>
      <c r="I138" s="56" t="str">
        <f>IFERROR(INDEX($A$2:$A$501,MATCH(SMALL($H$2:$H$501,ROWS($I$2:I138)+$G$502),$H$2:$H$501,0)),"")</f>
        <v/>
      </c>
      <c r="J138">
        <f t="shared" si="16"/>
        <v>74</v>
      </c>
      <c r="K138" t="str">
        <f t="array" ref="K138">INDEX($B$2:$B$501,SMALL(IF($A$2:$A$501=I138,ROW($A$2:$A$501)-ROW(INDEX($A$2:$A$501,1,1))+1),J138))</f>
        <v/>
      </c>
      <c r="L138" t="str">
        <f t="array" ref="L138">INDEX($C$2:$C$501,SMALL(IF($A$2:$A$501=I138,ROW($A$2:$A$501)-ROW(INDEX($A$2:$A$501,1,1))+1),J138))</f>
        <v/>
      </c>
      <c r="N138" t="str">
        <f t="shared" si="17"/>
        <v/>
      </c>
      <c r="S138" s="10">
        <v>137</v>
      </c>
      <c r="T138" s="10" t="str">
        <f t="array" ref="T138">IFERROR(INDEX(A$2:$A$501,MATCH(0,COUNTIF($T$1:T137,A$2:$A$501),0)),"")</f>
        <v/>
      </c>
      <c r="U138" s="10">
        <f>IFERROR(MATCH(T138,I$2:$I$501,0),"")</f>
        <v>64</v>
      </c>
      <c r="V138" s="10">
        <f>COUNTIF(I$2:$I$501,T138)</f>
        <v>437</v>
      </c>
      <c r="W138" s="10"/>
      <c r="X138" s="10"/>
    </row>
    <row r="139" spans="1:24" x14ac:dyDescent="0.25">
      <c r="A139" t="str">
        <f>IF(Tests!B140="","",Tests!B140)</f>
        <v/>
      </c>
      <c r="B139" t="str">
        <f>IF(Tests!D140="","",Tests!D140)</f>
        <v/>
      </c>
      <c r="C139" t="str">
        <f>IF(Tests!E140="","",Tests!E140)</f>
        <v/>
      </c>
      <c r="E139" s="54">
        <f t="shared" si="12"/>
        <v>0</v>
      </c>
      <c r="F139" s="54">
        <f t="shared" si="13"/>
        <v>0</v>
      </c>
      <c r="G139" s="54">
        <f t="shared" si="14"/>
        <v>1</v>
      </c>
      <c r="H139" s="54">
        <f t="shared" si="15"/>
        <v>437</v>
      </c>
      <c r="I139" s="56" t="str">
        <f>IFERROR(INDEX($A$2:$A$501,MATCH(SMALL($H$2:$H$501,ROWS($I$2:I139)+$G$502),$H$2:$H$501,0)),"")</f>
        <v/>
      </c>
      <c r="J139">
        <f t="shared" si="16"/>
        <v>75</v>
      </c>
      <c r="K139" t="str">
        <f t="array" ref="K139">INDEX($B$2:$B$501,SMALL(IF($A$2:$A$501=I139,ROW($A$2:$A$501)-ROW(INDEX($A$2:$A$501,1,1))+1),J139))</f>
        <v/>
      </c>
      <c r="L139" t="str">
        <f t="array" ref="L139">INDEX($C$2:$C$501,SMALL(IF($A$2:$A$501=I139,ROW($A$2:$A$501)-ROW(INDEX($A$2:$A$501,1,1))+1),J139))</f>
        <v/>
      </c>
      <c r="N139" t="str">
        <f t="shared" si="17"/>
        <v/>
      </c>
      <c r="S139" s="10">
        <v>138</v>
      </c>
      <c r="T139" s="10" t="str">
        <f t="array" ref="T139">IFERROR(INDEX(A$2:$A$501,MATCH(0,COUNTIF($T$1:T138,A$2:$A$501),0)),"")</f>
        <v/>
      </c>
      <c r="U139" s="10">
        <f>IFERROR(MATCH(T139,I$2:$I$501,0),"")</f>
        <v>64</v>
      </c>
      <c r="V139" s="10">
        <f>COUNTIF(I$2:$I$501,T139)</f>
        <v>437</v>
      </c>
      <c r="W139" s="10"/>
      <c r="X139" s="10"/>
    </row>
    <row r="140" spans="1:24" x14ac:dyDescent="0.25">
      <c r="A140" t="str">
        <f>IF(Tests!B141="","",Tests!B141)</f>
        <v/>
      </c>
      <c r="B140" t="str">
        <f>IF(Tests!D141="","",Tests!D141)</f>
        <v/>
      </c>
      <c r="C140" t="str">
        <f>IF(Tests!E141="","",Tests!E141)</f>
        <v/>
      </c>
      <c r="E140" s="54">
        <f t="shared" si="12"/>
        <v>0</v>
      </c>
      <c r="F140" s="54">
        <f t="shared" si="13"/>
        <v>0</v>
      </c>
      <c r="G140" s="54">
        <f t="shared" si="14"/>
        <v>1</v>
      </c>
      <c r="H140" s="54">
        <f t="shared" si="15"/>
        <v>437</v>
      </c>
      <c r="I140" s="56" t="str">
        <f>IFERROR(INDEX($A$2:$A$501,MATCH(SMALL($H$2:$H$501,ROWS($I$2:I140)+$G$502),$H$2:$H$501,0)),"")</f>
        <v/>
      </c>
      <c r="J140">
        <f t="shared" si="16"/>
        <v>76</v>
      </c>
      <c r="K140" t="str">
        <f t="array" ref="K140">INDEX($B$2:$B$501,SMALL(IF($A$2:$A$501=I140,ROW($A$2:$A$501)-ROW(INDEX($A$2:$A$501,1,1))+1),J140))</f>
        <v/>
      </c>
      <c r="L140" t="str">
        <f t="array" ref="L140">INDEX($C$2:$C$501,SMALL(IF($A$2:$A$501=I140,ROW($A$2:$A$501)-ROW(INDEX($A$2:$A$501,1,1))+1),J140))</f>
        <v/>
      </c>
      <c r="N140" t="str">
        <f t="shared" si="17"/>
        <v/>
      </c>
      <c r="S140" s="10">
        <v>139</v>
      </c>
      <c r="T140" s="10" t="str">
        <f t="array" ref="T140">IFERROR(INDEX(A$2:$A$501,MATCH(0,COUNTIF($T$1:T139,A$2:$A$501),0)),"")</f>
        <v/>
      </c>
      <c r="U140" s="10">
        <f>IFERROR(MATCH(T140,I$2:$I$501,0),"")</f>
        <v>64</v>
      </c>
      <c r="V140" s="10">
        <f>COUNTIF(I$2:$I$501,T140)</f>
        <v>437</v>
      </c>
      <c r="W140" s="10"/>
      <c r="X140" s="10"/>
    </row>
    <row r="141" spans="1:24" x14ac:dyDescent="0.25">
      <c r="A141" t="str">
        <f>IF(Tests!B142="","",Tests!B142)</f>
        <v/>
      </c>
      <c r="B141" t="str">
        <f>IF(Tests!D142="","",Tests!D142)</f>
        <v/>
      </c>
      <c r="C141" t="str">
        <f>IF(Tests!E142="","",Tests!E142)</f>
        <v/>
      </c>
      <c r="E141" s="54">
        <f t="shared" si="12"/>
        <v>0</v>
      </c>
      <c r="F141" s="54">
        <f t="shared" si="13"/>
        <v>0</v>
      </c>
      <c r="G141" s="54">
        <f t="shared" si="14"/>
        <v>1</v>
      </c>
      <c r="H141" s="54">
        <f t="shared" si="15"/>
        <v>437</v>
      </c>
      <c r="I141" s="56" t="str">
        <f>IFERROR(INDEX($A$2:$A$501,MATCH(SMALL($H$2:$H$501,ROWS($I$2:I141)+$G$502),$H$2:$H$501,0)),"")</f>
        <v/>
      </c>
      <c r="J141">
        <f t="shared" si="16"/>
        <v>77</v>
      </c>
      <c r="K141" t="str">
        <f t="array" ref="K141">INDEX($B$2:$B$501,SMALL(IF($A$2:$A$501=I141,ROW($A$2:$A$501)-ROW(INDEX($A$2:$A$501,1,1))+1),J141))</f>
        <v/>
      </c>
      <c r="L141" t="str">
        <f t="array" ref="L141">INDEX($C$2:$C$501,SMALL(IF($A$2:$A$501=I141,ROW($A$2:$A$501)-ROW(INDEX($A$2:$A$501,1,1))+1),J141))</f>
        <v/>
      </c>
      <c r="N141" t="str">
        <f t="shared" si="17"/>
        <v/>
      </c>
      <c r="S141" s="10">
        <v>140</v>
      </c>
      <c r="T141" s="10" t="str">
        <f t="array" ref="T141">IFERROR(INDEX(A$2:$A$501,MATCH(0,COUNTIF($T$1:T140,A$2:$A$501),0)),"")</f>
        <v/>
      </c>
      <c r="U141" s="10">
        <f>IFERROR(MATCH(T141,I$2:$I$501,0),"")</f>
        <v>64</v>
      </c>
      <c r="V141" s="10">
        <f>COUNTIF(I$2:$I$501,T141)</f>
        <v>437</v>
      </c>
      <c r="W141" s="10"/>
      <c r="X141" s="10"/>
    </row>
    <row r="142" spans="1:24" x14ac:dyDescent="0.25">
      <c r="A142" t="str">
        <f>IF(Tests!B143="","",Tests!B143)</f>
        <v/>
      </c>
      <c r="B142" t="str">
        <f>IF(Tests!D143="","",Tests!D143)</f>
        <v/>
      </c>
      <c r="C142" t="str">
        <f>IF(Tests!E143="","",Tests!E143)</f>
        <v/>
      </c>
      <c r="E142" s="54">
        <f t="shared" si="12"/>
        <v>0</v>
      </c>
      <c r="F142" s="54">
        <f t="shared" si="13"/>
        <v>0</v>
      </c>
      <c r="G142" s="54">
        <f t="shared" si="14"/>
        <v>1</v>
      </c>
      <c r="H142" s="54">
        <f t="shared" si="15"/>
        <v>437</v>
      </c>
      <c r="I142" s="56" t="str">
        <f>IFERROR(INDEX($A$2:$A$501,MATCH(SMALL($H$2:$H$501,ROWS($I$2:I142)+$G$502),$H$2:$H$501,0)),"")</f>
        <v/>
      </c>
      <c r="J142">
        <f t="shared" si="16"/>
        <v>78</v>
      </c>
      <c r="K142" t="str">
        <f t="array" ref="K142">INDEX($B$2:$B$501,SMALL(IF($A$2:$A$501=I142,ROW($A$2:$A$501)-ROW(INDEX($A$2:$A$501,1,1))+1),J142))</f>
        <v/>
      </c>
      <c r="L142" t="str">
        <f t="array" ref="L142">INDEX($C$2:$C$501,SMALL(IF($A$2:$A$501=I142,ROW($A$2:$A$501)-ROW(INDEX($A$2:$A$501,1,1))+1),J142))</f>
        <v/>
      </c>
      <c r="N142" t="str">
        <f t="shared" si="17"/>
        <v/>
      </c>
      <c r="S142" s="10">
        <v>141</v>
      </c>
      <c r="T142" s="10" t="str">
        <f t="array" ref="T142">IFERROR(INDEX(A$2:$A$501,MATCH(0,COUNTIF($T$1:T141,A$2:$A$501),0)),"")</f>
        <v/>
      </c>
      <c r="U142" s="10">
        <f>IFERROR(MATCH(T142,I$2:$I$501,0),"")</f>
        <v>64</v>
      </c>
      <c r="V142" s="10">
        <f>COUNTIF(I$2:$I$501,T142)</f>
        <v>437</v>
      </c>
      <c r="W142" s="10"/>
      <c r="X142" s="10"/>
    </row>
    <row r="143" spans="1:24" x14ac:dyDescent="0.25">
      <c r="A143" t="str">
        <f>IF(Tests!B144="","",Tests!B144)</f>
        <v/>
      </c>
      <c r="B143" t="str">
        <f>IF(Tests!D144="","",Tests!D144)</f>
        <v/>
      </c>
      <c r="C143" t="str">
        <f>IF(Tests!E144="","",Tests!E144)</f>
        <v/>
      </c>
      <c r="E143" s="54">
        <f t="shared" si="12"/>
        <v>0</v>
      </c>
      <c r="F143" s="54">
        <f t="shared" si="13"/>
        <v>0</v>
      </c>
      <c r="G143" s="54">
        <f t="shared" si="14"/>
        <v>1</v>
      </c>
      <c r="H143" s="54">
        <f t="shared" si="15"/>
        <v>437</v>
      </c>
      <c r="I143" s="56" t="str">
        <f>IFERROR(INDEX($A$2:$A$501,MATCH(SMALL($H$2:$H$501,ROWS($I$2:I143)+$G$502),$H$2:$H$501,0)),"")</f>
        <v/>
      </c>
      <c r="J143">
        <f t="shared" si="16"/>
        <v>79</v>
      </c>
      <c r="K143" t="str">
        <f t="array" ref="K143">INDEX($B$2:$B$501,SMALL(IF($A$2:$A$501=I143,ROW($A$2:$A$501)-ROW(INDEX($A$2:$A$501,1,1))+1),J143))</f>
        <v/>
      </c>
      <c r="L143" t="str">
        <f t="array" ref="L143">INDEX($C$2:$C$501,SMALL(IF($A$2:$A$501=I143,ROW($A$2:$A$501)-ROW(INDEX($A$2:$A$501,1,1))+1),J143))</f>
        <v/>
      </c>
      <c r="N143" t="str">
        <f t="shared" si="17"/>
        <v/>
      </c>
      <c r="S143" s="10">
        <v>142</v>
      </c>
      <c r="T143" s="10" t="str">
        <f t="array" ref="T143">IFERROR(INDEX(A$2:$A$501,MATCH(0,COUNTIF($T$1:T142,A$2:$A$501),0)),"")</f>
        <v/>
      </c>
      <c r="U143" s="10">
        <f>IFERROR(MATCH(T143,I$2:$I$501,0),"")</f>
        <v>64</v>
      </c>
      <c r="V143" s="10">
        <f>COUNTIF(I$2:$I$501,T143)</f>
        <v>437</v>
      </c>
      <c r="W143" s="10"/>
      <c r="X143" s="10"/>
    </row>
    <row r="144" spans="1:24" x14ac:dyDescent="0.25">
      <c r="A144" t="str">
        <f>IF(Tests!B145="","",Tests!B145)</f>
        <v/>
      </c>
      <c r="B144" t="str">
        <f>IF(Tests!D145="","",Tests!D145)</f>
        <v/>
      </c>
      <c r="C144" t="str">
        <f>IF(Tests!E145="","",Tests!E145)</f>
        <v/>
      </c>
      <c r="E144" s="54">
        <f t="shared" si="12"/>
        <v>0</v>
      </c>
      <c r="F144" s="54">
        <f t="shared" si="13"/>
        <v>0</v>
      </c>
      <c r="G144" s="54">
        <f t="shared" si="14"/>
        <v>1</v>
      </c>
      <c r="H144" s="54">
        <f t="shared" si="15"/>
        <v>437</v>
      </c>
      <c r="I144" s="56" t="str">
        <f>IFERROR(INDEX($A$2:$A$501,MATCH(SMALL($H$2:$H$501,ROWS($I$2:I144)+$G$502),$H$2:$H$501,0)),"")</f>
        <v/>
      </c>
      <c r="J144">
        <f t="shared" si="16"/>
        <v>80</v>
      </c>
      <c r="K144" t="str">
        <f t="array" ref="K144">INDEX($B$2:$B$501,SMALL(IF($A$2:$A$501=I144,ROW($A$2:$A$501)-ROW(INDEX($A$2:$A$501,1,1))+1),J144))</f>
        <v/>
      </c>
      <c r="L144" t="str">
        <f t="array" ref="L144">INDEX($C$2:$C$501,SMALL(IF($A$2:$A$501=I144,ROW($A$2:$A$501)-ROW(INDEX($A$2:$A$501,1,1))+1),J144))</f>
        <v/>
      </c>
      <c r="N144" t="str">
        <f t="shared" si="17"/>
        <v/>
      </c>
      <c r="S144" s="10">
        <v>143</v>
      </c>
      <c r="T144" s="10" t="str">
        <f t="array" ref="T144">IFERROR(INDEX(A$2:$A$501,MATCH(0,COUNTIF($T$1:T143,A$2:$A$501),0)),"")</f>
        <v/>
      </c>
      <c r="U144" s="10">
        <f>IFERROR(MATCH(T144,I$2:$I$501,0),"")</f>
        <v>64</v>
      </c>
      <c r="V144" s="10">
        <f>COUNTIF(I$2:$I$501,T144)</f>
        <v>437</v>
      </c>
      <c r="W144" s="10"/>
      <c r="X144" s="10"/>
    </row>
    <row r="145" spans="1:24" x14ac:dyDescent="0.25">
      <c r="A145" t="str">
        <f>IF(Tests!B146="","",Tests!B146)</f>
        <v/>
      </c>
      <c r="B145" t="str">
        <f>IF(Tests!D146="","",Tests!D146)</f>
        <v/>
      </c>
      <c r="C145" t="str">
        <f>IF(Tests!E146="","",Tests!E146)</f>
        <v/>
      </c>
      <c r="E145" s="54">
        <f t="shared" si="12"/>
        <v>0</v>
      </c>
      <c r="F145" s="54">
        <f t="shared" si="13"/>
        <v>0</v>
      </c>
      <c r="G145" s="54">
        <f t="shared" si="14"/>
        <v>1</v>
      </c>
      <c r="H145" s="54">
        <f t="shared" si="15"/>
        <v>437</v>
      </c>
      <c r="I145" s="56" t="str">
        <f>IFERROR(INDEX($A$2:$A$501,MATCH(SMALL($H$2:$H$501,ROWS($I$2:I145)+$G$502),$H$2:$H$501,0)),"")</f>
        <v/>
      </c>
      <c r="J145">
        <f t="shared" si="16"/>
        <v>81</v>
      </c>
      <c r="K145" t="str">
        <f t="array" ref="K145">INDEX($B$2:$B$501,SMALL(IF($A$2:$A$501=I145,ROW($A$2:$A$501)-ROW(INDEX($A$2:$A$501,1,1))+1),J145))</f>
        <v/>
      </c>
      <c r="L145" t="str">
        <f t="array" ref="L145">INDEX($C$2:$C$501,SMALL(IF($A$2:$A$501=I145,ROW($A$2:$A$501)-ROW(INDEX($A$2:$A$501,1,1))+1),J145))</f>
        <v/>
      </c>
      <c r="N145" t="str">
        <f t="shared" si="17"/>
        <v/>
      </c>
      <c r="S145" s="10">
        <v>144</v>
      </c>
      <c r="T145" s="10" t="str">
        <f t="array" ref="T145">IFERROR(INDEX(A$2:$A$501,MATCH(0,COUNTIF($T$1:T144,A$2:$A$501),0)),"")</f>
        <v/>
      </c>
      <c r="U145" s="10">
        <f>IFERROR(MATCH(T145,I$2:$I$501,0),"")</f>
        <v>64</v>
      </c>
      <c r="V145" s="10">
        <f>COUNTIF(I$2:$I$501,T145)</f>
        <v>437</v>
      </c>
      <c r="W145" s="10"/>
      <c r="X145" s="10"/>
    </row>
    <row r="146" spans="1:24" x14ac:dyDescent="0.25">
      <c r="A146" t="str">
        <f>IF(Tests!B147="","",Tests!B147)</f>
        <v/>
      </c>
      <c r="B146" t="str">
        <f>IF(Tests!D147="","",Tests!D147)</f>
        <v/>
      </c>
      <c r="C146" t="str">
        <f>IF(Tests!E147="","",Tests!E147)</f>
        <v/>
      </c>
      <c r="E146" s="54">
        <f t="shared" si="12"/>
        <v>0</v>
      </c>
      <c r="F146" s="54">
        <f t="shared" si="13"/>
        <v>0</v>
      </c>
      <c r="G146" s="54">
        <f t="shared" si="14"/>
        <v>1</v>
      </c>
      <c r="H146" s="54">
        <f t="shared" si="15"/>
        <v>437</v>
      </c>
      <c r="I146" s="56" t="str">
        <f>IFERROR(INDEX($A$2:$A$501,MATCH(SMALL($H$2:$H$501,ROWS($I$2:I146)+$G$502),$H$2:$H$501,0)),"")</f>
        <v/>
      </c>
      <c r="J146">
        <f t="shared" si="16"/>
        <v>82</v>
      </c>
      <c r="K146" t="str">
        <f t="array" ref="K146">INDEX($B$2:$B$501,SMALL(IF($A$2:$A$501=I146,ROW($A$2:$A$501)-ROW(INDEX($A$2:$A$501,1,1))+1),J146))</f>
        <v/>
      </c>
      <c r="L146" t="str">
        <f t="array" ref="L146">INDEX($C$2:$C$501,SMALL(IF($A$2:$A$501=I146,ROW($A$2:$A$501)-ROW(INDEX($A$2:$A$501,1,1))+1),J146))</f>
        <v/>
      </c>
      <c r="N146" t="str">
        <f t="shared" si="17"/>
        <v/>
      </c>
      <c r="S146" s="10">
        <v>145</v>
      </c>
      <c r="T146" s="10" t="str">
        <f t="array" ref="T146">IFERROR(INDEX(A$2:$A$501,MATCH(0,COUNTIF($T$1:T145,A$2:$A$501),0)),"")</f>
        <v/>
      </c>
      <c r="U146" s="10">
        <f>IFERROR(MATCH(T146,I$2:$I$501,0),"")</f>
        <v>64</v>
      </c>
      <c r="V146" s="10">
        <f>COUNTIF(I$2:$I$501,T146)</f>
        <v>437</v>
      </c>
      <c r="W146" s="10"/>
      <c r="X146" s="10"/>
    </row>
    <row r="147" spans="1:24" x14ac:dyDescent="0.25">
      <c r="A147" t="str">
        <f>IF(Tests!B148="","",Tests!B148)</f>
        <v/>
      </c>
      <c r="B147" t="str">
        <f>IF(Tests!D148="","",Tests!D148)</f>
        <v/>
      </c>
      <c r="C147" t="str">
        <f>IF(Tests!E148="","",Tests!E148)</f>
        <v/>
      </c>
      <c r="E147" s="54">
        <f t="shared" si="12"/>
        <v>0</v>
      </c>
      <c r="F147" s="54">
        <f t="shared" si="13"/>
        <v>0</v>
      </c>
      <c r="G147" s="54">
        <f t="shared" si="14"/>
        <v>1</v>
      </c>
      <c r="H147" s="54">
        <f t="shared" si="15"/>
        <v>437</v>
      </c>
      <c r="I147" s="56" t="str">
        <f>IFERROR(INDEX($A$2:$A$501,MATCH(SMALL($H$2:$H$501,ROWS($I$2:I147)+$G$502),$H$2:$H$501,0)),"")</f>
        <v/>
      </c>
      <c r="J147">
        <f t="shared" si="16"/>
        <v>83</v>
      </c>
      <c r="K147" t="str">
        <f t="array" ref="K147">INDEX($B$2:$B$501,SMALL(IF($A$2:$A$501=I147,ROW($A$2:$A$501)-ROW(INDEX($A$2:$A$501,1,1))+1),J147))</f>
        <v/>
      </c>
      <c r="L147" t="str">
        <f t="array" ref="L147">INDEX($C$2:$C$501,SMALL(IF($A$2:$A$501=I147,ROW($A$2:$A$501)-ROW(INDEX($A$2:$A$501,1,1))+1),J147))</f>
        <v/>
      </c>
      <c r="N147" t="str">
        <f t="shared" si="17"/>
        <v/>
      </c>
      <c r="S147" s="10">
        <v>146</v>
      </c>
      <c r="T147" s="10" t="str">
        <f t="array" ref="T147">IFERROR(INDEX(A$2:$A$501,MATCH(0,COUNTIF($T$1:T146,A$2:$A$501),0)),"")</f>
        <v/>
      </c>
      <c r="U147" s="10">
        <f>IFERROR(MATCH(T147,I$2:$I$501,0),"")</f>
        <v>64</v>
      </c>
      <c r="V147" s="10">
        <f>COUNTIF(I$2:$I$501,T147)</f>
        <v>437</v>
      </c>
      <c r="W147" s="10"/>
      <c r="X147" s="10"/>
    </row>
    <row r="148" spans="1:24" x14ac:dyDescent="0.25">
      <c r="A148" t="str">
        <f>IF(Tests!B149="","",Tests!B149)</f>
        <v/>
      </c>
      <c r="B148" t="str">
        <f>IF(Tests!D149="","",Tests!D149)</f>
        <v/>
      </c>
      <c r="C148" t="str">
        <f>IF(Tests!E149="","",Tests!E149)</f>
        <v/>
      </c>
      <c r="E148" s="54">
        <f t="shared" si="12"/>
        <v>0</v>
      </c>
      <c r="F148" s="54">
        <f t="shared" si="13"/>
        <v>0</v>
      </c>
      <c r="G148" s="54">
        <f t="shared" si="14"/>
        <v>1</v>
      </c>
      <c r="H148" s="54">
        <f t="shared" si="15"/>
        <v>437</v>
      </c>
      <c r="I148" s="56" t="str">
        <f>IFERROR(INDEX($A$2:$A$501,MATCH(SMALL($H$2:$H$501,ROWS($I$2:I148)+$G$502),$H$2:$H$501,0)),"")</f>
        <v/>
      </c>
      <c r="J148">
        <f t="shared" si="16"/>
        <v>84</v>
      </c>
      <c r="K148" t="str">
        <f t="array" ref="K148">INDEX($B$2:$B$501,SMALL(IF($A$2:$A$501=I148,ROW($A$2:$A$501)-ROW(INDEX($A$2:$A$501,1,1))+1),J148))</f>
        <v/>
      </c>
      <c r="L148" t="str">
        <f t="array" ref="L148">INDEX($C$2:$C$501,SMALL(IF($A$2:$A$501=I148,ROW($A$2:$A$501)-ROW(INDEX($A$2:$A$501,1,1))+1),J148))</f>
        <v/>
      </c>
      <c r="N148" t="str">
        <f t="shared" si="17"/>
        <v/>
      </c>
      <c r="S148" s="10">
        <v>147</v>
      </c>
      <c r="T148" s="10" t="str">
        <f t="array" ref="T148">IFERROR(INDEX(A$2:$A$501,MATCH(0,COUNTIF($T$1:T147,A$2:$A$501),0)),"")</f>
        <v/>
      </c>
      <c r="U148" s="10">
        <f>IFERROR(MATCH(T148,I$2:$I$501,0),"")</f>
        <v>64</v>
      </c>
      <c r="V148" s="10">
        <f>COUNTIF(I$2:$I$501,T148)</f>
        <v>437</v>
      </c>
      <c r="W148" s="10"/>
      <c r="X148" s="10"/>
    </row>
    <row r="149" spans="1:24" x14ac:dyDescent="0.25">
      <c r="A149" t="str">
        <f>IF(Tests!B150="","",Tests!B150)</f>
        <v/>
      </c>
      <c r="B149" t="str">
        <f>IF(Tests!D150="","",Tests!D150)</f>
        <v/>
      </c>
      <c r="C149" t="str">
        <f>IF(Tests!E150="","",Tests!E150)</f>
        <v/>
      </c>
      <c r="E149" s="54">
        <f t="shared" si="12"/>
        <v>0</v>
      </c>
      <c r="F149" s="54">
        <f t="shared" si="13"/>
        <v>0</v>
      </c>
      <c r="G149" s="54">
        <f t="shared" si="14"/>
        <v>1</v>
      </c>
      <c r="H149" s="54">
        <f t="shared" si="15"/>
        <v>437</v>
      </c>
      <c r="I149" s="56" t="str">
        <f>IFERROR(INDEX($A$2:$A$501,MATCH(SMALL($H$2:$H$501,ROWS($I$2:I149)+$G$502),$H$2:$H$501,0)),"")</f>
        <v/>
      </c>
      <c r="J149">
        <f t="shared" si="16"/>
        <v>85</v>
      </c>
      <c r="K149" t="str">
        <f t="array" ref="K149">INDEX($B$2:$B$501,SMALL(IF($A$2:$A$501=I149,ROW($A$2:$A$501)-ROW(INDEX($A$2:$A$501,1,1))+1),J149))</f>
        <v/>
      </c>
      <c r="L149" t="str">
        <f t="array" ref="L149">INDEX($C$2:$C$501,SMALL(IF($A$2:$A$501=I149,ROW($A$2:$A$501)-ROW(INDEX($A$2:$A$501,1,1))+1),J149))</f>
        <v/>
      </c>
      <c r="N149" t="str">
        <f t="shared" si="17"/>
        <v/>
      </c>
      <c r="S149" s="10">
        <v>148</v>
      </c>
      <c r="T149" s="10" t="str">
        <f t="array" ref="T149">IFERROR(INDEX(A$2:$A$501,MATCH(0,COUNTIF($T$1:T148,A$2:$A$501),0)),"")</f>
        <v/>
      </c>
      <c r="U149" s="10">
        <f>IFERROR(MATCH(T149,I$2:$I$501,0),"")</f>
        <v>64</v>
      </c>
      <c r="V149" s="10">
        <f>COUNTIF(I$2:$I$501,T149)</f>
        <v>437</v>
      </c>
      <c r="W149" s="10"/>
      <c r="X149" s="10"/>
    </row>
    <row r="150" spans="1:24" x14ac:dyDescent="0.25">
      <c r="A150" t="str">
        <f>IF(Tests!B151="","",Tests!B151)</f>
        <v/>
      </c>
      <c r="B150" t="str">
        <f>IF(Tests!D151="","",Tests!D151)</f>
        <v/>
      </c>
      <c r="C150" t="str">
        <f>IF(Tests!E151="","",Tests!E151)</f>
        <v/>
      </c>
      <c r="E150" s="54">
        <f t="shared" si="12"/>
        <v>0</v>
      </c>
      <c r="F150" s="54">
        <f t="shared" si="13"/>
        <v>0</v>
      </c>
      <c r="G150" s="54">
        <f t="shared" si="14"/>
        <v>1</v>
      </c>
      <c r="H150" s="54">
        <f t="shared" si="15"/>
        <v>437</v>
      </c>
      <c r="I150" s="56" t="str">
        <f>IFERROR(INDEX($A$2:$A$501,MATCH(SMALL($H$2:$H$501,ROWS($I$2:I150)+$G$502),$H$2:$H$501,0)),"")</f>
        <v/>
      </c>
      <c r="J150">
        <f t="shared" si="16"/>
        <v>86</v>
      </c>
      <c r="K150" t="str">
        <f t="array" ref="K150">INDEX($B$2:$B$501,SMALL(IF($A$2:$A$501=I150,ROW($A$2:$A$501)-ROW(INDEX($A$2:$A$501,1,1))+1),J150))</f>
        <v/>
      </c>
      <c r="L150" t="str">
        <f t="array" ref="L150">INDEX($C$2:$C$501,SMALL(IF($A$2:$A$501=I150,ROW($A$2:$A$501)-ROW(INDEX($A$2:$A$501,1,1))+1),J150))</f>
        <v/>
      </c>
      <c r="N150" t="str">
        <f t="shared" si="17"/>
        <v/>
      </c>
      <c r="S150" s="10">
        <v>149</v>
      </c>
      <c r="T150" s="10" t="str">
        <f t="array" ref="T150">IFERROR(INDEX(A$2:$A$501,MATCH(0,COUNTIF($T$1:T149,A$2:$A$501),0)),"")</f>
        <v/>
      </c>
      <c r="U150" s="10">
        <f>IFERROR(MATCH(T150,I$2:$I$501,0),"")</f>
        <v>64</v>
      </c>
      <c r="V150" s="10">
        <f>COUNTIF(I$2:$I$501,T150)</f>
        <v>437</v>
      </c>
      <c r="W150" s="10"/>
      <c r="X150" s="10"/>
    </row>
    <row r="151" spans="1:24" x14ac:dyDescent="0.25">
      <c r="A151" t="str">
        <f>IF(Tests!B152="","",Tests!B152)</f>
        <v/>
      </c>
      <c r="B151" t="str">
        <f>IF(Tests!D152="","",Tests!D152)</f>
        <v/>
      </c>
      <c r="C151" t="str">
        <f>IF(Tests!E152="","",Tests!E152)</f>
        <v/>
      </c>
      <c r="E151" s="54">
        <f t="shared" si="12"/>
        <v>0</v>
      </c>
      <c r="F151" s="54">
        <f t="shared" si="13"/>
        <v>0</v>
      </c>
      <c r="G151" s="54">
        <f t="shared" si="14"/>
        <v>1</v>
      </c>
      <c r="H151" s="54">
        <f t="shared" si="15"/>
        <v>437</v>
      </c>
      <c r="I151" s="56" t="str">
        <f>IFERROR(INDEX($A$2:$A$501,MATCH(SMALL($H$2:$H$501,ROWS($I$2:I151)+$G$502),$H$2:$H$501,0)),"")</f>
        <v/>
      </c>
      <c r="J151">
        <f t="shared" si="16"/>
        <v>87</v>
      </c>
      <c r="K151" t="str">
        <f t="array" ref="K151">INDEX($B$2:$B$501,SMALL(IF($A$2:$A$501=I151,ROW($A$2:$A$501)-ROW(INDEX($A$2:$A$501,1,1))+1),J151))</f>
        <v/>
      </c>
      <c r="L151" t="str">
        <f t="array" ref="L151">INDEX($C$2:$C$501,SMALL(IF($A$2:$A$501=I151,ROW($A$2:$A$501)-ROW(INDEX($A$2:$A$501,1,1))+1),J151))</f>
        <v/>
      </c>
      <c r="N151" t="str">
        <f t="shared" si="17"/>
        <v/>
      </c>
      <c r="S151" s="10">
        <v>150</v>
      </c>
      <c r="T151" s="10" t="str">
        <f t="array" ref="T151">IFERROR(INDEX(A$2:$A$501,MATCH(0,COUNTIF($T$1:T150,A$2:$A$501),0)),"")</f>
        <v/>
      </c>
      <c r="U151" s="10">
        <f>IFERROR(MATCH(T151,I$2:$I$501,0),"")</f>
        <v>64</v>
      </c>
      <c r="V151" s="10">
        <f>COUNTIF(I$2:$I$501,T151)</f>
        <v>437</v>
      </c>
      <c r="W151" s="10"/>
      <c r="X151" s="10"/>
    </row>
    <row r="152" spans="1:24" x14ac:dyDescent="0.25">
      <c r="A152" t="str">
        <f>IF(Tests!B153="","",Tests!B153)</f>
        <v/>
      </c>
      <c r="B152" t="str">
        <f>IF(Tests!D153="","",Tests!D153)</f>
        <v/>
      </c>
      <c r="C152" t="str">
        <f>IF(Tests!E153="","",Tests!E153)</f>
        <v/>
      </c>
      <c r="E152" s="54">
        <f t="shared" si="12"/>
        <v>0</v>
      </c>
      <c r="F152" s="54">
        <f t="shared" si="13"/>
        <v>0</v>
      </c>
      <c r="G152" s="54">
        <f t="shared" si="14"/>
        <v>1</v>
      </c>
      <c r="H152" s="54">
        <f t="shared" si="15"/>
        <v>437</v>
      </c>
      <c r="I152" s="56" t="str">
        <f>IFERROR(INDEX($A$2:$A$501,MATCH(SMALL($H$2:$H$501,ROWS($I$2:I152)+$G$502),$H$2:$H$501,0)),"")</f>
        <v/>
      </c>
      <c r="J152">
        <f t="shared" si="16"/>
        <v>88</v>
      </c>
      <c r="K152" t="str">
        <f t="array" ref="K152">INDEX($B$2:$B$501,SMALL(IF($A$2:$A$501=I152,ROW($A$2:$A$501)-ROW(INDEX($A$2:$A$501,1,1))+1),J152))</f>
        <v/>
      </c>
      <c r="L152" t="str">
        <f t="array" ref="L152">INDEX($C$2:$C$501,SMALL(IF($A$2:$A$501=I152,ROW($A$2:$A$501)-ROW(INDEX($A$2:$A$501,1,1))+1),J152))</f>
        <v/>
      </c>
      <c r="N152" t="str">
        <f t="shared" si="17"/>
        <v/>
      </c>
      <c r="S152" s="10">
        <v>151</v>
      </c>
      <c r="T152" s="10" t="str">
        <f t="array" ref="T152">IFERROR(INDEX(A$2:$A$501,MATCH(0,COUNTIF($T$1:T151,A$2:$A$501),0)),"")</f>
        <v/>
      </c>
      <c r="U152" s="10">
        <f>IFERROR(MATCH(T152,I$2:$I$501,0),"")</f>
        <v>64</v>
      </c>
      <c r="V152" s="10">
        <f>COUNTIF(I$2:$I$501,T152)</f>
        <v>437</v>
      </c>
      <c r="W152" s="10"/>
      <c r="X152" s="10"/>
    </row>
    <row r="153" spans="1:24" x14ac:dyDescent="0.25">
      <c r="A153" t="str">
        <f>IF(Tests!B154="","",Tests!B154)</f>
        <v/>
      </c>
      <c r="B153" t="str">
        <f>IF(Tests!D154="","",Tests!D154)</f>
        <v/>
      </c>
      <c r="C153" t="str">
        <f>IF(Tests!E154="","",Tests!E154)</f>
        <v/>
      </c>
      <c r="E153" s="54">
        <f t="shared" si="12"/>
        <v>0</v>
      </c>
      <c r="F153" s="54">
        <f t="shared" si="13"/>
        <v>0</v>
      </c>
      <c r="G153" s="54">
        <f t="shared" si="14"/>
        <v>1</v>
      </c>
      <c r="H153" s="54">
        <f t="shared" si="15"/>
        <v>437</v>
      </c>
      <c r="I153" s="56" t="str">
        <f>IFERROR(INDEX($A$2:$A$501,MATCH(SMALL($H$2:$H$501,ROWS($I$2:I153)+$G$502),$H$2:$H$501,0)),"")</f>
        <v/>
      </c>
      <c r="J153">
        <f t="shared" si="16"/>
        <v>89</v>
      </c>
      <c r="K153" t="str">
        <f t="array" ref="K153">INDEX($B$2:$B$501,SMALL(IF($A$2:$A$501=I153,ROW($A$2:$A$501)-ROW(INDEX($A$2:$A$501,1,1))+1),J153))</f>
        <v/>
      </c>
      <c r="L153" t="str">
        <f t="array" ref="L153">INDEX($C$2:$C$501,SMALL(IF($A$2:$A$501=I153,ROW($A$2:$A$501)-ROW(INDEX($A$2:$A$501,1,1))+1),J153))</f>
        <v/>
      </c>
      <c r="N153" t="str">
        <f t="shared" si="17"/>
        <v/>
      </c>
      <c r="S153" s="10">
        <v>152</v>
      </c>
      <c r="T153" s="10" t="str">
        <f t="array" ref="T153">IFERROR(INDEX(A$2:$A$501,MATCH(0,COUNTIF($T$1:T152,A$2:$A$501),0)),"")</f>
        <v/>
      </c>
      <c r="U153" s="10">
        <f>IFERROR(MATCH(T153,I$2:$I$501,0),"")</f>
        <v>64</v>
      </c>
      <c r="V153" s="10">
        <f>COUNTIF(I$2:$I$501,T153)</f>
        <v>437</v>
      </c>
      <c r="W153" s="10"/>
      <c r="X153" s="10"/>
    </row>
    <row r="154" spans="1:24" x14ac:dyDescent="0.25">
      <c r="A154" t="str">
        <f>IF(Tests!B155="","",Tests!B155)</f>
        <v/>
      </c>
      <c r="B154" t="str">
        <f>IF(Tests!D155="","",Tests!D155)</f>
        <v/>
      </c>
      <c r="C154" t="str">
        <f>IF(Tests!E155="","",Tests!E155)</f>
        <v/>
      </c>
      <c r="E154" s="54">
        <f t="shared" si="12"/>
        <v>0</v>
      </c>
      <c r="F154" s="54">
        <f t="shared" si="13"/>
        <v>0</v>
      </c>
      <c r="G154" s="54">
        <f t="shared" si="14"/>
        <v>1</v>
      </c>
      <c r="H154" s="54">
        <f t="shared" si="15"/>
        <v>437</v>
      </c>
      <c r="I154" s="56" t="str">
        <f>IFERROR(INDEX($A$2:$A$501,MATCH(SMALL($H$2:$H$501,ROWS($I$2:I154)+$G$502),$H$2:$H$501,0)),"")</f>
        <v/>
      </c>
      <c r="J154">
        <f t="shared" si="16"/>
        <v>90</v>
      </c>
      <c r="K154" t="str">
        <f t="array" ref="K154">INDEX($B$2:$B$501,SMALL(IF($A$2:$A$501=I154,ROW($A$2:$A$501)-ROW(INDEX($A$2:$A$501,1,1))+1),J154))</f>
        <v/>
      </c>
      <c r="L154" t="str">
        <f t="array" ref="L154">INDEX($C$2:$C$501,SMALL(IF($A$2:$A$501=I154,ROW($A$2:$A$501)-ROW(INDEX($A$2:$A$501,1,1))+1),J154))</f>
        <v/>
      </c>
      <c r="N154" t="str">
        <f t="shared" si="17"/>
        <v/>
      </c>
      <c r="S154" s="10">
        <v>153</v>
      </c>
      <c r="T154" s="10" t="str">
        <f t="array" ref="T154">IFERROR(INDEX(A$2:$A$501,MATCH(0,COUNTIF($T$1:T153,A$2:$A$501),0)),"")</f>
        <v/>
      </c>
      <c r="U154" s="10">
        <f>IFERROR(MATCH(T154,I$2:$I$501,0),"")</f>
        <v>64</v>
      </c>
      <c r="V154" s="10">
        <f>COUNTIF(I$2:$I$501,T154)</f>
        <v>437</v>
      </c>
      <c r="W154" s="10"/>
      <c r="X154" s="10"/>
    </row>
    <row r="155" spans="1:24" x14ac:dyDescent="0.25">
      <c r="A155" t="str">
        <f>IF(Tests!B156="","",Tests!B156)</f>
        <v/>
      </c>
      <c r="B155" t="str">
        <f>IF(Tests!D156="","",Tests!D156)</f>
        <v/>
      </c>
      <c r="C155" t="str">
        <f>IF(Tests!E156="","",Tests!E156)</f>
        <v/>
      </c>
      <c r="E155" s="54">
        <f t="shared" si="12"/>
        <v>0</v>
      </c>
      <c r="F155" s="54">
        <f t="shared" si="13"/>
        <v>0</v>
      </c>
      <c r="G155" s="54">
        <f t="shared" si="14"/>
        <v>1</v>
      </c>
      <c r="H155" s="54">
        <f t="shared" si="15"/>
        <v>437</v>
      </c>
      <c r="I155" s="56" t="str">
        <f>IFERROR(INDEX($A$2:$A$501,MATCH(SMALL($H$2:$H$501,ROWS($I$2:I155)+$G$502),$H$2:$H$501,0)),"")</f>
        <v/>
      </c>
      <c r="J155">
        <f t="shared" si="16"/>
        <v>91</v>
      </c>
      <c r="K155" t="str">
        <f t="array" ref="K155">INDEX($B$2:$B$501,SMALL(IF($A$2:$A$501=I155,ROW($A$2:$A$501)-ROW(INDEX($A$2:$A$501,1,1))+1),J155))</f>
        <v/>
      </c>
      <c r="L155" t="str">
        <f t="array" ref="L155">INDEX($C$2:$C$501,SMALL(IF($A$2:$A$501=I155,ROW($A$2:$A$501)-ROW(INDEX($A$2:$A$501,1,1))+1),J155))</f>
        <v/>
      </c>
      <c r="N155" t="str">
        <f t="shared" si="17"/>
        <v/>
      </c>
      <c r="S155" s="10">
        <v>154</v>
      </c>
      <c r="T155" s="10" t="str">
        <f t="array" ref="T155">IFERROR(INDEX(A$2:$A$501,MATCH(0,COUNTIF($T$1:T154,A$2:$A$501),0)),"")</f>
        <v/>
      </c>
      <c r="U155" s="10">
        <f>IFERROR(MATCH(T155,I$2:$I$501,0),"")</f>
        <v>64</v>
      </c>
      <c r="V155" s="10">
        <f>COUNTIF(I$2:$I$501,T155)</f>
        <v>437</v>
      </c>
      <c r="W155" s="10"/>
      <c r="X155" s="10"/>
    </row>
    <row r="156" spans="1:24" x14ac:dyDescent="0.25">
      <c r="A156" t="str">
        <f>IF(Tests!B157="","",Tests!B157)</f>
        <v/>
      </c>
      <c r="B156" t="str">
        <f>IF(Tests!D157="","",Tests!D157)</f>
        <v/>
      </c>
      <c r="C156" t="str">
        <f>IF(Tests!E157="","",Tests!E157)</f>
        <v/>
      </c>
      <c r="E156" s="54">
        <f t="shared" si="12"/>
        <v>0</v>
      </c>
      <c r="F156" s="54">
        <f t="shared" si="13"/>
        <v>0</v>
      </c>
      <c r="G156" s="54">
        <f t="shared" si="14"/>
        <v>1</v>
      </c>
      <c r="H156" s="54">
        <f t="shared" si="15"/>
        <v>437</v>
      </c>
      <c r="I156" s="56" t="str">
        <f>IFERROR(INDEX($A$2:$A$501,MATCH(SMALL($H$2:$H$501,ROWS($I$2:I156)+$G$502),$H$2:$H$501,0)),"")</f>
        <v/>
      </c>
      <c r="J156">
        <f t="shared" si="16"/>
        <v>92</v>
      </c>
      <c r="K156" t="str">
        <f t="array" ref="K156">INDEX($B$2:$B$501,SMALL(IF($A$2:$A$501=I156,ROW($A$2:$A$501)-ROW(INDEX($A$2:$A$501,1,1))+1),J156))</f>
        <v/>
      </c>
      <c r="L156" t="str">
        <f t="array" ref="L156">INDEX($C$2:$C$501,SMALL(IF($A$2:$A$501=I156,ROW($A$2:$A$501)-ROW(INDEX($A$2:$A$501,1,1))+1),J156))</f>
        <v/>
      </c>
      <c r="N156" t="str">
        <f t="shared" si="17"/>
        <v/>
      </c>
      <c r="S156" s="10">
        <v>155</v>
      </c>
      <c r="T156" s="10" t="str">
        <f t="array" ref="T156">IFERROR(INDEX(A$2:$A$501,MATCH(0,COUNTIF($T$1:T155,A$2:$A$501),0)),"")</f>
        <v/>
      </c>
      <c r="U156" s="10">
        <f>IFERROR(MATCH(T156,I$2:$I$501,0),"")</f>
        <v>64</v>
      </c>
      <c r="V156" s="10">
        <f>COUNTIF(I$2:$I$501,T156)</f>
        <v>437</v>
      </c>
      <c r="W156" s="10"/>
      <c r="X156" s="10"/>
    </row>
    <row r="157" spans="1:24" x14ac:dyDescent="0.25">
      <c r="A157" t="str">
        <f>IF(Tests!B158="","",Tests!B158)</f>
        <v/>
      </c>
      <c r="B157" t="str">
        <f>IF(Tests!D158="","",Tests!D158)</f>
        <v/>
      </c>
      <c r="C157" t="str">
        <f>IF(Tests!E158="","",Tests!E158)</f>
        <v/>
      </c>
      <c r="E157" s="54">
        <f t="shared" si="12"/>
        <v>0</v>
      </c>
      <c r="F157" s="54">
        <f t="shared" si="13"/>
        <v>0</v>
      </c>
      <c r="G157" s="54">
        <f t="shared" si="14"/>
        <v>1</v>
      </c>
      <c r="H157" s="54">
        <f t="shared" si="15"/>
        <v>437</v>
      </c>
      <c r="I157" s="56" t="str">
        <f>IFERROR(INDEX($A$2:$A$501,MATCH(SMALL($H$2:$H$501,ROWS($I$2:I157)+$G$502),$H$2:$H$501,0)),"")</f>
        <v/>
      </c>
      <c r="J157">
        <f t="shared" si="16"/>
        <v>93</v>
      </c>
      <c r="K157" t="str">
        <f t="array" ref="K157">INDEX($B$2:$B$501,SMALL(IF($A$2:$A$501=I157,ROW($A$2:$A$501)-ROW(INDEX($A$2:$A$501,1,1))+1),J157))</f>
        <v/>
      </c>
      <c r="L157" t="str">
        <f t="array" ref="L157">INDEX($C$2:$C$501,SMALL(IF($A$2:$A$501=I157,ROW($A$2:$A$501)-ROW(INDEX($A$2:$A$501,1,1))+1),J157))</f>
        <v/>
      </c>
      <c r="N157" t="str">
        <f t="shared" si="17"/>
        <v/>
      </c>
      <c r="S157" s="10">
        <v>156</v>
      </c>
      <c r="T157" s="10" t="str">
        <f t="array" ref="T157">IFERROR(INDEX(A$2:$A$501,MATCH(0,COUNTIF($T$1:T156,A$2:$A$501),0)),"")</f>
        <v/>
      </c>
      <c r="U157" s="10">
        <f>IFERROR(MATCH(T157,I$2:$I$501,0),"")</f>
        <v>64</v>
      </c>
      <c r="V157" s="10">
        <f>COUNTIF(I$2:$I$501,T157)</f>
        <v>437</v>
      </c>
      <c r="W157" s="10"/>
      <c r="X157" s="10"/>
    </row>
    <row r="158" spans="1:24" x14ac:dyDescent="0.25">
      <c r="A158" t="str">
        <f>IF(Tests!B159="","",Tests!B159)</f>
        <v/>
      </c>
      <c r="B158" t="str">
        <f>IF(Tests!D159="","",Tests!D159)</f>
        <v/>
      </c>
      <c r="C158" t="str">
        <f>IF(Tests!E159="","",Tests!E159)</f>
        <v/>
      </c>
      <c r="E158" s="54">
        <f t="shared" si="12"/>
        <v>0</v>
      </c>
      <c r="F158" s="54">
        <f t="shared" si="13"/>
        <v>0</v>
      </c>
      <c r="G158" s="54">
        <f t="shared" si="14"/>
        <v>1</v>
      </c>
      <c r="H158" s="54">
        <f t="shared" si="15"/>
        <v>437</v>
      </c>
      <c r="I158" s="56" t="str">
        <f>IFERROR(INDEX($A$2:$A$501,MATCH(SMALL($H$2:$H$501,ROWS($I$2:I158)+$G$502),$H$2:$H$501,0)),"")</f>
        <v/>
      </c>
      <c r="J158">
        <f t="shared" si="16"/>
        <v>94</v>
      </c>
      <c r="K158" t="str">
        <f t="array" ref="K158">INDEX($B$2:$B$501,SMALL(IF($A$2:$A$501=I158,ROW($A$2:$A$501)-ROW(INDEX($A$2:$A$501,1,1))+1),J158))</f>
        <v/>
      </c>
      <c r="L158" t="str">
        <f t="array" ref="L158">INDEX($C$2:$C$501,SMALL(IF($A$2:$A$501=I158,ROW($A$2:$A$501)-ROW(INDEX($A$2:$A$501,1,1))+1),J158))</f>
        <v/>
      </c>
      <c r="N158" t="str">
        <f t="shared" si="17"/>
        <v/>
      </c>
      <c r="S158" s="10">
        <v>157</v>
      </c>
      <c r="T158" s="10" t="str">
        <f t="array" ref="T158">IFERROR(INDEX(A$2:$A$501,MATCH(0,COUNTIF($T$1:T157,A$2:$A$501),0)),"")</f>
        <v/>
      </c>
      <c r="U158" s="10">
        <f>IFERROR(MATCH(T158,I$2:$I$501,0),"")</f>
        <v>64</v>
      </c>
      <c r="V158" s="10">
        <f>COUNTIF(I$2:$I$501,T158)</f>
        <v>437</v>
      </c>
      <c r="W158" s="10"/>
      <c r="X158" s="10"/>
    </row>
    <row r="159" spans="1:24" x14ac:dyDescent="0.25">
      <c r="A159" t="str">
        <f>IF(Tests!B160="","",Tests!B160)</f>
        <v/>
      </c>
      <c r="B159" t="str">
        <f>IF(Tests!D160="","",Tests!D160)</f>
        <v/>
      </c>
      <c r="C159" t="str">
        <f>IF(Tests!E160="","",Tests!E160)</f>
        <v/>
      </c>
      <c r="E159" s="54">
        <f t="shared" si="12"/>
        <v>0</v>
      </c>
      <c r="F159" s="54">
        <f t="shared" si="13"/>
        <v>0</v>
      </c>
      <c r="G159" s="54">
        <f t="shared" si="14"/>
        <v>1</v>
      </c>
      <c r="H159" s="54">
        <f t="shared" si="15"/>
        <v>437</v>
      </c>
      <c r="I159" s="56" t="str">
        <f>IFERROR(INDEX($A$2:$A$501,MATCH(SMALL($H$2:$H$501,ROWS($I$2:I159)+$G$502),$H$2:$H$501,0)),"")</f>
        <v/>
      </c>
      <c r="J159">
        <f t="shared" si="16"/>
        <v>95</v>
      </c>
      <c r="K159" t="str">
        <f t="array" ref="K159">INDEX($B$2:$B$501,SMALL(IF($A$2:$A$501=I159,ROW($A$2:$A$501)-ROW(INDEX($A$2:$A$501,1,1))+1),J159))</f>
        <v/>
      </c>
      <c r="L159" t="str">
        <f t="array" ref="L159">INDEX($C$2:$C$501,SMALL(IF($A$2:$A$501=I159,ROW($A$2:$A$501)-ROW(INDEX($A$2:$A$501,1,1))+1),J159))</f>
        <v/>
      </c>
      <c r="N159" t="str">
        <f t="shared" si="17"/>
        <v/>
      </c>
      <c r="S159" s="10">
        <v>158</v>
      </c>
      <c r="T159" s="10" t="str">
        <f t="array" ref="T159">IFERROR(INDEX(A$2:$A$501,MATCH(0,COUNTIF($T$1:T158,A$2:$A$501),0)),"")</f>
        <v/>
      </c>
      <c r="U159" s="10">
        <f>IFERROR(MATCH(T159,I$2:$I$501,0),"")</f>
        <v>64</v>
      </c>
      <c r="V159" s="10">
        <f>COUNTIF(I$2:$I$501,T159)</f>
        <v>437</v>
      </c>
      <c r="W159" s="10"/>
      <c r="X159" s="10"/>
    </row>
    <row r="160" spans="1:24" x14ac:dyDescent="0.25">
      <c r="A160" t="str">
        <f>IF(Tests!B161="","",Tests!B161)</f>
        <v/>
      </c>
      <c r="B160" t="str">
        <f>IF(Tests!D161="","",Tests!D161)</f>
        <v/>
      </c>
      <c r="C160" t="str">
        <f>IF(Tests!E161="","",Tests!E161)</f>
        <v/>
      </c>
      <c r="E160" s="54">
        <f t="shared" si="12"/>
        <v>0</v>
      </c>
      <c r="F160" s="54">
        <f t="shared" si="13"/>
        <v>0</v>
      </c>
      <c r="G160" s="54">
        <f t="shared" si="14"/>
        <v>1</v>
      </c>
      <c r="H160" s="54">
        <f t="shared" si="15"/>
        <v>437</v>
      </c>
      <c r="I160" s="56" t="str">
        <f>IFERROR(INDEX($A$2:$A$501,MATCH(SMALL($H$2:$H$501,ROWS($I$2:I160)+$G$502),$H$2:$H$501,0)),"")</f>
        <v/>
      </c>
      <c r="J160">
        <f t="shared" si="16"/>
        <v>96</v>
      </c>
      <c r="K160" t="str">
        <f t="array" ref="K160">INDEX($B$2:$B$501,SMALL(IF($A$2:$A$501=I160,ROW($A$2:$A$501)-ROW(INDEX($A$2:$A$501,1,1))+1),J160))</f>
        <v/>
      </c>
      <c r="L160" t="str">
        <f t="array" ref="L160">INDEX($C$2:$C$501,SMALL(IF($A$2:$A$501=I160,ROW($A$2:$A$501)-ROW(INDEX($A$2:$A$501,1,1))+1),J160))</f>
        <v/>
      </c>
      <c r="N160" t="str">
        <f t="shared" si="17"/>
        <v/>
      </c>
      <c r="S160" s="10">
        <v>159</v>
      </c>
      <c r="T160" s="10" t="str">
        <f t="array" ref="T160">IFERROR(INDEX(A$2:$A$501,MATCH(0,COUNTIF($T$1:T159,A$2:$A$501),0)),"")</f>
        <v/>
      </c>
      <c r="U160" s="10">
        <f>IFERROR(MATCH(T160,I$2:$I$501,0),"")</f>
        <v>64</v>
      </c>
      <c r="V160" s="10">
        <f>COUNTIF(I$2:$I$501,T160)</f>
        <v>437</v>
      </c>
      <c r="W160" s="10"/>
      <c r="X160" s="10"/>
    </row>
    <row r="161" spans="1:24" x14ac:dyDescent="0.25">
      <c r="A161" t="str">
        <f>IF(Tests!B162="","",Tests!B162)</f>
        <v/>
      </c>
      <c r="B161" t="str">
        <f>IF(Tests!D162="","",Tests!D162)</f>
        <v/>
      </c>
      <c r="C161" t="str">
        <f>IF(Tests!E162="","",Tests!E162)</f>
        <v/>
      </c>
      <c r="E161" s="54">
        <f t="shared" si="12"/>
        <v>0</v>
      </c>
      <c r="F161" s="54">
        <f t="shared" si="13"/>
        <v>0</v>
      </c>
      <c r="G161" s="54">
        <f t="shared" si="14"/>
        <v>1</v>
      </c>
      <c r="H161" s="54">
        <f t="shared" si="15"/>
        <v>437</v>
      </c>
      <c r="I161" s="56" t="str">
        <f>IFERROR(INDEX($A$2:$A$501,MATCH(SMALL($H$2:$H$501,ROWS($I$2:I161)+$G$502),$H$2:$H$501,0)),"")</f>
        <v/>
      </c>
      <c r="J161">
        <f t="shared" si="16"/>
        <v>97</v>
      </c>
      <c r="K161" t="str">
        <f t="array" ref="K161">INDEX($B$2:$B$501,SMALL(IF($A$2:$A$501=I161,ROW($A$2:$A$501)-ROW(INDEX($A$2:$A$501,1,1))+1),J161))</f>
        <v/>
      </c>
      <c r="L161" t="str">
        <f t="array" ref="L161">INDEX($C$2:$C$501,SMALL(IF($A$2:$A$501=I161,ROW($A$2:$A$501)-ROW(INDEX($A$2:$A$501,1,1))+1),J161))</f>
        <v/>
      </c>
      <c r="N161" t="str">
        <f t="shared" si="17"/>
        <v/>
      </c>
      <c r="S161" s="10">
        <v>160</v>
      </c>
      <c r="T161" s="10" t="str">
        <f t="array" ref="T161">IFERROR(INDEX(A$2:$A$501,MATCH(0,COUNTIF($T$1:T160,A$2:$A$501),0)),"")</f>
        <v/>
      </c>
      <c r="U161" s="10">
        <f>IFERROR(MATCH(T161,I$2:$I$501,0),"")</f>
        <v>64</v>
      </c>
      <c r="V161" s="10">
        <f>COUNTIF(I$2:$I$501,T161)</f>
        <v>437</v>
      </c>
      <c r="W161" s="10"/>
      <c r="X161" s="10"/>
    </row>
    <row r="162" spans="1:24" x14ac:dyDescent="0.25">
      <c r="A162" t="str">
        <f>IF(Tests!B163="","",Tests!B163)</f>
        <v/>
      </c>
      <c r="B162" t="str">
        <f>IF(Tests!D163="","",Tests!D163)</f>
        <v/>
      </c>
      <c r="C162" t="str">
        <f>IF(Tests!E163="","",Tests!E163)</f>
        <v/>
      </c>
      <c r="E162" s="54">
        <f t="shared" si="12"/>
        <v>0</v>
      </c>
      <c r="F162" s="54">
        <f t="shared" si="13"/>
        <v>0</v>
      </c>
      <c r="G162" s="54">
        <f t="shared" si="14"/>
        <v>1</v>
      </c>
      <c r="H162" s="54">
        <f t="shared" si="15"/>
        <v>437</v>
      </c>
      <c r="I162" s="56" t="str">
        <f>IFERROR(INDEX($A$2:$A$501,MATCH(SMALL($H$2:$H$501,ROWS($I$2:I162)+$G$502),$H$2:$H$501,0)),"")</f>
        <v/>
      </c>
      <c r="J162">
        <f t="shared" si="16"/>
        <v>98</v>
      </c>
      <c r="K162" t="str">
        <f t="array" ref="K162">INDEX($B$2:$B$501,SMALL(IF($A$2:$A$501=I162,ROW($A$2:$A$501)-ROW(INDEX($A$2:$A$501,1,1))+1),J162))</f>
        <v/>
      </c>
      <c r="L162" t="str">
        <f t="array" ref="L162">INDEX($C$2:$C$501,SMALL(IF($A$2:$A$501=I162,ROW($A$2:$A$501)-ROW(INDEX($A$2:$A$501,1,1))+1),J162))</f>
        <v/>
      </c>
      <c r="N162" t="str">
        <f t="shared" si="17"/>
        <v/>
      </c>
      <c r="S162" s="10">
        <v>161</v>
      </c>
      <c r="T162" s="10" t="str">
        <f t="array" ref="T162">IFERROR(INDEX(A$2:$A$501,MATCH(0,COUNTIF($T$1:T161,A$2:$A$501),0)),"")</f>
        <v/>
      </c>
      <c r="U162" s="10">
        <f>IFERROR(MATCH(T162,I$2:$I$501,0),"")</f>
        <v>64</v>
      </c>
      <c r="V162" s="10">
        <f>COUNTIF(I$2:$I$501,T162)</f>
        <v>437</v>
      </c>
      <c r="W162" s="10"/>
      <c r="X162" s="10"/>
    </row>
    <row r="163" spans="1:24" x14ac:dyDescent="0.25">
      <c r="A163" t="str">
        <f>IF(Tests!B164="","",Tests!B164)</f>
        <v/>
      </c>
      <c r="B163" t="str">
        <f>IF(Tests!D164="","",Tests!D164)</f>
        <v/>
      </c>
      <c r="C163" t="str">
        <f>IF(Tests!E164="","",Tests!E164)</f>
        <v/>
      </c>
      <c r="E163" s="54">
        <f t="shared" si="12"/>
        <v>0</v>
      </c>
      <c r="F163" s="54">
        <f t="shared" si="13"/>
        <v>0</v>
      </c>
      <c r="G163" s="54">
        <f t="shared" si="14"/>
        <v>1</v>
      </c>
      <c r="H163" s="54">
        <f t="shared" si="15"/>
        <v>437</v>
      </c>
      <c r="I163" s="56" t="str">
        <f>IFERROR(INDEX($A$2:$A$501,MATCH(SMALL($H$2:$H$501,ROWS($I$2:I163)+$G$502),$H$2:$H$501,0)),"")</f>
        <v/>
      </c>
      <c r="J163">
        <f t="shared" si="16"/>
        <v>99</v>
      </c>
      <c r="K163" t="str">
        <f t="array" ref="K163">INDEX($B$2:$B$501,SMALL(IF($A$2:$A$501=I163,ROW($A$2:$A$501)-ROW(INDEX($A$2:$A$501,1,1))+1),J163))</f>
        <v/>
      </c>
      <c r="L163" t="str">
        <f t="array" ref="L163">INDEX($C$2:$C$501,SMALL(IF($A$2:$A$501=I163,ROW($A$2:$A$501)-ROW(INDEX($A$2:$A$501,1,1))+1),J163))</f>
        <v/>
      </c>
      <c r="N163" t="str">
        <f t="shared" si="17"/>
        <v/>
      </c>
      <c r="S163" s="10">
        <v>162</v>
      </c>
      <c r="T163" s="10" t="str">
        <f t="array" ref="T163">IFERROR(INDEX(A$2:$A$501,MATCH(0,COUNTIF($T$1:T162,A$2:$A$501),0)),"")</f>
        <v/>
      </c>
      <c r="U163" s="10">
        <f>IFERROR(MATCH(T163,I$2:$I$501,0),"")</f>
        <v>64</v>
      </c>
      <c r="V163" s="10">
        <f>COUNTIF(I$2:$I$501,T163)</f>
        <v>437</v>
      </c>
      <c r="W163" s="10"/>
      <c r="X163" s="10"/>
    </row>
    <row r="164" spans="1:24" x14ac:dyDescent="0.25">
      <c r="A164" t="str">
        <f>IF(Tests!B165="","",Tests!B165)</f>
        <v/>
      </c>
      <c r="B164" t="str">
        <f>IF(Tests!D165="","",Tests!D165)</f>
        <v/>
      </c>
      <c r="C164" t="str">
        <f>IF(Tests!E165="","",Tests!E165)</f>
        <v/>
      </c>
      <c r="E164" s="54">
        <f t="shared" si="12"/>
        <v>0</v>
      </c>
      <c r="F164" s="54">
        <f t="shared" si="13"/>
        <v>0</v>
      </c>
      <c r="G164" s="54">
        <f t="shared" si="14"/>
        <v>1</v>
      </c>
      <c r="H164" s="54">
        <f t="shared" si="15"/>
        <v>437</v>
      </c>
      <c r="I164" s="56" t="str">
        <f>IFERROR(INDEX($A$2:$A$501,MATCH(SMALL($H$2:$H$501,ROWS($I$2:I164)+$G$502),$H$2:$H$501,0)),"")</f>
        <v/>
      </c>
      <c r="J164">
        <f t="shared" si="16"/>
        <v>100</v>
      </c>
      <c r="K164" t="str">
        <f t="array" ref="K164">INDEX($B$2:$B$501,SMALL(IF($A$2:$A$501=I164,ROW($A$2:$A$501)-ROW(INDEX($A$2:$A$501,1,1))+1),J164))</f>
        <v/>
      </c>
      <c r="L164" t="str">
        <f t="array" ref="L164">INDEX($C$2:$C$501,SMALL(IF($A$2:$A$501=I164,ROW($A$2:$A$501)-ROW(INDEX($A$2:$A$501,1,1))+1),J164))</f>
        <v/>
      </c>
      <c r="N164" t="str">
        <f t="shared" si="17"/>
        <v/>
      </c>
      <c r="S164" s="10">
        <v>163</v>
      </c>
      <c r="T164" s="10" t="str">
        <f t="array" ref="T164">IFERROR(INDEX(A$2:$A$501,MATCH(0,COUNTIF($T$1:T163,A$2:$A$501),0)),"")</f>
        <v/>
      </c>
      <c r="U164" s="10">
        <f>IFERROR(MATCH(T164,I$2:$I$501,0),"")</f>
        <v>64</v>
      </c>
      <c r="V164" s="10">
        <f>COUNTIF(I$2:$I$501,T164)</f>
        <v>437</v>
      </c>
      <c r="W164" s="10"/>
      <c r="X164" s="10"/>
    </row>
    <row r="165" spans="1:24" x14ac:dyDescent="0.25">
      <c r="A165" t="str">
        <f>IF(Tests!B166="","",Tests!B166)</f>
        <v/>
      </c>
      <c r="B165" t="str">
        <f>IF(Tests!D166="","",Tests!D166)</f>
        <v/>
      </c>
      <c r="C165" t="str">
        <f>IF(Tests!E166="","",Tests!E166)</f>
        <v/>
      </c>
      <c r="E165" s="54">
        <f t="shared" si="12"/>
        <v>0</v>
      </c>
      <c r="F165" s="54">
        <f t="shared" si="13"/>
        <v>0</v>
      </c>
      <c r="G165" s="54">
        <f t="shared" si="14"/>
        <v>1</v>
      </c>
      <c r="H165" s="54">
        <f t="shared" si="15"/>
        <v>437</v>
      </c>
      <c r="I165" s="56" t="str">
        <f>IFERROR(INDEX($A$2:$A$501,MATCH(SMALL($H$2:$H$501,ROWS($I$2:I165)+$G$502),$H$2:$H$501,0)),"")</f>
        <v/>
      </c>
      <c r="J165">
        <f t="shared" si="16"/>
        <v>101</v>
      </c>
      <c r="K165" t="str">
        <f t="array" ref="K165">INDEX($B$2:$B$501,SMALL(IF($A$2:$A$501=I165,ROW($A$2:$A$501)-ROW(INDEX($A$2:$A$501,1,1))+1),J165))</f>
        <v/>
      </c>
      <c r="L165" t="str">
        <f t="array" ref="L165">INDEX($C$2:$C$501,SMALL(IF($A$2:$A$501=I165,ROW($A$2:$A$501)-ROW(INDEX($A$2:$A$501,1,1))+1),J165))</f>
        <v/>
      </c>
      <c r="N165" t="str">
        <f t="shared" si="17"/>
        <v/>
      </c>
      <c r="S165" s="10">
        <v>164</v>
      </c>
      <c r="T165" s="10" t="str">
        <f t="array" ref="T165">IFERROR(INDEX(A$2:$A$501,MATCH(0,COUNTIF($T$1:T164,A$2:$A$501),0)),"")</f>
        <v/>
      </c>
      <c r="U165" s="10">
        <f>IFERROR(MATCH(T165,I$2:$I$501,0),"")</f>
        <v>64</v>
      </c>
      <c r="V165" s="10">
        <f>COUNTIF(I$2:$I$501,T165)</f>
        <v>437</v>
      </c>
      <c r="W165" s="10"/>
      <c r="X165" s="10"/>
    </row>
    <row r="166" spans="1:24" x14ac:dyDescent="0.25">
      <c r="A166" t="str">
        <f>IF(Tests!B167="","",Tests!B167)</f>
        <v/>
      </c>
      <c r="B166" t="str">
        <f>IF(Tests!D167="","",Tests!D167)</f>
        <v/>
      </c>
      <c r="C166" t="str">
        <f>IF(Tests!E167="","",Tests!E167)</f>
        <v/>
      </c>
      <c r="E166" s="54">
        <f t="shared" si="12"/>
        <v>0</v>
      </c>
      <c r="F166" s="54">
        <f t="shared" si="13"/>
        <v>0</v>
      </c>
      <c r="G166" s="54">
        <f t="shared" si="14"/>
        <v>1</v>
      </c>
      <c r="H166" s="54">
        <f t="shared" si="15"/>
        <v>437</v>
      </c>
      <c r="I166" s="56" t="str">
        <f>IFERROR(INDEX($A$2:$A$501,MATCH(SMALL($H$2:$H$501,ROWS($I$2:I166)+$G$502),$H$2:$H$501,0)),"")</f>
        <v/>
      </c>
      <c r="J166">
        <f t="shared" si="16"/>
        <v>102</v>
      </c>
      <c r="K166" t="str">
        <f t="array" ref="K166">INDEX($B$2:$B$501,SMALL(IF($A$2:$A$501=I166,ROW($A$2:$A$501)-ROW(INDEX($A$2:$A$501,1,1))+1),J166))</f>
        <v/>
      </c>
      <c r="L166" t="str">
        <f t="array" ref="L166">INDEX($C$2:$C$501,SMALL(IF($A$2:$A$501=I166,ROW($A$2:$A$501)-ROW(INDEX($A$2:$A$501,1,1))+1),J166))</f>
        <v/>
      </c>
      <c r="N166" t="str">
        <f t="shared" si="17"/>
        <v/>
      </c>
      <c r="S166" s="10">
        <v>165</v>
      </c>
      <c r="T166" s="10" t="str">
        <f t="array" ref="T166">IFERROR(INDEX(A$2:$A$501,MATCH(0,COUNTIF($T$1:T165,A$2:$A$501),0)),"")</f>
        <v/>
      </c>
      <c r="U166" s="10">
        <f>IFERROR(MATCH(T166,I$2:$I$501,0),"")</f>
        <v>64</v>
      </c>
      <c r="V166" s="10">
        <f>COUNTIF(I$2:$I$501,T166)</f>
        <v>437</v>
      </c>
      <c r="W166" s="10"/>
      <c r="X166" s="10"/>
    </row>
    <row r="167" spans="1:24" x14ac:dyDescent="0.25">
      <c r="A167" t="str">
        <f>IF(Tests!B168="","",Tests!B168)</f>
        <v/>
      </c>
      <c r="B167" t="str">
        <f>IF(Tests!D168="","",Tests!D168)</f>
        <v/>
      </c>
      <c r="C167" t="str">
        <f>IF(Tests!E168="","",Tests!E168)</f>
        <v/>
      </c>
      <c r="E167" s="54">
        <f t="shared" si="12"/>
        <v>0</v>
      </c>
      <c r="F167" s="54">
        <f t="shared" si="13"/>
        <v>0</v>
      </c>
      <c r="G167" s="54">
        <f t="shared" si="14"/>
        <v>1</v>
      </c>
      <c r="H167" s="54">
        <f t="shared" si="15"/>
        <v>437</v>
      </c>
      <c r="I167" s="56" t="str">
        <f>IFERROR(INDEX($A$2:$A$501,MATCH(SMALL($H$2:$H$501,ROWS($I$2:I167)+$G$502),$H$2:$H$501,0)),"")</f>
        <v/>
      </c>
      <c r="J167">
        <f t="shared" si="16"/>
        <v>103</v>
      </c>
      <c r="K167" t="str">
        <f t="array" ref="K167">INDEX($B$2:$B$501,SMALL(IF($A$2:$A$501=I167,ROW($A$2:$A$501)-ROW(INDEX($A$2:$A$501,1,1))+1),J167))</f>
        <v/>
      </c>
      <c r="L167" t="str">
        <f t="array" ref="L167">INDEX($C$2:$C$501,SMALL(IF($A$2:$A$501=I167,ROW($A$2:$A$501)-ROW(INDEX($A$2:$A$501,1,1))+1),J167))</f>
        <v/>
      </c>
      <c r="N167" t="str">
        <f t="shared" si="17"/>
        <v/>
      </c>
      <c r="S167" s="10">
        <v>166</v>
      </c>
      <c r="T167" s="10" t="str">
        <f t="array" ref="T167">IFERROR(INDEX(A$2:$A$501,MATCH(0,COUNTIF($T$1:T166,A$2:$A$501),0)),"")</f>
        <v/>
      </c>
      <c r="U167" s="10">
        <f>IFERROR(MATCH(T167,I$2:$I$501,0),"")</f>
        <v>64</v>
      </c>
      <c r="V167" s="10">
        <f>COUNTIF(I$2:$I$501,T167)</f>
        <v>437</v>
      </c>
      <c r="W167" s="10"/>
      <c r="X167" s="10"/>
    </row>
    <row r="168" spans="1:24" x14ac:dyDescent="0.25">
      <c r="A168" t="str">
        <f>IF(Tests!B169="","",Tests!B169)</f>
        <v/>
      </c>
      <c r="B168" t="str">
        <f>IF(Tests!D169="","",Tests!D169)</f>
        <v/>
      </c>
      <c r="C168" t="str">
        <f>IF(Tests!E169="","",Tests!E169)</f>
        <v/>
      </c>
      <c r="E168" s="54">
        <f t="shared" si="12"/>
        <v>0</v>
      </c>
      <c r="F168" s="54">
        <f t="shared" si="13"/>
        <v>0</v>
      </c>
      <c r="G168" s="54">
        <f t="shared" si="14"/>
        <v>1</v>
      </c>
      <c r="H168" s="54">
        <f t="shared" si="15"/>
        <v>437</v>
      </c>
      <c r="I168" s="56" t="str">
        <f>IFERROR(INDEX($A$2:$A$501,MATCH(SMALL($H$2:$H$501,ROWS($I$2:I168)+$G$502),$H$2:$H$501,0)),"")</f>
        <v/>
      </c>
      <c r="J168">
        <f t="shared" si="16"/>
        <v>104</v>
      </c>
      <c r="K168" t="str">
        <f t="array" ref="K168">INDEX($B$2:$B$501,SMALL(IF($A$2:$A$501=I168,ROW($A$2:$A$501)-ROW(INDEX($A$2:$A$501,1,1))+1),J168))</f>
        <v/>
      </c>
      <c r="L168" t="str">
        <f t="array" ref="L168">INDEX($C$2:$C$501,SMALL(IF($A$2:$A$501=I168,ROW($A$2:$A$501)-ROW(INDEX($A$2:$A$501,1,1))+1),J168))</f>
        <v/>
      </c>
      <c r="N168" t="str">
        <f t="shared" si="17"/>
        <v/>
      </c>
      <c r="S168" s="10">
        <v>167</v>
      </c>
      <c r="T168" s="10" t="str">
        <f t="array" ref="T168">IFERROR(INDEX(A$2:$A$501,MATCH(0,COUNTIF($T$1:T167,A$2:$A$501),0)),"")</f>
        <v/>
      </c>
      <c r="U168" s="10">
        <f>IFERROR(MATCH(T168,I$2:$I$501,0),"")</f>
        <v>64</v>
      </c>
      <c r="V168" s="10">
        <f>COUNTIF(I$2:$I$501,T168)</f>
        <v>437</v>
      </c>
      <c r="W168" s="10"/>
      <c r="X168" s="10"/>
    </row>
    <row r="169" spans="1:24" x14ac:dyDescent="0.25">
      <c r="A169" t="str">
        <f>IF(Tests!B170="","",Tests!B170)</f>
        <v/>
      </c>
      <c r="B169" t="str">
        <f>IF(Tests!D170="","",Tests!D170)</f>
        <v/>
      </c>
      <c r="C169" t="str">
        <f>IF(Tests!E170="","",Tests!E170)</f>
        <v/>
      </c>
      <c r="E169" s="54">
        <f t="shared" si="12"/>
        <v>0</v>
      </c>
      <c r="F169" s="54">
        <f t="shared" si="13"/>
        <v>0</v>
      </c>
      <c r="G169" s="54">
        <f t="shared" si="14"/>
        <v>1</v>
      </c>
      <c r="H169" s="54">
        <f t="shared" si="15"/>
        <v>437</v>
      </c>
      <c r="I169" s="56" t="str">
        <f>IFERROR(INDEX($A$2:$A$501,MATCH(SMALL($H$2:$H$501,ROWS($I$2:I169)+$G$502),$H$2:$H$501,0)),"")</f>
        <v/>
      </c>
      <c r="J169">
        <f t="shared" si="16"/>
        <v>105</v>
      </c>
      <c r="K169" t="str">
        <f t="array" ref="K169">INDEX($B$2:$B$501,SMALL(IF($A$2:$A$501=I169,ROW($A$2:$A$501)-ROW(INDEX($A$2:$A$501,1,1))+1),J169))</f>
        <v/>
      </c>
      <c r="L169" t="str">
        <f t="array" ref="L169">INDEX($C$2:$C$501,SMALL(IF($A$2:$A$501=I169,ROW($A$2:$A$501)-ROW(INDEX($A$2:$A$501,1,1))+1),J169))</f>
        <v/>
      </c>
      <c r="N169" t="str">
        <f t="shared" si="17"/>
        <v/>
      </c>
      <c r="S169" s="10">
        <v>168</v>
      </c>
      <c r="T169" s="10" t="str">
        <f t="array" ref="T169">IFERROR(INDEX(A$2:$A$501,MATCH(0,COUNTIF($T$1:T168,A$2:$A$501),0)),"")</f>
        <v/>
      </c>
      <c r="U169" s="10">
        <f>IFERROR(MATCH(T169,I$2:$I$501,0),"")</f>
        <v>64</v>
      </c>
      <c r="V169" s="10">
        <f>COUNTIF(I$2:$I$501,T169)</f>
        <v>437</v>
      </c>
      <c r="W169" s="10"/>
      <c r="X169" s="10"/>
    </row>
    <row r="170" spans="1:24" x14ac:dyDescent="0.25">
      <c r="A170" t="str">
        <f>IF(Tests!B171="","",Tests!B171)</f>
        <v/>
      </c>
      <c r="B170" t="str">
        <f>IF(Tests!D171="","",Tests!D171)</f>
        <v/>
      </c>
      <c r="C170" t="str">
        <f>IF(Tests!E171="","",Tests!E171)</f>
        <v/>
      </c>
      <c r="E170" s="54">
        <f t="shared" si="12"/>
        <v>0</v>
      </c>
      <c r="F170" s="54">
        <f t="shared" si="13"/>
        <v>0</v>
      </c>
      <c r="G170" s="54">
        <f t="shared" si="14"/>
        <v>1</v>
      </c>
      <c r="H170" s="54">
        <f t="shared" si="15"/>
        <v>437</v>
      </c>
      <c r="I170" s="56" t="str">
        <f>IFERROR(INDEX($A$2:$A$501,MATCH(SMALL($H$2:$H$501,ROWS($I$2:I170)+$G$502),$H$2:$H$501,0)),"")</f>
        <v/>
      </c>
      <c r="J170">
        <f t="shared" si="16"/>
        <v>106</v>
      </c>
      <c r="K170" t="str">
        <f t="array" ref="K170">INDEX($B$2:$B$501,SMALL(IF($A$2:$A$501=I170,ROW($A$2:$A$501)-ROW(INDEX($A$2:$A$501,1,1))+1),J170))</f>
        <v/>
      </c>
      <c r="L170" t="str">
        <f t="array" ref="L170">INDEX($C$2:$C$501,SMALL(IF($A$2:$A$501=I170,ROW($A$2:$A$501)-ROW(INDEX($A$2:$A$501,1,1))+1),J170))</f>
        <v/>
      </c>
      <c r="N170" t="str">
        <f t="shared" si="17"/>
        <v/>
      </c>
      <c r="S170" s="10">
        <v>169</v>
      </c>
      <c r="T170" s="10" t="str">
        <f t="array" ref="T170">IFERROR(INDEX(A$2:$A$501,MATCH(0,COUNTIF($T$1:T169,A$2:$A$501),0)),"")</f>
        <v/>
      </c>
      <c r="U170" s="10">
        <f>IFERROR(MATCH(T170,I$2:$I$501,0),"")</f>
        <v>64</v>
      </c>
      <c r="V170" s="10">
        <f>COUNTIF(I$2:$I$501,T170)</f>
        <v>437</v>
      </c>
      <c r="W170" s="10"/>
      <c r="X170" s="10"/>
    </row>
    <row r="171" spans="1:24" x14ac:dyDescent="0.25">
      <c r="A171" t="str">
        <f>IF(Tests!B172="","",Tests!B172)</f>
        <v/>
      </c>
      <c r="B171" t="str">
        <f>IF(Tests!D172="","",Tests!D172)</f>
        <v/>
      </c>
      <c r="C171" t="str">
        <f>IF(Tests!E172="","",Tests!E172)</f>
        <v/>
      </c>
      <c r="E171" s="54">
        <f t="shared" si="12"/>
        <v>0</v>
      </c>
      <c r="F171" s="54">
        <f t="shared" si="13"/>
        <v>0</v>
      </c>
      <c r="G171" s="54">
        <f t="shared" si="14"/>
        <v>1</v>
      </c>
      <c r="H171" s="54">
        <f t="shared" si="15"/>
        <v>437</v>
      </c>
      <c r="I171" s="56" t="str">
        <f>IFERROR(INDEX($A$2:$A$501,MATCH(SMALL($H$2:$H$501,ROWS($I$2:I171)+$G$502),$H$2:$H$501,0)),"")</f>
        <v/>
      </c>
      <c r="J171">
        <f t="shared" si="16"/>
        <v>107</v>
      </c>
      <c r="K171" t="str">
        <f t="array" ref="K171">INDEX($B$2:$B$501,SMALL(IF($A$2:$A$501=I171,ROW($A$2:$A$501)-ROW(INDEX($A$2:$A$501,1,1))+1),J171))</f>
        <v/>
      </c>
      <c r="L171" t="str">
        <f t="array" ref="L171">INDEX($C$2:$C$501,SMALL(IF($A$2:$A$501=I171,ROW($A$2:$A$501)-ROW(INDEX($A$2:$A$501,1,1))+1),J171))</f>
        <v/>
      </c>
      <c r="N171" t="str">
        <f t="shared" si="17"/>
        <v/>
      </c>
      <c r="S171" s="10">
        <v>170</v>
      </c>
      <c r="T171" s="10" t="str">
        <f t="array" ref="T171">IFERROR(INDEX(A$2:$A$501,MATCH(0,COUNTIF($T$1:T170,A$2:$A$501),0)),"")</f>
        <v/>
      </c>
      <c r="U171" s="10">
        <f>IFERROR(MATCH(T171,I$2:$I$501,0),"")</f>
        <v>64</v>
      </c>
      <c r="V171" s="10">
        <f>COUNTIF(I$2:$I$501,T171)</f>
        <v>437</v>
      </c>
      <c r="W171" s="10"/>
      <c r="X171" s="10"/>
    </row>
    <row r="172" spans="1:24" x14ac:dyDescent="0.25">
      <c r="A172" t="str">
        <f>IF(Tests!B173="","",Tests!B173)</f>
        <v/>
      </c>
      <c r="B172" t="str">
        <f>IF(Tests!D173="","",Tests!D173)</f>
        <v/>
      </c>
      <c r="C172" t="str">
        <f>IF(Tests!E173="","",Tests!E173)</f>
        <v/>
      </c>
      <c r="E172" s="54">
        <f t="shared" si="12"/>
        <v>0</v>
      </c>
      <c r="F172" s="54">
        <f t="shared" si="13"/>
        <v>0</v>
      </c>
      <c r="G172" s="54">
        <f t="shared" si="14"/>
        <v>1</v>
      </c>
      <c r="H172" s="54">
        <f t="shared" si="15"/>
        <v>437</v>
      </c>
      <c r="I172" s="56" t="str">
        <f>IFERROR(INDEX($A$2:$A$501,MATCH(SMALL($H$2:$H$501,ROWS($I$2:I172)+$G$502),$H$2:$H$501,0)),"")</f>
        <v/>
      </c>
      <c r="J172">
        <f t="shared" si="16"/>
        <v>108</v>
      </c>
      <c r="K172" t="str">
        <f t="array" ref="K172">INDEX($B$2:$B$501,SMALL(IF($A$2:$A$501=I172,ROW($A$2:$A$501)-ROW(INDEX($A$2:$A$501,1,1))+1),J172))</f>
        <v/>
      </c>
      <c r="L172" t="str">
        <f t="array" ref="L172">INDEX($C$2:$C$501,SMALL(IF($A$2:$A$501=I172,ROW($A$2:$A$501)-ROW(INDEX($A$2:$A$501,1,1))+1),J172))</f>
        <v/>
      </c>
      <c r="N172" t="str">
        <f t="shared" si="17"/>
        <v/>
      </c>
      <c r="S172" s="10">
        <v>171</v>
      </c>
      <c r="T172" s="10" t="str">
        <f t="array" ref="T172">IFERROR(INDEX(A$2:$A$501,MATCH(0,COUNTIF($T$1:T171,A$2:$A$501),0)),"")</f>
        <v/>
      </c>
      <c r="U172" s="10">
        <f>IFERROR(MATCH(T172,I$2:$I$501,0),"")</f>
        <v>64</v>
      </c>
      <c r="V172" s="10">
        <f>COUNTIF(I$2:$I$501,T172)</f>
        <v>437</v>
      </c>
      <c r="W172" s="10"/>
      <c r="X172" s="10"/>
    </row>
    <row r="173" spans="1:24" x14ac:dyDescent="0.25">
      <c r="A173" t="str">
        <f>IF(Tests!B174="","",Tests!B174)</f>
        <v/>
      </c>
      <c r="B173" t="str">
        <f>IF(Tests!D174="","",Tests!D174)</f>
        <v/>
      </c>
      <c r="C173" t="str">
        <f>IF(Tests!E174="","",Tests!E174)</f>
        <v/>
      </c>
      <c r="E173" s="54">
        <f t="shared" si="12"/>
        <v>0</v>
      </c>
      <c r="F173" s="54">
        <f t="shared" si="13"/>
        <v>0</v>
      </c>
      <c r="G173" s="54">
        <f t="shared" si="14"/>
        <v>1</v>
      </c>
      <c r="H173" s="54">
        <f t="shared" si="15"/>
        <v>437</v>
      </c>
      <c r="I173" s="56" t="str">
        <f>IFERROR(INDEX($A$2:$A$501,MATCH(SMALL($H$2:$H$501,ROWS($I$2:I173)+$G$502),$H$2:$H$501,0)),"")</f>
        <v/>
      </c>
      <c r="J173">
        <f t="shared" si="16"/>
        <v>109</v>
      </c>
      <c r="K173" t="str">
        <f t="array" ref="K173">INDEX($B$2:$B$501,SMALL(IF($A$2:$A$501=I173,ROW($A$2:$A$501)-ROW(INDEX($A$2:$A$501,1,1))+1),J173))</f>
        <v/>
      </c>
      <c r="L173" t="str">
        <f t="array" ref="L173">INDEX($C$2:$C$501,SMALL(IF($A$2:$A$501=I173,ROW($A$2:$A$501)-ROW(INDEX($A$2:$A$501,1,1))+1),J173))</f>
        <v/>
      </c>
      <c r="N173" t="str">
        <f t="shared" si="17"/>
        <v/>
      </c>
      <c r="S173" s="10">
        <v>172</v>
      </c>
      <c r="T173" s="10" t="str">
        <f t="array" ref="T173">IFERROR(INDEX(A$2:$A$501,MATCH(0,COUNTIF($T$1:T172,A$2:$A$501),0)),"")</f>
        <v/>
      </c>
      <c r="U173" s="10">
        <f>IFERROR(MATCH(T173,I$2:$I$501,0),"")</f>
        <v>64</v>
      </c>
      <c r="V173" s="10">
        <f>COUNTIF(I$2:$I$501,T173)</f>
        <v>437</v>
      </c>
      <c r="W173" s="10"/>
      <c r="X173" s="10"/>
    </row>
    <row r="174" spans="1:24" x14ac:dyDescent="0.25">
      <c r="A174" t="str">
        <f>IF(Tests!B175="","",Tests!B175)</f>
        <v/>
      </c>
      <c r="B174" t="str">
        <f>IF(Tests!D175="","",Tests!D175)</f>
        <v/>
      </c>
      <c r="C174" t="str">
        <f>IF(Tests!E175="","",Tests!E175)</f>
        <v/>
      </c>
      <c r="E174" s="54">
        <f t="shared" si="12"/>
        <v>0</v>
      </c>
      <c r="F174" s="54">
        <f t="shared" si="13"/>
        <v>0</v>
      </c>
      <c r="G174" s="54">
        <f t="shared" si="14"/>
        <v>1</v>
      </c>
      <c r="H174" s="54">
        <f t="shared" si="15"/>
        <v>437</v>
      </c>
      <c r="I174" s="56" t="str">
        <f>IFERROR(INDEX($A$2:$A$501,MATCH(SMALL($H$2:$H$501,ROWS($I$2:I174)+$G$502),$H$2:$H$501,0)),"")</f>
        <v/>
      </c>
      <c r="J174">
        <f t="shared" si="16"/>
        <v>110</v>
      </c>
      <c r="K174" t="str">
        <f t="array" ref="K174">INDEX($B$2:$B$501,SMALL(IF($A$2:$A$501=I174,ROW($A$2:$A$501)-ROW(INDEX($A$2:$A$501,1,1))+1),J174))</f>
        <v/>
      </c>
      <c r="L174" t="str">
        <f t="array" ref="L174">INDEX($C$2:$C$501,SMALL(IF($A$2:$A$501=I174,ROW($A$2:$A$501)-ROW(INDEX($A$2:$A$501,1,1))+1),J174))</f>
        <v/>
      </c>
      <c r="N174" t="str">
        <f t="shared" si="17"/>
        <v/>
      </c>
      <c r="S174" s="10">
        <v>173</v>
      </c>
      <c r="T174" s="10" t="str">
        <f t="array" ref="T174">IFERROR(INDEX(A$2:$A$501,MATCH(0,COUNTIF($T$1:T173,A$2:$A$501),0)),"")</f>
        <v/>
      </c>
      <c r="U174" s="10">
        <f>IFERROR(MATCH(T174,I$2:$I$501,0),"")</f>
        <v>64</v>
      </c>
      <c r="V174" s="10">
        <f>COUNTIF(I$2:$I$501,T174)</f>
        <v>437</v>
      </c>
      <c r="W174" s="10"/>
      <c r="X174" s="10"/>
    </row>
    <row r="175" spans="1:24" x14ac:dyDescent="0.25">
      <c r="A175" t="str">
        <f>IF(Tests!B176="","",Tests!B176)</f>
        <v/>
      </c>
      <c r="B175" t="str">
        <f>IF(Tests!D176="","",Tests!D176)</f>
        <v/>
      </c>
      <c r="C175" t="str">
        <f>IF(Tests!E176="","",Tests!E176)</f>
        <v/>
      </c>
      <c r="E175" s="54">
        <f t="shared" si="12"/>
        <v>0</v>
      </c>
      <c r="F175" s="54">
        <f t="shared" si="13"/>
        <v>0</v>
      </c>
      <c r="G175" s="54">
        <f t="shared" si="14"/>
        <v>1</v>
      </c>
      <c r="H175" s="54">
        <f t="shared" si="15"/>
        <v>437</v>
      </c>
      <c r="I175" s="56" t="str">
        <f>IFERROR(INDEX($A$2:$A$501,MATCH(SMALL($H$2:$H$501,ROWS($I$2:I175)+$G$502),$H$2:$H$501,0)),"")</f>
        <v/>
      </c>
      <c r="J175">
        <f t="shared" si="16"/>
        <v>111</v>
      </c>
      <c r="K175" t="str">
        <f t="array" ref="K175">INDEX($B$2:$B$501,SMALL(IF($A$2:$A$501=I175,ROW($A$2:$A$501)-ROW(INDEX($A$2:$A$501,1,1))+1),J175))</f>
        <v/>
      </c>
      <c r="L175" t="str">
        <f t="array" ref="L175">INDEX($C$2:$C$501,SMALL(IF($A$2:$A$501=I175,ROW($A$2:$A$501)-ROW(INDEX($A$2:$A$501,1,1))+1),J175))</f>
        <v/>
      </c>
      <c r="N175" t="str">
        <f t="shared" si="17"/>
        <v/>
      </c>
      <c r="S175" s="10">
        <v>174</v>
      </c>
      <c r="T175" s="10" t="str">
        <f t="array" ref="T175">IFERROR(INDEX(A$2:$A$501,MATCH(0,COUNTIF($T$1:T174,A$2:$A$501),0)),"")</f>
        <v/>
      </c>
      <c r="U175" s="10">
        <f>IFERROR(MATCH(T175,I$2:$I$501,0),"")</f>
        <v>64</v>
      </c>
      <c r="V175" s="10">
        <f>COUNTIF(I$2:$I$501,T175)</f>
        <v>437</v>
      </c>
      <c r="W175" s="10"/>
      <c r="X175" s="10"/>
    </row>
    <row r="176" spans="1:24" x14ac:dyDescent="0.25">
      <c r="A176" t="str">
        <f>IF(Tests!B177="","",Tests!B177)</f>
        <v/>
      </c>
      <c r="B176" t="str">
        <f>IF(Tests!D177="","",Tests!D177)</f>
        <v/>
      </c>
      <c r="C176" t="str">
        <f>IF(Tests!E177="","",Tests!E177)</f>
        <v/>
      </c>
      <c r="E176" s="54">
        <f t="shared" si="12"/>
        <v>0</v>
      </c>
      <c r="F176" s="54">
        <f t="shared" si="13"/>
        <v>0</v>
      </c>
      <c r="G176" s="54">
        <f t="shared" si="14"/>
        <v>1</v>
      </c>
      <c r="H176" s="54">
        <f t="shared" si="15"/>
        <v>437</v>
      </c>
      <c r="I176" s="56" t="str">
        <f>IFERROR(INDEX($A$2:$A$501,MATCH(SMALL($H$2:$H$501,ROWS($I$2:I176)+$G$502),$H$2:$H$501,0)),"")</f>
        <v/>
      </c>
      <c r="J176">
        <f t="shared" si="16"/>
        <v>112</v>
      </c>
      <c r="K176" t="str">
        <f t="array" ref="K176">INDEX($B$2:$B$501,SMALL(IF($A$2:$A$501=I176,ROW($A$2:$A$501)-ROW(INDEX($A$2:$A$501,1,1))+1),J176))</f>
        <v/>
      </c>
      <c r="L176" t="str">
        <f t="array" ref="L176">INDEX($C$2:$C$501,SMALL(IF($A$2:$A$501=I176,ROW($A$2:$A$501)-ROW(INDEX($A$2:$A$501,1,1))+1),J176))</f>
        <v/>
      </c>
      <c r="N176" t="str">
        <f t="shared" si="17"/>
        <v/>
      </c>
      <c r="S176" s="10">
        <v>175</v>
      </c>
      <c r="T176" s="10" t="str">
        <f t="array" ref="T176">IFERROR(INDEX(A$2:$A$501,MATCH(0,COUNTIF($T$1:T175,A$2:$A$501),0)),"")</f>
        <v/>
      </c>
      <c r="U176" s="10">
        <f>IFERROR(MATCH(T176,I$2:$I$501,0),"")</f>
        <v>64</v>
      </c>
      <c r="V176" s="10">
        <f>COUNTIF(I$2:$I$501,T176)</f>
        <v>437</v>
      </c>
      <c r="W176" s="10"/>
      <c r="X176" s="10"/>
    </row>
    <row r="177" spans="1:24" x14ac:dyDescent="0.25">
      <c r="A177" t="str">
        <f>IF(Tests!B178="","",Tests!B178)</f>
        <v/>
      </c>
      <c r="B177" t="str">
        <f>IF(Tests!D178="","",Tests!D178)</f>
        <v/>
      </c>
      <c r="C177" t="str">
        <f>IF(Tests!E178="","",Tests!E178)</f>
        <v/>
      </c>
      <c r="E177" s="54">
        <f t="shared" si="12"/>
        <v>0</v>
      </c>
      <c r="F177" s="54">
        <f t="shared" si="13"/>
        <v>0</v>
      </c>
      <c r="G177" s="54">
        <f t="shared" si="14"/>
        <v>1</v>
      </c>
      <c r="H177" s="54">
        <f t="shared" si="15"/>
        <v>437</v>
      </c>
      <c r="I177" s="56" t="str">
        <f>IFERROR(INDEX($A$2:$A$501,MATCH(SMALL($H$2:$H$501,ROWS($I$2:I177)+$G$502),$H$2:$H$501,0)),"")</f>
        <v/>
      </c>
      <c r="J177">
        <f t="shared" si="16"/>
        <v>113</v>
      </c>
      <c r="K177" t="str">
        <f t="array" ref="K177">INDEX($B$2:$B$501,SMALL(IF($A$2:$A$501=I177,ROW($A$2:$A$501)-ROW(INDEX($A$2:$A$501,1,1))+1),J177))</f>
        <v/>
      </c>
      <c r="L177" t="str">
        <f t="array" ref="L177">INDEX($C$2:$C$501,SMALL(IF($A$2:$A$501=I177,ROW($A$2:$A$501)-ROW(INDEX($A$2:$A$501,1,1))+1),J177))</f>
        <v/>
      </c>
      <c r="N177" t="str">
        <f t="shared" si="17"/>
        <v/>
      </c>
      <c r="S177" s="10">
        <v>176</v>
      </c>
      <c r="T177" s="10" t="str">
        <f t="array" ref="T177">IFERROR(INDEX(A$2:$A$501,MATCH(0,COUNTIF($T$1:T176,A$2:$A$501),0)),"")</f>
        <v/>
      </c>
      <c r="U177" s="10">
        <f>IFERROR(MATCH(T177,I$2:$I$501,0),"")</f>
        <v>64</v>
      </c>
      <c r="V177" s="10">
        <f>COUNTIF(I$2:$I$501,T177)</f>
        <v>437</v>
      </c>
      <c r="W177" s="10"/>
      <c r="X177" s="10"/>
    </row>
    <row r="178" spans="1:24" x14ac:dyDescent="0.25">
      <c r="A178" t="str">
        <f>IF(Tests!B179="","",Tests!B179)</f>
        <v/>
      </c>
      <c r="B178" t="str">
        <f>IF(Tests!D179="","",Tests!D179)</f>
        <v/>
      </c>
      <c r="C178" t="str">
        <f>IF(Tests!E179="","",Tests!E179)</f>
        <v/>
      </c>
      <c r="E178" s="54">
        <f t="shared" si="12"/>
        <v>0</v>
      </c>
      <c r="F178" s="54">
        <f t="shared" si="13"/>
        <v>0</v>
      </c>
      <c r="G178" s="54">
        <f t="shared" si="14"/>
        <v>1</v>
      </c>
      <c r="H178" s="54">
        <f t="shared" si="15"/>
        <v>437</v>
      </c>
      <c r="I178" s="56" t="str">
        <f>IFERROR(INDEX($A$2:$A$501,MATCH(SMALL($H$2:$H$501,ROWS($I$2:I178)+$G$502),$H$2:$H$501,0)),"")</f>
        <v/>
      </c>
      <c r="J178">
        <f t="shared" si="16"/>
        <v>114</v>
      </c>
      <c r="K178" t="str">
        <f t="array" ref="K178">INDEX($B$2:$B$501,SMALL(IF($A$2:$A$501=I178,ROW($A$2:$A$501)-ROW(INDEX($A$2:$A$501,1,1))+1),J178))</f>
        <v/>
      </c>
      <c r="L178" t="str">
        <f t="array" ref="L178">INDEX($C$2:$C$501,SMALL(IF($A$2:$A$501=I178,ROW($A$2:$A$501)-ROW(INDEX($A$2:$A$501,1,1))+1),J178))</f>
        <v/>
      </c>
      <c r="N178" t="str">
        <f t="shared" si="17"/>
        <v/>
      </c>
      <c r="S178" s="10">
        <v>177</v>
      </c>
      <c r="T178" s="10" t="str">
        <f t="array" ref="T178">IFERROR(INDEX(A$2:$A$501,MATCH(0,COUNTIF($T$1:T177,A$2:$A$501),0)),"")</f>
        <v/>
      </c>
      <c r="U178" s="10">
        <f>IFERROR(MATCH(T178,I$2:$I$501,0),"")</f>
        <v>64</v>
      </c>
      <c r="V178" s="10">
        <f>COUNTIF(I$2:$I$501,T178)</f>
        <v>437</v>
      </c>
      <c r="W178" s="10"/>
      <c r="X178" s="10"/>
    </row>
    <row r="179" spans="1:24" x14ac:dyDescent="0.25">
      <c r="A179" t="str">
        <f>IF(Tests!B180="","",Tests!B180)</f>
        <v/>
      </c>
      <c r="B179" t="str">
        <f>IF(Tests!D180="","",Tests!D180)</f>
        <v/>
      </c>
      <c r="C179" t="str">
        <f>IF(Tests!E180="","",Tests!E180)</f>
        <v/>
      </c>
      <c r="E179" s="54">
        <f t="shared" si="12"/>
        <v>0</v>
      </c>
      <c r="F179" s="54">
        <f t="shared" si="13"/>
        <v>0</v>
      </c>
      <c r="G179" s="54">
        <f t="shared" si="14"/>
        <v>1</v>
      </c>
      <c r="H179" s="54">
        <f t="shared" si="15"/>
        <v>437</v>
      </c>
      <c r="I179" s="56" t="str">
        <f>IFERROR(INDEX($A$2:$A$501,MATCH(SMALL($H$2:$H$501,ROWS($I$2:I179)+$G$502),$H$2:$H$501,0)),"")</f>
        <v/>
      </c>
      <c r="J179">
        <f t="shared" si="16"/>
        <v>115</v>
      </c>
      <c r="K179" t="str">
        <f t="array" ref="K179">INDEX($B$2:$B$501,SMALL(IF($A$2:$A$501=I179,ROW($A$2:$A$501)-ROW(INDEX($A$2:$A$501,1,1))+1),J179))</f>
        <v/>
      </c>
      <c r="L179" t="str">
        <f t="array" ref="L179">INDEX($C$2:$C$501,SMALL(IF($A$2:$A$501=I179,ROW($A$2:$A$501)-ROW(INDEX($A$2:$A$501,1,1))+1),J179))</f>
        <v/>
      </c>
      <c r="N179" t="str">
        <f t="shared" si="17"/>
        <v/>
      </c>
      <c r="S179" s="10">
        <v>178</v>
      </c>
      <c r="T179" s="10" t="str">
        <f t="array" ref="T179">IFERROR(INDEX(A$2:$A$501,MATCH(0,COUNTIF($T$1:T178,A$2:$A$501),0)),"")</f>
        <v/>
      </c>
      <c r="U179" s="10">
        <f>IFERROR(MATCH(T179,I$2:$I$501,0),"")</f>
        <v>64</v>
      </c>
      <c r="V179" s="10">
        <f>COUNTIF(I$2:$I$501,T179)</f>
        <v>437</v>
      </c>
      <c r="W179" s="10"/>
      <c r="X179" s="10"/>
    </row>
    <row r="180" spans="1:24" x14ac:dyDescent="0.25">
      <c r="A180" t="str">
        <f>IF(Tests!B181="","",Tests!B181)</f>
        <v/>
      </c>
      <c r="B180" t="str">
        <f>IF(Tests!D181="","",Tests!D181)</f>
        <v/>
      </c>
      <c r="C180" t="str">
        <f>IF(Tests!E181="","",Tests!E181)</f>
        <v/>
      </c>
      <c r="E180" s="54">
        <f t="shared" si="12"/>
        <v>0</v>
      </c>
      <c r="F180" s="54">
        <f t="shared" si="13"/>
        <v>0</v>
      </c>
      <c r="G180" s="54">
        <f t="shared" si="14"/>
        <v>1</v>
      </c>
      <c r="H180" s="54">
        <f t="shared" si="15"/>
        <v>437</v>
      </c>
      <c r="I180" s="56" t="str">
        <f>IFERROR(INDEX($A$2:$A$501,MATCH(SMALL($H$2:$H$501,ROWS($I$2:I180)+$G$502),$H$2:$H$501,0)),"")</f>
        <v/>
      </c>
      <c r="J180">
        <f t="shared" si="16"/>
        <v>116</v>
      </c>
      <c r="K180" t="str">
        <f t="array" ref="K180">INDEX($B$2:$B$501,SMALL(IF($A$2:$A$501=I180,ROW($A$2:$A$501)-ROW(INDEX($A$2:$A$501,1,1))+1),J180))</f>
        <v/>
      </c>
      <c r="L180" t="str">
        <f t="array" ref="L180">INDEX($C$2:$C$501,SMALL(IF($A$2:$A$501=I180,ROW($A$2:$A$501)-ROW(INDEX($A$2:$A$501,1,1))+1),J180))</f>
        <v/>
      </c>
      <c r="N180" t="str">
        <f t="shared" si="17"/>
        <v/>
      </c>
      <c r="S180" s="10">
        <v>179</v>
      </c>
      <c r="T180" s="10" t="str">
        <f t="array" ref="T180">IFERROR(INDEX(A$2:$A$501,MATCH(0,COUNTIF($T$1:T179,A$2:$A$501),0)),"")</f>
        <v/>
      </c>
      <c r="U180" s="10">
        <f>IFERROR(MATCH(T180,I$2:$I$501,0),"")</f>
        <v>64</v>
      </c>
      <c r="V180" s="10">
        <f>COUNTIF(I$2:$I$501,T180)</f>
        <v>437</v>
      </c>
      <c r="W180" s="10"/>
      <c r="X180" s="10"/>
    </row>
    <row r="181" spans="1:24" x14ac:dyDescent="0.25">
      <c r="A181" t="str">
        <f>IF(Tests!B182="","",Tests!B182)</f>
        <v/>
      </c>
      <c r="B181" t="str">
        <f>IF(Tests!D182="","",Tests!D182)</f>
        <v/>
      </c>
      <c r="C181" t="str">
        <f>IF(Tests!E182="","",Tests!E182)</f>
        <v/>
      </c>
      <c r="E181" s="54">
        <f t="shared" si="12"/>
        <v>0</v>
      </c>
      <c r="F181" s="54">
        <f t="shared" si="13"/>
        <v>0</v>
      </c>
      <c r="G181" s="54">
        <f t="shared" si="14"/>
        <v>1</v>
      </c>
      <c r="H181" s="54">
        <f t="shared" si="15"/>
        <v>437</v>
      </c>
      <c r="I181" s="56" t="str">
        <f>IFERROR(INDEX($A$2:$A$501,MATCH(SMALL($H$2:$H$501,ROWS($I$2:I181)+$G$502),$H$2:$H$501,0)),"")</f>
        <v/>
      </c>
      <c r="J181">
        <f t="shared" si="16"/>
        <v>117</v>
      </c>
      <c r="K181" t="str">
        <f t="array" ref="K181">INDEX($B$2:$B$501,SMALL(IF($A$2:$A$501=I181,ROW($A$2:$A$501)-ROW(INDEX($A$2:$A$501,1,1))+1),J181))</f>
        <v/>
      </c>
      <c r="L181" t="str">
        <f t="array" ref="L181">INDEX($C$2:$C$501,SMALL(IF($A$2:$A$501=I181,ROW($A$2:$A$501)-ROW(INDEX($A$2:$A$501,1,1))+1),J181))</f>
        <v/>
      </c>
      <c r="N181" t="str">
        <f t="shared" si="17"/>
        <v/>
      </c>
      <c r="S181" s="10">
        <v>180</v>
      </c>
      <c r="T181" s="10" t="str">
        <f t="array" ref="T181">IFERROR(INDEX(A$2:$A$501,MATCH(0,COUNTIF($T$1:T180,A$2:$A$501),0)),"")</f>
        <v/>
      </c>
      <c r="U181" s="10">
        <f>IFERROR(MATCH(T181,I$2:$I$501,0),"")</f>
        <v>64</v>
      </c>
      <c r="V181" s="10">
        <f>COUNTIF(I$2:$I$501,T181)</f>
        <v>437</v>
      </c>
      <c r="W181" s="10"/>
      <c r="X181" s="10"/>
    </row>
    <row r="182" spans="1:24" x14ac:dyDescent="0.25">
      <c r="A182" t="str">
        <f>IF(Tests!B183="","",Tests!B183)</f>
        <v/>
      </c>
      <c r="B182" t="str">
        <f>IF(Tests!D183="","",Tests!D183)</f>
        <v/>
      </c>
      <c r="C182" t="str">
        <f>IF(Tests!E183="","",Tests!E183)</f>
        <v/>
      </c>
      <c r="E182" s="54">
        <f t="shared" si="12"/>
        <v>0</v>
      </c>
      <c r="F182" s="54">
        <f t="shared" si="13"/>
        <v>0</v>
      </c>
      <c r="G182" s="54">
        <f t="shared" si="14"/>
        <v>1</v>
      </c>
      <c r="H182" s="54">
        <f t="shared" si="15"/>
        <v>437</v>
      </c>
      <c r="I182" s="56" t="str">
        <f>IFERROR(INDEX($A$2:$A$501,MATCH(SMALL($H$2:$H$501,ROWS($I$2:I182)+$G$502),$H$2:$H$501,0)),"")</f>
        <v/>
      </c>
      <c r="J182">
        <f t="shared" si="16"/>
        <v>118</v>
      </c>
      <c r="K182" t="str">
        <f t="array" ref="K182">INDEX($B$2:$B$501,SMALL(IF($A$2:$A$501=I182,ROW($A$2:$A$501)-ROW(INDEX($A$2:$A$501,1,1))+1),J182))</f>
        <v/>
      </c>
      <c r="L182" t="str">
        <f t="array" ref="L182">INDEX($C$2:$C$501,SMALL(IF($A$2:$A$501=I182,ROW($A$2:$A$501)-ROW(INDEX($A$2:$A$501,1,1))+1),J182))</f>
        <v/>
      </c>
      <c r="N182" t="str">
        <f t="shared" si="17"/>
        <v/>
      </c>
      <c r="S182" s="10">
        <v>181</v>
      </c>
      <c r="T182" s="10" t="str">
        <f t="array" ref="T182">IFERROR(INDEX(A$2:$A$501,MATCH(0,COUNTIF($T$1:T181,A$2:$A$501),0)),"")</f>
        <v/>
      </c>
      <c r="U182" s="10">
        <f>IFERROR(MATCH(T182,I$2:$I$501,0),"")</f>
        <v>64</v>
      </c>
      <c r="V182" s="10">
        <f>COUNTIF(I$2:$I$501,T182)</f>
        <v>437</v>
      </c>
      <c r="W182" s="10"/>
      <c r="X182" s="10"/>
    </row>
    <row r="183" spans="1:24" x14ac:dyDescent="0.25">
      <c r="A183" t="str">
        <f>IF(Tests!B184="","",Tests!B184)</f>
        <v/>
      </c>
      <c r="B183" t="str">
        <f>IF(Tests!D184="","",Tests!D184)</f>
        <v/>
      </c>
      <c r="C183" t="str">
        <f>IF(Tests!E184="","",Tests!E184)</f>
        <v/>
      </c>
      <c r="E183" s="54">
        <f t="shared" si="12"/>
        <v>0</v>
      </c>
      <c r="F183" s="54">
        <f t="shared" si="13"/>
        <v>0</v>
      </c>
      <c r="G183" s="54">
        <f t="shared" si="14"/>
        <v>1</v>
      </c>
      <c r="H183" s="54">
        <f t="shared" si="15"/>
        <v>437</v>
      </c>
      <c r="I183" s="56" t="str">
        <f>IFERROR(INDEX($A$2:$A$501,MATCH(SMALL($H$2:$H$501,ROWS($I$2:I183)+$G$502),$H$2:$H$501,0)),"")</f>
        <v/>
      </c>
      <c r="J183">
        <f t="shared" si="16"/>
        <v>119</v>
      </c>
      <c r="K183" t="str">
        <f t="array" ref="K183">INDEX($B$2:$B$501,SMALL(IF($A$2:$A$501=I183,ROW($A$2:$A$501)-ROW(INDEX($A$2:$A$501,1,1))+1),J183))</f>
        <v/>
      </c>
      <c r="L183" t="str">
        <f t="array" ref="L183">INDEX($C$2:$C$501,SMALL(IF($A$2:$A$501=I183,ROW($A$2:$A$501)-ROW(INDEX($A$2:$A$501,1,1))+1),J183))</f>
        <v/>
      </c>
      <c r="N183" t="str">
        <f t="shared" si="17"/>
        <v/>
      </c>
      <c r="S183" s="10">
        <v>182</v>
      </c>
      <c r="T183" s="10" t="str">
        <f t="array" ref="T183">IFERROR(INDEX(A$2:$A$501,MATCH(0,COUNTIF($T$1:T182,A$2:$A$501),0)),"")</f>
        <v/>
      </c>
      <c r="U183" s="10">
        <f>IFERROR(MATCH(T183,I$2:$I$501,0),"")</f>
        <v>64</v>
      </c>
      <c r="V183" s="10">
        <f>COUNTIF(I$2:$I$501,T183)</f>
        <v>437</v>
      </c>
      <c r="W183" s="10"/>
      <c r="X183" s="10"/>
    </row>
    <row r="184" spans="1:24" x14ac:dyDescent="0.25">
      <c r="A184" t="str">
        <f>IF(Tests!B185="","",Tests!B185)</f>
        <v/>
      </c>
      <c r="B184" t="str">
        <f>IF(Tests!D185="","",Tests!D185)</f>
        <v/>
      </c>
      <c r="C184" t="str">
        <f>IF(Tests!E185="","",Tests!E185)</f>
        <v/>
      </c>
      <c r="E184" s="54">
        <f t="shared" si="12"/>
        <v>0</v>
      </c>
      <c r="F184" s="54">
        <f t="shared" si="13"/>
        <v>0</v>
      </c>
      <c r="G184" s="54">
        <f t="shared" si="14"/>
        <v>1</v>
      </c>
      <c r="H184" s="54">
        <f t="shared" si="15"/>
        <v>437</v>
      </c>
      <c r="I184" s="56" t="str">
        <f>IFERROR(INDEX($A$2:$A$501,MATCH(SMALL($H$2:$H$501,ROWS($I$2:I184)+$G$502),$H$2:$H$501,0)),"")</f>
        <v/>
      </c>
      <c r="J184">
        <f t="shared" si="16"/>
        <v>120</v>
      </c>
      <c r="K184" t="str">
        <f t="array" ref="K184">INDEX($B$2:$B$501,SMALL(IF($A$2:$A$501=I184,ROW($A$2:$A$501)-ROW(INDEX($A$2:$A$501,1,1))+1),J184))</f>
        <v/>
      </c>
      <c r="L184" t="str">
        <f t="array" ref="L184">INDEX($C$2:$C$501,SMALL(IF($A$2:$A$501=I184,ROW($A$2:$A$501)-ROW(INDEX($A$2:$A$501,1,1))+1),J184))</f>
        <v/>
      </c>
      <c r="N184" t="str">
        <f t="shared" si="17"/>
        <v/>
      </c>
      <c r="S184" s="10">
        <v>183</v>
      </c>
      <c r="T184" s="10" t="str">
        <f t="array" ref="T184">IFERROR(INDEX(A$2:$A$501,MATCH(0,COUNTIF($T$1:T183,A$2:$A$501),0)),"")</f>
        <v/>
      </c>
      <c r="U184" s="10">
        <f>IFERROR(MATCH(T184,I$2:$I$501,0),"")</f>
        <v>64</v>
      </c>
      <c r="V184" s="10">
        <f>COUNTIF(I$2:$I$501,T184)</f>
        <v>437</v>
      </c>
      <c r="W184" s="10"/>
      <c r="X184" s="10"/>
    </row>
    <row r="185" spans="1:24" x14ac:dyDescent="0.25">
      <c r="A185" t="str">
        <f>IF(Tests!B186="","",Tests!B186)</f>
        <v/>
      </c>
      <c r="B185" t="str">
        <f>IF(Tests!D186="","",Tests!D186)</f>
        <v/>
      </c>
      <c r="C185" t="str">
        <f>IF(Tests!E186="","",Tests!E186)</f>
        <v/>
      </c>
      <c r="E185" s="54">
        <f t="shared" si="12"/>
        <v>0</v>
      </c>
      <c r="F185" s="54">
        <f t="shared" si="13"/>
        <v>0</v>
      </c>
      <c r="G185" s="54">
        <f t="shared" si="14"/>
        <v>1</v>
      </c>
      <c r="H185" s="54">
        <f t="shared" si="15"/>
        <v>437</v>
      </c>
      <c r="I185" s="56" t="str">
        <f>IFERROR(INDEX($A$2:$A$501,MATCH(SMALL($H$2:$H$501,ROWS($I$2:I185)+$G$502),$H$2:$H$501,0)),"")</f>
        <v/>
      </c>
      <c r="J185">
        <f t="shared" si="16"/>
        <v>121</v>
      </c>
      <c r="K185" t="str">
        <f t="array" ref="K185">INDEX($B$2:$B$501,SMALL(IF($A$2:$A$501=I185,ROW($A$2:$A$501)-ROW(INDEX($A$2:$A$501,1,1))+1),J185))</f>
        <v/>
      </c>
      <c r="L185" t="str">
        <f t="array" ref="L185">INDEX($C$2:$C$501,SMALL(IF($A$2:$A$501=I185,ROW($A$2:$A$501)-ROW(INDEX($A$2:$A$501,1,1))+1),J185))</f>
        <v/>
      </c>
      <c r="N185" t="str">
        <f t="shared" si="17"/>
        <v/>
      </c>
      <c r="S185" s="10">
        <v>184</v>
      </c>
      <c r="T185" s="10" t="str">
        <f t="array" ref="T185">IFERROR(INDEX(A$2:$A$501,MATCH(0,COUNTIF($T$1:T184,A$2:$A$501),0)),"")</f>
        <v/>
      </c>
      <c r="U185" s="10">
        <f>IFERROR(MATCH(T185,I$2:$I$501,0),"")</f>
        <v>64</v>
      </c>
      <c r="V185" s="10">
        <f>COUNTIF(I$2:$I$501,T185)</f>
        <v>437</v>
      </c>
      <c r="W185" s="10"/>
      <c r="X185" s="10"/>
    </row>
    <row r="186" spans="1:24" x14ac:dyDescent="0.25">
      <c r="A186" t="str">
        <f>IF(Tests!B187="","",Tests!B187)</f>
        <v/>
      </c>
      <c r="B186" t="str">
        <f>IF(Tests!D187="","",Tests!D187)</f>
        <v/>
      </c>
      <c r="C186" t="str">
        <f>IF(Tests!E187="","",Tests!E187)</f>
        <v/>
      </c>
      <c r="E186" s="54">
        <f t="shared" si="12"/>
        <v>0</v>
      </c>
      <c r="F186" s="54">
        <f t="shared" si="13"/>
        <v>0</v>
      </c>
      <c r="G186" s="54">
        <f t="shared" si="14"/>
        <v>1</v>
      </c>
      <c r="H186" s="54">
        <f t="shared" si="15"/>
        <v>437</v>
      </c>
      <c r="I186" s="56" t="str">
        <f>IFERROR(INDEX($A$2:$A$501,MATCH(SMALL($H$2:$H$501,ROWS($I$2:I186)+$G$502),$H$2:$H$501,0)),"")</f>
        <v/>
      </c>
      <c r="J186">
        <f t="shared" si="16"/>
        <v>122</v>
      </c>
      <c r="K186" t="str">
        <f t="array" ref="K186">INDEX($B$2:$B$501,SMALL(IF($A$2:$A$501=I186,ROW($A$2:$A$501)-ROW(INDEX($A$2:$A$501,1,1))+1),J186))</f>
        <v/>
      </c>
      <c r="L186" t="str">
        <f t="array" ref="L186">INDEX($C$2:$C$501,SMALL(IF($A$2:$A$501=I186,ROW($A$2:$A$501)-ROW(INDEX($A$2:$A$501,1,1))+1),J186))</f>
        <v/>
      </c>
      <c r="N186" t="str">
        <f t="shared" si="17"/>
        <v/>
      </c>
      <c r="S186" s="10">
        <v>185</v>
      </c>
      <c r="T186" s="10" t="str">
        <f t="array" ref="T186">IFERROR(INDEX(A$2:$A$501,MATCH(0,COUNTIF($T$1:T185,A$2:$A$501),0)),"")</f>
        <v/>
      </c>
      <c r="U186" s="10">
        <f>IFERROR(MATCH(T186,I$2:$I$501,0),"")</f>
        <v>64</v>
      </c>
      <c r="V186" s="10">
        <f>COUNTIF(I$2:$I$501,T186)</f>
        <v>437</v>
      </c>
      <c r="W186" s="10"/>
      <c r="X186" s="10"/>
    </row>
    <row r="187" spans="1:24" x14ac:dyDescent="0.25">
      <c r="A187" t="str">
        <f>IF(Tests!B188="","",Tests!B188)</f>
        <v/>
      </c>
      <c r="B187" t="str">
        <f>IF(Tests!D188="","",Tests!D188)</f>
        <v/>
      </c>
      <c r="C187" t="str">
        <f>IF(Tests!E188="","",Tests!E188)</f>
        <v/>
      </c>
      <c r="E187" s="54">
        <f t="shared" si="12"/>
        <v>0</v>
      </c>
      <c r="F187" s="54">
        <f t="shared" si="13"/>
        <v>0</v>
      </c>
      <c r="G187" s="54">
        <f t="shared" si="14"/>
        <v>1</v>
      </c>
      <c r="H187" s="54">
        <f t="shared" si="15"/>
        <v>437</v>
      </c>
      <c r="I187" s="56" t="str">
        <f>IFERROR(INDEX($A$2:$A$501,MATCH(SMALL($H$2:$H$501,ROWS($I$2:I187)+$G$502),$H$2:$H$501,0)),"")</f>
        <v/>
      </c>
      <c r="J187">
        <f t="shared" si="16"/>
        <v>123</v>
      </c>
      <c r="K187" t="str">
        <f t="array" ref="K187">INDEX($B$2:$B$501,SMALL(IF($A$2:$A$501=I187,ROW($A$2:$A$501)-ROW(INDEX($A$2:$A$501,1,1))+1),J187))</f>
        <v/>
      </c>
      <c r="L187" t="str">
        <f t="array" ref="L187">INDEX($C$2:$C$501,SMALL(IF($A$2:$A$501=I187,ROW($A$2:$A$501)-ROW(INDEX($A$2:$A$501,1,1))+1),J187))</f>
        <v/>
      </c>
      <c r="N187" t="str">
        <f t="shared" si="17"/>
        <v/>
      </c>
      <c r="S187" s="10">
        <v>186</v>
      </c>
      <c r="T187" s="10" t="str">
        <f t="array" ref="T187">IFERROR(INDEX(A$2:$A$501,MATCH(0,COUNTIF($T$1:T186,A$2:$A$501),0)),"")</f>
        <v/>
      </c>
      <c r="U187" s="10">
        <f>IFERROR(MATCH(T187,I$2:$I$501,0),"")</f>
        <v>64</v>
      </c>
      <c r="V187" s="10">
        <f>COUNTIF(I$2:$I$501,T187)</f>
        <v>437</v>
      </c>
      <c r="W187" s="10"/>
      <c r="X187" s="10"/>
    </row>
    <row r="188" spans="1:24" x14ac:dyDescent="0.25">
      <c r="A188" t="str">
        <f>IF(Tests!B189="","",Tests!B189)</f>
        <v/>
      </c>
      <c r="B188" t="str">
        <f>IF(Tests!D189="","",Tests!D189)</f>
        <v/>
      </c>
      <c r="C188" t="str">
        <f>IF(Tests!E189="","",Tests!E189)</f>
        <v/>
      </c>
      <c r="E188" s="54">
        <f t="shared" si="12"/>
        <v>0</v>
      </c>
      <c r="F188" s="54">
        <f t="shared" si="13"/>
        <v>0</v>
      </c>
      <c r="G188" s="54">
        <f t="shared" si="14"/>
        <v>1</v>
      </c>
      <c r="H188" s="54">
        <f t="shared" si="15"/>
        <v>437</v>
      </c>
      <c r="I188" s="56" t="str">
        <f>IFERROR(INDEX($A$2:$A$501,MATCH(SMALL($H$2:$H$501,ROWS($I$2:I188)+$G$502),$H$2:$H$501,0)),"")</f>
        <v/>
      </c>
      <c r="J188">
        <f t="shared" si="16"/>
        <v>124</v>
      </c>
      <c r="K188" t="str">
        <f t="array" ref="K188">INDEX($B$2:$B$501,SMALL(IF($A$2:$A$501=I188,ROW($A$2:$A$501)-ROW(INDEX($A$2:$A$501,1,1))+1),J188))</f>
        <v/>
      </c>
      <c r="L188" t="str">
        <f t="array" ref="L188">INDEX($C$2:$C$501,SMALL(IF($A$2:$A$501=I188,ROW($A$2:$A$501)-ROW(INDEX($A$2:$A$501,1,1))+1),J188))</f>
        <v/>
      </c>
      <c r="N188" t="str">
        <f t="shared" si="17"/>
        <v/>
      </c>
      <c r="S188" s="10">
        <v>187</v>
      </c>
      <c r="T188" s="10" t="str">
        <f t="array" ref="T188">IFERROR(INDEX(A$2:$A$501,MATCH(0,COUNTIF($T$1:T187,A$2:$A$501),0)),"")</f>
        <v/>
      </c>
      <c r="U188" s="10">
        <f>IFERROR(MATCH(T188,I$2:$I$501,0),"")</f>
        <v>64</v>
      </c>
      <c r="V188" s="10">
        <f>COUNTIF(I$2:$I$501,T188)</f>
        <v>437</v>
      </c>
      <c r="W188" s="10"/>
      <c r="X188" s="10"/>
    </row>
    <row r="189" spans="1:24" x14ac:dyDescent="0.25">
      <c r="A189" t="str">
        <f>IF(Tests!B190="","",Tests!B190)</f>
        <v/>
      </c>
      <c r="B189" t="str">
        <f>IF(Tests!D190="","",Tests!D190)</f>
        <v/>
      </c>
      <c r="C189" t="str">
        <f>IF(Tests!E190="","",Tests!E190)</f>
        <v/>
      </c>
      <c r="E189" s="54">
        <f t="shared" si="12"/>
        <v>0</v>
      </c>
      <c r="F189" s="54">
        <f t="shared" si="13"/>
        <v>0</v>
      </c>
      <c r="G189" s="54">
        <f t="shared" si="14"/>
        <v>1</v>
      </c>
      <c r="H189" s="54">
        <f t="shared" si="15"/>
        <v>437</v>
      </c>
      <c r="I189" s="56" t="str">
        <f>IFERROR(INDEX($A$2:$A$501,MATCH(SMALL($H$2:$H$501,ROWS($I$2:I189)+$G$502),$H$2:$H$501,0)),"")</f>
        <v/>
      </c>
      <c r="J189">
        <f t="shared" si="16"/>
        <v>125</v>
      </c>
      <c r="K189" t="str">
        <f t="array" ref="K189">INDEX($B$2:$B$501,SMALL(IF($A$2:$A$501=I189,ROW($A$2:$A$501)-ROW(INDEX($A$2:$A$501,1,1))+1),J189))</f>
        <v/>
      </c>
      <c r="L189" t="str">
        <f t="array" ref="L189">INDEX($C$2:$C$501,SMALL(IF($A$2:$A$501=I189,ROW($A$2:$A$501)-ROW(INDEX($A$2:$A$501,1,1))+1),J189))</f>
        <v/>
      </c>
      <c r="N189" t="str">
        <f t="shared" si="17"/>
        <v/>
      </c>
      <c r="S189" s="10">
        <v>188</v>
      </c>
      <c r="T189" s="10" t="str">
        <f t="array" ref="T189">IFERROR(INDEX(A$2:$A$501,MATCH(0,COUNTIF($T$1:T188,A$2:$A$501),0)),"")</f>
        <v/>
      </c>
      <c r="U189" s="10">
        <f>IFERROR(MATCH(T189,I$2:$I$501,0),"")</f>
        <v>64</v>
      </c>
      <c r="V189" s="10">
        <f>COUNTIF(I$2:$I$501,T189)</f>
        <v>437</v>
      </c>
      <c r="W189" s="10"/>
      <c r="X189" s="10"/>
    </row>
    <row r="190" spans="1:24" x14ac:dyDescent="0.25">
      <c r="A190" t="str">
        <f>IF(Tests!B191="","",Tests!B191)</f>
        <v/>
      </c>
      <c r="B190" t="str">
        <f>IF(Tests!D191="","",Tests!D191)</f>
        <v/>
      </c>
      <c r="C190" t="str">
        <f>IF(Tests!E191="","",Tests!E191)</f>
        <v/>
      </c>
      <c r="E190" s="54">
        <f t="shared" si="12"/>
        <v>0</v>
      </c>
      <c r="F190" s="54">
        <f t="shared" si="13"/>
        <v>0</v>
      </c>
      <c r="G190" s="54">
        <f t="shared" si="14"/>
        <v>1</v>
      </c>
      <c r="H190" s="54">
        <f t="shared" si="15"/>
        <v>437</v>
      </c>
      <c r="I190" s="56" t="str">
        <f>IFERROR(INDEX($A$2:$A$501,MATCH(SMALL($H$2:$H$501,ROWS($I$2:I190)+$G$502),$H$2:$H$501,0)),"")</f>
        <v/>
      </c>
      <c r="J190">
        <f t="shared" si="16"/>
        <v>126</v>
      </c>
      <c r="K190" t="str">
        <f t="array" ref="K190">INDEX($B$2:$B$501,SMALL(IF($A$2:$A$501=I190,ROW($A$2:$A$501)-ROW(INDEX($A$2:$A$501,1,1))+1),J190))</f>
        <v/>
      </c>
      <c r="L190" t="str">
        <f t="array" ref="L190">INDEX($C$2:$C$501,SMALL(IF($A$2:$A$501=I190,ROW($A$2:$A$501)-ROW(INDEX($A$2:$A$501,1,1))+1),J190))</f>
        <v/>
      </c>
      <c r="N190" t="str">
        <f t="shared" si="17"/>
        <v/>
      </c>
      <c r="S190" s="10">
        <v>189</v>
      </c>
      <c r="T190" s="10" t="str">
        <f t="array" ref="T190">IFERROR(INDEX(A$2:$A$501,MATCH(0,COUNTIF($T$1:T189,A$2:$A$501),0)),"")</f>
        <v/>
      </c>
      <c r="U190" s="10">
        <f>IFERROR(MATCH(T190,I$2:$I$501,0),"")</f>
        <v>64</v>
      </c>
      <c r="V190" s="10">
        <f>COUNTIF(I$2:$I$501,T190)</f>
        <v>437</v>
      </c>
      <c r="W190" s="10"/>
      <c r="X190" s="10"/>
    </row>
    <row r="191" spans="1:24" x14ac:dyDescent="0.25">
      <c r="A191" t="str">
        <f>IF(Tests!B192="","",Tests!B192)</f>
        <v/>
      </c>
      <c r="B191" t="str">
        <f>IF(Tests!D192="","",Tests!D192)</f>
        <v/>
      </c>
      <c r="C191" t="str">
        <f>IF(Tests!E192="","",Tests!E192)</f>
        <v/>
      </c>
      <c r="E191" s="54">
        <f t="shared" si="12"/>
        <v>0</v>
      </c>
      <c r="F191" s="54">
        <f t="shared" si="13"/>
        <v>0</v>
      </c>
      <c r="G191" s="54">
        <f t="shared" si="14"/>
        <v>1</v>
      </c>
      <c r="H191" s="54">
        <f t="shared" si="15"/>
        <v>437</v>
      </c>
      <c r="I191" s="56" t="str">
        <f>IFERROR(INDEX($A$2:$A$501,MATCH(SMALL($H$2:$H$501,ROWS($I$2:I191)+$G$502),$H$2:$H$501,0)),"")</f>
        <v/>
      </c>
      <c r="J191">
        <f t="shared" si="16"/>
        <v>127</v>
      </c>
      <c r="K191" t="str">
        <f t="array" ref="K191">INDEX($B$2:$B$501,SMALL(IF($A$2:$A$501=I191,ROW($A$2:$A$501)-ROW(INDEX($A$2:$A$501,1,1))+1),J191))</f>
        <v/>
      </c>
      <c r="L191" t="str">
        <f t="array" ref="L191">INDEX($C$2:$C$501,SMALL(IF($A$2:$A$501=I191,ROW($A$2:$A$501)-ROW(INDEX($A$2:$A$501,1,1))+1),J191))</f>
        <v/>
      </c>
      <c r="N191" t="str">
        <f t="shared" si="17"/>
        <v/>
      </c>
      <c r="S191" s="10">
        <v>190</v>
      </c>
      <c r="T191" s="10" t="str">
        <f t="array" ref="T191">IFERROR(INDEX(A$2:$A$501,MATCH(0,COUNTIF($T$1:T190,A$2:$A$501),0)),"")</f>
        <v/>
      </c>
      <c r="U191" s="10">
        <f>IFERROR(MATCH(T191,I$2:$I$501,0),"")</f>
        <v>64</v>
      </c>
      <c r="V191" s="10">
        <f>COUNTIF(I$2:$I$501,T191)</f>
        <v>437</v>
      </c>
      <c r="W191" s="10"/>
      <c r="X191" s="10"/>
    </row>
    <row r="192" spans="1:24" x14ac:dyDescent="0.25">
      <c r="A192" t="str">
        <f>IF(Tests!B193="","",Tests!B193)</f>
        <v/>
      </c>
      <c r="B192" t="str">
        <f>IF(Tests!D193="","",Tests!D193)</f>
        <v/>
      </c>
      <c r="C192" t="str">
        <f>IF(Tests!E193="","",Tests!E193)</f>
        <v/>
      </c>
      <c r="E192" s="54">
        <f t="shared" si="12"/>
        <v>0</v>
      </c>
      <c r="F192" s="54">
        <f t="shared" si="13"/>
        <v>0</v>
      </c>
      <c r="G192" s="54">
        <f t="shared" si="14"/>
        <v>1</v>
      </c>
      <c r="H192" s="54">
        <f t="shared" si="15"/>
        <v>437</v>
      </c>
      <c r="I192" s="56" t="str">
        <f>IFERROR(INDEX($A$2:$A$501,MATCH(SMALL($H$2:$H$501,ROWS($I$2:I192)+$G$502),$H$2:$H$501,0)),"")</f>
        <v/>
      </c>
      <c r="J192">
        <f t="shared" si="16"/>
        <v>128</v>
      </c>
      <c r="K192" t="str">
        <f t="array" ref="K192">INDEX($B$2:$B$501,SMALL(IF($A$2:$A$501=I192,ROW($A$2:$A$501)-ROW(INDEX($A$2:$A$501,1,1))+1),J192))</f>
        <v/>
      </c>
      <c r="L192" t="str">
        <f t="array" ref="L192">INDEX($C$2:$C$501,SMALL(IF($A$2:$A$501=I192,ROW($A$2:$A$501)-ROW(INDEX($A$2:$A$501,1,1))+1),J192))</f>
        <v/>
      </c>
      <c r="N192" t="str">
        <f t="shared" si="17"/>
        <v/>
      </c>
      <c r="S192" s="10">
        <v>191</v>
      </c>
      <c r="T192" s="10" t="str">
        <f t="array" ref="T192">IFERROR(INDEX(A$2:$A$501,MATCH(0,COUNTIF($T$1:T191,A$2:$A$501),0)),"")</f>
        <v/>
      </c>
      <c r="U192" s="10">
        <f>IFERROR(MATCH(T192,I$2:$I$501,0),"")</f>
        <v>64</v>
      </c>
      <c r="V192" s="10">
        <f>COUNTIF(I$2:$I$501,T192)</f>
        <v>437</v>
      </c>
      <c r="W192" s="10"/>
      <c r="X192" s="10"/>
    </row>
    <row r="193" spans="1:24" x14ac:dyDescent="0.25">
      <c r="A193" t="str">
        <f>IF(Tests!B194="","",Tests!B194)</f>
        <v/>
      </c>
      <c r="B193" t="str">
        <f>IF(Tests!D194="","",Tests!D194)</f>
        <v/>
      </c>
      <c r="C193" t="str">
        <f>IF(Tests!E194="","",Tests!E194)</f>
        <v/>
      </c>
      <c r="E193" s="54">
        <f t="shared" si="12"/>
        <v>0</v>
      </c>
      <c r="F193" s="54">
        <f t="shared" si="13"/>
        <v>0</v>
      </c>
      <c r="G193" s="54">
        <f t="shared" si="14"/>
        <v>1</v>
      </c>
      <c r="H193" s="54">
        <f t="shared" si="15"/>
        <v>437</v>
      </c>
      <c r="I193" s="56" t="str">
        <f>IFERROR(INDEX($A$2:$A$501,MATCH(SMALL($H$2:$H$501,ROWS($I$2:I193)+$G$502),$H$2:$H$501,0)),"")</f>
        <v/>
      </c>
      <c r="J193">
        <f t="shared" si="16"/>
        <v>129</v>
      </c>
      <c r="K193" t="str">
        <f t="array" ref="K193">INDEX($B$2:$B$501,SMALL(IF($A$2:$A$501=I193,ROW($A$2:$A$501)-ROW(INDEX($A$2:$A$501,1,1))+1),J193))</f>
        <v/>
      </c>
      <c r="L193" t="str">
        <f t="array" ref="L193">INDEX($C$2:$C$501,SMALL(IF($A$2:$A$501=I193,ROW($A$2:$A$501)-ROW(INDEX($A$2:$A$501,1,1))+1),J193))</f>
        <v/>
      </c>
      <c r="N193" t="str">
        <f t="shared" si="17"/>
        <v/>
      </c>
      <c r="S193" s="10">
        <v>192</v>
      </c>
      <c r="T193" s="10" t="str">
        <f t="array" ref="T193">IFERROR(INDEX(A$2:$A$501,MATCH(0,COUNTIF($T$1:T192,A$2:$A$501),0)),"")</f>
        <v/>
      </c>
      <c r="U193" s="10">
        <f>IFERROR(MATCH(T193,I$2:$I$501,0),"")</f>
        <v>64</v>
      </c>
      <c r="V193" s="10">
        <f>COUNTIF(I$2:$I$501,T193)</f>
        <v>437</v>
      </c>
      <c r="W193" s="10"/>
      <c r="X193" s="10"/>
    </row>
    <row r="194" spans="1:24" x14ac:dyDescent="0.25">
      <c r="A194" t="str">
        <f>IF(Tests!B195="","",Tests!B195)</f>
        <v/>
      </c>
      <c r="B194" t="str">
        <f>IF(Tests!D195="","",Tests!D195)</f>
        <v/>
      </c>
      <c r="C194" t="str">
        <f>IF(Tests!E195="","",Tests!E195)</f>
        <v/>
      </c>
      <c r="E194" s="54">
        <f t="shared" si="12"/>
        <v>0</v>
      </c>
      <c r="F194" s="54">
        <f t="shared" si="13"/>
        <v>0</v>
      </c>
      <c r="G194" s="54">
        <f t="shared" si="14"/>
        <v>1</v>
      </c>
      <c r="H194" s="54">
        <f t="shared" si="15"/>
        <v>437</v>
      </c>
      <c r="I194" s="56" t="str">
        <f>IFERROR(INDEX($A$2:$A$501,MATCH(SMALL($H$2:$H$501,ROWS($I$2:I194)+$G$502),$H$2:$H$501,0)),"")</f>
        <v/>
      </c>
      <c r="J194">
        <f t="shared" si="16"/>
        <v>130</v>
      </c>
      <c r="K194" t="str">
        <f t="array" ref="K194">INDEX($B$2:$B$501,SMALL(IF($A$2:$A$501=I194,ROW($A$2:$A$501)-ROW(INDEX($A$2:$A$501,1,1))+1),J194))</f>
        <v/>
      </c>
      <c r="L194" t="str">
        <f t="array" ref="L194">INDEX($C$2:$C$501,SMALL(IF($A$2:$A$501=I194,ROW($A$2:$A$501)-ROW(INDEX($A$2:$A$501,1,1))+1),J194))</f>
        <v/>
      </c>
      <c r="N194" t="str">
        <f t="shared" si="17"/>
        <v/>
      </c>
      <c r="S194" s="10">
        <v>193</v>
      </c>
      <c r="T194" s="10" t="str">
        <f t="array" ref="T194">IFERROR(INDEX(A$2:$A$501,MATCH(0,COUNTIF($T$1:T193,A$2:$A$501),0)),"")</f>
        <v/>
      </c>
      <c r="U194" s="10">
        <f>IFERROR(MATCH(T194,I$2:$I$501,0),"")</f>
        <v>64</v>
      </c>
      <c r="V194" s="10">
        <f>COUNTIF(I$2:$I$501,T194)</f>
        <v>437</v>
      </c>
      <c r="W194" s="10"/>
      <c r="X194" s="10"/>
    </row>
    <row r="195" spans="1:24" x14ac:dyDescent="0.25">
      <c r="A195" t="str">
        <f>IF(Tests!B196="","",Tests!B196)</f>
        <v/>
      </c>
      <c r="B195" t="str">
        <f>IF(Tests!D196="","",Tests!D196)</f>
        <v/>
      </c>
      <c r="C195" t="str">
        <f>IF(Tests!E196="","",Tests!E196)</f>
        <v/>
      </c>
      <c r="E195" s="54">
        <f t="shared" ref="E195:E258" si="18">COUNTIF($A$2:$A$501,"&lt;="&amp;A195)</f>
        <v>0</v>
      </c>
      <c r="F195" s="54">
        <f t="shared" ref="F195:F258" si="19">--ISNUMBER(A195)</f>
        <v>0</v>
      </c>
      <c r="G195" s="54">
        <f t="shared" ref="G195:G258" si="20">--(A195="")</f>
        <v>1</v>
      </c>
      <c r="H195" s="54">
        <f t="shared" ref="H195:H258" si="21">IF(ISNUMBER(A195),E195,IF(ISBLANK(A195),E195,E195+$F$502))+$G$502</f>
        <v>437</v>
      </c>
      <c r="I195" s="56" t="str">
        <f>IFERROR(INDEX($A$2:$A$501,MATCH(SMALL($H$2:$H$501,ROWS($I$2:I195)+$G$502),$H$2:$H$501,0)),"")</f>
        <v/>
      </c>
      <c r="J195">
        <f t="shared" ref="J195:J258" si="22">IF(I194=I195,J194+1,1)</f>
        <v>131</v>
      </c>
      <c r="K195" t="str">
        <f t="array" ref="K195">INDEX($B$2:$B$501,SMALL(IF($A$2:$A$501=I195,ROW($A$2:$A$501)-ROW(INDEX($A$2:$A$501,1,1))+1),J195))</f>
        <v/>
      </c>
      <c r="L195" t="str">
        <f t="array" ref="L195">INDEX($C$2:$C$501,SMALL(IF($A$2:$A$501=I195,ROW($A$2:$A$501)-ROW(INDEX($A$2:$A$501,1,1))+1),J195))</f>
        <v/>
      </c>
      <c r="N195" t="str">
        <f t="shared" ref="N195:N258" si="23">IF(K195="","",K195&amp;" ("&amp;L195&amp;")")</f>
        <v/>
      </c>
      <c r="S195" s="10">
        <v>194</v>
      </c>
      <c r="T195" s="10" t="str">
        <f t="array" ref="T195">IFERROR(INDEX(A$2:$A$501,MATCH(0,COUNTIF($T$1:T194,A$2:$A$501),0)),"")</f>
        <v/>
      </c>
      <c r="U195" s="10">
        <f>IFERROR(MATCH(T195,I$2:$I$501,0),"")</f>
        <v>64</v>
      </c>
      <c r="V195" s="10">
        <f>COUNTIF(I$2:$I$501,T195)</f>
        <v>437</v>
      </c>
      <c r="W195" s="10"/>
      <c r="X195" s="10"/>
    </row>
    <row r="196" spans="1:24" x14ac:dyDescent="0.25">
      <c r="A196" t="str">
        <f>IF(Tests!B197="","",Tests!B197)</f>
        <v/>
      </c>
      <c r="B196" t="str">
        <f>IF(Tests!D197="","",Tests!D197)</f>
        <v/>
      </c>
      <c r="C196" t="str">
        <f>IF(Tests!E197="","",Tests!E197)</f>
        <v/>
      </c>
      <c r="E196" s="54">
        <f t="shared" si="18"/>
        <v>0</v>
      </c>
      <c r="F196" s="54">
        <f t="shared" si="19"/>
        <v>0</v>
      </c>
      <c r="G196" s="54">
        <f t="shared" si="20"/>
        <v>1</v>
      </c>
      <c r="H196" s="54">
        <f t="shared" si="21"/>
        <v>437</v>
      </c>
      <c r="I196" s="56" t="str">
        <f>IFERROR(INDEX($A$2:$A$501,MATCH(SMALL($H$2:$H$501,ROWS($I$2:I196)+$G$502),$H$2:$H$501,0)),"")</f>
        <v/>
      </c>
      <c r="J196">
        <f t="shared" si="22"/>
        <v>132</v>
      </c>
      <c r="K196" t="str">
        <f t="array" ref="K196">INDEX($B$2:$B$501,SMALL(IF($A$2:$A$501=I196,ROW($A$2:$A$501)-ROW(INDEX($A$2:$A$501,1,1))+1),J196))</f>
        <v/>
      </c>
      <c r="L196" t="str">
        <f t="array" ref="L196">INDEX($C$2:$C$501,SMALL(IF($A$2:$A$501=I196,ROW($A$2:$A$501)-ROW(INDEX($A$2:$A$501,1,1))+1),J196))</f>
        <v/>
      </c>
      <c r="N196" t="str">
        <f t="shared" si="23"/>
        <v/>
      </c>
      <c r="S196" s="10">
        <v>195</v>
      </c>
      <c r="T196" s="10" t="str">
        <f t="array" ref="T196">IFERROR(INDEX(A$2:$A$501,MATCH(0,COUNTIF($T$1:T195,A$2:$A$501),0)),"")</f>
        <v/>
      </c>
      <c r="U196" s="10">
        <f>IFERROR(MATCH(T196,I$2:$I$501,0),"")</f>
        <v>64</v>
      </c>
      <c r="V196" s="10">
        <f>COUNTIF(I$2:$I$501,T196)</f>
        <v>437</v>
      </c>
      <c r="W196" s="10"/>
      <c r="X196" s="10"/>
    </row>
    <row r="197" spans="1:24" x14ac:dyDescent="0.25">
      <c r="A197" t="str">
        <f>IF(Tests!B198="","",Tests!B198)</f>
        <v/>
      </c>
      <c r="B197" t="str">
        <f>IF(Tests!D198="","",Tests!D198)</f>
        <v/>
      </c>
      <c r="C197" t="str">
        <f>IF(Tests!E198="","",Tests!E198)</f>
        <v/>
      </c>
      <c r="E197" s="54">
        <f t="shared" si="18"/>
        <v>0</v>
      </c>
      <c r="F197" s="54">
        <f t="shared" si="19"/>
        <v>0</v>
      </c>
      <c r="G197" s="54">
        <f t="shared" si="20"/>
        <v>1</v>
      </c>
      <c r="H197" s="54">
        <f t="shared" si="21"/>
        <v>437</v>
      </c>
      <c r="I197" s="56" t="str">
        <f>IFERROR(INDEX($A$2:$A$501,MATCH(SMALL($H$2:$H$501,ROWS($I$2:I197)+$G$502),$H$2:$H$501,0)),"")</f>
        <v/>
      </c>
      <c r="J197">
        <f t="shared" si="22"/>
        <v>133</v>
      </c>
      <c r="K197" t="str">
        <f t="array" ref="K197">INDEX($B$2:$B$501,SMALL(IF($A$2:$A$501=I197,ROW($A$2:$A$501)-ROW(INDEX($A$2:$A$501,1,1))+1),J197))</f>
        <v/>
      </c>
      <c r="L197" t="str">
        <f t="array" ref="L197">INDEX($C$2:$C$501,SMALL(IF($A$2:$A$501=I197,ROW($A$2:$A$501)-ROW(INDEX($A$2:$A$501,1,1))+1),J197))</f>
        <v/>
      </c>
      <c r="N197" t="str">
        <f t="shared" si="23"/>
        <v/>
      </c>
      <c r="S197" s="10">
        <v>196</v>
      </c>
      <c r="T197" s="10" t="str">
        <f t="array" ref="T197">IFERROR(INDEX(A$2:$A$501,MATCH(0,COUNTIF($T$1:T196,A$2:$A$501),0)),"")</f>
        <v/>
      </c>
      <c r="U197" s="10">
        <f>IFERROR(MATCH(T197,I$2:$I$501,0),"")</f>
        <v>64</v>
      </c>
      <c r="V197" s="10">
        <f>COUNTIF(I$2:$I$501,T197)</f>
        <v>437</v>
      </c>
      <c r="W197" s="10"/>
      <c r="X197" s="10"/>
    </row>
    <row r="198" spans="1:24" x14ac:dyDescent="0.25">
      <c r="A198" t="str">
        <f>IF(Tests!B199="","",Tests!B199)</f>
        <v/>
      </c>
      <c r="B198" t="str">
        <f>IF(Tests!D199="","",Tests!D199)</f>
        <v/>
      </c>
      <c r="C198" t="str">
        <f>IF(Tests!E199="","",Tests!E199)</f>
        <v/>
      </c>
      <c r="E198" s="54">
        <f t="shared" si="18"/>
        <v>0</v>
      </c>
      <c r="F198" s="54">
        <f t="shared" si="19"/>
        <v>0</v>
      </c>
      <c r="G198" s="54">
        <f t="shared" si="20"/>
        <v>1</v>
      </c>
      <c r="H198" s="54">
        <f t="shared" si="21"/>
        <v>437</v>
      </c>
      <c r="I198" s="56" t="str">
        <f>IFERROR(INDEX($A$2:$A$501,MATCH(SMALL($H$2:$H$501,ROWS($I$2:I198)+$G$502),$H$2:$H$501,0)),"")</f>
        <v/>
      </c>
      <c r="J198">
        <f t="shared" si="22"/>
        <v>134</v>
      </c>
      <c r="K198" t="str">
        <f t="array" ref="K198">INDEX($B$2:$B$501,SMALL(IF($A$2:$A$501=I198,ROW($A$2:$A$501)-ROW(INDEX($A$2:$A$501,1,1))+1),J198))</f>
        <v/>
      </c>
      <c r="L198" t="str">
        <f t="array" ref="L198">INDEX($C$2:$C$501,SMALL(IF($A$2:$A$501=I198,ROW($A$2:$A$501)-ROW(INDEX($A$2:$A$501,1,1))+1),J198))</f>
        <v/>
      </c>
      <c r="N198" t="str">
        <f t="shared" si="23"/>
        <v/>
      </c>
      <c r="S198" s="10">
        <v>197</v>
      </c>
      <c r="T198" s="10" t="str">
        <f t="array" ref="T198">IFERROR(INDEX(A$2:$A$501,MATCH(0,COUNTIF($T$1:T197,A$2:$A$501),0)),"")</f>
        <v/>
      </c>
      <c r="U198" s="10">
        <f>IFERROR(MATCH(T198,I$2:$I$501,0),"")</f>
        <v>64</v>
      </c>
      <c r="V198" s="10">
        <f>COUNTIF(I$2:$I$501,T198)</f>
        <v>437</v>
      </c>
      <c r="W198" s="10"/>
      <c r="X198" s="10"/>
    </row>
    <row r="199" spans="1:24" x14ac:dyDescent="0.25">
      <c r="A199" t="str">
        <f>IF(Tests!B200="","",Tests!B200)</f>
        <v/>
      </c>
      <c r="B199" t="str">
        <f>IF(Tests!D200="","",Tests!D200)</f>
        <v/>
      </c>
      <c r="C199" t="str">
        <f>IF(Tests!E200="","",Tests!E200)</f>
        <v/>
      </c>
      <c r="E199" s="54">
        <f t="shared" si="18"/>
        <v>0</v>
      </c>
      <c r="F199" s="54">
        <f t="shared" si="19"/>
        <v>0</v>
      </c>
      <c r="G199" s="54">
        <f t="shared" si="20"/>
        <v>1</v>
      </c>
      <c r="H199" s="54">
        <f t="shared" si="21"/>
        <v>437</v>
      </c>
      <c r="I199" s="56" t="str">
        <f>IFERROR(INDEX($A$2:$A$501,MATCH(SMALL($H$2:$H$501,ROWS($I$2:I199)+$G$502),$H$2:$H$501,0)),"")</f>
        <v/>
      </c>
      <c r="J199">
        <f t="shared" si="22"/>
        <v>135</v>
      </c>
      <c r="K199" t="str">
        <f t="array" ref="K199">INDEX($B$2:$B$501,SMALL(IF($A$2:$A$501=I199,ROW($A$2:$A$501)-ROW(INDEX($A$2:$A$501,1,1))+1),J199))</f>
        <v/>
      </c>
      <c r="L199" t="str">
        <f t="array" ref="L199">INDEX($C$2:$C$501,SMALL(IF($A$2:$A$501=I199,ROW($A$2:$A$501)-ROW(INDEX($A$2:$A$501,1,1))+1),J199))</f>
        <v/>
      </c>
      <c r="N199" t="str">
        <f t="shared" si="23"/>
        <v/>
      </c>
      <c r="S199" s="10">
        <v>198</v>
      </c>
      <c r="T199" s="10" t="str">
        <f t="array" ref="T199">IFERROR(INDEX(A$2:$A$501,MATCH(0,COUNTIF($T$1:T198,A$2:$A$501),0)),"")</f>
        <v/>
      </c>
      <c r="U199" s="10">
        <f>IFERROR(MATCH(T199,I$2:$I$501,0),"")</f>
        <v>64</v>
      </c>
      <c r="V199" s="10">
        <f>COUNTIF(I$2:$I$501,T199)</f>
        <v>437</v>
      </c>
      <c r="W199" s="10"/>
      <c r="X199" s="10"/>
    </row>
    <row r="200" spans="1:24" x14ac:dyDescent="0.25">
      <c r="A200" t="str">
        <f>IF(Tests!B201="","",Tests!B201)</f>
        <v/>
      </c>
      <c r="B200" t="str">
        <f>IF(Tests!D201="","",Tests!D201)</f>
        <v/>
      </c>
      <c r="C200" t="str">
        <f>IF(Tests!E201="","",Tests!E201)</f>
        <v/>
      </c>
      <c r="E200" s="54">
        <f t="shared" si="18"/>
        <v>0</v>
      </c>
      <c r="F200" s="54">
        <f t="shared" si="19"/>
        <v>0</v>
      </c>
      <c r="G200" s="54">
        <f t="shared" si="20"/>
        <v>1</v>
      </c>
      <c r="H200" s="54">
        <f t="shared" si="21"/>
        <v>437</v>
      </c>
      <c r="I200" s="56" t="str">
        <f>IFERROR(INDEX($A$2:$A$501,MATCH(SMALL($H$2:$H$501,ROWS($I$2:I200)+$G$502),$H$2:$H$501,0)),"")</f>
        <v/>
      </c>
      <c r="J200">
        <f t="shared" si="22"/>
        <v>136</v>
      </c>
      <c r="K200" t="str">
        <f t="array" ref="K200">INDEX($B$2:$B$501,SMALL(IF($A$2:$A$501=I200,ROW($A$2:$A$501)-ROW(INDEX($A$2:$A$501,1,1))+1),J200))</f>
        <v/>
      </c>
      <c r="L200" t="str">
        <f t="array" ref="L200">INDEX($C$2:$C$501,SMALL(IF($A$2:$A$501=I200,ROW($A$2:$A$501)-ROW(INDEX($A$2:$A$501,1,1))+1),J200))</f>
        <v/>
      </c>
      <c r="N200" t="str">
        <f t="shared" si="23"/>
        <v/>
      </c>
      <c r="S200" s="10">
        <v>199</v>
      </c>
      <c r="T200" s="10" t="str">
        <f t="array" ref="T200">IFERROR(INDEX(A$2:$A$501,MATCH(0,COUNTIF($T$1:T199,A$2:$A$501),0)),"")</f>
        <v/>
      </c>
      <c r="U200" s="10">
        <f>IFERROR(MATCH(T200,I$2:$I$501,0),"")</f>
        <v>64</v>
      </c>
      <c r="V200" s="10">
        <f>COUNTIF(I$2:$I$501,T200)</f>
        <v>437</v>
      </c>
      <c r="W200" s="10"/>
      <c r="X200" s="10"/>
    </row>
    <row r="201" spans="1:24" x14ac:dyDescent="0.25">
      <c r="A201" t="str">
        <f>IF(Tests!B202="","",Tests!B202)</f>
        <v/>
      </c>
      <c r="B201" t="str">
        <f>IF(Tests!D202="","",Tests!D202)</f>
        <v/>
      </c>
      <c r="C201" t="str">
        <f>IF(Tests!E202="","",Tests!E202)</f>
        <v/>
      </c>
      <c r="E201" s="54">
        <f t="shared" si="18"/>
        <v>0</v>
      </c>
      <c r="F201" s="54">
        <f t="shared" si="19"/>
        <v>0</v>
      </c>
      <c r="G201" s="54">
        <f t="shared" si="20"/>
        <v>1</v>
      </c>
      <c r="H201" s="54">
        <f t="shared" si="21"/>
        <v>437</v>
      </c>
      <c r="I201" s="56" t="str">
        <f>IFERROR(INDEX($A$2:$A$501,MATCH(SMALL($H$2:$H$501,ROWS($I$2:I201)+$G$502),$H$2:$H$501,0)),"")</f>
        <v/>
      </c>
      <c r="J201">
        <f t="shared" si="22"/>
        <v>137</v>
      </c>
      <c r="K201" t="str">
        <f t="array" ref="K201">INDEX($B$2:$B$501,SMALL(IF($A$2:$A$501=I201,ROW($A$2:$A$501)-ROW(INDEX($A$2:$A$501,1,1))+1),J201))</f>
        <v/>
      </c>
      <c r="L201" t="str">
        <f t="array" ref="L201">INDEX($C$2:$C$501,SMALL(IF($A$2:$A$501=I201,ROW($A$2:$A$501)-ROW(INDEX($A$2:$A$501,1,1))+1),J201))</f>
        <v/>
      </c>
      <c r="N201" t="str">
        <f t="shared" si="23"/>
        <v/>
      </c>
      <c r="S201" s="10">
        <v>200</v>
      </c>
      <c r="T201" s="10" t="str">
        <f t="array" ref="T201">IFERROR(INDEX(A$2:$A$501,MATCH(0,COUNTIF($T$1:T200,A$2:$A$501),0)),"")</f>
        <v/>
      </c>
      <c r="U201" s="10">
        <f>IFERROR(MATCH(T201,I$2:$I$501,0),"")</f>
        <v>64</v>
      </c>
      <c r="V201" s="10">
        <f>COUNTIF(I$2:$I$501,T201)</f>
        <v>437</v>
      </c>
      <c r="W201" s="10"/>
      <c r="X201" s="10"/>
    </row>
    <row r="202" spans="1:24" x14ac:dyDescent="0.25">
      <c r="A202" t="str">
        <f>IF(Tests!B203="","",Tests!B203)</f>
        <v/>
      </c>
      <c r="B202" t="str">
        <f>IF(Tests!D203="","",Tests!D203)</f>
        <v/>
      </c>
      <c r="C202" t="str">
        <f>IF(Tests!E203="","",Tests!E203)</f>
        <v/>
      </c>
      <c r="E202" s="54">
        <f t="shared" si="18"/>
        <v>0</v>
      </c>
      <c r="F202" s="54">
        <f t="shared" si="19"/>
        <v>0</v>
      </c>
      <c r="G202" s="54">
        <f t="shared" si="20"/>
        <v>1</v>
      </c>
      <c r="H202" s="54">
        <f t="shared" si="21"/>
        <v>437</v>
      </c>
      <c r="I202" s="56" t="str">
        <f>IFERROR(INDEX($A$2:$A$501,MATCH(SMALL($H$2:$H$501,ROWS($I$2:I202)+$G$502),$H$2:$H$501,0)),"")</f>
        <v/>
      </c>
      <c r="J202">
        <f t="shared" si="22"/>
        <v>138</v>
      </c>
      <c r="K202" t="str">
        <f t="array" ref="K202">INDEX($B$2:$B$501,SMALL(IF($A$2:$A$501=I202,ROW($A$2:$A$501)-ROW(INDEX($A$2:$A$501,1,1))+1),J202))</f>
        <v/>
      </c>
      <c r="L202" t="str">
        <f t="array" ref="L202">INDEX($C$2:$C$501,SMALL(IF($A$2:$A$501=I202,ROW($A$2:$A$501)-ROW(INDEX($A$2:$A$501,1,1))+1),J202))</f>
        <v/>
      </c>
      <c r="N202" t="str">
        <f t="shared" si="23"/>
        <v/>
      </c>
      <c r="S202" s="10">
        <v>201</v>
      </c>
      <c r="T202" s="10" t="str">
        <f t="array" ref="T202">IFERROR(INDEX(A$2:$A$501,MATCH(0,COUNTIF($T$1:T201,A$2:$A$501),0)),"")</f>
        <v/>
      </c>
      <c r="U202" s="10">
        <f>IFERROR(MATCH(T202,I$2:$I$501,0),"")</f>
        <v>64</v>
      </c>
      <c r="V202" s="10">
        <f>COUNTIF(I$2:$I$501,T202)</f>
        <v>437</v>
      </c>
      <c r="W202" s="10"/>
      <c r="X202" s="10"/>
    </row>
    <row r="203" spans="1:24" x14ac:dyDescent="0.25">
      <c r="A203" t="str">
        <f>IF(Tests!B204="","",Tests!B204)</f>
        <v/>
      </c>
      <c r="B203" t="str">
        <f>IF(Tests!D204="","",Tests!D204)</f>
        <v/>
      </c>
      <c r="C203" t="str">
        <f>IF(Tests!E204="","",Tests!E204)</f>
        <v/>
      </c>
      <c r="E203" s="54">
        <f t="shared" si="18"/>
        <v>0</v>
      </c>
      <c r="F203" s="54">
        <f t="shared" si="19"/>
        <v>0</v>
      </c>
      <c r="G203" s="54">
        <f t="shared" si="20"/>
        <v>1</v>
      </c>
      <c r="H203" s="54">
        <f t="shared" si="21"/>
        <v>437</v>
      </c>
      <c r="I203" s="56" t="str">
        <f>IFERROR(INDEX($A$2:$A$501,MATCH(SMALL($H$2:$H$501,ROWS($I$2:I203)+$G$502),$H$2:$H$501,0)),"")</f>
        <v/>
      </c>
      <c r="J203">
        <f t="shared" si="22"/>
        <v>139</v>
      </c>
      <c r="K203" t="str">
        <f t="array" ref="K203">INDEX($B$2:$B$501,SMALL(IF($A$2:$A$501=I203,ROW($A$2:$A$501)-ROW(INDEX($A$2:$A$501,1,1))+1),J203))</f>
        <v/>
      </c>
      <c r="L203" t="str">
        <f t="array" ref="L203">INDEX($C$2:$C$501,SMALL(IF($A$2:$A$501=I203,ROW($A$2:$A$501)-ROW(INDEX($A$2:$A$501,1,1))+1),J203))</f>
        <v/>
      </c>
      <c r="N203" t="str">
        <f t="shared" si="23"/>
        <v/>
      </c>
      <c r="S203" s="10">
        <v>202</v>
      </c>
      <c r="T203" s="10" t="str">
        <f t="array" ref="T203">IFERROR(INDEX(A$2:$A$501,MATCH(0,COUNTIF($T$1:T202,A$2:$A$501),0)),"")</f>
        <v/>
      </c>
      <c r="U203" s="10">
        <f>IFERROR(MATCH(T203,I$2:$I$501,0),"")</f>
        <v>64</v>
      </c>
      <c r="V203" s="10">
        <f>COUNTIF(I$2:$I$501,T203)</f>
        <v>437</v>
      </c>
      <c r="W203" s="10"/>
      <c r="X203" s="10"/>
    </row>
    <row r="204" spans="1:24" x14ac:dyDescent="0.25">
      <c r="A204" t="str">
        <f>IF(Tests!B205="","",Tests!B205)</f>
        <v/>
      </c>
      <c r="B204" t="str">
        <f>IF(Tests!D205="","",Tests!D205)</f>
        <v/>
      </c>
      <c r="C204" t="str">
        <f>IF(Tests!E205="","",Tests!E205)</f>
        <v/>
      </c>
      <c r="E204" s="54">
        <f t="shared" si="18"/>
        <v>0</v>
      </c>
      <c r="F204" s="54">
        <f t="shared" si="19"/>
        <v>0</v>
      </c>
      <c r="G204" s="54">
        <f t="shared" si="20"/>
        <v>1</v>
      </c>
      <c r="H204" s="54">
        <f t="shared" si="21"/>
        <v>437</v>
      </c>
      <c r="I204" s="56" t="str">
        <f>IFERROR(INDEX($A$2:$A$501,MATCH(SMALL($H$2:$H$501,ROWS($I$2:I204)+$G$502),$H$2:$H$501,0)),"")</f>
        <v/>
      </c>
      <c r="J204">
        <f t="shared" si="22"/>
        <v>140</v>
      </c>
      <c r="K204" t="str">
        <f t="array" ref="K204">INDEX($B$2:$B$501,SMALL(IF($A$2:$A$501=I204,ROW($A$2:$A$501)-ROW(INDEX($A$2:$A$501,1,1))+1),J204))</f>
        <v/>
      </c>
      <c r="L204" t="str">
        <f t="array" ref="L204">INDEX($C$2:$C$501,SMALL(IF($A$2:$A$501=I204,ROW($A$2:$A$501)-ROW(INDEX($A$2:$A$501,1,1))+1),J204))</f>
        <v/>
      </c>
      <c r="N204" t="str">
        <f t="shared" si="23"/>
        <v/>
      </c>
      <c r="S204" s="10">
        <v>203</v>
      </c>
      <c r="T204" s="10" t="str">
        <f t="array" ref="T204">IFERROR(INDEX(A$2:$A$501,MATCH(0,COUNTIF($T$1:T203,A$2:$A$501),0)),"")</f>
        <v/>
      </c>
      <c r="U204" s="10">
        <f>IFERROR(MATCH(T204,I$2:$I$501,0),"")</f>
        <v>64</v>
      </c>
      <c r="V204" s="10">
        <f>COUNTIF(I$2:$I$501,T204)</f>
        <v>437</v>
      </c>
      <c r="W204" s="10"/>
      <c r="X204" s="10"/>
    </row>
    <row r="205" spans="1:24" x14ac:dyDescent="0.25">
      <c r="A205" t="str">
        <f>IF(Tests!B206="","",Tests!B206)</f>
        <v/>
      </c>
      <c r="B205" t="str">
        <f>IF(Tests!D206="","",Tests!D206)</f>
        <v/>
      </c>
      <c r="C205" t="str">
        <f>IF(Tests!E206="","",Tests!E206)</f>
        <v/>
      </c>
      <c r="E205" s="54">
        <f t="shared" si="18"/>
        <v>0</v>
      </c>
      <c r="F205" s="54">
        <f t="shared" si="19"/>
        <v>0</v>
      </c>
      <c r="G205" s="54">
        <f t="shared" si="20"/>
        <v>1</v>
      </c>
      <c r="H205" s="54">
        <f t="shared" si="21"/>
        <v>437</v>
      </c>
      <c r="I205" s="56" t="str">
        <f>IFERROR(INDEX($A$2:$A$501,MATCH(SMALL($H$2:$H$501,ROWS($I$2:I205)+$G$502),$H$2:$H$501,0)),"")</f>
        <v/>
      </c>
      <c r="J205">
        <f t="shared" si="22"/>
        <v>141</v>
      </c>
      <c r="K205" t="str">
        <f t="array" ref="K205">INDEX($B$2:$B$501,SMALL(IF($A$2:$A$501=I205,ROW($A$2:$A$501)-ROW(INDEX($A$2:$A$501,1,1))+1),J205))</f>
        <v/>
      </c>
      <c r="L205" t="str">
        <f t="array" ref="L205">INDEX($C$2:$C$501,SMALL(IF($A$2:$A$501=I205,ROW($A$2:$A$501)-ROW(INDEX($A$2:$A$501,1,1))+1),J205))</f>
        <v/>
      </c>
      <c r="N205" t="str">
        <f t="shared" si="23"/>
        <v/>
      </c>
      <c r="S205" s="10">
        <v>204</v>
      </c>
      <c r="T205" s="10" t="str">
        <f t="array" ref="T205">IFERROR(INDEX(A$2:$A$501,MATCH(0,COUNTIF($T$1:T204,A$2:$A$501),0)),"")</f>
        <v/>
      </c>
      <c r="U205" s="10">
        <f>IFERROR(MATCH(T205,I$2:$I$501,0),"")</f>
        <v>64</v>
      </c>
      <c r="V205" s="10">
        <f>COUNTIF(I$2:$I$501,T205)</f>
        <v>437</v>
      </c>
      <c r="W205" s="10"/>
      <c r="X205" s="10"/>
    </row>
    <row r="206" spans="1:24" x14ac:dyDescent="0.25">
      <c r="A206" t="str">
        <f>IF(Tests!B207="","",Tests!B207)</f>
        <v/>
      </c>
      <c r="B206" t="str">
        <f>IF(Tests!D207="","",Tests!D207)</f>
        <v/>
      </c>
      <c r="C206" t="str">
        <f>IF(Tests!E207="","",Tests!E207)</f>
        <v/>
      </c>
      <c r="E206" s="54">
        <f t="shared" si="18"/>
        <v>0</v>
      </c>
      <c r="F206" s="54">
        <f t="shared" si="19"/>
        <v>0</v>
      </c>
      <c r="G206" s="54">
        <f t="shared" si="20"/>
        <v>1</v>
      </c>
      <c r="H206" s="54">
        <f t="shared" si="21"/>
        <v>437</v>
      </c>
      <c r="I206" s="56" t="str">
        <f>IFERROR(INDEX($A$2:$A$501,MATCH(SMALL($H$2:$H$501,ROWS($I$2:I206)+$G$502),$H$2:$H$501,0)),"")</f>
        <v/>
      </c>
      <c r="J206">
        <f t="shared" si="22"/>
        <v>142</v>
      </c>
      <c r="K206" t="str">
        <f t="array" ref="K206">INDEX($B$2:$B$501,SMALL(IF($A$2:$A$501=I206,ROW($A$2:$A$501)-ROW(INDEX($A$2:$A$501,1,1))+1),J206))</f>
        <v/>
      </c>
      <c r="L206" t="str">
        <f t="array" ref="L206">INDEX($C$2:$C$501,SMALL(IF($A$2:$A$501=I206,ROW($A$2:$A$501)-ROW(INDEX($A$2:$A$501,1,1))+1),J206))</f>
        <v/>
      </c>
      <c r="N206" t="str">
        <f t="shared" si="23"/>
        <v/>
      </c>
      <c r="S206" s="10">
        <v>205</v>
      </c>
      <c r="T206" s="10" t="str">
        <f t="array" ref="T206">IFERROR(INDEX(A$2:$A$501,MATCH(0,COUNTIF($T$1:T205,A$2:$A$501),0)),"")</f>
        <v/>
      </c>
      <c r="U206" s="10">
        <f>IFERROR(MATCH(T206,I$2:$I$501,0),"")</f>
        <v>64</v>
      </c>
      <c r="V206" s="10">
        <f>COUNTIF(I$2:$I$501,T206)</f>
        <v>437</v>
      </c>
      <c r="W206" s="10"/>
      <c r="X206" s="10"/>
    </row>
    <row r="207" spans="1:24" x14ac:dyDescent="0.25">
      <c r="A207" t="str">
        <f>IF(Tests!B208="","",Tests!B208)</f>
        <v/>
      </c>
      <c r="B207" t="str">
        <f>IF(Tests!D208="","",Tests!D208)</f>
        <v/>
      </c>
      <c r="C207" t="str">
        <f>IF(Tests!E208="","",Tests!E208)</f>
        <v/>
      </c>
      <c r="E207" s="54">
        <f t="shared" si="18"/>
        <v>0</v>
      </c>
      <c r="F207" s="54">
        <f t="shared" si="19"/>
        <v>0</v>
      </c>
      <c r="G207" s="54">
        <f t="shared" si="20"/>
        <v>1</v>
      </c>
      <c r="H207" s="54">
        <f t="shared" si="21"/>
        <v>437</v>
      </c>
      <c r="I207" s="56" t="str">
        <f>IFERROR(INDEX($A$2:$A$501,MATCH(SMALL($H$2:$H$501,ROWS($I$2:I207)+$G$502),$H$2:$H$501,0)),"")</f>
        <v/>
      </c>
      <c r="J207">
        <f t="shared" si="22"/>
        <v>143</v>
      </c>
      <c r="K207" t="str">
        <f t="array" ref="K207">INDEX($B$2:$B$501,SMALL(IF($A$2:$A$501=I207,ROW($A$2:$A$501)-ROW(INDEX($A$2:$A$501,1,1))+1),J207))</f>
        <v/>
      </c>
      <c r="L207" t="str">
        <f t="array" ref="L207">INDEX($C$2:$C$501,SMALL(IF($A$2:$A$501=I207,ROW($A$2:$A$501)-ROW(INDEX($A$2:$A$501,1,1))+1),J207))</f>
        <v/>
      </c>
      <c r="N207" t="str">
        <f t="shared" si="23"/>
        <v/>
      </c>
      <c r="S207" s="10">
        <v>206</v>
      </c>
      <c r="T207" s="10" t="str">
        <f t="array" ref="T207">IFERROR(INDEX(A$2:$A$501,MATCH(0,COUNTIF($T$1:T206,A$2:$A$501),0)),"")</f>
        <v/>
      </c>
      <c r="U207" s="10">
        <f>IFERROR(MATCH(T207,I$2:$I$501,0),"")</f>
        <v>64</v>
      </c>
      <c r="V207" s="10">
        <f>COUNTIF(I$2:$I$501,T207)</f>
        <v>437</v>
      </c>
      <c r="W207" s="10"/>
      <c r="X207" s="10"/>
    </row>
    <row r="208" spans="1:24" x14ac:dyDescent="0.25">
      <c r="A208" t="str">
        <f>IF(Tests!B209="","",Tests!B209)</f>
        <v/>
      </c>
      <c r="B208" t="str">
        <f>IF(Tests!D209="","",Tests!D209)</f>
        <v/>
      </c>
      <c r="C208" t="str">
        <f>IF(Tests!E209="","",Tests!E209)</f>
        <v/>
      </c>
      <c r="E208" s="54">
        <f t="shared" si="18"/>
        <v>0</v>
      </c>
      <c r="F208" s="54">
        <f t="shared" si="19"/>
        <v>0</v>
      </c>
      <c r="G208" s="54">
        <f t="shared" si="20"/>
        <v>1</v>
      </c>
      <c r="H208" s="54">
        <f t="shared" si="21"/>
        <v>437</v>
      </c>
      <c r="I208" s="56" t="str">
        <f>IFERROR(INDEX($A$2:$A$501,MATCH(SMALL($H$2:$H$501,ROWS($I$2:I208)+$G$502),$H$2:$H$501,0)),"")</f>
        <v/>
      </c>
      <c r="J208">
        <f t="shared" si="22"/>
        <v>144</v>
      </c>
      <c r="K208" t="str">
        <f t="array" ref="K208">INDEX($B$2:$B$501,SMALL(IF($A$2:$A$501=I208,ROW($A$2:$A$501)-ROW(INDEX($A$2:$A$501,1,1))+1),J208))</f>
        <v/>
      </c>
      <c r="L208" t="str">
        <f t="array" ref="L208">INDEX($C$2:$C$501,SMALL(IF($A$2:$A$501=I208,ROW($A$2:$A$501)-ROW(INDEX($A$2:$A$501,1,1))+1),J208))</f>
        <v/>
      </c>
      <c r="N208" t="str">
        <f t="shared" si="23"/>
        <v/>
      </c>
      <c r="S208" s="10">
        <v>207</v>
      </c>
      <c r="T208" s="10" t="str">
        <f t="array" ref="T208">IFERROR(INDEX(A$2:$A$501,MATCH(0,COUNTIF($T$1:T207,A$2:$A$501),0)),"")</f>
        <v/>
      </c>
      <c r="U208" s="10">
        <f>IFERROR(MATCH(T208,I$2:$I$501,0),"")</f>
        <v>64</v>
      </c>
      <c r="V208" s="10">
        <f>COUNTIF(I$2:$I$501,T208)</f>
        <v>437</v>
      </c>
      <c r="W208" s="10"/>
      <c r="X208" s="10"/>
    </row>
    <row r="209" spans="1:24" x14ac:dyDescent="0.25">
      <c r="A209" t="str">
        <f>IF(Tests!B210="","",Tests!B210)</f>
        <v/>
      </c>
      <c r="B209" t="str">
        <f>IF(Tests!D210="","",Tests!D210)</f>
        <v/>
      </c>
      <c r="C209" t="str">
        <f>IF(Tests!E210="","",Tests!E210)</f>
        <v/>
      </c>
      <c r="E209" s="54">
        <f t="shared" si="18"/>
        <v>0</v>
      </c>
      <c r="F209" s="54">
        <f t="shared" si="19"/>
        <v>0</v>
      </c>
      <c r="G209" s="54">
        <f t="shared" si="20"/>
        <v>1</v>
      </c>
      <c r="H209" s="54">
        <f t="shared" si="21"/>
        <v>437</v>
      </c>
      <c r="I209" s="56" t="str">
        <f>IFERROR(INDEX($A$2:$A$501,MATCH(SMALL($H$2:$H$501,ROWS($I$2:I209)+$G$502),$H$2:$H$501,0)),"")</f>
        <v/>
      </c>
      <c r="J209">
        <f t="shared" si="22"/>
        <v>145</v>
      </c>
      <c r="K209" t="str">
        <f t="array" ref="K209">INDEX($B$2:$B$501,SMALL(IF($A$2:$A$501=I209,ROW($A$2:$A$501)-ROW(INDEX($A$2:$A$501,1,1))+1),J209))</f>
        <v/>
      </c>
      <c r="L209" t="str">
        <f t="array" ref="L209">INDEX($C$2:$C$501,SMALL(IF($A$2:$A$501=I209,ROW($A$2:$A$501)-ROW(INDEX($A$2:$A$501,1,1))+1),J209))</f>
        <v/>
      </c>
      <c r="N209" t="str">
        <f t="shared" si="23"/>
        <v/>
      </c>
      <c r="S209" s="10">
        <v>208</v>
      </c>
      <c r="T209" s="10" t="str">
        <f t="array" ref="T209">IFERROR(INDEX(A$2:$A$501,MATCH(0,COUNTIF($T$1:T208,A$2:$A$501),0)),"")</f>
        <v/>
      </c>
      <c r="U209" s="10">
        <f>IFERROR(MATCH(T209,I$2:$I$501,0),"")</f>
        <v>64</v>
      </c>
      <c r="V209" s="10">
        <f>COUNTIF(I$2:$I$501,T209)</f>
        <v>437</v>
      </c>
      <c r="W209" s="10"/>
      <c r="X209" s="10"/>
    </row>
    <row r="210" spans="1:24" x14ac:dyDescent="0.25">
      <c r="A210" t="str">
        <f>IF(Tests!B211="","",Tests!B211)</f>
        <v/>
      </c>
      <c r="B210" t="str">
        <f>IF(Tests!D211="","",Tests!D211)</f>
        <v/>
      </c>
      <c r="C210" t="str">
        <f>IF(Tests!E211="","",Tests!E211)</f>
        <v/>
      </c>
      <c r="E210" s="54">
        <f t="shared" si="18"/>
        <v>0</v>
      </c>
      <c r="F210" s="54">
        <f t="shared" si="19"/>
        <v>0</v>
      </c>
      <c r="G210" s="54">
        <f t="shared" si="20"/>
        <v>1</v>
      </c>
      <c r="H210" s="54">
        <f t="shared" si="21"/>
        <v>437</v>
      </c>
      <c r="I210" s="56" t="str">
        <f>IFERROR(INDEX($A$2:$A$501,MATCH(SMALL($H$2:$H$501,ROWS($I$2:I210)+$G$502),$H$2:$H$501,0)),"")</f>
        <v/>
      </c>
      <c r="J210">
        <f t="shared" si="22"/>
        <v>146</v>
      </c>
      <c r="K210" t="str">
        <f t="array" ref="K210">INDEX($B$2:$B$501,SMALL(IF($A$2:$A$501=I210,ROW($A$2:$A$501)-ROW(INDEX($A$2:$A$501,1,1))+1),J210))</f>
        <v/>
      </c>
      <c r="L210" t="str">
        <f t="array" ref="L210">INDEX($C$2:$C$501,SMALL(IF($A$2:$A$501=I210,ROW($A$2:$A$501)-ROW(INDEX($A$2:$A$501,1,1))+1),J210))</f>
        <v/>
      </c>
      <c r="N210" t="str">
        <f t="shared" si="23"/>
        <v/>
      </c>
      <c r="S210" s="10">
        <v>209</v>
      </c>
      <c r="T210" s="10" t="str">
        <f t="array" ref="T210">IFERROR(INDEX(A$2:$A$501,MATCH(0,COUNTIF($T$1:T209,A$2:$A$501),0)),"")</f>
        <v/>
      </c>
      <c r="U210" s="10">
        <f>IFERROR(MATCH(T210,I$2:$I$501,0),"")</f>
        <v>64</v>
      </c>
      <c r="V210" s="10">
        <f>COUNTIF(I$2:$I$501,T210)</f>
        <v>437</v>
      </c>
      <c r="W210" s="10"/>
      <c r="X210" s="10"/>
    </row>
    <row r="211" spans="1:24" x14ac:dyDescent="0.25">
      <c r="A211" t="str">
        <f>IF(Tests!B212="","",Tests!B212)</f>
        <v/>
      </c>
      <c r="B211" t="str">
        <f>IF(Tests!D212="","",Tests!D212)</f>
        <v/>
      </c>
      <c r="C211" t="str">
        <f>IF(Tests!E212="","",Tests!E212)</f>
        <v/>
      </c>
      <c r="E211" s="54">
        <f t="shared" si="18"/>
        <v>0</v>
      </c>
      <c r="F211" s="54">
        <f t="shared" si="19"/>
        <v>0</v>
      </c>
      <c r="G211" s="54">
        <f t="shared" si="20"/>
        <v>1</v>
      </c>
      <c r="H211" s="54">
        <f t="shared" si="21"/>
        <v>437</v>
      </c>
      <c r="I211" s="56" t="str">
        <f>IFERROR(INDEX($A$2:$A$501,MATCH(SMALL($H$2:$H$501,ROWS($I$2:I211)+$G$502),$H$2:$H$501,0)),"")</f>
        <v/>
      </c>
      <c r="J211">
        <f t="shared" si="22"/>
        <v>147</v>
      </c>
      <c r="K211" t="str">
        <f t="array" ref="K211">INDEX($B$2:$B$501,SMALL(IF($A$2:$A$501=I211,ROW($A$2:$A$501)-ROW(INDEX($A$2:$A$501,1,1))+1),J211))</f>
        <v/>
      </c>
      <c r="L211" t="str">
        <f t="array" ref="L211">INDEX($C$2:$C$501,SMALL(IF($A$2:$A$501=I211,ROW($A$2:$A$501)-ROW(INDEX($A$2:$A$501,1,1))+1),J211))</f>
        <v/>
      </c>
      <c r="N211" t="str">
        <f t="shared" si="23"/>
        <v/>
      </c>
      <c r="S211" s="10">
        <v>210</v>
      </c>
      <c r="T211" s="10" t="str">
        <f t="array" ref="T211">IFERROR(INDEX(A$2:$A$501,MATCH(0,COUNTIF($T$1:T210,A$2:$A$501),0)),"")</f>
        <v/>
      </c>
      <c r="U211" s="10">
        <f>IFERROR(MATCH(T211,I$2:$I$501,0),"")</f>
        <v>64</v>
      </c>
      <c r="V211" s="10">
        <f>COUNTIF(I$2:$I$501,T211)</f>
        <v>437</v>
      </c>
      <c r="W211" s="10"/>
      <c r="X211" s="10"/>
    </row>
    <row r="212" spans="1:24" x14ac:dyDescent="0.25">
      <c r="A212" t="str">
        <f>IF(Tests!B213="","",Tests!B213)</f>
        <v/>
      </c>
      <c r="B212" t="str">
        <f>IF(Tests!D213="","",Tests!D213)</f>
        <v/>
      </c>
      <c r="C212" t="str">
        <f>IF(Tests!E213="","",Tests!E213)</f>
        <v/>
      </c>
      <c r="E212" s="54">
        <f t="shared" si="18"/>
        <v>0</v>
      </c>
      <c r="F212" s="54">
        <f t="shared" si="19"/>
        <v>0</v>
      </c>
      <c r="G212" s="54">
        <f t="shared" si="20"/>
        <v>1</v>
      </c>
      <c r="H212" s="54">
        <f t="shared" si="21"/>
        <v>437</v>
      </c>
      <c r="I212" s="56" t="str">
        <f>IFERROR(INDEX($A$2:$A$501,MATCH(SMALL($H$2:$H$501,ROWS($I$2:I212)+$G$502),$H$2:$H$501,0)),"")</f>
        <v/>
      </c>
      <c r="J212">
        <f t="shared" si="22"/>
        <v>148</v>
      </c>
      <c r="K212" t="str">
        <f t="array" ref="K212">INDEX($B$2:$B$501,SMALL(IF($A$2:$A$501=I212,ROW($A$2:$A$501)-ROW(INDEX($A$2:$A$501,1,1))+1),J212))</f>
        <v/>
      </c>
      <c r="L212" t="str">
        <f t="array" ref="L212">INDEX($C$2:$C$501,SMALL(IF($A$2:$A$501=I212,ROW($A$2:$A$501)-ROW(INDEX($A$2:$A$501,1,1))+1),J212))</f>
        <v/>
      </c>
      <c r="N212" t="str">
        <f t="shared" si="23"/>
        <v/>
      </c>
      <c r="S212" s="10">
        <v>211</v>
      </c>
      <c r="T212" s="10" t="str">
        <f t="array" ref="T212">IFERROR(INDEX(A$2:$A$501,MATCH(0,COUNTIF($T$1:T211,A$2:$A$501),0)),"")</f>
        <v/>
      </c>
      <c r="U212" s="10">
        <f>IFERROR(MATCH(T212,I$2:$I$501,0),"")</f>
        <v>64</v>
      </c>
      <c r="V212" s="10">
        <f>COUNTIF(I$2:$I$501,T212)</f>
        <v>437</v>
      </c>
      <c r="W212" s="10"/>
      <c r="X212" s="10"/>
    </row>
    <row r="213" spans="1:24" x14ac:dyDescent="0.25">
      <c r="A213" t="str">
        <f>IF(Tests!B214="","",Tests!B214)</f>
        <v/>
      </c>
      <c r="B213" t="str">
        <f>IF(Tests!D214="","",Tests!D214)</f>
        <v/>
      </c>
      <c r="C213" t="str">
        <f>IF(Tests!E214="","",Tests!E214)</f>
        <v/>
      </c>
      <c r="E213" s="54">
        <f t="shared" si="18"/>
        <v>0</v>
      </c>
      <c r="F213" s="54">
        <f t="shared" si="19"/>
        <v>0</v>
      </c>
      <c r="G213" s="54">
        <f t="shared" si="20"/>
        <v>1</v>
      </c>
      <c r="H213" s="54">
        <f t="shared" si="21"/>
        <v>437</v>
      </c>
      <c r="I213" s="56" t="str">
        <f>IFERROR(INDEX($A$2:$A$501,MATCH(SMALL($H$2:$H$501,ROWS($I$2:I213)+$G$502),$H$2:$H$501,0)),"")</f>
        <v/>
      </c>
      <c r="J213">
        <f t="shared" si="22"/>
        <v>149</v>
      </c>
      <c r="K213" t="str">
        <f t="array" ref="K213">INDEX($B$2:$B$501,SMALL(IF($A$2:$A$501=I213,ROW($A$2:$A$501)-ROW(INDEX($A$2:$A$501,1,1))+1),J213))</f>
        <v/>
      </c>
      <c r="L213" t="str">
        <f t="array" ref="L213">INDEX($C$2:$C$501,SMALL(IF($A$2:$A$501=I213,ROW($A$2:$A$501)-ROW(INDEX($A$2:$A$501,1,1))+1),J213))</f>
        <v/>
      </c>
      <c r="N213" t="str">
        <f t="shared" si="23"/>
        <v/>
      </c>
      <c r="S213" s="10">
        <v>212</v>
      </c>
      <c r="T213" s="10" t="str">
        <f t="array" ref="T213">IFERROR(INDEX(A$2:$A$501,MATCH(0,COUNTIF($T$1:T212,A$2:$A$501),0)),"")</f>
        <v/>
      </c>
      <c r="U213" s="10">
        <f>IFERROR(MATCH(T213,I$2:$I$501,0),"")</f>
        <v>64</v>
      </c>
      <c r="V213" s="10">
        <f>COUNTIF(I$2:$I$501,T213)</f>
        <v>437</v>
      </c>
      <c r="W213" s="10"/>
      <c r="X213" s="10"/>
    </row>
    <row r="214" spans="1:24" x14ac:dyDescent="0.25">
      <c r="A214" t="str">
        <f>IF(Tests!B215="","",Tests!B215)</f>
        <v/>
      </c>
      <c r="B214" t="str">
        <f>IF(Tests!D215="","",Tests!D215)</f>
        <v/>
      </c>
      <c r="C214" t="str">
        <f>IF(Tests!E215="","",Tests!E215)</f>
        <v/>
      </c>
      <c r="E214" s="54">
        <f t="shared" si="18"/>
        <v>0</v>
      </c>
      <c r="F214" s="54">
        <f t="shared" si="19"/>
        <v>0</v>
      </c>
      <c r="G214" s="54">
        <f t="shared" si="20"/>
        <v>1</v>
      </c>
      <c r="H214" s="54">
        <f t="shared" si="21"/>
        <v>437</v>
      </c>
      <c r="I214" s="56" t="str">
        <f>IFERROR(INDEX($A$2:$A$501,MATCH(SMALL($H$2:$H$501,ROWS($I$2:I214)+$G$502),$H$2:$H$501,0)),"")</f>
        <v/>
      </c>
      <c r="J214">
        <f t="shared" si="22"/>
        <v>150</v>
      </c>
      <c r="K214" t="str">
        <f t="array" ref="K214">INDEX($B$2:$B$501,SMALL(IF($A$2:$A$501=I214,ROW($A$2:$A$501)-ROW(INDEX($A$2:$A$501,1,1))+1),J214))</f>
        <v/>
      </c>
      <c r="L214" t="str">
        <f t="array" ref="L214">INDEX($C$2:$C$501,SMALL(IF($A$2:$A$501=I214,ROW($A$2:$A$501)-ROW(INDEX($A$2:$A$501,1,1))+1),J214))</f>
        <v/>
      </c>
      <c r="N214" t="str">
        <f t="shared" si="23"/>
        <v/>
      </c>
      <c r="S214" s="10">
        <v>213</v>
      </c>
      <c r="T214" s="10" t="str">
        <f t="array" ref="T214">IFERROR(INDEX(A$2:$A$501,MATCH(0,COUNTIF($T$1:T213,A$2:$A$501),0)),"")</f>
        <v/>
      </c>
      <c r="U214" s="10">
        <f>IFERROR(MATCH(T214,I$2:$I$501,0),"")</f>
        <v>64</v>
      </c>
      <c r="V214" s="10">
        <f>COUNTIF(I$2:$I$501,T214)</f>
        <v>437</v>
      </c>
      <c r="W214" s="10"/>
      <c r="X214" s="10"/>
    </row>
    <row r="215" spans="1:24" x14ac:dyDescent="0.25">
      <c r="A215" t="str">
        <f>IF(Tests!B216="","",Tests!B216)</f>
        <v/>
      </c>
      <c r="B215" t="str">
        <f>IF(Tests!D216="","",Tests!D216)</f>
        <v/>
      </c>
      <c r="C215" t="str">
        <f>IF(Tests!E216="","",Tests!E216)</f>
        <v/>
      </c>
      <c r="E215" s="54">
        <f t="shared" si="18"/>
        <v>0</v>
      </c>
      <c r="F215" s="54">
        <f t="shared" si="19"/>
        <v>0</v>
      </c>
      <c r="G215" s="54">
        <f t="shared" si="20"/>
        <v>1</v>
      </c>
      <c r="H215" s="54">
        <f t="shared" si="21"/>
        <v>437</v>
      </c>
      <c r="I215" s="56" t="str">
        <f>IFERROR(INDEX($A$2:$A$501,MATCH(SMALL($H$2:$H$501,ROWS($I$2:I215)+$G$502),$H$2:$H$501,0)),"")</f>
        <v/>
      </c>
      <c r="J215">
        <f t="shared" si="22"/>
        <v>151</v>
      </c>
      <c r="K215" t="str">
        <f t="array" ref="K215">INDEX($B$2:$B$501,SMALL(IF($A$2:$A$501=I215,ROW($A$2:$A$501)-ROW(INDEX($A$2:$A$501,1,1))+1),J215))</f>
        <v/>
      </c>
      <c r="L215" t="str">
        <f t="array" ref="L215">INDEX($C$2:$C$501,SMALL(IF($A$2:$A$501=I215,ROW($A$2:$A$501)-ROW(INDEX($A$2:$A$501,1,1))+1),J215))</f>
        <v/>
      </c>
      <c r="N215" t="str">
        <f t="shared" si="23"/>
        <v/>
      </c>
      <c r="S215" s="10">
        <v>214</v>
      </c>
      <c r="T215" s="10" t="str">
        <f t="array" ref="T215">IFERROR(INDEX(A$2:$A$501,MATCH(0,COUNTIF($T$1:T214,A$2:$A$501),0)),"")</f>
        <v/>
      </c>
      <c r="U215" s="10">
        <f>IFERROR(MATCH(T215,I$2:$I$501,0),"")</f>
        <v>64</v>
      </c>
      <c r="V215" s="10">
        <f>COUNTIF(I$2:$I$501,T215)</f>
        <v>437</v>
      </c>
      <c r="W215" s="10"/>
      <c r="X215" s="10"/>
    </row>
    <row r="216" spans="1:24" x14ac:dyDescent="0.25">
      <c r="A216" t="str">
        <f>IF(Tests!B217="","",Tests!B217)</f>
        <v/>
      </c>
      <c r="B216" t="str">
        <f>IF(Tests!D217="","",Tests!D217)</f>
        <v/>
      </c>
      <c r="C216" t="str">
        <f>IF(Tests!E217="","",Tests!E217)</f>
        <v/>
      </c>
      <c r="E216" s="54">
        <f t="shared" si="18"/>
        <v>0</v>
      </c>
      <c r="F216" s="54">
        <f t="shared" si="19"/>
        <v>0</v>
      </c>
      <c r="G216" s="54">
        <f t="shared" si="20"/>
        <v>1</v>
      </c>
      <c r="H216" s="54">
        <f t="shared" si="21"/>
        <v>437</v>
      </c>
      <c r="I216" s="56" t="str">
        <f>IFERROR(INDEX($A$2:$A$501,MATCH(SMALL($H$2:$H$501,ROWS($I$2:I216)+$G$502),$H$2:$H$501,0)),"")</f>
        <v/>
      </c>
      <c r="J216">
        <f t="shared" si="22"/>
        <v>152</v>
      </c>
      <c r="K216" t="str">
        <f t="array" ref="K216">INDEX($B$2:$B$501,SMALL(IF($A$2:$A$501=I216,ROW($A$2:$A$501)-ROW(INDEX($A$2:$A$501,1,1))+1),J216))</f>
        <v/>
      </c>
      <c r="L216" t="str">
        <f t="array" ref="L216">INDEX($C$2:$C$501,SMALL(IF($A$2:$A$501=I216,ROW($A$2:$A$501)-ROW(INDEX($A$2:$A$501,1,1))+1),J216))</f>
        <v/>
      </c>
      <c r="N216" t="str">
        <f t="shared" si="23"/>
        <v/>
      </c>
      <c r="S216" s="10">
        <v>215</v>
      </c>
      <c r="T216" s="10" t="str">
        <f t="array" ref="T216">IFERROR(INDEX(A$2:$A$501,MATCH(0,COUNTIF($T$1:T215,A$2:$A$501),0)),"")</f>
        <v/>
      </c>
      <c r="U216" s="10">
        <f>IFERROR(MATCH(T216,I$2:$I$501,0),"")</f>
        <v>64</v>
      </c>
      <c r="V216" s="10">
        <f>COUNTIF(I$2:$I$501,T216)</f>
        <v>437</v>
      </c>
      <c r="W216" s="10"/>
      <c r="X216" s="10"/>
    </row>
    <row r="217" spans="1:24" x14ac:dyDescent="0.25">
      <c r="A217" t="str">
        <f>IF(Tests!B218="","",Tests!B218)</f>
        <v/>
      </c>
      <c r="B217" t="str">
        <f>IF(Tests!D218="","",Tests!D218)</f>
        <v/>
      </c>
      <c r="C217" t="str">
        <f>IF(Tests!E218="","",Tests!E218)</f>
        <v/>
      </c>
      <c r="E217" s="54">
        <f t="shared" si="18"/>
        <v>0</v>
      </c>
      <c r="F217" s="54">
        <f t="shared" si="19"/>
        <v>0</v>
      </c>
      <c r="G217" s="54">
        <f t="shared" si="20"/>
        <v>1</v>
      </c>
      <c r="H217" s="54">
        <f t="shared" si="21"/>
        <v>437</v>
      </c>
      <c r="I217" s="56" t="str">
        <f>IFERROR(INDEX($A$2:$A$501,MATCH(SMALL($H$2:$H$501,ROWS($I$2:I217)+$G$502),$H$2:$H$501,0)),"")</f>
        <v/>
      </c>
      <c r="J217">
        <f t="shared" si="22"/>
        <v>153</v>
      </c>
      <c r="K217" t="str">
        <f t="array" ref="K217">INDEX($B$2:$B$501,SMALL(IF($A$2:$A$501=I217,ROW($A$2:$A$501)-ROW(INDEX($A$2:$A$501,1,1))+1),J217))</f>
        <v/>
      </c>
      <c r="L217" t="str">
        <f t="array" ref="L217">INDEX($C$2:$C$501,SMALL(IF($A$2:$A$501=I217,ROW($A$2:$A$501)-ROW(INDEX($A$2:$A$501,1,1))+1),J217))</f>
        <v/>
      </c>
      <c r="N217" t="str">
        <f t="shared" si="23"/>
        <v/>
      </c>
      <c r="S217" s="10">
        <v>216</v>
      </c>
      <c r="T217" s="10" t="str">
        <f t="array" ref="T217">IFERROR(INDEX(A$2:$A$501,MATCH(0,COUNTIF($T$1:T216,A$2:$A$501),0)),"")</f>
        <v/>
      </c>
      <c r="U217" s="10">
        <f>IFERROR(MATCH(T217,I$2:$I$501,0),"")</f>
        <v>64</v>
      </c>
      <c r="V217" s="10">
        <f>COUNTIF(I$2:$I$501,T217)</f>
        <v>437</v>
      </c>
      <c r="W217" s="10"/>
      <c r="X217" s="10"/>
    </row>
    <row r="218" spans="1:24" x14ac:dyDescent="0.25">
      <c r="A218" t="str">
        <f>IF(Tests!B219="","",Tests!B219)</f>
        <v/>
      </c>
      <c r="B218" t="str">
        <f>IF(Tests!D219="","",Tests!D219)</f>
        <v/>
      </c>
      <c r="C218" t="str">
        <f>IF(Tests!E219="","",Tests!E219)</f>
        <v/>
      </c>
      <c r="E218" s="54">
        <f t="shared" si="18"/>
        <v>0</v>
      </c>
      <c r="F218" s="54">
        <f t="shared" si="19"/>
        <v>0</v>
      </c>
      <c r="G218" s="54">
        <f t="shared" si="20"/>
        <v>1</v>
      </c>
      <c r="H218" s="54">
        <f t="shared" si="21"/>
        <v>437</v>
      </c>
      <c r="I218" s="56" t="str">
        <f>IFERROR(INDEX($A$2:$A$501,MATCH(SMALL($H$2:$H$501,ROWS($I$2:I218)+$G$502),$H$2:$H$501,0)),"")</f>
        <v/>
      </c>
      <c r="J218">
        <f t="shared" si="22"/>
        <v>154</v>
      </c>
      <c r="K218" t="str">
        <f t="array" ref="K218">INDEX($B$2:$B$501,SMALL(IF($A$2:$A$501=I218,ROW($A$2:$A$501)-ROW(INDEX($A$2:$A$501,1,1))+1),J218))</f>
        <v/>
      </c>
      <c r="L218" t="str">
        <f t="array" ref="L218">INDEX($C$2:$C$501,SMALL(IF($A$2:$A$501=I218,ROW($A$2:$A$501)-ROW(INDEX($A$2:$A$501,1,1))+1),J218))</f>
        <v/>
      </c>
      <c r="N218" t="str">
        <f t="shared" si="23"/>
        <v/>
      </c>
      <c r="S218" s="10">
        <v>217</v>
      </c>
      <c r="T218" s="10" t="str">
        <f t="array" ref="T218">IFERROR(INDEX(A$2:$A$501,MATCH(0,COUNTIF($T$1:T217,A$2:$A$501),0)),"")</f>
        <v/>
      </c>
      <c r="U218" s="10">
        <f>IFERROR(MATCH(T218,I$2:$I$501,0),"")</f>
        <v>64</v>
      </c>
      <c r="V218" s="10">
        <f>COUNTIF(I$2:$I$501,T218)</f>
        <v>437</v>
      </c>
      <c r="W218" s="10"/>
      <c r="X218" s="10"/>
    </row>
    <row r="219" spans="1:24" x14ac:dyDescent="0.25">
      <c r="A219" t="str">
        <f>IF(Tests!B220="","",Tests!B220)</f>
        <v/>
      </c>
      <c r="B219" t="str">
        <f>IF(Tests!D220="","",Tests!D220)</f>
        <v/>
      </c>
      <c r="C219" t="str">
        <f>IF(Tests!E220="","",Tests!E220)</f>
        <v/>
      </c>
      <c r="E219" s="54">
        <f t="shared" si="18"/>
        <v>0</v>
      </c>
      <c r="F219" s="54">
        <f t="shared" si="19"/>
        <v>0</v>
      </c>
      <c r="G219" s="54">
        <f t="shared" si="20"/>
        <v>1</v>
      </c>
      <c r="H219" s="54">
        <f t="shared" si="21"/>
        <v>437</v>
      </c>
      <c r="I219" s="56" t="str">
        <f>IFERROR(INDEX($A$2:$A$501,MATCH(SMALL($H$2:$H$501,ROWS($I$2:I219)+$G$502),$H$2:$H$501,0)),"")</f>
        <v/>
      </c>
      <c r="J219">
        <f t="shared" si="22"/>
        <v>155</v>
      </c>
      <c r="K219" t="str">
        <f t="array" ref="K219">INDEX($B$2:$B$501,SMALL(IF($A$2:$A$501=I219,ROW($A$2:$A$501)-ROW(INDEX($A$2:$A$501,1,1))+1),J219))</f>
        <v/>
      </c>
      <c r="L219" t="str">
        <f t="array" ref="L219">INDEX($C$2:$C$501,SMALL(IF($A$2:$A$501=I219,ROW($A$2:$A$501)-ROW(INDEX($A$2:$A$501,1,1))+1),J219))</f>
        <v/>
      </c>
      <c r="N219" t="str">
        <f t="shared" si="23"/>
        <v/>
      </c>
      <c r="S219" s="10">
        <v>218</v>
      </c>
      <c r="T219" s="10" t="str">
        <f t="array" ref="T219">IFERROR(INDEX(A$2:$A$501,MATCH(0,COUNTIF($T$1:T218,A$2:$A$501),0)),"")</f>
        <v/>
      </c>
      <c r="U219" s="10">
        <f>IFERROR(MATCH(T219,I$2:$I$501,0),"")</f>
        <v>64</v>
      </c>
      <c r="V219" s="10">
        <f>COUNTIF(I$2:$I$501,T219)</f>
        <v>437</v>
      </c>
      <c r="W219" s="10"/>
      <c r="X219" s="10"/>
    </row>
    <row r="220" spans="1:24" x14ac:dyDescent="0.25">
      <c r="A220" t="str">
        <f>IF(Tests!B221="","",Tests!B221)</f>
        <v/>
      </c>
      <c r="B220" t="str">
        <f>IF(Tests!D221="","",Tests!D221)</f>
        <v/>
      </c>
      <c r="C220" t="str">
        <f>IF(Tests!E221="","",Tests!E221)</f>
        <v/>
      </c>
      <c r="E220" s="54">
        <f t="shared" si="18"/>
        <v>0</v>
      </c>
      <c r="F220" s="54">
        <f t="shared" si="19"/>
        <v>0</v>
      </c>
      <c r="G220" s="54">
        <f t="shared" si="20"/>
        <v>1</v>
      </c>
      <c r="H220" s="54">
        <f t="shared" si="21"/>
        <v>437</v>
      </c>
      <c r="I220" s="56" t="str">
        <f>IFERROR(INDEX($A$2:$A$501,MATCH(SMALL($H$2:$H$501,ROWS($I$2:I220)+$G$502),$H$2:$H$501,0)),"")</f>
        <v/>
      </c>
      <c r="J220">
        <f t="shared" si="22"/>
        <v>156</v>
      </c>
      <c r="K220" t="str">
        <f t="array" ref="K220">INDEX($B$2:$B$501,SMALL(IF($A$2:$A$501=I220,ROW($A$2:$A$501)-ROW(INDEX($A$2:$A$501,1,1))+1),J220))</f>
        <v/>
      </c>
      <c r="L220" t="str">
        <f t="array" ref="L220">INDEX($C$2:$C$501,SMALL(IF($A$2:$A$501=I220,ROW($A$2:$A$501)-ROW(INDEX($A$2:$A$501,1,1))+1),J220))</f>
        <v/>
      </c>
      <c r="N220" t="str">
        <f t="shared" si="23"/>
        <v/>
      </c>
      <c r="S220" s="10">
        <v>219</v>
      </c>
      <c r="T220" s="10" t="str">
        <f t="array" ref="T220">IFERROR(INDEX(A$2:$A$501,MATCH(0,COUNTIF($T$1:T219,A$2:$A$501),0)),"")</f>
        <v/>
      </c>
      <c r="U220" s="10">
        <f>IFERROR(MATCH(T220,I$2:$I$501,0),"")</f>
        <v>64</v>
      </c>
      <c r="V220" s="10">
        <f>COUNTIF(I$2:$I$501,T220)</f>
        <v>437</v>
      </c>
      <c r="W220" s="10"/>
      <c r="X220" s="10"/>
    </row>
    <row r="221" spans="1:24" x14ac:dyDescent="0.25">
      <c r="A221" t="str">
        <f>IF(Tests!B222="","",Tests!B222)</f>
        <v/>
      </c>
      <c r="B221" t="str">
        <f>IF(Tests!D222="","",Tests!D222)</f>
        <v/>
      </c>
      <c r="C221" t="str">
        <f>IF(Tests!E222="","",Tests!E222)</f>
        <v/>
      </c>
      <c r="E221" s="54">
        <f t="shared" si="18"/>
        <v>0</v>
      </c>
      <c r="F221" s="54">
        <f t="shared" si="19"/>
        <v>0</v>
      </c>
      <c r="G221" s="54">
        <f t="shared" si="20"/>
        <v>1</v>
      </c>
      <c r="H221" s="54">
        <f t="shared" si="21"/>
        <v>437</v>
      </c>
      <c r="I221" s="56" t="str">
        <f>IFERROR(INDEX($A$2:$A$501,MATCH(SMALL($H$2:$H$501,ROWS($I$2:I221)+$G$502),$H$2:$H$501,0)),"")</f>
        <v/>
      </c>
      <c r="J221">
        <f t="shared" si="22"/>
        <v>157</v>
      </c>
      <c r="K221" t="str">
        <f t="array" ref="K221">INDEX($B$2:$B$501,SMALL(IF($A$2:$A$501=I221,ROW($A$2:$A$501)-ROW(INDEX($A$2:$A$501,1,1))+1),J221))</f>
        <v/>
      </c>
      <c r="L221" t="str">
        <f t="array" ref="L221">INDEX($C$2:$C$501,SMALL(IF($A$2:$A$501=I221,ROW($A$2:$A$501)-ROW(INDEX($A$2:$A$501,1,1))+1),J221))</f>
        <v/>
      </c>
      <c r="N221" t="str">
        <f t="shared" si="23"/>
        <v/>
      </c>
      <c r="S221" s="10">
        <v>220</v>
      </c>
      <c r="T221" s="10" t="str">
        <f t="array" ref="T221">IFERROR(INDEX(A$2:$A$501,MATCH(0,COUNTIF($T$1:T220,A$2:$A$501),0)),"")</f>
        <v/>
      </c>
      <c r="U221" s="10">
        <f>IFERROR(MATCH(T221,I$2:$I$501,0),"")</f>
        <v>64</v>
      </c>
      <c r="V221" s="10">
        <f>COUNTIF(I$2:$I$501,T221)</f>
        <v>437</v>
      </c>
      <c r="W221" s="10"/>
      <c r="X221" s="10"/>
    </row>
    <row r="222" spans="1:24" x14ac:dyDescent="0.25">
      <c r="A222" t="str">
        <f>IF(Tests!B223="","",Tests!B223)</f>
        <v/>
      </c>
      <c r="B222" t="str">
        <f>IF(Tests!D223="","",Tests!D223)</f>
        <v/>
      </c>
      <c r="C222" t="str">
        <f>IF(Tests!E223="","",Tests!E223)</f>
        <v/>
      </c>
      <c r="E222" s="54">
        <f t="shared" si="18"/>
        <v>0</v>
      </c>
      <c r="F222" s="54">
        <f t="shared" si="19"/>
        <v>0</v>
      </c>
      <c r="G222" s="54">
        <f t="shared" si="20"/>
        <v>1</v>
      </c>
      <c r="H222" s="54">
        <f t="shared" si="21"/>
        <v>437</v>
      </c>
      <c r="I222" s="56" t="str">
        <f>IFERROR(INDEX($A$2:$A$501,MATCH(SMALL($H$2:$H$501,ROWS($I$2:I222)+$G$502),$H$2:$H$501,0)),"")</f>
        <v/>
      </c>
      <c r="J222">
        <f t="shared" si="22"/>
        <v>158</v>
      </c>
      <c r="K222" t="str">
        <f t="array" ref="K222">INDEX($B$2:$B$501,SMALL(IF($A$2:$A$501=I222,ROW($A$2:$A$501)-ROW(INDEX($A$2:$A$501,1,1))+1),J222))</f>
        <v/>
      </c>
      <c r="L222" t="str">
        <f t="array" ref="L222">INDEX($C$2:$C$501,SMALL(IF($A$2:$A$501=I222,ROW($A$2:$A$501)-ROW(INDEX($A$2:$A$501,1,1))+1),J222))</f>
        <v/>
      </c>
      <c r="N222" t="str">
        <f t="shared" si="23"/>
        <v/>
      </c>
      <c r="S222" s="10">
        <v>221</v>
      </c>
      <c r="T222" s="10" t="str">
        <f t="array" ref="T222">IFERROR(INDEX(A$2:$A$501,MATCH(0,COUNTIF($T$1:T221,A$2:$A$501),0)),"")</f>
        <v/>
      </c>
      <c r="U222" s="10">
        <f>IFERROR(MATCH(T222,I$2:$I$501,0),"")</f>
        <v>64</v>
      </c>
      <c r="V222" s="10">
        <f>COUNTIF(I$2:$I$501,T222)</f>
        <v>437</v>
      </c>
      <c r="W222" s="10"/>
      <c r="X222" s="10"/>
    </row>
    <row r="223" spans="1:24" x14ac:dyDescent="0.25">
      <c r="A223" t="str">
        <f>IF(Tests!B224="","",Tests!B224)</f>
        <v/>
      </c>
      <c r="B223" t="str">
        <f>IF(Tests!D224="","",Tests!D224)</f>
        <v/>
      </c>
      <c r="C223" t="str">
        <f>IF(Tests!E224="","",Tests!E224)</f>
        <v/>
      </c>
      <c r="E223" s="54">
        <f t="shared" si="18"/>
        <v>0</v>
      </c>
      <c r="F223" s="54">
        <f t="shared" si="19"/>
        <v>0</v>
      </c>
      <c r="G223" s="54">
        <f t="shared" si="20"/>
        <v>1</v>
      </c>
      <c r="H223" s="54">
        <f t="shared" si="21"/>
        <v>437</v>
      </c>
      <c r="I223" s="56" t="str">
        <f>IFERROR(INDEX($A$2:$A$501,MATCH(SMALL($H$2:$H$501,ROWS($I$2:I223)+$G$502),$H$2:$H$501,0)),"")</f>
        <v/>
      </c>
      <c r="J223">
        <f t="shared" si="22"/>
        <v>159</v>
      </c>
      <c r="K223" t="str">
        <f t="array" ref="K223">INDEX($B$2:$B$501,SMALL(IF($A$2:$A$501=I223,ROW($A$2:$A$501)-ROW(INDEX($A$2:$A$501,1,1))+1),J223))</f>
        <v/>
      </c>
      <c r="L223" t="str">
        <f t="array" ref="L223">INDEX($C$2:$C$501,SMALL(IF($A$2:$A$501=I223,ROW($A$2:$A$501)-ROW(INDEX($A$2:$A$501,1,1))+1),J223))</f>
        <v/>
      </c>
      <c r="N223" t="str">
        <f t="shared" si="23"/>
        <v/>
      </c>
      <c r="S223" s="10">
        <v>222</v>
      </c>
      <c r="T223" s="10" t="str">
        <f t="array" ref="T223">IFERROR(INDEX(A$2:$A$501,MATCH(0,COUNTIF($T$1:T222,A$2:$A$501),0)),"")</f>
        <v/>
      </c>
      <c r="U223" s="10">
        <f>IFERROR(MATCH(T223,I$2:$I$501,0),"")</f>
        <v>64</v>
      </c>
      <c r="V223" s="10">
        <f>COUNTIF(I$2:$I$501,T223)</f>
        <v>437</v>
      </c>
      <c r="W223" s="10"/>
      <c r="X223" s="10"/>
    </row>
    <row r="224" spans="1:24" x14ac:dyDescent="0.25">
      <c r="A224" t="str">
        <f>IF(Tests!B225="","",Tests!B225)</f>
        <v/>
      </c>
      <c r="B224" t="str">
        <f>IF(Tests!D225="","",Tests!D225)</f>
        <v/>
      </c>
      <c r="C224" t="str">
        <f>IF(Tests!E225="","",Tests!E225)</f>
        <v/>
      </c>
      <c r="E224" s="54">
        <f t="shared" si="18"/>
        <v>0</v>
      </c>
      <c r="F224" s="54">
        <f t="shared" si="19"/>
        <v>0</v>
      </c>
      <c r="G224" s="54">
        <f t="shared" si="20"/>
        <v>1</v>
      </c>
      <c r="H224" s="54">
        <f t="shared" si="21"/>
        <v>437</v>
      </c>
      <c r="I224" s="56" t="str">
        <f>IFERROR(INDEX($A$2:$A$501,MATCH(SMALL($H$2:$H$501,ROWS($I$2:I224)+$G$502),$H$2:$H$501,0)),"")</f>
        <v/>
      </c>
      <c r="J224">
        <f t="shared" si="22"/>
        <v>160</v>
      </c>
      <c r="K224" t="str">
        <f t="array" ref="K224">INDEX($B$2:$B$501,SMALL(IF($A$2:$A$501=I224,ROW($A$2:$A$501)-ROW(INDEX($A$2:$A$501,1,1))+1),J224))</f>
        <v/>
      </c>
      <c r="L224" t="str">
        <f t="array" ref="L224">INDEX($C$2:$C$501,SMALL(IF($A$2:$A$501=I224,ROW($A$2:$A$501)-ROW(INDEX($A$2:$A$501,1,1))+1),J224))</f>
        <v/>
      </c>
      <c r="N224" t="str">
        <f t="shared" si="23"/>
        <v/>
      </c>
      <c r="S224" s="10">
        <v>223</v>
      </c>
      <c r="T224" s="10" t="str">
        <f t="array" ref="T224">IFERROR(INDEX(A$2:$A$501,MATCH(0,COUNTIF($T$1:T223,A$2:$A$501),0)),"")</f>
        <v/>
      </c>
      <c r="U224" s="10">
        <f>IFERROR(MATCH(T224,I$2:$I$501,0),"")</f>
        <v>64</v>
      </c>
      <c r="V224" s="10">
        <f>COUNTIF(I$2:$I$501,T224)</f>
        <v>437</v>
      </c>
      <c r="W224" s="10"/>
      <c r="X224" s="10"/>
    </row>
    <row r="225" spans="1:24" x14ac:dyDescent="0.25">
      <c r="A225" t="str">
        <f>IF(Tests!B226="","",Tests!B226)</f>
        <v/>
      </c>
      <c r="B225" t="str">
        <f>IF(Tests!D226="","",Tests!D226)</f>
        <v/>
      </c>
      <c r="C225" t="str">
        <f>IF(Tests!E226="","",Tests!E226)</f>
        <v/>
      </c>
      <c r="E225" s="54">
        <f t="shared" si="18"/>
        <v>0</v>
      </c>
      <c r="F225" s="54">
        <f t="shared" si="19"/>
        <v>0</v>
      </c>
      <c r="G225" s="54">
        <f t="shared" si="20"/>
        <v>1</v>
      </c>
      <c r="H225" s="54">
        <f t="shared" si="21"/>
        <v>437</v>
      </c>
      <c r="I225" s="56" t="str">
        <f>IFERROR(INDEX($A$2:$A$501,MATCH(SMALL($H$2:$H$501,ROWS($I$2:I225)+$G$502),$H$2:$H$501,0)),"")</f>
        <v/>
      </c>
      <c r="J225">
        <f t="shared" si="22"/>
        <v>161</v>
      </c>
      <c r="K225" t="str">
        <f t="array" ref="K225">INDEX($B$2:$B$501,SMALL(IF($A$2:$A$501=I225,ROW($A$2:$A$501)-ROW(INDEX($A$2:$A$501,1,1))+1),J225))</f>
        <v/>
      </c>
      <c r="L225" t="str">
        <f t="array" ref="L225">INDEX($C$2:$C$501,SMALL(IF($A$2:$A$501=I225,ROW($A$2:$A$501)-ROW(INDEX($A$2:$A$501,1,1))+1),J225))</f>
        <v/>
      </c>
      <c r="N225" t="str">
        <f t="shared" si="23"/>
        <v/>
      </c>
      <c r="S225" s="10">
        <v>224</v>
      </c>
      <c r="T225" s="10" t="str">
        <f t="array" ref="T225">IFERROR(INDEX(A$2:$A$501,MATCH(0,COUNTIF($T$1:T224,A$2:$A$501),0)),"")</f>
        <v/>
      </c>
      <c r="U225" s="10">
        <f>IFERROR(MATCH(T225,I$2:$I$501,0),"")</f>
        <v>64</v>
      </c>
      <c r="V225" s="10">
        <f>COUNTIF(I$2:$I$501,T225)</f>
        <v>437</v>
      </c>
      <c r="W225" s="10"/>
      <c r="X225" s="10"/>
    </row>
    <row r="226" spans="1:24" x14ac:dyDescent="0.25">
      <c r="A226" t="str">
        <f>IF(Tests!B227="","",Tests!B227)</f>
        <v/>
      </c>
      <c r="B226" t="str">
        <f>IF(Tests!D227="","",Tests!D227)</f>
        <v/>
      </c>
      <c r="C226" t="str">
        <f>IF(Tests!E227="","",Tests!E227)</f>
        <v/>
      </c>
      <c r="E226" s="54">
        <f t="shared" si="18"/>
        <v>0</v>
      </c>
      <c r="F226" s="54">
        <f t="shared" si="19"/>
        <v>0</v>
      </c>
      <c r="G226" s="54">
        <f t="shared" si="20"/>
        <v>1</v>
      </c>
      <c r="H226" s="54">
        <f t="shared" si="21"/>
        <v>437</v>
      </c>
      <c r="I226" s="56" t="str">
        <f>IFERROR(INDEX($A$2:$A$501,MATCH(SMALL($H$2:$H$501,ROWS($I$2:I226)+$G$502),$H$2:$H$501,0)),"")</f>
        <v/>
      </c>
      <c r="J226">
        <f t="shared" si="22"/>
        <v>162</v>
      </c>
      <c r="K226" t="str">
        <f t="array" ref="K226">INDEX($B$2:$B$501,SMALL(IF($A$2:$A$501=I226,ROW($A$2:$A$501)-ROW(INDEX($A$2:$A$501,1,1))+1),J226))</f>
        <v/>
      </c>
      <c r="L226" t="str">
        <f t="array" ref="L226">INDEX($C$2:$C$501,SMALL(IF($A$2:$A$501=I226,ROW($A$2:$A$501)-ROW(INDEX($A$2:$A$501,1,1))+1),J226))</f>
        <v/>
      </c>
      <c r="N226" t="str">
        <f t="shared" si="23"/>
        <v/>
      </c>
      <c r="S226" s="10">
        <v>225</v>
      </c>
      <c r="T226" s="10" t="str">
        <f t="array" ref="T226">IFERROR(INDEX(A$2:$A$501,MATCH(0,COUNTIF($T$1:T225,A$2:$A$501),0)),"")</f>
        <v/>
      </c>
      <c r="U226" s="10">
        <f>IFERROR(MATCH(T226,I$2:$I$501,0),"")</f>
        <v>64</v>
      </c>
      <c r="V226" s="10">
        <f>COUNTIF(I$2:$I$501,T226)</f>
        <v>437</v>
      </c>
      <c r="W226" s="10"/>
      <c r="X226" s="10"/>
    </row>
    <row r="227" spans="1:24" x14ac:dyDescent="0.25">
      <c r="A227" t="str">
        <f>IF(Tests!B228="","",Tests!B228)</f>
        <v/>
      </c>
      <c r="B227" t="str">
        <f>IF(Tests!D228="","",Tests!D228)</f>
        <v/>
      </c>
      <c r="C227" t="str">
        <f>IF(Tests!E228="","",Tests!E228)</f>
        <v/>
      </c>
      <c r="E227" s="54">
        <f t="shared" si="18"/>
        <v>0</v>
      </c>
      <c r="F227" s="54">
        <f t="shared" si="19"/>
        <v>0</v>
      </c>
      <c r="G227" s="54">
        <f t="shared" si="20"/>
        <v>1</v>
      </c>
      <c r="H227" s="54">
        <f t="shared" si="21"/>
        <v>437</v>
      </c>
      <c r="I227" s="56" t="str">
        <f>IFERROR(INDEX($A$2:$A$501,MATCH(SMALL($H$2:$H$501,ROWS($I$2:I227)+$G$502),$H$2:$H$501,0)),"")</f>
        <v/>
      </c>
      <c r="J227">
        <f t="shared" si="22"/>
        <v>163</v>
      </c>
      <c r="K227" t="str">
        <f t="array" ref="K227">INDEX($B$2:$B$501,SMALL(IF($A$2:$A$501=I227,ROW($A$2:$A$501)-ROW(INDEX($A$2:$A$501,1,1))+1),J227))</f>
        <v/>
      </c>
      <c r="L227" t="str">
        <f t="array" ref="L227">INDEX($C$2:$C$501,SMALL(IF($A$2:$A$501=I227,ROW($A$2:$A$501)-ROW(INDEX($A$2:$A$501,1,1))+1),J227))</f>
        <v/>
      </c>
      <c r="N227" t="str">
        <f t="shared" si="23"/>
        <v/>
      </c>
      <c r="S227" s="10">
        <v>226</v>
      </c>
      <c r="T227" s="10" t="str">
        <f t="array" ref="T227">IFERROR(INDEX(A$2:$A$501,MATCH(0,COUNTIF($T$1:T226,A$2:$A$501),0)),"")</f>
        <v/>
      </c>
      <c r="U227" s="10">
        <f>IFERROR(MATCH(T227,I$2:$I$501,0),"")</f>
        <v>64</v>
      </c>
      <c r="V227" s="10">
        <f>COUNTIF(I$2:$I$501,T227)</f>
        <v>437</v>
      </c>
      <c r="W227" s="10"/>
      <c r="X227" s="10"/>
    </row>
    <row r="228" spans="1:24" x14ac:dyDescent="0.25">
      <c r="A228" t="str">
        <f>IF(Tests!B229="","",Tests!B229)</f>
        <v/>
      </c>
      <c r="B228" t="str">
        <f>IF(Tests!D229="","",Tests!D229)</f>
        <v/>
      </c>
      <c r="C228" t="str">
        <f>IF(Tests!E229="","",Tests!E229)</f>
        <v/>
      </c>
      <c r="E228" s="54">
        <f t="shared" si="18"/>
        <v>0</v>
      </c>
      <c r="F228" s="54">
        <f t="shared" si="19"/>
        <v>0</v>
      </c>
      <c r="G228" s="54">
        <f t="shared" si="20"/>
        <v>1</v>
      </c>
      <c r="H228" s="54">
        <f t="shared" si="21"/>
        <v>437</v>
      </c>
      <c r="I228" s="56" t="str">
        <f>IFERROR(INDEX($A$2:$A$501,MATCH(SMALL($H$2:$H$501,ROWS($I$2:I228)+$G$502),$H$2:$H$501,0)),"")</f>
        <v/>
      </c>
      <c r="J228">
        <f t="shared" si="22"/>
        <v>164</v>
      </c>
      <c r="K228" t="str">
        <f t="array" ref="K228">INDEX($B$2:$B$501,SMALL(IF($A$2:$A$501=I228,ROW($A$2:$A$501)-ROW(INDEX($A$2:$A$501,1,1))+1),J228))</f>
        <v/>
      </c>
      <c r="L228" t="str">
        <f t="array" ref="L228">INDEX($C$2:$C$501,SMALL(IF($A$2:$A$501=I228,ROW($A$2:$A$501)-ROW(INDEX($A$2:$A$501,1,1))+1),J228))</f>
        <v/>
      </c>
      <c r="N228" t="str">
        <f t="shared" si="23"/>
        <v/>
      </c>
      <c r="S228" s="10">
        <v>227</v>
      </c>
      <c r="T228" s="10" t="str">
        <f t="array" ref="T228">IFERROR(INDEX(A$2:$A$501,MATCH(0,COUNTIF($T$1:T227,A$2:$A$501),0)),"")</f>
        <v/>
      </c>
      <c r="U228" s="10">
        <f>IFERROR(MATCH(T228,I$2:$I$501,0),"")</f>
        <v>64</v>
      </c>
      <c r="V228" s="10">
        <f>COUNTIF(I$2:$I$501,T228)</f>
        <v>437</v>
      </c>
      <c r="W228" s="10"/>
      <c r="X228" s="10"/>
    </row>
    <row r="229" spans="1:24" x14ac:dyDescent="0.25">
      <c r="A229" t="str">
        <f>IF(Tests!B230="","",Tests!B230)</f>
        <v/>
      </c>
      <c r="B229" t="str">
        <f>IF(Tests!D230="","",Tests!D230)</f>
        <v/>
      </c>
      <c r="C229" t="str">
        <f>IF(Tests!E230="","",Tests!E230)</f>
        <v/>
      </c>
      <c r="E229" s="54">
        <f t="shared" si="18"/>
        <v>0</v>
      </c>
      <c r="F229" s="54">
        <f t="shared" si="19"/>
        <v>0</v>
      </c>
      <c r="G229" s="54">
        <f t="shared" si="20"/>
        <v>1</v>
      </c>
      <c r="H229" s="54">
        <f t="shared" si="21"/>
        <v>437</v>
      </c>
      <c r="I229" s="56" t="str">
        <f>IFERROR(INDEX($A$2:$A$501,MATCH(SMALL($H$2:$H$501,ROWS($I$2:I229)+$G$502),$H$2:$H$501,0)),"")</f>
        <v/>
      </c>
      <c r="J229">
        <f t="shared" si="22"/>
        <v>165</v>
      </c>
      <c r="K229" t="str">
        <f t="array" ref="K229">INDEX($B$2:$B$501,SMALL(IF($A$2:$A$501=I229,ROW($A$2:$A$501)-ROW(INDEX($A$2:$A$501,1,1))+1),J229))</f>
        <v/>
      </c>
      <c r="L229" t="str">
        <f t="array" ref="L229">INDEX($C$2:$C$501,SMALL(IF($A$2:$A$501=I229,ROW($A$2:$A$501)-ROW(INDEX($A$2:$A$501,1,1))+1),J229))</f>
        <v/>
      </c>
      <c r="N229" t="str">
        <f t="shared" si="23"/>
        <v/>
      </c>
      <c r="S229" s="10">
        <v>228</v>
      </c>
      <c r="T229" s="10" t="str">
        <f t="array" ref="T229">IFERROR(INDEX(A$2:$A$501,MATCH(0,COUNTIF($T$1:T228,A$2:$A$501),0)),"")</f>
        <v/>
      </c>
      <c r="U229" s="10">
        <f>IFERROR(MATCH(T229,I$2:$I$501,0),"")</f>
        <v>64</v>
      </c>
      <c r="V229" s="10">
        <f>COUNTIF(I$2:$I$501,T229)</f>
        <v>437</v>
      </c>
      <c r="W229" s="10"/>
      <c r="X229" s="10"/>
    </row>
    <row r="230" spans="1:24" x14ac:dyDescent="0.25">
      <c r="A230" t="str">
        <f>IF(Tests!B231="","",Tests!B231)</f>
        <v/>
      </c>
      <c r="B230" t="str">
        <f>IF(Tests!D231="","",Tests!D231)</f>
        <v/>
      </c>
      <c r="C230" t="str">
        <f>IF(Tests!E231="","",Tests!E231)</f>
        <v/>
      </c>
      <c r="E230" s="54">
        <f t="shared" si="18"/>
        <v>0</v>
      </c>
      <c r="F230" s="54">
        <f t="shared" si="19"/>
        <v>0</v>
      </c>
      <c r="G230" s="54">
        <f t="shared" si="20"/>
        <v>1</v>
      </c>
      <c r="H230" s="54">
        <f t="shared" si="21"/>
        <v>437</v>
      </c>
      <c r="I230" s="56" t="str">
        <f>IFERROR(INDEX($A$2:$A$501,MATCH(SMALL($H$2:$H$501,ROWS($I$2:I230)+$G$502),$H$2:$H$501,0)),"")</f>
        <v/>
      </c>
      <c r="J230">
        <f t="shared" si="22"/>
        <v>166</v>
      </c>
      <c r="K230" t="str">
        <f t="array" ref="K230">INDEX($B$2:$B$501,SMALL(IF($A$2:$A$501=I230,ROW($A$2:$A$501)-ROW(INDEX($A$2:$A$501,1,1))+1),J230))</f>
        <v/>
      </c>
      <c r="L230" t="str">
        <f t="array" ref="L230">INDEX($C$2:$C$501,SMALL(IF($A$2:$A$501=I230,ROW($A$2:$A$501)-ROW(INDEX($A$2:$A$501,1,1))+1),J230))</f>
        <v/>
      </c>
      <c r="N230" t="str">
        <f t="shared" si="23"/>
        <v/>
      </c>
      <c r="S230" s="10">
        <v>229</v>
      </c>
      <c r="T230" s="10" t="str">
        <f t="array" ref="T230">IFERROR(INDEX(A$2:$A$501,MATCH(0,COUNTIF($T$1:T229,A$2:$A$501),0)),"")</f>
        <v/>
      </c>
      <c r="U230" s="10">
        <f>IFERROR(MATCH(T230,I$2:$I$501,0),"")</f>
        <v>64</v>
      </c>
      <c r="V230" s="10">
        <f>COUNTIF(I$2:$I$501,T230)</f>
        <v>437</v>
      </c>
      <c r="W230" s="10"/>
      <c r="X230" s="10"/>
    </row>
    <row r="231" spans="1:24" x14ac:dyDescent="0.25">
      <c r="A231" t="str">
        <f>IF(Tests!B232="","",Tests!B232)</f>
        <v/>
      </c>
      <c r="B231" t="str">
        <f>IF(Tests!D232="","",Tests!D232)</f>
        <v/>
      </c>
      <c r="C231" t="str">
        <f>IF(Tests!E232="","",Tests!E232)</f>
        <v/>
      </c>
      <c r="E231" s="54">
        <f t="shared" si="18"/>
        <v>0</v>
      </c>
      <c r="F231" s="54">
        <f t="shared" si="19"/>
        <v>0</v>
      </c>
      <c r="G231" s="54">
        <f t="shared" si="20"/>
        <v>1</v>
      </c>
      <c r="H231" s="54">
        <f t="shared" si="21"/>
        <v>437</v>
      </c>
      <c r="I231" s="56" t="str">
        <f>IFERROR(INDEX($A$2:$A$501,MATCH(SMALL($H$2:$H$501,ROWS($I$2:I231)+$G$502),$H$2:$H$501,0)),"")</f>
        <v/>
      </c>
      <c r="J231">
        <f t="shared" si="22"/>
        <v>167</v>
      </c>
      <c r="K231" t="str">
        <f t="array" ref="K231">INDEX($B$2:$B$501,SMALL(IF($A$2:$A$501=I231,ROW($A$2:$A$501)-ROW(INDEX($A$2:$A$501,1,1))+1),J231))</f>
        <v/>
      </c>
      <c r="L231" t="str">
        <f t="array" ref="L231">INDEX($C$2:$C$501,SMALL(IF($A$2:$A$501=I231,ROW($A$2:$A$501)-ROW(INDEX($A$2:$A$501,1,1))+1),J231))</f>
        <v/>
      </c>
      <c r="N231" t="str">
        <f t="shared" si="23"/>
        <v/>
      </c>
      <c r="S231" s="10">
        <v>230</v>
      </c>
      <c r="T231" s="10" t="str">
        <f t="array" ref="T231">IFERROR(INDEX(A$2:$A$501,MATCH(0,COUNTIF($T$1:T230,A$2:$A$501),0)),"")</f>
        <v/>
      </c>
      <c r="U231" s="10">
        <f>IFERROR(MATCH(T231,I$2:$I$501,0),"")</f>
        <v>64</v>
      </c>
      <c r="V231" s="10">
        <f>COUNTIF(I$2:$I$501,T231)</f>
        <v>437</v>
      </c>
      <c r="W231" s="10"/>
      <c r="X231" s="10"/>
    </row>
    <row r="232" spans="1:24" x14ac:dyDescent="0.25">
      <c r="A232" t="str">
        <f>IF(Tests!B233="","",Tests!B233)</f>
        <v/>
      </c>
      <c r="B232" t="str">
        <f>IF(Tests!D233="","",Tests!D233)</f>
        <v/>
      </c>
      <c r="C232" t="str">
        <f>IF(Tests!E233="","",Tests!E233)</f>
        <v/>
      </c>
      <c r="E232" s="54">
        <f t="shared" si="18"/>
        <v>0</v>
      </c>
      <c r="F232" s="54">
        <f t="shared" si="19"/>
        <v>0</v>
      </c>
      <c r="G232" s="54">
        <f t="shared" si="20"/>
        <v>1</v>
      </c>
      <c r="H232" s="54">
        <f t="shared" si="21"/>
        <v>437</v>
      </c>
      <c r="I232" s="56" t="str">
        <f>IFERROR(INDEX($A$2:$A$501,MATCH(SMALL($H$2:$H$501,ROWS($I$2:I232)+$G$502),$H$2:$H$501,0)),"")</f>
        <v/>
      </c>
      <c r="J232">
        <f t="shared" si="22"/>
        <v>168</v>
      </c>
      <c r="K232" t="str">
        <f t="array" ref="K232">INDEX($B$2:$B$501,SMALL(IF($A$2:$A$501=I232,ROW($A$2:$A$501)-ROW(INDEX($A$2:$A$501,1,1))+1),J232))</f>
        <v/>
      </c>
      <c r="L232" t="str">
        <f t="array" ref="L232">INDEX($C$2:$C$501,SMALL(IF($A$2:$A$501=I232,ROW($A$2:$A$501)-ROW(INDEX($A$2:$A$501,1,1))+1),J232))</f>
        <v/>
      </c>
      <c r="N232" t="str">
        <f t="shared" si="23"/>
        <v/>
      </c>
      <c r="S232" s="10">
        <v>231</v>
      </c>
      <c r="T232" s="10" t="str">
        <f t="array" ref="T232">IFERROR(INDEX(A$2:$A$501,MATCH(0,COUNTIF($T$1:T231,A$2:$A$501),0)),"")</f>
        <v/>
      </c>
      <c r="U232" s="10">
        <f>IFERROR(MATCH(T232,I$2:$I$501,0),"")</f>
        <v>64</v>
      </c>
      <c r="V232" s="10">
        <f>COUNTIF(I$2:$I$501,T232)</f>
        <v>437</v>
      </c>
      <c r="W232" s="10"/>
      <c r="X232" s="10"/>
    </row>
    <row r="233" spans="1:24" x14ac:dyDescent="0.25">
      <c r="A233" t="str">
        <f>IF(Tests!B234="","",Tests!B234)</f>
        <v/>
      </c>
      <c r="B233" t="str">
        <f>IF(Tests!D234="","",Tests!D234)</f>
        <v/>
      </c>
      <c r="C233" t="str">
        <f>IF(Tests!E234="","",Tests!E234)</f>
        <v/>
      </c>
      <c r="E233" s="54">
        <f t="shared" si="18"/>
        <v>0</v>
      </c>
      <c r="F233" s="54">
        <f t="shared" si="19"/>
        <v>0</v>
      </c>
      <c r="G233" s="54">
        <f t="shared" si="20"/>
        <v>1</v>
      </c>
      <c r="H233" s="54">
        <f t="shared" si="21"/>
        <v>437</v>
      </c>
      <c r="I233" s="56" t="str">
        <f>IFERROR(INDEX($A$2:$A$501,MATCH(SMALL($H$2:$H$501,ROWS($I$2:I233)+$G$502),$H$2:$H$501,0)),"")</f>
        <v/>
      </c>
      <c r="J233">
        <f t="shared" si="22"/>
        <v>169</v>
      </c>
      <c r="K233" t="str">
        <f t="array" ref="K233">INDEX($B$2:$B$501,SMALL(IF($A$2:$A$501=I233,ROW($A$2:$A$501)-ROW(INDEX($A$2:$A$501,1,1))+1),J233))</f>
        <v/>
      </c>
      <c r="L233" t="str">
        <f t="array" ref="L233">INDEX($C$2:$C$501,SMALL(IF($A$2:$A$501=I233,ROW($A$2:$A$501)-ROW(INDEX($A$2:$A$501,1,1))+1),J233))</f>
        <v/>
      </c>
      <c r="N233" t="str">
        <f t="shared" si="23"/>
        <v/>
      </c>
      <c r="S233" s="10">
        <v>232</v>
      </c>
      <c r="T233" s="10" t="str">
        <f t="array" ref="T233">IFERROR(INDEX(A$2:$A$501,MATCH(0,COUNTIF($T$1:T232,A$2:$A$501),0)),"")</f>
        <v/>
      </c>
      <c r="U233" s="10">
        <f>IFERROR(MATCH(T233,I$2:$I$501,0),"")</f>
        <v>64</v>
      </c>
      <c r="V233" s="10">
        <f>COUNTIF(I$2:$I$501,T233)</f>
        <v>437</v>
      </c>
      <c r="W233" s="10"/>
      <c r="X233" s="10"/>
    </row>
    <row r="234" spans="1:24" x14ac:dyDescent="0.25">
      <c r="A234" t="str">
        <f>IF(Tests!B235="","",Tests!B235)</f>
        <v/>
      </c>
      <c r="B234" t="str">
        <f>IF(Tests!D235="","",Tests!D235)</f>
        <v/>
      </c>
      <c r="C234" t="str">
        <f>IF(Tests!E235="","",Tests!E235)</f>
        <v/>
      </c>
      <c r="E234" s="54">
        <f t="shared" si="18"/>
        <v>0</v>
      </c>
      <c r="F234" s="54">
        <f t="shared" si="19"/>
        <v>0</v>
      </c>
      <c r="G234" s="54">
        <f t="shared" si="20"/>
        <v>1</v>
      </c>
      <c r="H234" s="54">
        <f t="shared" si="21"/>
        <v>437</v>
      </c>
      <c r="I234" s="56" t="str">
        <f>IFERROR(INDEX($A$2:$A$501,MATCH(SMALL($H$2:$H$501,ROWS($I$2:I234)+$G$502),$H$2:$H$501,0)),"")</f>
        <v/>
      </c>
      <c r="J234">
        <f t="shared" si="22"/>
        <v>170</v>
      </c>
      <c r="K234" t="str">
        <f t="array" ref="K234">INDEX($B$2:$B$501,SMALL(IF($A$2:$A$501=I234,ROW($A$2:$A$501)-ROW(INDEX($A$2:$A$501,1,1))+1),J234))</f>
        <v/>
      </c>
      <c r="L234" t="str">
        <f t="array" ref="L234">INDEX($C$2:$C$501,SMALL(IF($A$2:$A$501=I234,ROW($A$2:$A$501)-ROW(INDEX($A$2:$A$501,1,1))+1),J234))</f>
        <v/>
      </c>
      <c r="N234" t="str">
        <f t="shared" si="23"/>
        <v/>
      </c>
      <c r="S234" s="10">
        <v>233</v>
      </c>
      <c r="T234" s="10" t="str">
        <f t="array" ref="T234">IFERROR(INDEX(A$2:$A$501,MATCH(0,COUNTIF($T$1:T233,A$2:$A$501),0)),"")</f>
        <v/>
      </c>
      <c r="U234" s="10">
        <f>IFERROR(MATCH(T234,I$2:$I$501,0),"")</f>
        <v>64</v>
      </c>
      <c r="V234" s="10">
        <f>COUNTIF(I$2:$I$501,T234)</f>
        <v>437</v>
      </c>
      <c r="W234" s="10"/>
      <c r="X234" s="10"/>
    </row>
    <row r="235" spans="1:24" x14ac:dyDescent="0.25">
      <c r="A235" t="str">
        <f>IF(Tests!B236="","",Tests!B236)</f>
        <v/>
      </c>
      <c r="B235" t="str">
        <f>IF(Tests!D236="","",Tests!D236)</f>
        <v/>
      </c>
      <c r="C235" t="str">
        <f>IF(Tests!E236="","",Tests!E236)</f>
        <v/>
      </c>
      <c r="E235" s="54">
        <f t="shared" si="18"/>
        <v>0</v>
      </c>
      <c r="F235" s="54">
        <f t="shared" si="19"/>
        <v>0</v>
      </c>
      <c r="G235" s="54">
        <f t="shared" si="20"/>
        <v>1</v>
      </c>
      <c r="H235" s="54">
        <f t="shared" si="21"/>
        <v>437</v>
      </c>
      <c r="I235" s="56" t="str">
        <f>IFERROR(INDEX($A$2:$A$501,MATCH(SMALL($H$2:$H$501,ROWS($I$2:I235)+$G$502),$H$2:$H$501,0)),"")</f>
        <v/>
      </c>
      <c r="J235">
        <f t="shared" si="22"/>
        <v>171</v>
      </c>
      <c r="K235" t="str">
        <f t="array" ref="K235">INDEX($B$2:$B$501,SMALL(IF($A$2:$A$501=I235,ROW($A$2:$A$501)-ROW(INDEX($A$2:$A$501,1,1))+1),J235))</f>
        <v/>
      </c>
      <c r="L235" t="str">
        <f t="array" ref="L235">INDEX($C$2:$C$501,SMALL(IF($A$2:$A$501=I235,ROW($A$2:$A$501)-ROW(INDEX($A$2:$A$501,1,1))+1),J235))</f>
        <v/>
      </c>
      <c r="N235" t="str">
        <f t="shared" si="23"/>
        <v/>
      </c>
      <c r="S235" s="10">
        <v>234</v>
      </c>
      <c r="T235" s="10" t="str">
        <f t="array" ref="T235">IFERROR(INDEX(A$2:$A$501,MATCH(0,COUNTIF($T$1:T234,A$2:$A$501),0)),"")</f>
        <v/>
      </c>
      <c r="U235" s="10">
        <f>IFERROR(MATCH(T235,I$2:$I$501,0),"")</f>
        <v>64</v>
      </c>
      <c r="V235" s="10">
        <f>COUNTIF(I$2:$I$501,T235)</f>
        <v>437</v>
      </c>
      <c r="W235" s="10"/>
      <c r="X235" s="10"/>
    </row>
    <row r="236" spans="1:24" x14ac:dyDescent="0.25">
      <c r="A236" t="str">
        <f>IF(Tests!B237="","",Tests!B237)</f>
        <v/>
      </c>
      <c r="B236" t="str">
        <f>IF(Tests!D237="","",Tests!D237)</f>
        <v/>
      </c>
      <c r="C236" t="str">
        <f>IF(Tests!E237="","",Tests!E237)</f>
        <v/>
      </c>
      <c r="E236" s="54">
        <f t="shared" si="18"/>
        <v>0</v>
      </c>
      <c r="F236" s="54">
        <f t="shared" si="19"/>
        <v>0</v>
      </c>
      <c r="G236" s="54">
        <f t="shared" si="20"/>
        <v>1</v>
      </c>
      <c r="H236" s="54">
        <f t="shared" si="21"/>
        <v>437</v>
      </c>
      <c r="I236" s="56" t="str">
        <f>IFERROR(INDEX($A$2:$A$501,MATCH(SMALL($H$2:$H$501,ROWS($I$2:I236)+$G$502),$H$2:$H$501,0)),"")</f>
        <v/>
      </c>
      <c r="J236">
        <f t="shared" si="22"/>
        <v>172</v>
      </c>
      <c r="K236" t="str">
        <f t="array" ref="K236">INDEX($B$2:$B$501,SMALL(IF($A$2:$A$501=I236,ROW($A$2:$A$501)-ROW(INDEX($A$2:$A$501,1,1))+1),J236))</f>
        <v/>
      </c>
      <c r="L236" t="str">
        <f t="array" ref="L236">INDEX($C$2:$C$501,SMALL(IF($A$2:$A$501=I236,ROW($A$2:$A$501)-ROW(INDEX($A$2:$A$501,1,1))+1),J236))</f>
        <v/>
      </c>
      <c r="N236" t="str">
        <f t="shared" si="23"/>
        <v/>
      </c>
      <c r="S236" s="10">
        <v>235</v>
      </c>
      <c r="T236" s="10" t="str">
        <f t="array" ref="T236">IFERROR(INDEX(A$2:$A$501,MATCH(0,COUNTIF($T$1:T235,A$2:$A$501),0)),"")</f>
        <v/>
      </c>
      <c r="U236" s="10">
        <f>IFERROR(MATCH(T236,I$2:$I$501,0),"")</f>
        <v>64</v>
      </c>
      <c r="V236" s="10">
        <f>COUNTIF(I$2:$I$501,T236)</f>
        <v>437</v>
      </c>
      <c r="W236" s="10"/>
      <c r="X236" s="10"/>
    </row>
    <row r="237" spans="1:24" x14ac:dyDescent="0.25">
      <c r="A237" t="str">
        <f>IF(Tests!B238="","",Tests!B238)</f>
        <v/>
      </c>
      <c r="B237" t="str">
        <f>IF(Tests!D238="","",Tests!D238)</f>
        <v/>
      </c>
      <c r="C237" t="str">
        <f>IF(Tests!E238="","",Tests!E238)</f>
        <v/>
      </c>
      <c r="E237" s="54">
        <f t="shared" si="18"/>
        <v>0</v>
      </c>
      <c r="F237" s="54">
        <f t="shared" si="19"/>
        <v>0</v>
      </c>
      <c r="G237" s="54">
        <f t="shared" si="20"/>
        <v>1</v>
      </c>
      <c r="H237" s="54">
        <f t="shared" si="21"/>
        <v>437</v>
      </c>
      <c r="I237" s="56" t="str">
        <f>IFERROR(INDEX($A$2:$A$501,MATCH(SMALL($H$2:$H$501,ROWS($I$2:I237)+$G$502),$H$2:$H$501,0)),"")</f>
        <v/>
      </c>
      <c r="J237">
        <f t="shared" si="22"/>
        <v>173</v>
      </c>
      <c r="K237" t="str">
        <f t="array" ref="K237">INDEX($B$2:$B$501,SMALL(IF($A$2:$A$501=I237,ROW($A$2:$A$501)-ROW(INDEX($A$2:$A$501,1,1))+1),J237))</f>
        <v/>
      </c>
      <c r="L237" t="str">
        <f t="array" ref="L237">INDEX($C$2:$C$501,SMALL(IF($A$2:$A$501=I237,ROW($A$2:$A$501)-ROW(INDEX($A$2:$A$501,1,1))+1),J237))</f>
        <v/>
      </c>
      <c r="N237" t="str">
        <f t="shared" si="23"/>
        <v/>
      </c>
      <c r="S237" s="10">
        <v>236</v>
      </c>
      <c r="T237" s="10" t="str">
        <f t="array" ref="T237">IFERROR(INDEX(A$2:$A$501,MATCH(0,COUNTIF($T$1:T236,A$2:$A$501),0)),"")</f>
        <v/>
      </c>
      <c r="U237" s="10">
        <f>IFERROR(MATCH(T237,I$2:$I$501,0),"")</f>
        <v>64</v>
      </c>
      <c r="V237" s="10">
        <f>COUNTIF(I$2:$I$501,T237)</f>
        <v>437</v>
      </c>
      <c r="W237" s="10"/>
      <c r="X237" s="10"/>
    </row>
    <row r="238" spans="1:24" x14ac:dyDescent="0.25">
      <c r="A238" t="str">
        <f>IF(Tests!B239="","",Tests!B239)</f>
        <v/>
      </c>
      <c r="B238" t="str">
        <f>IF(Tests!D239="","",Tests!D239)</f>
        <v/>
      </c>
      <c r="C238" t="str">
        <f>IF(Tests!E239="","",Tests!E239)</f>
        <v/>
      </c>
      <c r="E238" s="54">
        <f t="shared" si="18"/>
        <v>0</v>
      </c>
      <c r="F238" s="54">
        <f t="shared" si="19"/>
        <v>0</v>
      </c>
      <c r="G238" s="54">
        <f t="shared" si="20"/>
        <v>1</v>
      </c>
      <c r="H238" s="54">
        <f t="shared" si="21"/>
        <v>437</v>
      </c>
      <c r="I238" s="56" t="str">
        <f>IFERROR(INDEX($A$2:$A$501,MATCH(SMALL($H$2:$H$501,ROWS($I$2:I238)+$G$502),$H$2:$H$501,0)),"")</f>
        <v/>
      </c>
      <c r="J238">
        <f t="shared" si="22"/>
        <v>174</v>
      </c>
      <c r="K238" t="str">
        <f t="array" ref="K238">INDEX($B$2:$B$501,SMALL(IF($A$2:$A$501=I238,ROW($A$2:$A$501)-ROW(INDEX($A$2:$A$501,1,1))+1),J238))</f>
        <v/>
      </c>
      <c r="L238" t="str">
        <f t="array" ref="L238">INDEX($C$2:$C$501,SMALL(IF($A$2:$A$501=I238,ROW($A$2:$A$501)-ROW(INDEX($A$2:$A$501,1,1))+1),J238))</f>
        <v/>
      </c>
      <c r="N238" t="str">
        <f t="shared" si="23"/>
        <v/>
      </c>
      <c r="S238" s="10">
        <v>237</v>
      </c>
      <c r="T238" s="10" t="str">
        <f t="array" ref="T238">IFERROR(INDEX(A$2:$A$501,MATCH(0,COUNTIF($T$1:T237,A$2:$A$501),0)),"")</f>
        <v/>
      </c>
      <c r="U238" s="10">
        <f>IFERROR(MATCH(T238,I$2:$I$501,0),"")</f>
        <v>64</v>
      </c>
      <c r="V238" s="10">
        <f>COUNTIF(I$2:$I$501,T238)</f>
        <v>437</v>
      </c>
      <c r="W238" s="10"/>
      <c r="X238" s="10"/>
    </row>
    <row r="239" spans="1:24" x14ac:dyDescent="0.25">
      <c r="A239" t="str">
        <f>IF(Tests!B240="","",Tests!B240)</f>
        <v/>
      </c>
      <c r="B239" t="str">
        <f>IF(Tests!D240="","",Tests!D240)</f>
        <v/>
      </c>
      <c r="C239" t="str">
        <f>IF(Tests!E240="","",Tests!E240)</f>
        <v/>
      </c>
      <c r="E239" s="54">
        <f t="shared" si="18"/>
        <v>0</v>
      </c>
      <c r="F239" s="54">
        <f t="shared" si="19"/>
        <v>0</v>
      </c>
      <c r="G239" s="54">
        <f t="shared" si="20"/>
        <v>1</v>
      </c>
      <c r="H239" s="54">
        <f t="shared" si="21"/>
        <v>437</v>
      </c>
      <c r="I239" s="56" t="str">
        <f>IFERROR(INDEX($A$2:$A$501,MATCH(SMALL($H$2:$H$501,ROWS($I$2:I239)+$G$502),$H$2:$H$501,0)),"")</f>
        <v/>
      </c>
      <c r="J239">
        <f t="shared" si="22"/>
        <v>175</v>
      </c>
      <c r="K239" t="str">
        <f t="array" ref="K239">INDEX($B$2:$B$501,SMALL(IF($A$2:$A$501=I239,ROW($A$2:$A$501)-ROW(INDEX($A$2:$A$501,1,1))+1),J239))</f>
        <v/>
      </c>
      <c r="L239" t="str">
        <f t="array" ref="L239">INDEX($C$2:$C$501,SMALL(IF($A$2:$A$501=I239,ROW($A$2:$A$501)-ROW(INDEX($A$2:$A$501,1,1))+1),J239))</f>
        <v/>
      </c>
      <c r="N239" t="str">
        <f t="shared" si="23"/>
        <v/>
      </c>
      <c r="S239" s="10">
        <v>238</v>
      </c>
      <c r="T239" s="10" t="str">
        <f t="array" ref="T239">IFERROR(INDEX(A$2:$A$501,MATCH(0,COUNTIF($T$1:T238,A$2:$A$501),0)),"")</f>
        <v/>
      </c>
      <c r="U239" s="10">
        <f>IFERROR(MATCH(T239,I$2:$I$501,0),"")</f>
        <v>64</v>
      </c>
      <c r="V239" s="10">
        <f>COUNTIF(I$2:$I$501,T239)</f>
        <v>437</v>
      </c>
      <c r="W239" s="10"/>
      <c r="X239" s="10"/>
    </row>
    <row r="240" spans="1:24" x14ac:dyDescent="0.25">
      <c r="A240" t="str">
        <f>IF(Tests!B241="","",Tests!B241)</f>
        <v/>
      </c>
      <c r="B240" t="str">
        <f>IF(Tests!D241="","",Tests!D241)</f>
        <v/>
      </c>
      <c r="C240" t="str">
        <f>IF(Tests!E241="","",Tests!E241)</f>
        <v/>
      </c>
      <c r="E240" s="54">
        <f t="shared" si="18"/>
        <v>0</v>
      </c>
      <c r="F240" s="54">
        <f t="shared" si="19"/>
        <v>0</v>
      </c>
      <c r="G240" s="54">
        <f t="shared" si="20"/>
        <v>1</v>
      </c>
      <c r="H240" s="54">
        <f t="shared" si="21"/>
        <v>437</v>
      </c>
      <c r="I240" s="56" t="str">
        <f>IFERROR(INDEX($A$2:$A$501,MATCH(SMALL($H$2:$H$501,ROWS($I$2:I240)+$G$502),$H$2:$H$501,0)),"")</f>
        <v/>
      </c>
      <c r="J240">
        <f t="shared" si="22"/>
        <v>176</v>
      </c>
      <c r="K240" t="str">
        <f t="array" ref="K240">INDEX($B$2:$B$501,SMALL(IF($A$2:$A$501=I240,ROW($A$2:$A$501)-ROW(INDEX($A$2:$A$501,1,1))+1),J240))</f>
        <v/>
      </c>
      <c r="L240" t="str">
        <f t="array" ref="L240">INDEX($C$2:$C$501,SMALL(IF($A$2:$A$501=I240,ROW($A$2:$A$501)-ROW(INDEX($A$2:$A$501,1,1))+1),J240))</f>
        <v/>
      </c>
      <c r="N240" t="str">
        <f t="shared" si="23"/>
        <v/>
      </c>
      <c r="S240" s="10">
        <v>239</v>
      </c>
      <c r="T240" s="10" t="str">
        <f t="array" ref="T240">IFERROR(INDEX(A$2:$A$501,MATCH(0,COUNTIF($T$1:T239,A$2:$A$501),0)),"")</f>
        <v/>
      </c>
      <c r="U240" s="10">
        <f>IFERROR(MATCH(T240,I$2:$I$501,0),"")</f>
        <v>64</v>
      </c>
      <c r="V240" s="10">
        <f>COUNTIF(I$2:$I$501,T240)</f>
        <v>437</v>
      </c>
      <c r="W240" s="10"/>
      <c r="X240" s="10"/>
    </row>
    <row r="241" spans="1:24" x14ac:dyDescent="0.25">
      <c r="A241" t="str">
        <f>IF(Tests!B242="","",Tests!B242)</f>
        <v/>
      </c>
      <c r="B241" t="str">
        <f>IF(Tests!D242="","",Tests!D242)</f>
        <v/>
      </c>
      <c r="C241" t="str">
        <f>IF(Tests!E242="","",Tests!E242)</f>
        <v/>
      </c>
      <c r="E241" s="54">
        <f t="shared" si="18"/>
        <v>0</v>
      </c>
      <c r="F241" s="54">
        <f t="shared" si="19"/>
        <v>0</v>
      </c>
      <c r="G241" s="54">
        <f t="shared" si="20"/>
        <v>1</v>
      </c>
      <c r="H241" s="54">
        <f t="shared" si="21"/>
        <v>437</v>
      </c>
      <c r="I241" s="56" t="str">
        <f>IFERROR(INDEX($A$2:$A$501,MATCH(SMALL($H$2:$H$501,ROWS($I$2:I241)+$G$502),$H$2:$H$501,0)),"")</f>
        <v/>
      </c>
      <c r="J241">
        <f t="shared" si="22"/>
        <v>177</v>
      </c>
      <c r="K241" t="str">
        <f t="array" ref="K241">INDEX($B$2:$B$501,SMALL(IF($A$2:$A$501=I241,ROW($A$2:$A$501)-ROW(INDEX($A$2:$A$501,1,1))+1),J241))</f>
        <v/>
      </c>
      <c r="L241" t="str">
        <f t="array" ref="L241">INDEX($C$2:$C$501,SMALL(IF($A$2:$A$501=I241,ROW($A$2:$A$501)-ROW(INDEX($A$2:$A$501,1,1))+1),J241))</f>
        <v/>
      </c>
      <c r="N241" t="str">
        <f t="shared" si="23"/>
        <v/>
      </c>
      <c r="S241" s="10">
        <v>240</v>
      </c>
      <c r="T241" s="10" t="str">
        <f t="array" ref="T241">IFERROR(INDEX(A$2:$A$501,MATCH(0,COUNTIF($T$1:T240,A$2:$A$501),0)),"")</f>
        <v/>
      </c>
      <c r="U241" s="10">
        <f>IFERROR(MATCH(T241,I$2:$I$501,0),"")</f>
        <v>64</v>
      </c>
      <c r="V241" s="10">
        <f>COUNTIF(I$2:$I$501,T241)</f>
        <v>437</v>
      </c>
      <c r="W241" s="10"/>
      <c r="X241" s="10"/>
    </row>
    <row r="242" spans="1:24" x14ac:dyDescent="0.25">
      <c r="A242" t="str">
        <f>IF(Tests!B243="","",Tests!B243)</f>
        <v/>
      </c>
      <c r="B242" t="str">
        <f>IF(Tests!D243="","",Tests!D243)</f>
        <v/>
      </c>
      <c r="C242" t="str">
        <f>IF(Tests!E243="","",Tests!E243)</f>
        <v/>
      </c>
      <c r="E242" s="54">
        <f t="shared" si="18"/>
        <v>0</v>
      </c>
      <c r="F242" s="54">
        <f t="shared" si="19"/>
        <v>0</v>
      </c>
      <c r="G242" s="54">
        <f t="shared" si="20"/>
        <v>1</v>
      </c>
      <c r="H242" s="54">
        <f t="shared" si="21"/>
        <v>437</v>
      </c>
      <c r="I242" s="56" t="str">
        <f>IFERROR(INDEX($A$2:$A$501,MATCH(SMALL($H$2:$H$501,ROWS($I$2:I242)+$G$502),$H$2:$H$501,0)),"")</f>
        <v/>
      </c>
      <c r="J242">
        <f t="shared" si="22"/>
        <v>178</v>
      </c>
      <c r="K242" t="str">
        <f t="array" ref="K242">INDEX($B$2:$B$501,SMALL(IF($A$2:$A$501=I242,ROW($A$2:$A$501)-ROW(INDEX($A$2:$A$501,1,1))+1),J242))</f>
        <v/>
      </c>
      <c r="L242" t="str">
        <f t="array" ref="L242">INDEX($C$2:$C$501,SMALL(IF($A$2:$A$501=I242,ROW($A$2:$A$501)-ROW(INDEX($A$2:$A$501,1,1))+1),J242))</f>
        <v/>
      </c>
      <c r="N242" t="str">
        <f t="shared" si="23"/>
        <v/>
      </c>
      <c r="S242" s="10">
        <v>241</v>
      </c>
      <c r="T242" s="10" t="str">
        <f t="array" ref="T242">IFERROR(INDEX(A$2:$A$501,MATCH(0,COUNTIF($T$1:T241,A$2:$A$501),0)),"")</f>
        <v/>
      </c>
      <c r="U242" s="10">
        <f>IFERROR(MATCH(T242,I$2:$I$501,0),"")</f>
        <v>64</v>
      </c>
      <c r="V242" s="10">
        <f>COUNTIF(I$2:$I$501,T242)</f>
        <v>437</v>
      </c>
      <c r="W242" s="10"/>
      <c r="X242" s="10"/>
    </row>
    <row r="243" spans="1:24" x14ac:dyDescent="0.25">
      <c r="A243" t="str">
        <f>IF(Tests!B244="","",Tests!B244)</f>
        <v/>
      </c>
      <c r="B243" t="str">
        <f>IF(Tests!D244="","",Tests!D244)</f>
        <v/>
      </c>
      <c r="C243" t="str">
        <f>IF(Tests!E244="","",Tests!E244)</f>
        <v/>
      </c>
      <c r="E243" s="54">
        <f t="shared" si="18"/>
        <v>0</v>
      </c>
      <c r="F243" s="54">
        <f t="shared" si="19"/>
        <v>0</v>
      </c>
      <c r="G243" s="54">
        <f t="shared" si="20"/>
        <v>1</v>
      </c>
      <c r="H243" s="54">
        <f t="shared" si="21"/>
        <v>437</v>
      </c>
      <c r="I243" s="56" t="str">
        <f>IFERROR(INDEX($A$2:$A$501,MATCH(SMALL($H$2:$H$501,ROWS($I$2:I243)+$G$502),$H$2:$H$501,0)),"")</f>
        <v/>
      </c>
      <c r="J243">
        <f t="shared" si="22"/>
        <v>179</v>
      </c>
      <c r="K243" t="str">
        <f t="array" ref="K243">INDEX($B$2:$B$501,SMALL(IF($A$2:$A$501=I243,ROW($A$2:$A$501)-ROW(INDEX($A$2:$A$501,1,1))+1),J243))</f>
        <v/>
      </c>
      <c r="L243" t="str">
        <f t="array" ref="L243">INDEX($C$2:$C$501,SMALL(IF($A$2:$A$501=I243,ROW($A$2:$A$501)-ROW(INDEX($A$2:$A$501,1,1))+1),J243))</f>
        <v/>
      </c>
      <c r="N243" t="str">
        <f t="shared" si="23"/>
        <v/>
      </c>
      <c r="S243" s="10">
        <v>242</v>
      </c>
      <c r="T243" s="10" t="str">
        <f t="array" ref="T243">IFERROR(INDEX(A$2:$A$501,MATCH(0,COUNTIF($T$1:T242,A$2:$A$501),0)),"")</f>
        <v/>
      </c>
      <c r="U243" s="10">
        <f>IFERROR(MATCH(T243,I$2:$I$501,0),"")</f>
        <v>64</v>
      </c>
      <c r="V243" s="10">
        <f>COUNTIF(I$2:$I$501,T243)</f>
        <v>437</v>
      </c>
      <c r="W243" s="10"/>
      <c r="X243" s="10"/>
    </row>
    <row r="244" spans="1:24" x14ac:dyDescent="0.25">
      <c r="A244" t="str">
        <f>IF(Tests!B245="","",Tests!B245)</f>
        <v/>
      </c>
      <c r="B244" t="str">
        <f>IF(Tests!D245="","",Tests!D245)</f>
        <v/>
      </c>
      <c r="C244" t="str">
        <f>IF(Tests!E245="","",Tests!E245)</f>
        <v/>
      </c>
      <c r="E244" s="54">
        <f t="shared" si="18"/>
        <v>0</v>
      </c>
      <c r="F244" s="54">
        <f t="shared" si="19"/>
        <v>0</v>
      </c>
      <c r="G244" s="54">
        <f t="shared" si="20"/>
        <v>1</v>
      </c>
      <c r="H244" s="54">
        <f t="shared" si="21"/>
        <v>437</v>
      </c>
      <c r="I244" s="56" t="str">
        <f>IFERROR(INDEX($A$2:$A$501,MATCH(SMALL($H$2:$H$501,ROWS($I$2:I244)+$G$502),$H$2:$H$501,0)),"")</f>
        <v/>
      </c>
      <c r="J244">
        <f t="shared" si="22"/>
        <v>180</v>
      </c>
      <c r="K244" t="str">
        <f t="array" ref="K244">INDEX($B$2:$B$501,SMALL(IF($A$2:$A$501=I244,ROW($A$2:$A$501)-ROW(INDEX($A$2:$A$501,1,1))+1),J244))</f>
        <v/>
      </c>
      <c r="L244" t="str">
        <f t="array" ref="L244">INDEX($C$2:$C$501,SMALL(IF($A$2:$A$501=I244,ROW($A$2:$A$501)-ROW(INDEX($A$2:$A$501,1,1))+1),J244))</f>
        <v/>
      </c>
      <c r="N244" t="str">
        <f t="shared" si="23"/>
        <v/>
      </c>
      <c r="S244" s="10">
        <v>243</v>
      </c>
      <c r="T244" s="10" t="str">
        <f t="array" ref="T244">IFERROR(INDEX(A$2:$A$501,MATCH(0,COUNTIF($T$1:T243,A$2:$A$501),0)),"")</f>
        <v/>
      </c>
      <c r="U244" s="10">
        <f>IFERROR(MATCH(T244,I$2:$I$501,0),"")</f>
        <v>64</v>
      </c>
      <c r="V244" s="10">
        <f>COUNTIF(I$2:$I$501,T244)</f>
        <v>437</v>
      </c>
      <c r="W244" s="10"/>
      <c r="X244" s="10"/>
    </row>
    <row r="245" spans="1:24" x14ac:dyDescent="0.25">
      <c r="A245" t="str">
        <f>IF(Tests!B246="","",Tests!B246)</f>
        <v/>
      </c>
      <c r="B245" t="str">
        <f>IF(Tests!D246="","",Tests!D246)</f>
        <v/>
      </c>
      <c r="C245" t="str">
        <f>IF(Tests!E246="","",Tests!E246)</f>
        <v/>
      </c>
      <c r="E245" s="54">
        <f t="shared" si="18"/>
        <v>0</v>
      </c>
      <c r="F245" s="54">
        <f t="shared" si="19"/>
        <v>0</v>
      </c>
      <c r="G245" s="54">
        <f t="shared" si="20"/>
        <v>1</v>
      </c>
      <c r="H245" s="54">
        <f t="shared" si="21"/>
        <v>437</v>
      </c>
      <c r="I245" s="56" t="str">
        <f>IFERROR(INDEX($A$2:$A$501,MATCH(SMALL($H$2:$H$501,ROWS($I$2:I245)+$G$502),$H$2:$H$501,0)),"")</f>
        <v/>
      </c>
      <c r="J245">
        <f t="shared" si="22"/>
        <v>181</v>
      </c>
      <c r="K245" t="str">
        <f t="array" ref="K245">INDEX($B$2:$B$501,SMALL(IF($A$2:$A$501=I245,ROW($A$2:$A$501)-ROW(INDEX($A$2:$A$501,1,1))+1),J245))</f>
        <v/>
      </c>
      <c r="L245" t="str">
        <f t="array" ref="L245">INDEX($C$2:$C$501,SMALL(IF($A$2:$A$501=I245,ROW($A$2:$A$501)-ROW(INDEX($A$2:$A$501,1,1))+1),J245))</f>
        <v/>
      </c>
      <c r="N245" t="str">
        <f t="shared" si="23"/>
        <v/>
      </c>
      <c r="S245" s="10">
        <v>244</v>
      </c>
      <c r="T245" s="10" t="str">
        <f t="array" ref="T245">IFERROR(INDEX(A$2:$A$501,MATCH(0,COUNTIF($T$1:T244,A$2:$A$501),0)),"")</f>
        <v/>
      </c>
      <c r="U245" s="10">
        <f>IFERROR(MATCH(T245,I$2:$I$501,0),"")</f>
        <v>64</v>
      </c>
      <c r="V245" s="10">
        <f>COUNTIF(I$2:$I$501,T245)</f>
        <v>437</v>
      </c>
      <c r="W245" s="10"/>
      <c r="X245" s="10"/>
    </row>
    <row r="246" spans="1:24" x14ac:dyDescent="0.25">
      <c r="A246" t="str">
        <f>IF(Tests!B247="","",Tests!B247)</f>
        <v/>
      </c>
      <c r="B246" t="str">
        <f>IF(Tests!D247="","",Tests!D247)</f>
        <v/>
      </c>
      <c r="C246" t="str">
        <f>IF(Tests!E247="","",Tests!E247)</f>
        <v/>
      </c>
      <c r="E246" s="54">
        <f t="shared" si="18"/>
        <v>0</v>
      </c>
      <c r="F246" s="54">
        <f t="shared" si="19"/>
        <v>0</v>
      </c>
      <c r="G246" s="54">
        <f t="shared" si="20"/>
        <v>1</v>
      </c>
      <c r="H246" s="54">
        <f t="shared" si="21"/>
        <v>437</v>
      </c>
      <c r="I246" s="56" t="str">
        <f>IFERROR(INDEX($A$2:$A$501,MATCH(SMALL($H$2:$H$501,ROWS($I$2:I246)+$G$502),$H$2:$H$501,0)),"")</f>
        <v/>
      </c>
      <c r="J246">
        <f t="shared" si="22"/>
        <v>182</v>
      </c>
      <c r="K246" t="str">
        <f t="array" ref="K246">INDEX($B$2:$B$501,SMALL(IF($A$2:$A$501=I246,ROW($A$2:$A$501)-ROW(INDEX($A$2:$A$501,1,1))+1),J246))</f>
        <v/>
      </c>
      <c r="L246" t="str">
        <f t="array" ref="L246">INDEX($C$2:$C$501,SMALL(IF($A$2:$A$501=I246,ROW($A$2:$A$501)-ROW(INDEX($A$2:$A$501,1,1))+1),J246))</f>
        <v/>
      </c>
      <c r="N246" t="str">
        <f t="shared" si="23"/>
        <v/>
      </c>
      <c r="S246" s="10">
        <v>245</v>
      </c>
      <c r="T246" s="10" t="str">
        <f t="array" ref="T246">IFERROR(INDEX(A$2:$A$501,MATCH(0,COUNTIF($T$1:T245,A$2:$A$501),0)),"")</f>
        <v/>
      </c>
      <c r="U246" s="10">
        <f>IFERROR(MATCH(T246,I$2:$I$501,0),"")</f>
        <v>64</v>
      </c>
      <c r="V246" s="10">
        <f>COUNTIF(I$2:$I$501,T246)</f>
        <v>437</v>
      </c>
      <c r="W246" s="10"/>
      <c r="X246" s="10"/>
    </row>
    <row r="247" spans="1:24" x14ac:dyDescent="0.25">
      <c r="A247" t="str">
        <f>IF(Tests!B248="","",Tests!B248)</f>
        <v/>
      </c>
      <c r="B247" t="str">
        <f>IF(Tests!D248="","",Tests!D248)</f>
        <v/>
      </c>
      <c r="C247" t="str">
        <f>IF(Tests!E248="","",Tests!E248)</f>
        <v/>
      </c>
      <c r="E247" s="54">
        <f t="shared" si="18"/>
        <v>0</v>
      </c>
      <c r="F247" s="54">
        <f t="shared" si="19"/>
        <v>0</v>
      </c>
      <c r="G247" s="54">
        <f t="shared" si="20"/>
        <v>1</v>
      </c>
      <c r="H247" s="54">
        <f t="shared" si="21"/>
        <v>437</v>
      </c>
      <c r="I247" s="56" t="str">
        <f>IFERROR(INDEX($A$2:$A$501,MATCH(SMALL($H$2:$H$501,ROWS($I$2:I247)+$G$502),$H$2:$H$501,0)),"")</f>
        <v/>
      </c>
      <c r="J247">
        <f t="shared" si="22"/>
        <v>183</v>
      </c>
      <c r="K247" t="str">
        <f t="array" ref="K247">INDEX($B$2:$B$501,SMALL(IF($A$2:$A$501=I247,ROW($A$2:$A$501)-ROW(INDEX($A$2:$A$501,1,1))+1),J247))</f>
        <v/>
      </c>
      <c r="L247" t="str">
        <f t="array" ref="L247">INDEX($C$2:$C$501,SMALL(IF($A$2:$A$501=I247,ROW($A$2:$A$501)-ROW(INDEX($A$2:$A$501,1,1))+1),J247))</f>
        <v/>
      </c>
      <c r="N247" t="str">
        <f t="shared" si="23"/>
        <v/>
      </c>
      <c r="S247" s="10">
        <v>246</v>
      </c>
      <c r="T247" s="10" t="str">
        <f t="array" ref="T247">IFERROR(INDEX(A$2:$A$501,MATCH(0,COUNTIF($T$1:T246,A$2:$A$501),0)),"")</f>
        <v/>
      </c>
      <c r="U247" s="10">
        <f>IFERROR(MATCH(T247,I$2:$I$501,0),"")</f>
        <v>64</v>
      </c>
      <c r="V247" s="10">
        <f>COUNTIF(I$2:$I$501,T247)</f>
        <v>437</v>
      </c>
      <c r="W247" s="10"/>
      <c r="X247" s="10"/>
    </row>
    <row r="248" spans="1:24" x14ac:dyDescent="0.25">
      <c r="A248" t="str">
        <f>IF(Tests!B249="","",Tests!B249)</f>
        <v/>
      </c>
      <c r="B248" t="str">
        <f>IF(Tests!D249="","",Tests!D249)</f>
        <v/>
      </c>
      <c r="C248" t="str">
        <f>IF(Tests!E249="","",Tests!E249)</f>
        <v/>
      </c>
      <c r="E248" s="54">
        <f t="shared" si="18"/>
        <v>0</v>
      </c>
      <c r="F248" s="54">
        <f t="shared" si="19"/>
        <v>0</v>
      </c>
      <c r="G248" s="54">
        <f t="shared" si="20"/>
        <v>1</v>
      </c>
      <c r="H248" s="54">
        <f t="shared" si="21"/>
        <v>437</v>
      </c>
      <c r="I248" s="56" t="str">
        <f>IFERROR(INDEX($A$2:$A$501,MATCH(SMALL($H$2:$H$501,ROWS($I$2:I248)+$G$502),$H$2:$H$501,0)),"")</f>
        <v/>
      </c>
      <c r="J248">
        <f t="shared" si="22"/>
        <v>184</v>
      </c>
      <c r="K248" t="str">
        <f t="array" ref="K248">INDEX($B$2:$B$501,SMALL(IF($A$2:$A$501=I248,ROW($A$2:$A$501)-ROW(INDEX($A$2:$A$501,1,1))+1),J248))</f>
        <v/>
      </c>
      <c r="L248" t="str">
        <f t="array" ref="L248">INDEX($C$2:$C$501,SMALL(IF($A$2:$A$501=I248,ROW($A$2:$A$501)-ROW(INDEX($A$2:$A$501,1,1))+1),J248))</f>
        <v/>
      </c>
      <c r="N248" t="str">
        <f t="shared" si="23"/>
        <v/>
      </c>
      <c r="S248" s="10">
        <v>247</v>
      </c>
      <c r="T248" s="10" t="str">
        <f t="array" ref="T248">IFERROR(INDEX(A$2:$A$501,MATCH(0,COUNTIF($T$1:T247,A$2:$A$501),0)),"")</f>
        <v/>
      </c>
      <c r="U248" s="10">
        <f>IFERROR(MATCH(T248,I$2:$I$501,0),"")</f>
        <v>64</v>
      </c>
      <c r="V248" s="10">
        <f>COUNTIF(I$2:$I$501,T248)</f>
        <v>437</v>
      </c>
      <c r="W248" s="10"/>
      <c r="X248" s="10"/>
    </row>
    <row r="249" spans="1:24" x14ac:dyDescent="0.25">
      <c r="A249" t="str">
        <f>IF(Tests!B250="","",Tests!B250)</f>
        <v/>
      </c>
      <c r="B249" t="str">
        <f>IF(Tests!D250="","",Tests!D250)</f>
        <v/>
      </c>
      <c r="C249" t="str">
        <f>IF(Tests!E250="","",Tests!E250)</f>
        <v/>
      </c>
      <c r="E249" s="54">
        <f t="shared" si="18"/>
        <v>0</v>
      </c>
      <c r="F249" s="54">
        <f t="shared" si="19"/>
        <v>0</v>
      </c>
      <c r="G249" s="54">
        <f t="shared" si="20"/>
        <v>1</v>
      </c>
      <c r="H249" s="54">
        <f t="shared" si="21"/>
        <v>437</v>
      </c>
      <c r="I249" s="56" t="str">
        <f>IFERROR(INDEX($A$2:$A$501,MATCH(SMALL($H$2:$H$501,ROWS($I$2:I249)+$G$502),$H$2:$H$501,0)),"")</f>
        <v/>
      </c>
      <c r="J249">
        <f t="shared" si="22"/>
        <v>185</v>
      </c>
      <c r="K249" t="str">
        <f t="array" ref="K249">INDEX($B$2:$B$501,SMALL(IF($A$2:$A$501=I249,ROW($A$2:$A$501)-ROW(INDEX($A$2:$A$501,1,1))+1),J249))</f>
        <v/>
      </c>
      <c r="L249" t="str">
        <f t="array" ref="L249">INDEX($C$2:$C$501,SMALL(IF($A$2:$A$501=I249,ROW($A$2:$A$501)-ROW(INDEX($A$2:$A$501,1,1))+1),J249))</f>
        <v/>
      </c>
      <c r="N249" t="str">
        <f t="shared" si="23"/>
        <v/>
      </c>
      <c r="S249" s="10">
        <v>248</v>
      </c>
      <c r="T249" s="10" t="str">
        <f t="array" ref="T249">IFERROR(INDEX(A$2:$A$501,MATCH(0,COUNTIF($T$1:T248,A$2:$A$501),0)),"")</f>
        <v/>
      </c>
      <c r="U249" s="10">
        <f>IFERROR(MATCH(T249,I$2:$I$501,0),"")</f>
        <v>64</v>
      </c>
      <c r="V249" s="10">
        <f>COUNTIF(I$2:$I$501,T249)</f>
        <v>437</v>
      </c>
      <c r="W249" s="10"/>
      <c r="X249" s="10"/>
    </row>
    <row r="250" spans="1:24" x14ac:dyDescent="0.25">
      <c r="A250" t="str">
        <f>IF(Tests!B251="","",Tests!B251)</f>
        <v/>
      </c>
      <c r="B250" t="str">
        <f>IF(Tests!D251="","",Tests!D251)</f>
        <v/>
      </c>
      <c r="C250" t="str">
        <f>IF(Tests!E251="","",Tests!E251)</f>
        <v/>
      </c>
      <c r="E250" s="54">
        <f t="shared" si="18"/>
        <v>0</v>
      </c>
      <c r="F250" s="54">
        <f t="shared" si="19"/>
        <v>0</v>
      </c>
      <c r="G250" s="54">
        <f t="shared" si="20"/>
        <v>1</v>
      </c>
      <c r="H250" s="54">
        <f t="shared" si="21"/>
        <v>437</v>
      </c>
      <c r="I250" s="56" t="str">
        <f>IFERROR(INDEX($A$2:$A$501,MATCH(SMALL($H$2:$H$501,ROWS($I$2:I250)+$G$502),$H$2:$H$501,0)),"")</f>
        <v/>
      </c>
      <c r="J250">
        <f t="shared" si="22"/>
        <v>186</v>
      </c>
      <c r="K250" t="str">
        <f t="array" ref="K250">INDEX($B$2:$B$501,SMALL(IF($A$2:$A$501=I250,ROW($A$2:$A$501)-ROW(INDEX($A$2:$A$501,1,1))+1),J250))</f>
        <v/>
      </c>
      <c r="L250" t="str">
        <f t="array" ref="L250">INDEX($C$2:$C$501,SMALL(IF($A$2:$A$501=I250,ROW($A$2:$A$501)-ROW(INDEX($A$2:$A$501,1,1))+1),J250))</f>
        <v/>
      </c>
      <c r="N250" t="str">
        <f t="shared" si="23"/>
        <v/>
      </c>
      <c r="S250" s="10">
        <v>249</v>
      </c>
      <c r="T250" s="10" t="str">
        <f t="array" ref="T250">IFERROR(INDEX(A$2:$A$501,MATCH(0,COUNTIF($T$1:T249,A$2:$A$501),0)),"")</f>
        <v/>
      </c>
      <c r="U250" s="10">
        <f>IFERROR(MATCH(T250,I$2:$I$501,0),"")</f>
        <v>64</v>
      </c>
      <c r="V250" s="10">
        <f>COUNTIF(I$2:$I$501,T250)</f>
        <v>437</v>
      </c>
      <c r="W250" s="10"/>
      <c r="X250" s="10"/>
    </row>
    <row r="251" spans="1:24" x14ac:dyDescent="0.25">
      <c r="A251" t="str">
        <f>IF(Tests!B252="","",Tests!B252)</f>
        <v/>
      </c>
      <c r="B251" t="str">
        <f>IF(Tests!D252="","",Tests!D252)</f>
        <v/>
      </c>
      <c r="C251" t="str">
        <f>IF(Tests!E252="","",Tests!E252)</f>
        <v/>
      </c>
      <c r="E251" s="54">
        <f t="shared" si="18"/>
        <v>0</v>
      </c>
      <c r="F251" s="54">
        <f t="shared" si="19"/>
        <v>0</v>
      </c>
      <c r="G251" s="54">
        <f t="shared" si="20"/>
        <v>1</v>
      </c>
      <c r="H251" s="54">
        <f t="shared" si="21"/>
        <v>437</v>
      </c>
      <c r="I251" s="56" t="str">
        <f>IFERROR(INDEX($A$2:$A$501,MATCH(SMALL($H$2:$H$501,ROWS($I$2:I251)+$G$502),$H$2:$H$501,0)),"")</f>
        <v/>
      </c>
      <c r="J251">
        <f t="shared" si="22"/>
        <v>187</v>
      </c>
      <c r="K251" t="str">
        <f t="array" ref="K251">INDEX($B$2:$B$501,SMALL(IF($A$2:$A$501=I251,ROW($A$2:$A$501)-ROW(INDEX($A$2:$A$501,1,1))+1),J251))</f>
        <v/>
      </c>
      <c r="L251" t="str">
        <f t="array" ref="L251">INDEX($C$2:$C$501,SMALL(IF($A$2:$A$501=I251,ROW($A$2:$A$501)-ROW(INDEX($A$2:$A$501,1,1))+1),J251))</f>
        <v/>
      </c>
      <c r="N251" t="str">
        <f t="shared" si="23"/>
        <v/>
      </c>
      <c r="S251" s="10">
        <v>250</v>
      </c>
      <c r="T251" s="10" t="str">
        <f t="array" ref="T251">IFERROR(INDEX(A$2:$A$501,MATCH(0,COUNTIF($T$1:T250,A$2:$A$501),0)),"")</f>
        <v/>
      </c>
      <c r="U251" s="10">
        <f>IFERROR(MATCH(T251,I$2:$I$501,0),"")</f>
        <v>64</v>
      </c>
      <c r="V251" s="10">
        <f>COUNTIF(I$2:$I$501,T251)</f>
        <v>437</v>
      </c>
      <c r="W251" s="10"/>
      <c r="X251" s="10"/>
    </row>
    <row r="252" spans="1:24" x14ac:dyDescent="0.25">
      <c r="A252" t="str">
        <f>IF(Tests!B253="","",Tests!B253)</f>
        <v/>
      </c>
      <c r="B252" t="str">
        <f>IF(Tests!D253="","",Tests!D253)</f>
        <v/>
      </c>
      <c r="C252" t="str">
        <f>IF(Tests!E253="","",Tests!E253)</f>
        <v/>
      </c>
      <c r="E252" s="54">
        <f t="shared" si="18"/>
        <v>0</v>
      </c>
      <c r="F252" s="54">
        <f t="shared" si="19"/>
        <v>0</v>
      </c>
      <c r="G252" s="54">
        <f t="shared" si="20"/>
        <v>1</v>
      </c>
      <c r="H252" s="54">
        <f t="shared" si="21"/>
        <v>437</v>
      </c>
      <c r="I252" s="56" t="str">
        <f>IFERROR(INDEX($A$2:$A$501,MATCH(SMALL($H$2:$H$501,ROWS($I$2:I252)+$G$502),$H$2:$H$501,0)),"")</f>
        <v/>
      </c>
      <c r="J252">
        <f t="shared" si="22"/>
        <v>188</v>
      </c>
      <c r="K252" t="str">
        <f t="array" ref="K252">INDEX($B$2:$B$501,SMALL(IF($A$2:$A$501=I252,ROW($A$2:$A$501)-ROW(INDEX($A$2:$A$501,1,1))+1),J252))</f>
        <v/>
      </c>
      <c r="L252" t="str">
        <f t="array" ref="L252">INDEX($C$2:$C$501,SMALL(IF($A$2:$A$501=I252,ROW($A$2:$A$501)-ROW(INDEX($A$2:$A$501,1,1))+1),J252))</f>
        <v/>
      </c>
      <c r="N252" t="str">
        <f t="shared" si="23"/>
        <v/>
      </c>
      <c r="S252" s="10">
        <v>251</v>
      </c>
      <c r="T252" s="10" t="str">
        <f t="array" ref="T252">IFERROR(INDEX(A$2:$A$501,MATCH(0,COUNTIF($T$1:T251,A$2:$A$501),0)),"")</f>
        <v/>
      </c>
      <c r="U252" s="10">
        <f>IFERROR(MATCH(T252,I$2:$I$501,0),"")</f>
        <v>64</v>
      </c>
      <c r="V252" s="10">
        <f>COUNTIF(I$2:$I$501,T252)</f>
        <v>437</v>
      </c>
      <c r="W252" s="10"/>
      <c r="X252" s="10"/>
    </row>
    <row r="253" spans="1:24" x14ac:dyDescent="0.25">
      <c r="A253" t="str">
        <f>IF(Tests!B254="","",Tests!B254)</f>
        <v/>
      </c>
      <c r="B253" t="str">
        <f>IF(Tests!D254="","",Tests!D254)</f>
        <v/>
      </c>
      <c r="C253" t="str">
        <f>IF(Tests!E254="","",Tests!E254)</f>
        <v/>
      </c>
      <c r="E253" s="54">
        <f t="shared" si="18"/>
        <v>0</v>
      </c>
      <c r="F253" s="54">
        <f t="shared" si="19"/>
        <v>0</v>
      </c>
      <c r="G253" s="54">
        <f t="shared" si="20"/>
        <v>1</v>
      </c>
      <c r="H253" s="54">
        <f t="shared" si="21"/>
        <v>437</v>
      </c>
      <c r="I253" s="56" t="str">
        <f>IFERROR(INDEX($A$2:$A$501,MATCH(SMALL($H$2:$H$501,ROWS($I$2:I253)+$G$502),$H$2:$H$501,0)),"")</f>
        <v/>
      </c>
      <c r="J253">
        <f t="shared" si="22"/>
        <v>189</v>
      </c>
      <c r="K253" t="str">
        <f t="array" ref="K253">INDEX($B$2:$B$501,SMALL(IF($A$2:$A$501=I253,ROW($A$2:$A$501)-ROW(INDEX($A$2:$A$501,1,1))+1),J253))</f>
        <v/>
      </c>
      <c r="L253" t="str">
        <f t="array" ref="L253">INDEX($C$2:$C$501,SMALL(IF($A$2:$A$501=I253,ROW($A$2:$A$501)-ROW(INDEX($A$2:$A$501,1,1))+1),J253))</f>
        <v/>
      </c>
      <c r="N253" t="str">
        <f t="shared" si="23"/>
        <v/>
      </c>
      <c r="S253" s="10">
        <v>252</v>
      </c>
      <c r="T253" s="10" t="str">
        <f t="array" ref="T253">IFERROR(INDEX(A$2:$A$501,MATCH(0,COUNTIF($T$1:T252,A$2:$A$501),0)),"")</f>
        <v/>
      </c>
      <c r="U253" s="10">
        <f>IFERROR(MATCH(T253,I$2:$I$501,0),"")</f>
        <v>64</v>
      </c>
      <c r="V253" s="10">
        <f>COUNTIF(I$2:$I$501,T253)</f>
        <v>437</v>
      </c>
      <c r="W253" s="10"/>
      <c r="X253" s="10"/>
    </row>
    <row r="254" spans="1:24" x14ac:dyDescent="0.25">
      <c r="A254" t="str">
        <f>IF(Tests!B255="","",Tests!B255)</f>
        <v/>
      </c>
      <c r="B254" t="str">
        <f>IF(Tests!D255="","",Tests!D255)</f>
        <v/>
      </c>
      <c r="C254" t="str">
        <f>IF(Tests!E255="","",Tests!E255)</f>
        <v/>
      </c>
      <c r="E254" s="54">
        <f t="shared" si="18"/>
        <v>0</v>
      </c>
      <c r="F254" s="54">
        <f t="shared" si="19"/>
        <v>0</v>
      </c>
      <c r="G254" s="54">
        <f t="shared" si="20"/>
        <v>1</v>
      </c>
      <c r="H254" s="54">
        <f t="shared" si="21"/>
        <v>437</v>
      </c>
      <c r="I254" s="56" t="str">
        <f>IFERROR(INDEX($A$2:$A$501,MATCH(SMALL($H$2:$H$501,ROWS($I$2:I254)+$G$502),$H$2:$H$501,0)),"")</f>
        <v/>
      </c>
      <c r="J254">
        <f t="shared" si="22"/>
        <v>190</v>
      </c>
      <c r="K254" t="str">
        <f t="array" ref="K254">INDEX($B$2:$B$501,SMALL(IF($A$2:$A$501=I254,ROW($A$2:$A$501)-ROW(INDEX($A$2:$A$501,1,1))+1),J254))</f>
        <v/>
      </c>
      <c r="L254" t="str">
        <f t="array" ref="L254">INDEX($C$2:$C$501,SMALL(IF($A$2:$A$501=I254,ROW($A$2:$A$501)-ROW(INDEX($A$2:$A$501,1,1))+1),J254))</f>
        <v/>
      </c>
      <c r="N254" t="str">
        <f t="shared" si="23"/>
        <v/>
      </c>
      <c r="S254" s="10">
        <v>253</v>
      </c>
      <c r="T254" s="10" t="str">
        <f t="array" ref="T254">IFERROR(INDEX(A$2:$A$501,MATCH(0,COUNTIF($T$1:T253,A$2:$A$501),0)),"")</f>
        <v/>
      </c>
      <c r="U254" s="10">
        <f>IFERROR(MATCH(T254,I$2:$I$501,0),"")</f>
        <v>64</v>
      </c>
      <c r="V254" s="10">
        <f>COUNTIF(I$2:$I$501,T254)</f>
        <v>437</v>
      </c>
      <c r="W254" s="10"/>
      <c r="X254" s="10"/>
    </row>
    <row r="255" spans="1:24" x14ac:dyDescent="0.25">
      <c r="A255" t="str">
        <f>IF(Tests!B256="","",Tests!B256)</f>
        <v/>
      </c>
      <c r="B255" t="str">
        <f>IF(Tests!D256="","",Tests!D256)</f>
        <v/>
      </c>
      <c r="C255" t="str">
        <f>IF(Tests!E256="","",Tests!E256)</f>
        <v/>
      </c>
      <c r="E255" s="54">
        <f t="shared" si="18"/>
        <v>0</v>
      </c>
      <c r="F255" s="54">
        <f t="shared" si="19"/>
        <v>0</v>
      </c>
      <c r="G255" s="54">
        <f t="shared" si="20"/>
        <v>1</v>
      </c>
      <c r="H255" s="54">
        <f t="shared" si="21"/>
        <v>437</v>
      </c>
      <c r="I255" s="56" t="str">
        <f>IFERROR(INDEX($A$2:$A$501,MATCH(SMALL($H$2:$H$501,ROWS($I$2:I255)+$G$502),$H$2:$H$501,0)),"")</f>
        <v/>
      </c>
      <c r="J255">
        <f t="shared" si="22"/>
        <v>191</v>
      </c>
      <c r="K255" t="str">
        <f t="array" ref="K255">INDEX($B$2:$B$501,SMALL(IF($A$2:$A$501=I255,ROW($A$2:$A$501)-ROW(INDEX($A$2:$A$501,1,1))+1),J255))</f>
        <v/>
      </c>
      <c r="L255" t="str">
        <f t="array" ref="L255">INDEX($C$2:$C$501,SMALL(IF($A$2:$A$501=I255,ROW($A$2:$A$501)-ROW(INDEX($A$2:$A$501,1,1))+1),J255))</f>
        <v/>
      </c>
      <c r="N255" t="str">
        <f t="shared" si="23"/>
        <v/>
      </c>
      <c r="S255" s="10">
        <v>254</v>
      </c>
      <c r="T255" s="10" t="str">
        <f t="array" ref="T255">IFERROR(INDEX(A$2:$A$501,MATCH(0,COUNTIF($T$1:T254,A$2:$A$501),0)),"")</f>
        <v/>
      </c>
      <c r="U255" s="10">
        <f>IFERROR(MATCH(T255,I$2:$I$501,0),"")</f>
        <v>64</v>
      </c>
      <c r="V255" s="10">
        <f>COUNTIF(I$2:$I$501,T255)</f>
        <v>437</v>
      </c>
      <c r="W255" s="10"/>
      <c r="X255" s="10"/>
    </row>
    <row r="256" spans="1:24" x14ac:dyDescent="0.25">
      <c r="A256" t="str">
        <f>IF(Tests!B257="","",Tests!B257)</f>
        <v/>
      </c>
      <c r="B256" t="str">
        <f>IF(Tests!D257="","",Tests!D257)</f>
        <v/>
      </c>
      <c r="C256" t="str">
        <f>IF(Tests!E257="","",Tests!E257)</f>
        <v/>
      </c>
      <c r="E256" s="54">
        <f t="shared" si="18"/>
        <v>0</v>
      </c>
      <c r="F256" s="54">
        <f t="shared" si="19"/>
        <v>0</v>
      </c>
      <c r="G256" s="54">
        <f t="shared" si="20"/>
        <v>1</v>
      </c>
      <c r="H256" s="54">
        <f t="shared" si="21"/>
        <v>437</v>
      </c>
      <c r="I256" s="56" t="str">
        <f>IFERROR(INDEX($A$2:$A$501,MATCH(SMALL($H$2:$H$501,ROWS($I$2:I256)+$G$502),$H$2:$H$501,0)),"")</f>
        <v/>
      </c>
      <c r="J256">
        <f t="shared" si="22"/>
        <v>192</v>
      </c>
      <c r="K256" t="str">
        <f t="array" ref="K256">INDEX($B$2:$B$501,SMALL(IF($A$2:$A$501=I256,ROW($A$2:$A$501)-ROW(INDEX($A$2:$A$501,1,1))+1),J256))</f>
        <v/>
      </c>
      <c r="L256" t="str">
        <f t="array" ref="L256">INDEX($C$2:$C$501,SMALL(IF($A$2:$A$501=I256,ROW($A$2:$A$501)-ROW(INDEX($A$2:$A$501,1,1))+1),J256))</f>
        <v/>
      </c>
      <c r="N256" t="str">
        <f t="shared" si="23"/>
        <v/>
      </c>
      <c r="S256" s="10">
        <v>255</v>
      </c>
      <c r="T256" s="10" t="str">
        <f t="array" ref="T256">IFERROR(INDEX(A$2:$A$501,MATCH(0,COUNTIF($T$1:T255,A$2:$A$501),0)),"")</f>
        <v/>
      </c>
      <c r="U256" s="10">
        <f>IFERROR(MATCH(T256,I$2:$I$501,0),"")</f>
        <v>64</v>
      </c>
      <c r="V256" s="10">
        <f>COUNTIF(I$2:$I$501,T256)</f>
        <v>437</v>
      </c>
      <c r="W256" s="10"/>
      <c r="X256" s="10"/>
    </row>
    <row r="257" spans="1:24" x14ac:dyDescent="0.25">
      <c r="A257" t="str">
        <f>IF(Tests!B258="","",Tests!B258)</f>
        <v/>
      </c>
      <c r="B257" t="str">
        <f>IF(Tests!D258="","",Tests!D258)</f>
        <v/>
      </c>
      <c r="C257" t="str">
        <f>IF(Tests!E258="","",Tests!E258)</f>
        <v/>
      </c>
      <c r="E257" s="54">
        <f t="shared" si="18"/>
        <v>0</v>
      </c>
      <c r="F257" s="54">
        <f t="shared" si="19"/>
        <v>0</v>
      </c>
      <c r="G257" s="54">
        <f t="shared" si="20"/>
        <v>1</v>
      </c>
      <c r="H257" s="54">
        <f t="shared" si="21"/>
        <v>437</v>
      </c>
      <c r="I257" s="56" t="str">
        <f>IFERROR(INDEX($A$2:$A$501,MATCH(SMALL($H$2:$H$501,ROWS($I$2:I257)+$G$502),$H$2:$H$501,0)),"")</f>
        <v/>
      </c>
      <c r="J257">
        <f t="shared" si="22"/>
        <v>193</v>
      </c>
      <c r="K257" t="str">
        <f t="array" ref="K257">INDEX($B$2:$B$501,SMALL(IF($A$2:$A$501=I257,ROW($A$2:$A$501)-ROW(INDEX($A$2:$A$501,1,1))+1),J257))</f>
        <v/>
      </c>
      <c r="L257" t="str">
        <f t="array" ref="L257">INDEX($C$2:$C$501,SMALL(IF($A$2:$A$501=I257,ROW($A$2:$A$501)-ROW(INDEX($A$2:$A$501,1,1))+1),J257))</f>
        <v/>
      </c>
      <c r="N257" t="str">
        <f t="shared" si="23"/>
        <v/>
      </c>
      <c r="S257" s="10">
        <v>256</v>
      </c>
      <c r="T257" s="10" t="str">
        <f t="array" ref="T257">IFERROR(INDEX(A$2:$A$501,MATCH(0,COUNTIF($T$1:T256,A$2:$A$501),0)),"")</f>
        <v/>
      </c>
      <c r="U257" s="10">
        <f>IFERROR(MATCH(T257,I$2:$I$501,0),"")</f>
        <v>64</v>
      </c>
      <c r="V257" s="10">
        <f>COUNTIF(I$2:$I$501,T257)</f>
        <v>437</v>
      </c>
      <c r="W257" s="10"/>
      <c r="X257" s="10"/>
    </row>
    <row r="258" spans="1:24" x14ac:dyDescent="0.25">
      <c r="A258" t="str">
        <f>IF(Tests!B259="","",Tests!B259)</f>
        <v/>
      </c>
      <c r="B258" t="str">
        <f>IF(Tests!D259="","",Tests!D259)</f>
        <v/>
      </c>
      <c r="C258" t="str">
        <f>IF(Tests!E259="","",Tests!E259)</f>
        <v/>
      </c>
      <c r="E258" s="54">
        <f t="shared" si="18"/>
        <v>0</v>
      </c>
      <c r="F258" s="54">
        <f t="shared" si="19"/>
        <v>0</v>
      </c>
      <c r="G258" s="54">
        <f t="shared" si="20"/>
        <v>1</v>
      </c>
      <c r="H258" s="54">
        <f t="shared" si="21"/>
        <v>437</v>
      </c>
      <c r="I258" s="56" t="str">
        <f>IFERROR(INDEX($A$2:$A$501,MATCH(SMALL($H$2:$H$501,ROWS($I$2:I258)+$G$502),$H$2:$H$501,0)),"")</f>
        <v/>
      </c>
      <c r="J258">
        <f t="shared" si="22"/>
        <v>194</v>
      </c>
      <c r="K258" t="str">
        <f t="array" ref="K258">INDEX($B$2:$B$501,SMALL(IF($A$2:$A$501=I258,ROW($A$2:$A$501)-ROW(INDEX($A$2:$A$501,1,1))+1),J258))</f>
        <v/>
      </c>
      <c r="L258" t="str">
        <f t="array" ref="L258">INDEX($C$2:$C$501,SMALL(IF($A$2:$A$501=I258,ROW($A$2:$A$501)-ROW(INDEX($A$2:$A$501,1,1))+1),J258))</f>
        <v/>
      </c>
      <c r="N258" t="str">
        <f t="shared" si="23"/>
        <v/>
      </c>
      <c r="S258" s="10">
        <v>257</v>
      </c>
      <c r="T258" s="10" t="str">
        <f t="array" ref="T258">IFERROR(INDEX(A$2:$A$501,MATCH(0,COUNTIF($T$1:T257,A$2:$A$501),0)),"")</f>
        <v/>
      </c>
      <c r="U258" s="10">
        <f>IFERROR(MATCH(T258,I$2:$I$501,0),"")</f>
        <v>64</v>
      </c>
      <c r="V258" s="10">
        <f>COUNTIF(I$2:$I$501,T258)</f>
        <v>437</v>
      </c>
      <c r="W258" s="10"/>
      <c r="X258" s="10"/>
    </row>
    <row r="259" spans="1:24" x14ac:dyDescent="0.25">
      <c r="A259" t="str">
        <f>IF(Tests!B260="","",Tests!B260)</f>
        <v/>
      </c>
      <c r="B259" t="str">
        <f>IF(Tests!D260="","",Tests!D260)</f>
        <v/>
      </c>
      <c r="C259" t="str">
        <f>IF(Tests!E260="","",Tests!E260)</f>
        <v/>
      </c>
      <c r="E259" s="54">
        <f t="shared" ref="E259:E322" si="24">COUNTIF($A$2:$A$501,"&lt;="&amp;A259)</f>
        <v>0</v>
      </c>
      <c r="F259" s="54">
        <f t="shared" ref="F259:F322" si="25">--ISNUMBER(A259)</f>
        <v>0</v>
      </c>
      <c r="G259" s="54">
        <f t="shared" ref="G259:G322" si="26">--(A259="")</f>
        <v>1</v>
      </c>
      <c r="H259" s="54">
        <f t="shared" ref="H259:H322" si="27">IF(ISNUMBER(A259),E259,IF(ISBLANK(A259),E259,E259+$F$502))+$G$502</f>
        <v>437</v>
      </c>
      <c r="I259" s="56" t="str">
        <f>IFERROR(INDEX($A$2:$A$501,MATCH(SMALL($H$2:$H$501,ROWS($I$2:I259)+$G$502),$H$2:$H$501,0)),"")</f>
        <v/>
      </c>
      <c r="J259">
        <f t="shared" ref="J259:J322" si="28">IF(I258=I259,J258+1,1)</f>
        <v>195</v>
      </c>
      <c r="K259" t="str">
        <f t="array" ref="K259">INDEX($B$2:$B$501,SMALL(IF($A$2:$A$501=I259,ROW($A$2:$A$501)-ROW(INDEX($A$2:$A$501,1,1))+1),J259))</f>
        <v/>
      </c>
      <c r="L259" t="str">
        <f t="array" ref="L259">INDEX($C$2:$C$501,SMALL(IF($A$2:$A$501=I259,ROW($A$2:$A$501)-ROW(INDEX($A$2:$A$501,1,1))+1),J259))</f>
        <v/>
      </c>
      <c r="N259" t="str">
        <f t="shared" ref="N259:N322" si="29">IF(K259="","",K259&amp;" ("&amp;L259&amp;")")</f>
        <v/>
      </c>
      <c r="S259" s="10">
        <v>258</v>
      </c>
      <c r="T259" s="10" t="str">
        <f t="array" ref="T259">IFERROR(INDEX(A$2:$A$501,MATCH(0,COUNTIF($T$1:T258,A$2:$A$501),0)),"")</f>
        <v/>
      </c>
      <c r="U259" s="10">
        <f>IFERROR(MATCH(T259,I$2:$I$501,0),"")</f>
        <v>64</v>
      </c>
      <c r="V259" s="10">
        <f>COUNTIF(I$2:$I$501,T259)</f>
        <v>437</v>
      </c>
      <c r="W259" s="10"/>
      <c r="X259" s="10"/>
    </row>
    <row r="260" spans="1:24" x14ac:dyDescent="0.25">
      <c r="A260" t="str">
        <f>IF(Tests!B261="","",Tests!B261)</f>
        <v/>
      </c>
      <c r="B260" t="str">
        <f>IF(Tests!D261="","",Tests!D261)</f>
        <v/>
      </c>
      <c r="C260" t="str">
        <f>IF(Tests!E261="","",Tests!E261)</f>
        <v/>
      </c>
      <c r="E260" s="54">
        <f t="shared" si="24"/>
        <v>0</v>
      </c>
      <c r="F260" s="54">
        <f t="shared" si="25"/>
        <v>0</v>
      </c>
      <c r="G260" s="54">
        <f t="shared" si="26"/>
        <v>1</v>
      </c>
      <c r="H260" s="54">
        <f t="shared" si="27"/>
        <v>437</v>
      </c>
      <c r="I260" s="56" t="str">
        <f>IFERROR(INDEX($A$2:$A$501,MATCH(SMALL($H$2:$H$501,ROWS($I$2:I260)+$G$502),$H$2:$H$501,0)),"")</f>
        <v/>
      </c>
      <c r="J260">
        <f t="shared" si="28"/>
        <v>196</v>
      </c>
      <c r="K260" t="str">
        <f t="array" ref="K260">INDEX($B$2:$B$501,SMALL(IF($A$2:$A$501=I260,ROW($A$2:$A$501)-ROW(INDEX($A$2:$A$501,1,1))+1),J260))</f>
        <v/>
      </c>
      <c r="L260" t="str">
        <f t="array" ref="L260">INDEX($C$2:$C$501,SMALL(IF($A$2:$A$501=I260,ROW($A$2:$A$501)-ROW(INDEX($A$2:$A$501,1,1))+1),J260))</f>
        <v/>
      </c>
      <c r="N260" t="str">
        <f t="shared" si="29"/>
        <v/>
      </c>
      <c r="S260" s="10">
        <v>259</v>
      </c>
      <c r="T260" s="10" t="str">
        <f t="array" ref="T260">IFERROR(INDEX(A$2:$A$501,MATCH(0,COUNTIF($T$1:T259,A$2:$A$501),0)),"")</f>
        <v/>
      </c>
      <c r="U260" s="10">
        <f>IFERROR(MATCH(T260,I$2:$I$501,0),"")</f>
        <v>64</v>
      </c>
      <c r="V260" s="10">
        <f>COUNTIF(I$2:$I$501,T260)</f>
        <v>437</v>
      </c>
      <c r="W260" s="10"/>
      <c r="X260" s="10"/>
    </row>
    <row r="261" spans="1:24" x14ac:dyDescent="0.25">
      <c r="A261" t="str">
        <f>IF(Tests!B262="","",Tests!B262)</f>
        <v/>
      </c>
      <c r="B261" t="str">
        <f>IF(Tests!D262="","",Tests!D262)</f>
        <v/>
      </c>
      <c r="C261" t="str">
        <f>IF(Tests!E262="","",Tests!E262)</f>
        <v/>
      </c>
      <c r="E261" s="54">
        <f t="shared" si="24"/>
        <v>0</v>
      </c>
      <c r="F261" s="54">
        <f t="shared" si="25"/>
        <v>0</v>
      </c>
      <c r="G261" s="54">
        <f t="shared" si="26"/>
        <v>1</v>
      </c>
      <c r="H261" s="54">
        <f t="shared" si="27"/>
        <v>437</v>
      </c>
      <c r="I261" s="56" t="str">
        <f>IFERROR(INDEX($A$2:$A$501,MATCH(SMALL($H$2:$H$501,ROWS($I$2:I261)+$G$502),$H$2:$H$501,0)),"")</f>
        <v/>
      </c>
      <c r="J261">
        <f t="shared" si="28"/>
        <v>197</v>
      </c>
      <c r="K261" t="str">
        <f t="array" ref="K261">INDEX($B$2:$B$501,SMALL(IF($A$2:$A$501=I261,ROW($A$2:$A$501)-ROW(INDEX($A$2:$A$501,1,1))+1),J261))</f>
        <v/>
      </c>
      <c r="L261" t="str">
        <f t="array" ref="L261">INDEX($C$2:$C$501,SMALL(IF($A$2:$A$501=I261,ROW($A$2:$A$501)-ROW(INDEX($A$2:$A$501,1,1))+1),J261))</f>
        <v/>
      </c>
      <c r="N261" t="str">
        <f t="shared" si="29"/>
        <v/>
      </c>
      <c r="S261" s="10">
        <v>260</v>
      </c>
      <c r="T261" s="10" t="str">
        <f t="array" ref="T261">IFERROR(INDEX(A$2:$A$501,MATCH(0,COUNTIF($T$1:T260,A$2:$A$501),0)),"")</f>
        <v/>
      </c>
      <c r="U261" s="10">
        <f>IFERROR(MATCH(T261,I$2:$I$501,0),"")</f>
        <v>64</v>
      </c>
      <c r="V261" s="10">
        <f>COUNTIF(I$2:$I$501,T261)</f>
        <v>437</v>
      </c>
      <c r="W261" s="10"/>
      <c r="X261" s="10"/>
    </row>
    <row r="262" spans="1:24" x14ac:dyDescent="0.25">
      <c r="A262" t="str">
        <f>IF(Tests!B263="","",Tests!B263)</f>
        <v/>
      </c>
      <c r="B262" t="str">
        <f>IF(Tests!D263="","",Tests!D263)</f>
        <v/>
      </c>
      <c r="C262" t="str">
        <f>IF(Tests!E263="","",Tests!E263)</f>
        <v/>
      </c>
      <c r="E262" s="54">
        <f t="shared" si="24"/>
        <v>0</v>
      </c>
      <c r="F262" s="54">
        <f t="shared" si="25"/>
        <v>0</v>
      </c>
      <c r="G262" s="54">
        <f t="shared" si="26"/>
        <v>1</v>
      </c>
      <c r="H262" s="54">
        <f t="shared" si="27"/>
        <v>437</v>
      </c>
      <c r="I262" s="56" t="str">
        <f>IFERROR(INDEX($A$2:$A$501,MATCH(SMALL($H$2:$H$501,ROWS($I$2:I262)+$G$502),$H$2:$H$501,0)),"")</f>
        <v/>
      </c>
      <c r="J262">
        <f t="shared" si="28"/>
        <v>198</v>
      </c>
      <c r="K262" t="str">
        <f t="array" ref="K262">INDEX($B$2:$B$501,SMALL(IF($A$2:$A$501=I262,ROW($A$2:$A$501)-ROW(INDEX($A$2:$A$501,1,1))+1),J262))</f>
        <v/>
      </c>
      <c r="L262" t="str">
        <f t="array" ref="L262">INDEX($C$2:$C$501,SMALL(IF($A$2:$A$501=I262,ROW($A$2:$A$501)-ROW(INDEX($A$2:$A$501,1,1))+1),J262))</f>
        <v/>
      </c>
      <c r="N262" t="str">
        <f t="shared" si="29"/>
        <v/>
      </c>
      <c r="S262" s="10">
        <v>261</v>
      </c>
      <c r="T262" s="10" t="str">
        <f t="array" ref="T262">IFERROR(INDEX(A$2:$A$501,MATCH(0,COUNTIF($T$1:T261,A$2:$A$501),0)),"")</f>
        <v/>
      </c>
      <c r="U262" s="10">
        <f>IFERROR(MATCH(T262,I$2:$I$501,0),"")</f>
        <v>64</v>
      </c>
      <c r="V262" s="10">
        <f>COUNTIF(I$2:$I$501,T262)</f>
        <v>437</v>
      </c>
      <c r="W262" s="10"/>
      <c r="X262" s="10"/>
    </row>
    <row r="263" spans="1:24" x14ac:dyDescent="0.25">
      <c r="A263" t="str">
        <f>IF(Tests!B264="","",Tests!B264)</f>
        <v/>
      </c>
      <c r="B263" t="str">
        <f>IF(Tests!D264="","",Tests!D264)</f>
        <v/>
      </c>
      <c r="C263" t="str">
        <f>IF(Tests!E264="","",Tests!E264)</f>
        <v/>
      </c>
      <c r="E263" s="54">
        <f t="shared" si="24"/>
        <v>0</v>
      </c>
      <c r="F263" s="54">
        <f t="shared" si="25"/>
        <v>0</v>
      </c>
      <c r="G263" s="54">
        <f t="shared" si="26"/>
        <v>1</v>
      </c>
      <c r="H263" s="54">
        <f t="shared" si="27"/>
        <v>437</v>
      </c>
      <c r="I263" s="56" t="str">
        <f>IFERROR(INDEX($A$2:$A$501,MATCH(SMALL($H$2:$H$501,ROWS($I$2:I263)+$G$502),$H$2:$H$501,0)),"")</f>
        <v/>
      </c>
      <c r="J263">
        <f t="shared" si="28"/>
        <v>199</v>
      </c>
      <c r="K263" t="str">
        <f t="array" ref="K263">INDEX($B$2:$B$501,SMALL(IF($A$2:$A$501=I263,ROW($A$2:$A$501)-ROW(INDEX($A$2:$A$501,1,1))+1),J263))</f>
        <v/>
      </c>
      <c r="L263" t="str">
        <f t="array" ref="L263">INDEX($C$2:$C$501,SMALL(IF($A$2:$A$501=I263,ROW($A$2:$A$501)-ROW(INDEX($A$2:$A$501,1,1))+1),J263))</f>
        <v/>
      </c>
      <c r="N263" t="str">
        <f t="shared" si="29"/>
        <v/>
      </c>
      <c r="S263" s="10">
        <v>262</v>
      </c>
      <c r="T263" s="10" t="str">
        <f t="array" ref="T263">IFERROR(INDEX(A$2:$A$501,MATCH(0,COUNTIF($T$1:T262,A$2:$A$501),0)),"")</f>
        <v/>
      </c>
      <c r="U263" s="10">
        <f>IFERROR(MATCH(T263,I$2:$I$501,0),"")</f>
        <v>64</v>
      </c>
      <c r="V263" s="10">
        <f>COUNTIF(I$2:$I$501,T263)</f>
        <v>437</v>
      </c>
      <c r="W263" s="10"/>
      <c r="X263" s="10"/>
    </row>
    <row r="264" spans="1:24" x14ac:dyDescent="0.25">
      <c r="A264" t="str">
        <f>IF(Tests!B265="","",Tests!B265)</f>
        <v/>
      </c>
      <c r="B264" t="str">
        <f>IF(Tests!D265="","",Tests!D265)</f>
        <v/>
      </c>
      <c r="C264" t="str">
        <f>IF(Tests!E265="","",Tests!E265)</f>
        <v/>
      </c>
      <c r="E264" s="54">
        <f t="shared" si="24"/>
        <v>0</v>
      </c>
      <c r="F264" s="54">
        <f t="shared" si="25"/>
        <v>0</v>
      </c>
      <c r="G264" s="54">
        <f t="shared" si="26"/>
        <v>1</v>
      </c>
      <c r="H264" s="54">
        <f t="shared" si="27"/>
        <v>437</v>
      </c>
      <c r="I264" s="56" t="str">
        <f>IFERROR(INDEX($A$2:$A$501,MATCH(SMALL($H$2:$H$501,ROWS($I$2:I264)+$G$502),$H$2:$H$501,0)),"")</f>
        <v/>
      </c>
      <c r="J264">
        <f t="shared" si="28"/>
        <v>200</v>
      </c>
      <c r="K264" t="str">
        <f t="array" ref="K264">INDEX($B$2:$B$501,SMALL(IF($A$2:$A$501=I264,ROW($A$2:$A$501)-ROW(INDEX($A$2:$A$501,1,1))+1),J264))</f>
        <v/>
      </c>
      <c r="L264" t="str">
        <f t="array" ref="L264">INDEX($C$2:$C$501,SMALL(IF($A$2:$A$501=I264,ROW($A$2:$A$501)-ROW(INDEX($A$2:$A$501,1,1))+1),J264))</f>
        <v/>
      </c>
      <c r="N264" t="str">
        <f t="shared" si="29"/>
        <v/>
      </c>
      <c r="S264" s="10">
        <v>263</v>
      </c>
      <c r="T264" s="10" t="str">
        <f t="array" ref="T264">IFERROR(INDEX(A$2:$A$501,MATCH(0,COUNTIF($T$1:T263,A$2:$A$501),0)),"")</f>
        <v/>
      </c>
      <c r="U264" s="10">
        <f>IFERROR(MATCH(T264,I$2:$I$501,0),"")</f>
        <v>64</v>
      </c>
      <c r="V264" s="10">
        <f>COUNTIF(I$2:$I$501,T264)</f>
        <v>437</v>
      </c>
      <c r="W264" s="10"/>
      <c r="X264" s="10"/>
    </row>
    <row r="265" spans="1:24" x14ac:dyDescent="0.25">
      <c r="A265" t="str">
        <f>IF(Tests!B266="","",Tests!B266)</f>
        <v/>
      </c>
      <c r="B265" t="str">
        <f>IF(Tests!D266="","",Tests!D266)</f>
        <v/>
      </c>
      <c r="C265" t="str">
        <f>IF(Tests!E266="","",Tests!E266)</f>
        <v/>
      </c>
      <c r="E265" s="54">
        <f t="shared" si="24"/>
        <v>0</v>
      </c>
      <c r="F265" s="54">
        <f t="shared" si="25"/>
        <v>0</v>
      </c>
      <c r="G265" s="54">
        <f t="shared" si="26"/>
        <v>1</v>
      </c>
      <c r="H265" s="54">
        <f t="shared" si="27"/>
        <v>437</v>
      </c>
      <c r="I265" s="56" t="str">
        <f>IFERROR(INDEX($A$2:$A$501,MATCH(SMALL($H$2:$H$501,ROWS($I$2:I265)+$G$502),$H$2:$H$501,0)),"")</f>
        <v/>
      </c>
      <c r="J265">
        <f t="shared" si="28"/>
        <v>201</v>
      </c>
      <c r="K265" t="str">
        <f t="array" ref="K265">INDEX($B$2:$B$501,SMALL(IF($A$2:$A$501=I265,ROW($A$2:$A$501)-ROW(INDEX($A$2:$A$501,1,1))+1),J265))</f>
        <v/>
      </c>
      <c r="L265" t="str">
        <f t="array" ref="L265">INDEX($C$2:$C$501,SMALL(IF($A$2:$A$501=I265,ROW($A$2:$A$501)-ROW(INDEX($A$2:$A$501,1,1))+1),J265))</f>
        <v/>
      </c>
      <c r="N265" t="str">
        <f t="shared" si="29"/>
        <v/>
      </c>
      <c r="S265" s="10">
        <v>264</v>
      </c>
      <c r="T265" s="10" t="str">
        <f t="array" ref="T265">IFERROR(INDEX(A$2:$A$501,MATCH(0,COUNTIF($T$1:T264,A$2:$A$501),0)),"")</f>
        <v/>
      </c>
      <c r="U265" s="10">
        <f>IFERROR(MATCH(T265,I$2:$I$501,0),"")</f>
        <v>64</v>
      </c>
      <c r="V265" s="10">
        <f>COUNTIF(I$2:$I$501,T265)</f>
        <v>437</v>
      </c>
      <c r="W265" s="10"/>
      <c r="X265" s="10"/>
    </row>
    <row r="266" spans="1:24" x14ac:dyDescent="0.25">
      <c r="A266" t="str">
        <f>IF(Tests!B267="","",Tests!B267)</f>
        <v/>
      </c>
      <c r="B266" t="str">
        <f>IF(Tests!D267="","",Tests!D267)</f>
        <v/>
      </c>
      <c r="C266" t="str">
        <f>IF(Tests!E267="","",Tests!E267)</f>
        <v/>
      </c>
      <c r="E266" s="54">
        <f t="shared" si="24"/>
        <v>0</v>
      </c>
      <c r="F266" s="54">
        <f t="shared" si="25"/>
        <v>0</v>
      </c>
      <c r="G266" s="54">
        <f t="shared" si="26"/>
        <v>1</v>
      </c>
      <c r="H266" s="54">
        <f t="shared" si="27"/>
        <v>437</v>
      </c>
      <c r="I266" s="56" t="str">
        <f>IFERROR(INDEX($A$2:$A$501,MATCH(SMALL($H$2:$H$501,ROWS($I$2:I266)+$G$502),$H$2:$H$501,0)),"")</f>
        <v/>
      </c>
      <c r="J266">
        <f t="shared" si="28"/>
        <v>202</v>
      </c>
      <c r="K266" t="str">
        <f t="array" ref="K266">INDEX($B$2:$B$501,SMALL(IF($A$2:$A$501=I266,ROW($A$2:$A$501)-ROW(INDEX($A$2:$A$501,1,1))+1),J266))</f>
        <v/>
      </c>
      <c r="L266" t="str">
        <f t="array" ref="L266">INDEX($C$2:$C$501,SMALL(IF($A$2:$A$501=I266,ROW($A$2:$A$501)-ROW(INDEX($A$2:$A$501,1,1))+1),J266))</f>
        <v/>
      </c>
      <c r="N266" t="str">
        <f t="shared" si="29"/>
        <v/>
      </c>
      <c r="S266" s="10">
        <v>265</v>
      </c>
      <c r="T266" s="10" t="str">
        <f t="array" ref="T266">IFERROR(INDEX(A$2:$A$501,MATCH(0,COUNTIF($T$1:T265,A$2:$A$501),0)),"")</f>
        <v/>
      </c>
      <c r="U266" s="10">
        <f>IFERROR(MATCH(T266,I$2:$I$501,0),"")</f>
        <v>64</v>
      </c>
      <c r="V266" s="10">
        <f>COUNTIF(I$2:$I$501,T266)</f>
        <v>437</v>
      </c>
      <c r="W266" s="10"/>
      <c r="X266" s="10"/>
    </row>
    <row r="267" spans="1:24" x14ac:dyDescent="0.25">
      <c r="A267" t="str">
        <f>IF(Tests!B268="","",Tests!B268)</f>
        <v/>
      </c>
      <c r="B267" t="str">
        <f>IF(Tests!D268="","",Tests!D268)</f>
        <v/>
      </c>
      <c r="C267" t="str">
        <f>IF(Tests!E268="","",Tests!E268)</f>
        <v/>
      </c>
      <c r="E267" s="54">
        <f t="shared" si="24"/>
        <v>0</v>
      </c>
      <c r="F267" s="54">
        <f t="shared" si="25"/>
        <v>0</v>
      </c>
      <c r="G267" s="54">
        <f t="shared" si="26"/>
        <v>1</v>
      </c>
      <c r="H267" s="54">
        <f t="shared" si="27"/>
        <v>437</v>
      </c>
      <c r="I267" s="56" t="str">
        <f>IFERROR(INDEX($A$2:$A$501,MATCH(SMALL($H$2:$H$501,ROWS($I$2:I267)+$G$502),$H$2:$H$501,0)),"")</f>
        <v/>
      </c>
      <c r="J267">
        <f t="shared" si="28"/>
        <v>203</v>
      </c>
      <c r="K267" t="str">
        <f t="array" ref="K267">INDEX($B$2:$B$501,SMALL(IF($A$2:$A$501=I267,ROW($A$2:$A$501)-ROW(INDEX($A$2:$A$501,1,1))+1),J267))</f>
        <v/>
      </c>
      <c r="L267" t="str">
        <f t="array" ref="L267">INDEX($C$2:$C$501,SMALL(IF($A$2:$A$501=I267,ROW($A$2:$A$501)-ROW(INDEX($A$2:$A$501,1,1))+1),J267))</f>
        <v/>
      </c>
      <c r="N267" t="str">
        <f t="shared" si="29"/>
        <v/>
      </c>
      <c r="S267" s="10">
        <v>266</v>
      </c>
      <c r="T267" s="10" t="str">
        <f t="array" ref="T267">IFERROR(INDEX(A$2:$A$501,MATCH(0,COUNTIF($T$1:T266,A$2:$A$501),0)),"")</f>
        <v/>
      </c>
      <c r="U267" s="10">
        <f>IFERROR(MATCH(T267,I$2:$I$501,0),"")</f>
        <v>64</v>
      </c>
      <c r="V267" s="10">
        <f>COUNTIF(I$2:$I$501,T267)</f>
        <v>437</v>
      </c>
      <c r="W267" s="10"/>
      <c r="X267" s="10"/>
    </row>
    <row r="268" spans="1:24" x14ac:dyDescent="0.25">
      <c r="A268" t="str">
        <f>IF(Tests!B269="","",Tests!B269)</f>
        <v/>
      </c>
      <c r="B268" t="str">
        <f>IF(Tests!D269="","",Tests!D269)</f>
        <v/>
      </c>
      <c r="C268" t="str">
        <f>IF(Tests!E269="","",Tests!E269)</f>
        <v/>
      </c>
      <c r="E268" s="54">
        <f t="shared" si="24"/>
        <v>0</v>
      </c>
      <c r="F268" s="54">
        <f t="shared" si="25"/>
        <v>0</v>
      </c>
      <c r="G268" s="54">
        <f t="shared" si="26"/>
        <v>1</v>
      </c>
      <c r="H268" s="54">
        <f t="shared" si="27"/>
        <v>437</v>
      </c>
      <c r="I268" s="56" t="str">
        <f>IFERROR(INDEX($A$2:$A$501,MATCH(SMALL($H$2:$H$501,ROWS($I$2:I268)+$G$502),$H$2:$H$501,0)),"")</f>
        <v/>
      </c>
      <c r="J268">
        <f t="shared" si="28"/>
        <v>204</v>
      </c>
      <c r="K268" t="str">
        <f t="array" ref="K268">INDEX($B$2:$B$501,SMALL(IF($A$2:$A$501=I268,ROW($A$2:$A$501)-ROW(INDEX($A$2:$A$501,1,1))+1),J268))</f>
        <v/>
      </c>
      <c r="L268" t="str">
        <f t="array" ref="L268">INDEX($C$2:$C$501,SMALL(IF($A$2:$A$501=I268,ROW($A$2:$A$501)-ROW(INDEX($A$2:$A$501,1,1))+1),J268))</f>
        <v/>
      </c>
      <c r="N268" t="str">
        <f t="shared" si="29"/>
        <v/>
      </c>
      <c r="S268" s="10">
        <v>267</v>
      </c>
      <c r="T268" s="10" t="str">
        <f t="array" ref="T268">IFERROR(INDEX(A$2:$A$501,MATCH(0,COUNTIF($T$1:T267,A$2:$A$501),0)),"")</f>
        <v/>
      </c>
      <c r="U268" s="10">
        <f>IFERROR(MATCH(T268,I$2:$I$501,0),"")</f>
        <v>64</v>
      </c>
      <c r="V268" s="10">
        <f>COUNTIF(I$2:$I$501,T268)</f>
        <v>437</v>
      </c>
      <c r="W268" s="10"/>
      <c r="X268" s="10"/>
    </row>
    <row r="269" spans="1:24" x14ac:dyDescent="0.25">
      <c r="A269" t="str">
        <f>IF(Tests!B270="","",Tests!B270)</f>
        <v/>
      </c>
      <c r="B269" t="str">
        <f>IF(Tests!D270="","",Tests!D270)</f>
        <v/>
      </c>
      <c r="C269" t="str">
        <f>IF(Tests!E270="","",Tests!E270)</f>
        <v/>
      </c>
      <c r="E269" s="54">
        <f t="shared" si="24"/>
        <v>0</v>
      </c>
      <c r="F269" s="54">
        <f t="shared" si="25"/>
        <v>0</v>
      </c>
      <c r="G269" s="54">
        <f t="shared" si="26"/>
        <v>1</v>
      </c>
      <c r="H269" s="54">
        <f t="shared" si="27"/>
        <v>437</v>
      </c>
      <c r="I269" s="56" t="str">
        <f>IFERROR(INDEX($A$2:$A$501,MATCH(SMALL($H$2:$H$501,ROWS($I$2:I269)+$G$502),$H$2:$H$501,0)),"")</f>
        <v/>
      </c>
      <c r="J269">
        <f t="shared" si="28"/>
        <v>205</v>
      </c>
      <c r="K269" t="str">
        <f t="array" ref="K269">INDEX($B$2:$B$501,SMALL(IF($A$2:$A$501=I269,ROW($A$2:$A$501)-ROW(INDEX($A$2:$A$501,1,1))+1),J269))</f>
        <v/>
      </c>
      <c r="L269" t="str">
        <f t="array" ref="L269">INDEX($C$2:$C$501,SMALL(IF($A$2:$A$501=I269,ROW($A$2:$A$501)-ROW(INDEX($A$2:$A$501,1,1))+1),J269))</f>
        <v/>
      </c>
      <c r="N269" t="str">
        <f t="shared" si="29"/>
        <v/>
      </c>
      <c r="S269" s="10">
        <v>268</v>
      </c>
      <c r="T269" s="10" t="str">
        <f t="array" ref="T269">IFERROR(INDEX(A$2:$A$501,MATCH(0,COUNTIF($T$1:T268,A$2:$A$501),0)),"")</f>
        <v/>
      </c>
      <c r="U269" s="10">
        <f>IFERROR(MATCH(T269,I$2:$I$501,0),"")</f>
        <v>64</v>
      </c>
      <c r="V269" s="10">
        <f>COUNTIF(I$2:$I$501,T269)</f>
        <v>437</v>
      </c>
      <c r="W269" s="10"/>
      <c r="X269" s="10"/>
    </row>
    <row r="270" spans="1:24" x14ac:dyDescent="0.25">
      <c r="A270" t="str">
        <f>IF(Tests!B271="","",Tests!B271)</f>
        <v/>
      </c>
      <c r="B270" t="str">
        <f>IF(Tests!D271="","",Tests!D271)</f>
        <v/>
      </c>
      <c r="C270" t="str">
        <f>IF(Tests!E271="","",Tests!E271)</f>
        <v/>
      </c>
      <c r="E270" s="54">
        <f t="shared" si="24"/>
        <v>0</v>
      </c>
      <c r="F270" s="54">
        <f t="shared" si="25"/>
        <v>0</v>
      </c>
      <c r="G270" s="54">
        <f t="shared" si="26"/>
        <v>1</v>
      </c>
      <c r="H270" s="54">
        <f t="shared" si="27"/>
        <v>437</v>
      </c>
      <c r="I270" s="56" t="str">
        <f>IFERROR(INDEX($A$2:$A$501,MATCH(SMALL($H$2:$H$501,ROWS($I$2:I270)+$G$502),$H$2:$H$501,0)),"")</f>
        <v/>
      </c>
      <c r="J270">
        <f t="shared" si="28"/>
        <v>206</v>
      </c>
      <c r="K270" t="str">
        <f t="array" ref="K270">INDEX($B$2:$B$501,SMALL(IF($A$2:$A$501=I270,ROW($A$2:$A$501)-ROW(INDEX($A$2:$A$501,1,1))+1),J270))</f>
        <v/>
      </c>
      <c r="L270" t="str">
        <f t="array" ref="L270">INDEX($C$2:$C$501,SMALL(IF($A$2:$A$501=I270,ROW($A$2:$A$501)-ROW(INDEX($A$2:$A$501,1,1))+1),J270))</f>
        <v/>
      </c>
      <c r="N270" t="str">
        <f t="shared" si="29"/>
        <v/>
      </c>
      <c r="S270" s="10">
        <v>269</v>
      </c>
      <c r="T270" s="10" t="str">
        <f t="array" ref="T270">IFERROR(INDEX(A$2:$A$501,MATCH(0,COUNTIF($T$1:T269,A$2:$A$501),0)),"")</f>
        <v/>
      </c>
      <c r="U270" s="10">
        <f>IFERROR(MATCH(T270,I$2:$I$501,0),"")</f>
        <v>64</v>
      </c>
      <c r="V270" s="10">
        <f>COUNTIF(I$2:$I$501,T270)</f>
        <v>437</v>
      </c>
      <c r="W270" s="10"/>
      <c r="X270" s="10"/>
    </row>
    <row r="271" spans="1:24" x14ac:dyDescent="0.25">
      <c r="A271" t="str">
        <f>IF(Tests!B272="","",Tests!B272)</f>
        <v/>
      </c>
      <c r="B271" t="str">
        <f>IF(Tests!D272="","",Tests!D272)</f>
        <v/>
      </c>
      <c r="C271" t="str">
        <f>IF(Tests!E272="","",Tests!E272)</f>
        <v/>
      </c>
      <c r="E271" s="54">
        <f t="shared" si="24"/>
        <v>0</v>
      </c>
      <c r="F271" s="54">
        <f t="shared" si="25"/>
        <v>0</v>
      </c>
      <c r="G271" s="54">
        <f t="shared" si="26"/>
        <v>1</v>
      </c>
      <c r="H271" s="54">
        <f t="shared" si="27"/>
        <v>437</v>
      </c>
      <c r="I271" s="56" t="str">
        <f>IFERROR(INDEX($A$2:$A$501,MATCH(SMALL($H$2:$H$501,ROWS($I$2:I271)+$G$502),$H$2:$H$501,0)),"")</f>
        <v/>
      </c>
      <c r="J271">
        <f t="shared" si="28"/>
        <v>207</v>
      </c>
      <c r="K271" t="str">
        <f t="array" ref="K271">INDEX($B$2:$B$501,SMALL(IF($A$2:$A$501=I271,ROW($A$2:$A$501)-ROW(INDEX($A$2:$A$501,1,1))+1),J271))</f>
        <v/>
      </c>
      <c r="L271" t="str">
        <f t="array" ref="L271">INDEX($C$2:$C$501,SMALL(IF($A$2:$A$501=I271,ROW($A$2:$A$501)-ROW(INDEX($A$2:$A$501,1,1))+1),J271))</f>
        <v/>
      </c>
      <c r="N271" t="str">
        <f t="shared" si="29"/>
        <v/>
      </c>
      <c r="S271" s="10">
        <v>270</v>
      </c>
      <c r="T271" s="10" t="str">
        <f t="array" ref="T271">IFERROR(INDEX(A$2:$A$501,MATCH(0,COUNTIF($T$1:T270,A$2:$A$501),0)),"")</f>
        <v/>
      </c>
      <c r="U271" s="10">
        <f>IFERROR(MATCH(T271,I$2:$I$501,0),"")</f>
        <v>64</v>
      </c>
      <c r="V271" s="10">
        <f>COUNTIF(I$2:$I$501,T271)</f>
        <v>437</v>
      </c>
      <c r="W271" s="10"/>
      <c r="X271" s="10"/>
    </row>
    <row r="272" spans="1:24" x14ac:dyDescent="0.25">
      <c r="A272" t="str">
        <f>IF(Tests!B273="","",Tests!B273)</f>
        <v/>
      </c>
      <c r="B272" t="str">
        <f>IF(Tests!D273="","",Tests!D273)</f>
        <v/>
      </c>
      <c r="C272" t="str">
        <f>IF(Tests!E273="","",Tests!E273)</f>
        <v/>
      </c>
      <c r="E272" s="54">
        <f t="shared" si="24"/>
        <v>0</v>
      </c>
      <c r="F272" s="54">
        <f t="shared" si="25"/>
        <v>0</v>
      </c>
      <c r="G272" s="54">
        <f t="shared" si="26"/>
        <v>1</v>
      </c>
      <c r="H272" s="54">
        <f t="shared" si="27"/>
        <v>437</v>
      </c>
      <c r="I272" s="56" t="str">
        <f>IFERROR(INDEX($A$2:$A$501,MATCH(SMALL($H$2:$H$501,ROWS($I$2:I272)+$G$502),$H$2:$H$501,0)),"")</f>
        <v/>
      </c>
      <c r="J272">
        <f t="shared" si="28"/>
        <v>208</v>
      </c>
      <c r="K272" t="str">
        <f t="array" ref="K272">INDEX($B$2:$B$501,SMALL(IF($A$2:$A$501=I272,ROW($A$2:$A$501)-ROW(INDEX($A$2:$A$501,1,1))+1),J272))</f>
        <v/>
      </c>
      <c r="L272" t="str">
        <f t="array" ref="L272">INDEX($C$2:$C$501,SMALL(IF($A$2:$A$501=I272,ROW($A$2:$A$501)-ROW(INDEX($A$2:$A$501,1,1))+1),J272))</f>
        <v/>
      </c>
      <c r="N272" t="str">
        <f t="shared" si="29"/>
        <v/>
      </c>
      <c r="S272" s="10">
        <v>271</v>
      </c>
      <c r="T272" s="10" t="str">
        <f t="array" ref="T272">IFERROR(INDEX(A$2:$A$501,MATCH(0,COUNTIF($T$1:T271,A$2:$A$501),0)),"")</f>
        <v/>
      </c>
      <c r="U272" s="10">
        <f>IFERROR(MATCH(T272,I$2:$I$501,0),"")</f>
        <v>64</v>
      </c>
      <c r="V272" s="10">
        <f>COUNTIF(I$2:$I$501,T272)</f>
        <v>437</v>
      </c>
      <c r="W272" s="10"/>
      <c r="X272" s="10"/>
    </row>
    <row r="273" spans="1:24" x14ac:dyDescent="0.25">
      <c r="A273" t="str">
        <f>IF(Tests!B274="","",Tests!B274)</f>
        <v/>
      </c>
      <c r="B273" t="str">
        <f>IF(Tests!D274="","",Tests!D274)</f>
        <v/>
      </c>
      <c r="C273" t="str">
        <f>IF(Tests!E274="","",Tests!E274)</f>
        <v/>
      </c>
      <c r="E273" s="54">
        <f t="shared" si="24"/>
        <v>0</v>
      </c>
      <c r="F273" s="54">
        <f t="shared" si="25"/>
        <v>0</v>
      </c>
      <c r="G273" s="54">
        <f t="shared" si="26"/>
        <v>1</v>
      </c>
      <c r="H273" s="54">
        <f t="shared" si="27"/>
        <v>437</v>
      </c>
      <c r="I273" s="56" t="str">
        <f>IFERROR(INDEX($A$2:$A$501,MATCH(SMALL($H$2:$H$501,ROWS($I$2:I273)+$G$502),$H$2:$H$501,0)),"")</f>
        <v/>
      </c>
      <c r="J273">
        <f t="shared" si="28"/>
        <v>209</v>
      </c>
      <c r="K273" t="str">
        <f t="array" ref="K273">INDEX($B$2:$B$501,SMALL(IF($A$2:$A$501=I273,ROW($A$2:$A$501)-ROW(INDEX($A$2:$A$501,1,1))+1),J273))</f>
        <v/>
      </c>
      <c r="L273" t="str">
        <f t="array" ref="L273">INDEX($C$2:$C$501,SMALL(IF($A$2:$A$501=I273,ROW($A$2:$A$501)-ROW(INDEX($A$2:$A$501,1,1))+1),J273))</f>
        <v/>
      </c>
      <c r="N273" t="str">
        <f t="shared" si="29"/>
        <v/>
      </c>
      <c r="S273" s="10">
        <v>272</v>
      </c>
      <c r="T273" s="10" t="str">
        <f t="array" ref="T273">IFERROR(INDEX(A$2:$A$501,MATCH(0,COUNTIF($T$1:T272,A$2:$A$501),0)),"")</f>
        <v/>
      </c>
      <c r="U273" s="10">
        <f>IFERROR(MATCH(T273,I$2:$I$501,0),"")</f>
        <v>64</v>
      </c>
      <c r="V273" s="10">
        <f>COUNTIF(I$2:$I$501,T273)</f>
        <v>437</v>
      </c>
      <c r="W273" s="10"/>
      <c r="X273" s="10"/>
    </row>
    <row r="274" spans="1:24" x14ac:dyDescent="0.25">
      <c r="A274" t="str">
        <f>IF(Tests!B275="","",Tests!B275)</f>
        <v/>
      </c>
      <c r="B274" t="str">
        <f>IF(Tests!D275="","",Tests!D275)</f>
        <v/>
      </c>
      <c r="C274" t="str">
        <f>IF(Tests!E275="","",Tests!E275)</f>
        <v/>
      </c>
      <c r="E274" s="54">
        <f t="shared" si="24"/>
        <v>0</v>
      </c>
      <c r="F274" s="54">
        <f t="shared" si="25"/>
        <v>0</v>
      </c>
      <c r="G274" s="54">
        <f t="shared" si="26"/>
        <v>1</v>
      </c>
      <c r="H274" s="54">
        <f t="shared" si="27"/>
        <v>437</v>
      </c>
      <c r="I274" s="56" t="str">
        <f>IFERROR(INDEX($A$2:$A$501,MATCH(SMALL($H$2:$H$501,ROWS($I$2:I274)+$G$502),$H$2:$H$501,0)),"")</f>
        <v/>
      </c>
      <c r="J274">
        <f t="shared" si="28"/>
        <v>210</v>
      </c>
      <c r="K274" t="str">
        <f t="array" ref="K274">INDEX($B$2:$B$501,SMALL(IF($A$2:$A$501=I274,ROW($A$2:$A$501)-ROW(INDEX($A$2:$A$501,1,1))+1),J274))</f>
        <v/>
      </c>
      <c r="L274" t="str">
        <f t="array" ref="L274">INDEX($C$2:$C$501,SMALL(IF($A$2:$A$501=I274,ROW($A$2:$A$501)-ROW(INDEX($A$2:$A$501,1,1))+1),J274))</f>
        <v/>
      </c>
      <c r="N274" t="str">
        <f t="shared" si="29"/>
        <v/>
      </c>
      <c r="S274" s="10">
        <v>273</v>
      </c>
      <c r="T274" s="10" t="str">
        <f t="array" ref="T274">IFERROR(INDEX(A$2:$A$501,MATCH(0,COUNTIF($T$1:T273,A$2:$A$501),0)),"")</f>
        <v/>
      </c>
      <c r="U274" s="10">
        <f>IFERROR(MATCH(T274,I$2:$I$501,0),"")</f>
        <v>64</v>
      </c>
      <c r="V274" s="10">
        <f>COUNTIF(I$2:$I$501,T274)</f>
        <v>437</v>
      </c>
      <c r="W274" s="10"/>
      <c r="X274" s="10"/>
    </row>
    <row r="275" spans="1:24" x14ac:dyDescent="0.25">
      <c r="A275" t="str">
        <f>IF(Tests!B276="","",Tests!B276)</f>
        <v/>
      </c>
      <c r="B275" t="str">
        <f>IF(Tests!D276="","",Tests!D276)</f>
        <v/>
      </c>
      <c r="C275" t="str">
        <f>IF(Tests!E276="","",Tests!E276)</f>
        <v/>
      </c>
      <c r="E275" s="54">
        <f t="shared" si="24"/>
        <v>0</v>
      </c>
      <c r="F275" s="54">
        <f t="shared" si="25"/>
        <v>0</v>
      </c>
      <c r="G275" s="54">
        <f t="shared" si="26"/>
        <v>1</v>
      </c>
      <c r="H275" s="54">
        <f t="shared" si="27"/>
        <v>437</v>
      </c>
      <c r="I275" s="56" t="str">
        <f>IFERROR(INDEX($A$2:$A$501,MATCH(SMALL($H$2:$H$501,ROWS($I$2:I275)+$G$502),$H$2:$H$501,0)),"")</f>
        <v/>
      </c>
      <c r="J275">
        <f t="shared" si="28"/>
        <v>211</v>
      </c>
      <c r="K275" t="str">
        <f t="array" ref="K275">INDEX($B$2:$B$501,SMALL(IF($A$2:$A$501=I275,ROW($A$2:$A$501)-ROW(INDEX($A$2:$A$501,1,1))+1),J275))</f>
        <v/>
      </c>
      <c r="L275" t="str">
        <f t="array" ref="L275">INDEX($C$2:$C$501,SMALL(IF($A$2:$A$501=I275,ROW($A$2:$A$501)-ROW(INDEX($A$2:$A$501,1,1))+1),J275))</f>
        <v/>
      </c>
      <c r="N275" t="str">
        <f t="shared" si="29"/>
        <v/>
      </c>
      <c r="S275" s="10">
        <v>274</v>
      </c>
      <c r="T275" s="10" t="str">
        <f t="array" ref="T275">IFERROR(INDEX(A$2:$A$501,MATCH(0,COUNTIF($T$1:T274,A$2:$A$501),0)),"")</f>
        <v/>
      </c>
      <c r="U275" s="10">
        <f>IFERROR(MATCH(T275,I$2:$I$501,0),"")</f>
        <v>64</v>
      </c>
      <c r="V275" s="10">
        <f>COUNTIF(I$2:$I$501,T275)</f>
        <v>437</v>
      </c>
      <c r="W275" s="10"/>
      <c r="X275" s="10"/>
    </row>
    <row r="276" spans="1:24" x14ac:dyDescent="0.25">
      <c r="A276" t="str">
        <f>IF(Tests!B277="","",Tests!B277)</f>
        <v/>
      </c>
      <c r="B276" t="str">
        <f>IF(Tests!D277="","",Tests!D277)</f>
        <v/>
      </c>
      <c r="C276" t="str">
        <f>IF(Tests!E277="","",Tests!E277)</f>
        <v/>
      </c>
      <c r="E276" s="54">
        <f t="shared" si="24"/>
        <v>0</v>
      </c>
      <c r="F276" s="54">
        <f t="shared" si="25"/>
        <v>0</v>
      </c>
      <c r="G276" s="54">
        <f t="shared" si="26"/>
        <v>1</v>
      </c>
      <c r="H276" s="54">
        <f t="shared" si="27"/>
        <v>437</v>
      </c>
      <c r="I276" s="56" t="str">
        <f>IFERROR(INDEX($A$2:$A$501,MATCH(SMALL($H$2:$H$501,ROWS($I$2:I276)+$G$502),$H$2:$H$501,0)),"")</f>
        <v/>
      </c>
      <c r="J276">
        <f t="shared" si="28"/>
        <v>212</v>
      </c>
      <c r="K276" t="str">
        <f t="array" ref="K276">INDEX($B$2:$B$501,SMALL(IF($A$2:$A$501=I276,ROW($A$2:$A$501)-ROW(INDEX($A$2:$A$501,1,1))+1),J276))</f>
        <v/>
      </c>
      <c r="L276" t="str">
        <f t="array" ref="L276">INDEX($C$2:$C$501,SMALL(IF($A$2:$A$501=I276,ROW($A$2:$A$501)-ROW(INDEX($A$2:$A$501,1,1))+1),J276))</f>
        <v/>
      </c>
      <c r="N276" t="str">
        <f t="shared" si="29"/>
        <v/>
      </c>
      <c r="S276" s="10">
        <v>275</v>
      </c>
      <c r="T276" s="10" t="str">
        <f t="array" ref="T276">IFERROR(INDEX(A$2:$A$501,MATCH(0,COUNTIF($T$1:T275,A$2:$A$501),0)),"")</f>
        <v/>
      </c>
      <c r="U276" s="10">
        <f>IFERROR(MATCH(T276,I$2:$I$501,0),"")</f>
        <v>64</v>
      </c>
      <c r="V276" s="10">
        <f>COUNTIF(I$2:$I$501,T276)</f>
        <v>437</v>
      </c>
      <c r="W276" s="10"/>
      <c r="X276" s="10"/>
    </row>
    <row r="277" spans="1:24" x14ac:dyDescent="0.25">
      <c r="A277" t="str">
        <f>IF(Tests!B278="","",Tests!B278)</f>
        <v/>
      </c>
      <c r="B277" t="str">
        <f>IF(Tests!D278="","",Tests!D278)</f>
        <v/>
      </c>
      <c r="C277" t="str">
        <f>IF(Tests!E278="","",Tests!E278)</f>
        <v/>
      </c>
      <c r="E277" s="54">
        <f t="shared" si="24"/>
        <v>0</v>
      </c>
      <c r="F277" s="54">
        <f t="shared" si="25"/>
        <v>0</v>
      </c>
      <c r="G277" s="54">
        <f t="shared" si="26"/>
        <v>1</v>
      </c>
      <c r="H277" s="54">
        <f t="shared" si="27"/>
        <v>437</v>
      </c>
      <c r="I277" s="56" t="str">
        <f>IFERROR(INDEX($A$2:$A$501,MATCH(SMALL($H$2:$H$501,ROWS($I$2:I277)+$G$502),$H$2:$H$501,0)),"")</f>
        <v/>
      </c>
      <c r="J277">
        <f t="shared" si="28"/>
        <v>213</v>
      </c>
      <c r="K277" t="str">
        <f t="array" ref="K277">INDEX($B$2:$B$501,SMALL(IF($A$2:$A$501=I277,ROW($A$2:$A$501)-ROW(INDEX($A$2:$A$501,1,1))+1),J277))</f>
        <v/>
      </c>
      <c r="L277" t="str">
        <f t="array" ref="L277">INDEX($C$2:$C$501,SMALL(IF($A$2:$A$501=I277,ROW($A$2:$A$501)-ROW(INDEX($A$2:$A$501,1,1))+1),J277))</f>
        <v/>
      </c>
      <c r="N277" t="str">
        <f t="shared" si="29"/>
        <v/>
      </c>
      <c r="S277" s="10">
        <v>276</v>
      </c>
      <c r="T277" s="10" t="str">
        <f t="array" ref="T277">IFERROR(INDEX(A$2:$A$501,MATCH(0,COUNTIF($T$1:T276,A$2:$A$501),0)),"")</f>
        <v/>
      </c>
      <c r="U277" s="10">
        <f>IFERROR(MATCH(T277,I$2:$I$501,0),"")</f>
        <v>64</v>
      </c>
      <c r="V277" s="10">
        <f>COUNTIF(I$2:$I$501,T277)</f>
        <v>437</v>
      </c>
      <c r="W277" s="10"/>
      <c r="X277" s="10"/>
    </row>
    <row r="278" spans="1:24" x14ac:dyDescent="0.25">
      <c r="A278" t="str">
        <f>IF(Tests!B279="","",Tests!B279)</f>
        <v/>
      </c>
      <c r="B278" t="str">
        <f>IF(Tests!D279="","",Tests!D279)</f>
        <v/>
      </c>
      <c r="C278" t="str">
        <f>IF(Tests!E279="","",Tests!E279)</f>
        <v/>
      </c>
      <c r="E278" s="54">
        <f t="shared" si="24"/>
        <v>0</v>
      </c>
      <c r="F278" s="54">
        <f t="shared" si="25"/>
        <v>0</v>
      </c>
      <c r="G278" s="54">
        <f t="shared" si="26"/>
        <v>1</v>
      </c>
      <c r="H278" s="54">
        <f t="shared" si="27"/>
        <v>437</v>
      </c>
      <c r="I278" s="56" t="str">
        <f>IFERROR(INDEX($A$2:$A$501,MATCH(SMALL($H$2:$H$501,ROWS($I$2:I278)+$G$502),$H$2:$H$501,0)),"")</f>
        <v/>
      </c>
      <c r="J278">
        <f t="shared" si="28"/>
        <v>214</v>
      </c>
      <c r="K278" t="str">
        <f t="array" ref="K278">INDEX($B$2:$B$501,SMALL(IF($A$2:$A$501=I278,ROW($A$2:$A$501)-ROW(INDEX($A$2:$A$501,1,1))+1),J278))</f>
        <v/>
      </c>
      <c r="L278" t="str">
        <f t="array" ref="L278">INDEX($C$2:$C$501,SMALL(IF($A$2:$A$501=I278,ROW($A$2:$A$501)-ROW(INDEX($A$2:$A$501,1,1))+1),J278))</f>
        <v/>
      </c>
      <c r="N278" t="str">
        <f t="shared" si="29"/>
        <v/>
      </c>
      <c r="S278" s="10">
        <v>277</v>
      </c>
      <c r="T278" s="10" t="str">
        <f t="array" ref="T278">IFERROR(INDEX(A$2:$A$501,MATCH(0,COUNTIF($T$1:T277,A$2:$A$501),0)),"")</f>
        <v/>
      </c>
      <c r="U278" s="10">
        <f>IFERROR(MATCH(T278,I$2:$I$501,0),"")</f>
        <v>64</v>
      </c>
      <c r="V278" s="10">
        <f>COUNTIF(I$2:$I$501,T278)</f>
        <v>437</v>
      </c>
      <c r="W278" s="10"/>
      <c r="X278" s="10"/>
    </row>
    <row r="279" spans="1:24" x14ac:dyDescent="0.25">
      <c r="A279" t="str">
        <f>IF(Tests!B280="","",Tests!B280)</f>
        <v/>
      </c>
      <c r="B279" t="str">
        <f>IF(Tests!D280="","",Tests!D280)</f>
        <v/>
      </c>
      <c r="C279" t="str">
        <f>IF(Tests!E280="","",Tests!E280)</f>
        <v/>
      </c>
      <c r="E279" s="54">
        <f t="shared" si="24"/>
        <v>0</v>
      </c>
      <c r="F279" s="54">
        <f t="shared" si="25"/>
        <v>0</v>
      </c>
      <c r="G279" s="54">
        <f t="shared" si="26"/>
        <v>1</v>
      </c>
      <c r="H279" s="54">
        <f t="shared" si="27"/>
        <v>437</v>
      </c>
      <c r="I279" s="56" t="str">
        <f>IFERROR(INDEX($A$2:$A$501,MATCH(SMALL($H$2:$H$501,ROWS($I$2:I279)+$G$502),$H$2:$H$501,0)),"")</f>
        <v/>
      </c>
      <c r="J279">
        <f t="shared" si="28"/>
        <v>215</v>
      </c>
      <c r="K279" t="str">
        <f t="array" ref="K279">INDEX($B$2:$B$501,SMALL(IF($A$2:$A$501=I279,ROW($A$2:$A$501)-ROW(INDEX($A$2:$A$501,1,1))+1),J279))</f>
        <v/>
      </c>
      <c r="L279" t="str">
        <f t="array" ref="L279">INDEX($C$2:$C$501,SMALL(IF($A$2:$A$501=I279,ROW($A$2:$A$501)-ROW(INDEX($A$2:$A$501,1,1))+1),J279))</f>
        <v/>
      </c>
      <c r="N279" t="str">
        <f t="shared" si="29"/>
        <v/>
      </c>
      <c r="S279" s="10">
        <v>278</v>
      </c>
      <c r="T279" s="10" t="str">
        <f t="array" ref="T279">IFERROR(INDEX(A$2:$A$501,MATCH(0,COUNTIF($T$1:T278,A$2:$A$501),0)),"")</f>
        <v/>
      </c>
      <c r="U279" s="10">
        <f>IFERROR(MATCH(T279,I$2:$I$501,0),"")</f>
        <v>64</v>
      </c>
      <c r="V279" s="10">
        <f>COUNTIF(I$2:$I$501,T279)</f>
        <v>437</v>
      </c>
      <c r="W279" s="10"/>
      <c r="X279" s="10"/>
    </row>
    <row r="280" spans="1:24" x14ac:dyDescent="0.25">
      <c r="A280" t="str">
        <f>IF(Tests!B281="","",Tests!B281)</f>
        <v/>
      </c>
      <c r="B280" t="str">
        <f>IF(Tests!D281="","",Tests!D281)</f>
        <v/>
      </c>
      <c r="C280" t="str">
        <f>IF(Tests!E281="","",Tests!E281)</f>
        <v/>
      </c>
      <c r="E280" s="54">
        <f t="shared" si="24"/>
        <v>0</v>
      </c>
      <c r="F280" s="54">
        <f t="shared" si="25"/>
        <v>0</v>
      </c>
      <c r="G280" s="54">
        <f t="shared" si="26"/>
        <v>1</v>
      </c>
      <c r="H280" s="54">
        <f t="shared" si="27"/>
        <v>437</v>
      </c>
      <c r="I280" s="56" t="str">
        <f>IFERROR(INDEX($A$2:$A$501,MATCH(SMALL($H$2:$H$501,ROWS($I$2:I280)+$G$502),$H$2:$H$501,0)),"")</f>
        <v/>
      </c>
      <c r="J280">
        <f t="shared" si="28"/>
        <v>216</v>
      </c>
      <c r="K280" t="str">
        <f t="array" ref="K280">INDEX($B$2:$B$501,SMALL(IF($A$2:$A$501=I280,ROW($A$2:$A$501)-ROW(INDEX($A$2:$A$501,1,1))+1),J280))</f>
        <v/>
      </c>
      <c r="L280" t="str">
        <f t="array" ref="L280">INDEX($C$2:$C$501,SMALL(IF($A$2:$A$501=I280,ROW($A$2:$A$501)-ROW(INDEX($A$2:$A$501,1,1))+1),J280))</f>
        <v/>
      </c>
      <c r="N280" t="str">
        <f t="shared" si="29"/>
        <v/>
      </c>
      <c r="S280" s="10">
        <v>279</v>
      </c>
      <c r="T280" s="10" t="str">
        <f t="array" ref="T280">IFERROR(INDEX(A$2:$A$501,MATCH(0,COUNTIF($T$1:T279,A$2:$A$501),0)),"")</f>
        <v/>
      </c>
      <c r="U280" s="10">
        <f>IFERROR(MATCH(T280,I$2:$I$501,0),"")</f>
        <v>64</v>
      </c>
      <c r="V280" s="10">
        <f>COUNTIF(I$2:$I$501,T280)</f>
        <v>437</v>
      </c>
      <c r="W280" s="10"/>
      <c r="X280" s="10"/>
    </row>
    <row r="281" spans="1:24" x14ac:dyDescent="0.25">
      <c r="A281" t="str">
        <f>IF(Tests!B282="","",Tests!B282)</f>
        <v/>
      </c>
      <c r="B281" t="str">
        <f>IF(Tests!D282="","",Tests!D282)</f>
        <v/>
      </c>
      <c r="C281" t="str">
        <f>IF(Tests!E282="","",Tests!E282)</f>
        <v/>
      </c>
      <c r="E281" s="54">
        <f t="shared" si="24"/>
        <v>0</v>
      </c>
      <c r="F281" s="54">
        <f t="shared" si="25"/>
        <v>0</v>
      </c>
      <c r="G281" s="54">
        <f t="shared" si="26"/>
        <v>1</v>
      </c>
      <c r="H281" s="54">
        <f t="shared" si="27"/>
        <v>437</v>
      </c>
      <c r="I281" s="56" t="str">
        <f>IFERROR(INDEX($A$2:$A$501,MATCH(SMALL($H$2:$H$501,ROWS($I$2:I281)+$G$502),$H$2:$H$501,0)),"")</f>
        <v/>
      </c>
      <c r="J281">
        <f t="shared" si="28"/>
        <v>217</v>
      </c>
      <c r="K281" t="str">
        <f t="array" ref="K281">INDEX($B$2:$B$501,SMALL(IF($A$2:$A$501=I281,ROW($A$2:$A$501)-ROW(INDEX($A$2:$A$501,1,1))+1),J281))</f>
        <v/>
      </c>
      <c r="L281" t="str">
        <f t="array" ref="L281">INDEX($C$2:$C$501,SMALL(IF($A$2:$A$501=I281,ROW($A$2:$A$501)-ROW(INDEX($A$2:$A$501,1,1))+1),J281))</f>
        <v/>
      </c>
      <c r="N281" t="str">
        <f t="shared" si="29"/>
        <v/>
      </c>
      <c r="S281" s="10">
        <v>280</v>
      </c>
      <c r="T281" s="10" t="str">
        <f t="array" ref="T281">IFERROR(INDEX(A$2:$A$501,MATCH(0,COUNTIF($T$1:T280,A$2:$A$501),0)),"")</f>
        <v/>
      </c>
      <c r="U281" s="10">
        <f>IFERROR(MATCH(T281,I$2:$I$501,0),"")</f>
        <v>64</v>
      </c>
      <c r="V281" s="10">
        <f>COUNTIF(I$2:$I$501,T281)</f>
        <v>437</v>
      </c>
      <c r="W281" s="10"/>
      <c r="X281" s="10"/>
    </row>
    <row r="282" spans="1:24" x14ac:dyDescent="0.25">
      <c r="A282" t="str">
        <f>IF(Tests!B283="","",Tests!B283)</f>
        <v/>
      </c>
      <c r="B282" t="str">
        <f>IF(Tests!D283="","",Tests!D283)</f>
        <v/>
      </c>
      <c r="C282" t="str">
        <f>IF(Tests!E283="","",Tests!E283)</f>
        <v/>
      </c>
      <c r="E282" s="54">
        <f t="shared" si="24"/>
        <v>0</v>
      </c>
      <c r="F282" s="54">
        <f t="shared" si="25"/>
        <v>0</v>
      </c>
      <c r="G282" s="54">
        <f t="shared" si="26"/>
        <v>1</v>
      </c>
      <c r="H282" s="54">
        <f t="shared" si="27"/>
        <v>437</v>
      </c>
      <c r="I282" s="56" t="str">
        <f>IFERROR(INDEX($A$2:$A$501,MATCH(SMALL($H$2:$H$501,ROWS($I$2:I282)+$G$502),$H$2:$H$501,0)),"")</f>
        <v/>
      </c>
      <c r="J282">
        <f t="shared" si="28"/>
        <v>218</v>
      </c>
      <c r="K282" t="str">
        <f t="array" ref="K282">INDEX($B$2:$B$501,SMALL(IF($A$2:$A$501=I282,ROW($A$2:$A$501)-ROW(INDEX($A$2:$A$501,1,1))+1),J282))</f>
        <v/>
      </c>
      <c r="L282" t="str">
        <f t="array" ref="L282">INDEX($C$2:$C$501,SMALL(IF($A$2:$A$501=I282,ROW($A$2:$A$501)-ROW(INDEX($A$2:$A$501,1,1))+1),J282))</f>
        <v/>
      </c>
      <c r="N282" t="str">
        <f t="shared" si="29"/>
        <v/>
      </c>
      <c r="S282" s="10">
        <v>281</v>
      </c>
      <c r="T282" s="10" t="str">
        <f t="array" ref="T282">IFERROR(INDEX(A$2:$A$501,MATCH(0,COUNTIF($T$1:T281,A$2:$A$501),0)),"")</f>
        <v/>
      </c>
      <c r="U282" s="10">
        <f>IFERROR(MATCH(T282,I$2:$I$501,0),"")</f>
        <v>64</v>
      </c>
      <c r="V282" s="10">
        <f>COUNTIF(I$2:$I$501,T282)</f>
        <v>437</v>
      </c>
      <c r="W282" s="10"/>
      <c r="X282" s="10"/>
    </row>
    <row r="283" spans="1:24" x14ac:dyDescent="0.25">
      <c r="A283" t="str">
        <f>IF(Tests!B284="","",Tests!B284)</f>
        <v/>
      </c>
      <c r="B283" t="str">
        <f>IF(Tests!D284="","",Tests!D284)</f>
        <v/>
      </c>
      <c r="C283" t="str">
        <f>IF(Tests!E284="","",Tests!E284)</f>
        <v/>
      </c>
      <c r="E283" s="54">
        <f t="shared" si="24"/>
        <v>0</v>
      </c>
      <c r="F283" s="54">
        <f t="shared" si="25"/>
        <v>0</v>
      </c>
      <c r="G283" s="54">
        <f t="shared" si="26"/>
        <v>1</v>
      </c>
      <c r="H283" s="54">
        <f t="shared" si="27"/>
        <v>437</v>
      </c>
      <c r="I283" s="56" t="str">
        <f>IFERROR(INDEX($A$2:$A$501,MATCH(SMALL($H$2:$H$501,ROWS($I$2:I283)+$G$502),$H$2:$H$501,0)),"")</f>
        <v/>
      </c>
      <c r="J283">
        <f t="shared" si="28"/>
        <v>219</v>
      </c>
      <c r="K283" t="str">
        <f t="array" ref="K283">INDEX($B$2:$B$501,SMALL(IF($A$2:$A$501=I283,ROW($A$2:$A$501)-ROW(INDEX($A$2:$A$501,1,1))+1),J283))</f>
        <v/>
      </c>
      <c r="L283" t="str">
        <f t="array" ref="L283">INDEX($C$2:$C$501,SMALL(IF($A$2:$A$501=I283,ROW($A$2:$A$501)-ROW(INDEX($A$2:$A$501,1,1))+1),J283))</f>
        <v/>
      </c>
      <c r="N283" t="str">
        <f t="shared" si="29"/>
        <v/>
      </c>
      <c r="S283" s="10">
        <v>282</v>
      </c>
      <c r="T283" s="10" t="str">
        <f t="array" ref="T283">IFERROR(INDEX(A$2:$A$501,MATCH(0,COUNTIF($T$1:T282,A$2:$A$501),0)),"")</f>
        <v/>
      </c>
      <c r="U283" s="10">
        <f>IFERROR(MATCH(T283,I$2:$I$501,0),"")</f>
        <v>64</v>
      </c>
      <c r="V283" s="10">
        <f>COUNTIF(I$2:$I$501,T283)</f>
        <v>437</v>
      </c>
      <c r="W283" s="10"/>
      <c r="X283" s="10"/>
    </row>
    <row r="284" spans="1:24" x14ac:dyDescent="0.25">
      <c r="A284" t="str">
        <f>IF(Tests!B285="","",Tests!B285)</f>
        <v/>
      </c>
      <c r="B284" t="str">
        <f>IF(Tests!D285="","",Tests!D285)</f>
        <v/>
      </c>
      <c r="C284" t="str">
        <f>IF(Tests!E285="","",Tests!E285)</f>
        <v/>
      </c>
      <c r="E284" s="54">
        <f t="shared" si="24"/>
        <v>0</v>
      </c>
      <c r="F284" s="54">
        <f t="shared" si="25"/>
        <v>0</v>
      </c>
      <c r="G284" s="54">
        <f t="shared" si="26"/>
        <v>1</v>
      </c>
      <c r="H284" s="54">
        <f t="shared" si="27"/>
        <v>437</v>
      </c>
      <c r="I284" s="56" t="str">
        <f>IFERROR(INDEX($A$2:$A$501,MATCH(SMALL($H$2:$H$501,ROWS($I$2:I284)+$G$502),$H$2:$H$501,0)),"")</f>
        <v/>
      </c>
      <c r="J284">
        <f t="shared" si="28"/>
        <v>220</v>
      </c>
      <c r="K284" t="str">
        <f t="array" ref="K284">INDEX($B$2:$B$501,SMALL(IF($A$2:$A$501=I284,ROW($A$2:$A$501)-ROW(INDEX($A$2:$A$501,1,1))+1),J284))</f>
        <v/>
      </c>
      <c r="L284" t="str">
        <f t="array" ref="L284">INDEX($C$2:$C$501,SMALL(IF($A$2:$A$501=I284,ROW($A$2:$A$501)-ROW(INDEX($A$2:$A$501,1,1))+1),J284))</f>
        <v/>
      </c>
      <c r="N284" t="str">
        <f t="shared" si="29"/>
        <v/>
      </c>
      <c r="S284" s="10">
        <v>283</v>
      </c>
      <c r="T284" s="10" t="str">
        <f t="array" ref="T284">IFERROR(INDEX(A$2:$A$501,MATCH(0,COUNTIF($T$1:T283,A$2:$A$501),0)),"")</f>
        <v/>
      </c>
      <c r="U284" s="10">
        <f>IFERROR(MATCH(T284,I$2:$I$501,0),"")</f>
        <v>64</v>
      </c>
      <c r="V284" s="10">
        <f>COUNTIF(I$2:$I$501,T284)</f>
        <v>437</v>
      </c>
      <c r="W284" s="10"/>
      <c r="X284" s="10"/>
    </row>
    <row r="285" spans="1:24" x14ac:dyDescent="0.25">
      <c r="A285" t="str">
        <f>IF(Tests!B286="","",Tests!B286)</f>
        <v/>
      </c>
      <c r="B285" t="str">
        <f>IF(Tests!D286="","",Tests!D286)</f>
        <v/>
      </c>
      <c r="C285" t="str">
        <f>IF(Tests!E286="","",Tests!E286)</f>
        <v/>
      </c>
      <c r="E285" s="54">
        <f t="shared" si="24"/>
        <v>0</v>
      </c>
      <c r="F285" s="54">
        <f t="shared" si="25"/>
        <v>0</v>
      </c>
      <c r="G285" s="54">
        <f t="shared" si="26"/>
        <v>1</v>
      </c>
      <c r="H285" s="54">
        <f t="shared" si="27"/>
        <v>437</v>
      </c>
      <c r="I285" s="56" t="str">
        <f>IFERROR(INDEX($A$2:$A$501,MATCH(SMALL($H$2:$H$501,ROWS($I$2:I285)+$G$502),$H$2:$H$501,0)),"")</f>
        <v/>
      </c>
      <c r="J285">
        <f t="shared" si="28"/>
        <v>221</v>
      </c>
      <c r="K285" t="str">
        <f t="array" ref="K285">INDEX($B$2:$B$501,SMALL(IF($A$2:$A$501=I285,ROW($A$2:$A$501)-ROW(INDEX($A$2:$A$501,1,1))+1),J285))</f>
        <v/>
      </c>
      <c r="L285" t="str">
        <f t="array" ref="L285">INDEX($C$2:$C$501,SMALL(IF($A$2:$A$501=I285,ROW($A$2:$A$501)-ROW(INDEX($A$2:$A$501,1,1))+1),J285))</f>
        <v/>
      </c>
      <c r="N285" t="str">
        <f t="shared" si="29"/>
        <v/>
      </c>
      <c r="S285" s="10">
        <v>284</v>
      </c>
      <c r="T285" s="10" t="str">
        <f t="array" ref="T285">IFERROR(INDEX(A$2:$A$501,MATCH(0,COUNTIF($T$1:T284,A$2:$A$501),0)),"")</f>
        <v/>
      </c>
      <c r="U285" s="10">
        <f>IFERROR(MATCH(T285,I$2:$I$501,0),"")</f>
        <v>64</v>
      </c>
      <c r="V285" s="10">
        <f>COUNTIF(I$2:$I$501,T285)</f>
        <v>437</v>
      </c>
      <c r="W285" s="10"/>
      <c r="X285" s="10"/>
    </row>
    <row r="286" spans="1:24" x14ac:dyDescent="0.25">
      <c r="A286" t="str">
        <f>IF(Tests!B287="","",Tests!B287)</f>
        <v/>
      </c>
      <c r="B286" t="str">
        <f>IF(Tests!D287="","",Tests!D287)</f>
        <v/>
      </c>
      <c r="C286" t="str">
        <f>IF(Tests!E287="","",Tests!E287)</f>
        <v/>
      </c>
      <c r="E286" s="54">
        <f t="shared" si="24"/>
        <v>0</v>
      </c>
      <c r="F286" s="54">
        <f t="shared" si="25"/>
        <v>0</v>
      </c>
      <c r="G286" s="54">
        <f t="shared" si="26"/>
        <v>1</v>
      </c>
      <c r="H286" s="54">
        <f t="shared" si="27"/>
        <v>437</v>
      </c>
      <c r="I286" s="56" t="str">
        <f>IFERROR(INDEX($A$2:$A$501,MATCH(SMALL($H$2:$H$501,ROWS($I$2:I286)+$G$502),$H$2:$H$501,0)),"")</f>
        <v/>
      </c>
      <c r="J286">
        <f t="shared" si="28"/>
        <v>222</v>
      </c>
      <c r="K286" t="str">
        <f t="array" ref="K286">INDEX($B$2:$B$501,SMALL(IF($A$2:$A$501=I286,ROW($A$2:$A$501)-ROW(INDEX($A$2:$A$501,1,1))+1),J286))</f>
        <v/>
      </c>
      <c r="L286" t="str">
        <f t="array" ref="L286">INDEX($C$2:$C$501,SMALL(IF($A$2:$A$501=I286,ROW($A$2:$A$501)-ROW(INDEX($A$2:$A$501,1,1))+1),J286))</f>
        <v/>
      </c>
      <c r="N286" t="str">
        <f t="shared" si="29"/>
        <v/>
      </c>
      <c r="S286" s="10">
        <v>285</v>
      </c>
      <c r="T286" s="10" t="str">
        <f t="array" ref="T286">IFERROR(INDEX(A$2:$A$501,MATCH(0,COUNTIF($T$1:T285,A$2:$A$501),0)),"")</f>
        <v/>
      </c>
      <c r="U286" s="10">
        <f>IFERROR(MATCH(T286,I$2:$I$501,0),"")</f>
        <v>64</v>
      </c>
      <c r="V286" s="10">
        <f>COUNTIF(I$2:$I$501,T286)</f>
        <v>437</v>
      </c>
      <c r="W286" s="10"/>
      <c r="X286" s="10"/>
    </row>
    <row r="287" spans="1:24" x14ac:dyDescent="0.25">
      <c r="A287" t="str">
        <f>IF(Tests!B288="","",Tests!B288)</f>
        <v/>
      </c>
      <c r="B287" t="str">
        <f>IF(Tests!D288="","",Tests!D288)</f>
        <v/>
      </c>
      <c r="C287" t="str">
        <f>IF(Tests!E288="","",Tests!E288)</f>
        <v/>
      </c>
      <c r="E287" s="54">
        <f t="shared" si="24"/>
        <v>0</v>
      </c>
      <c r="F287" s="54">
        <f t="shared" si="25"/>
        <v>0</v>
      </c>
      <c r="G287" s="54">
        <f t="shared" si="26"/>
        <v>1</v>
      </c>
      <c r="H287" s="54">
        <f t="shared" si="27"/>
        <v>437</v>
      </c>
      <c r="I287" s="56" t="str">
        <f>IFERROR(INDEX($A$2:$A$501,MATCH(SMALL($H$2:$H$501,ROWS($I$2:I287)+$G$502),$H$2:$H$501,0)),"")</f>
        <v/>
      </c>
      <c r="J287">
        <f t="shared" si="28"/>
        <v>223</v>
      </c>
      <c r="K287" t="str">
        <f t="array" ref="K287">INDEX($B$2:$B$501,SMALL(IF($A$2:$A$501=I287,ROW($A$2:$A$501)-ROW(INDEX($A$2:$A$501,1,1))+1),J287))</f>
        <v/>
      </c>
      <c r="L287" t="str">
        <f t="array" ref="L287">INDEX($C$2:$C$501,SMALL(IF($A$2:$A$501=I287,ROW($A$2:$A$501)-ROW(INDEX($A$2:$A$501,1,1))+1),J287))</f>
        <v/>
      </c>
      <c r="N287" t="str">
        <f t="shared" si="29"/>
        <v/>
      </c>
      <c r="S287" s="10">
        <v>286</v>
      </c>
      <c r="T287" s="10" t="str">
        <f t="array" ref="T287">IFERROR(INDEX(A$2:$A$501,MATCH(0,COUNTIF($T$1:T286,A$2:$A$501),0)),"")</f>
        <v/>
      </c>
      <c r="U287" s="10">
        <f>IFERROR(MATCH(T287,I$2:$I$501,0),"")</f>
        <v>64</v>
      </c>
      <c r="V287" s="10">
        <f>COUNTIF(I$2:$I$501,T287)</f>
        <v>437</v>
      </c>
      <c r="W287" s="10"/>
      <c r="X287" s="10"/>
    </row>
    <row r="288" spans="1:24" x14ac:dyDescent="0.25">
      <c r="A288" t="str">
        <f>IF(Tests!B289="","",Tests!B289)</f>
        <v/>
      </c>
      <c r="B288" t="str">
        <f>IF(Tests!D289="","",Tests!D289)</f>
        <v/>
      </c>
      <c r="C288" t="str">
        <f>IF(Tests!E289="","",Tests!E289)</f>
        <v/>
      </c>
      <c r="E288" s="54">
        <f t="shared" si="24"/>
        <v>0</v>
      </c>
      <c r="F288" s="54">
        <f t="shared" si="25"/>
        <v>0</v>
      </c>
      <c r="G288" s="54">
        <f t="shared" si="26"/>
        <v>1</v>
      </c>
      <c r="H288" s="54">
        <f t="shared" si="27"/>
        <v>437</v>
      </c>
      <c r="I288" s="56" t="str">
        <f>IFERROR(INDEX($A$2:$A$501,MATCH(SMALL($H$2:$H$501,ROWS($I$2:I288)+$G$502),$H$2:$H$501,0)),"")</f>
        <v/>
      </c>
      <c r="J288">
        <f t="shared" si="28"/>
        <v>224</v>
      </c>
      <c r="K288" t="str">
        <f t="array" ref="K288">INDEX($B$2:$B$501,SMALL(IF($A$2:$A$501=I288,ROW($A$2:$A$501)-ROW(INDEX($A$2:$A$501,1,1))+1),J288))</f>
        <v/>
      </c>
      <c r="L288" t="str">
        <f t="array" ref="L288">INDEX($C$2:$C$501,SMALL(IF($A$2:$A$501=I288,ROW($A$2:$A$501)-ROW(INDEX($A$2:$A$501,1,1))+1),J288))</f>
        <v/>
      </c>
      <c r="N288" t="str">
        <f t="shared" si="29"/>
        <v/>
      </c>
      <c r="S288" s="10">
        <v>287</v>
      </c>
      <c r="T288" s="10" t="str">
        <f t="array" ref="T288">IFERROR(INDEX(A$2:$A$501,MATCH(0,COUNTIF($T$1:T287,A$2:$A$501),0)),"")</f>
        <v/>
      </c>
      <c r="U288" s="10">
        <f>IFERROR(MATCH(T288,I$2:$I$501,0),"")</f>
        <v>64</v>
      </c>
      <c r="V288" s="10">
        <f>COUNTIF(I$2:$I$501,T288)</f>
        <v>437</v>
      </c>
      <c r="W288" s="10"/>
      <c r="X288" s="10"/>
    </row>
    <row r="289" spans="1:24" x14ac:dyDescent="0.25">
      <c r="A289" t="str">
        <f>IF(Tests!B290="","",Tests!B290)</f>
        <v/>
      </c>
      <c r="B289" t="str">
        <f>IF(Tests!D290="","",Tests!D290)</f>
        <v/>
      </c>
      <c r="C289" t="str">
        <f>IF(Tests!E290="","",Tests!E290)</f>
        <v/>
      </c>
      <c r="E289" s="54">
        <f t="shared" si="24"/>
        <v>0</v>
      </c>
      <c r="F289" s="54">
        <f t="shared" si="25"/>
        <v>0</v>
      </c>
      <c r="G289" s="54">
        <f t="shared" si="26"/>
        <v>1</v>
      </c>
      <c r="H289" s="54">
        <f t="shared" si="27"/>
        <v>437</v>
      </c>
      <c r="I289" s="56" t="str">
        <f>IFERROR(INDEX($A$2:$A$501,MATCH(SMALL($H$2:$H$501,ROWS($I$2:I289)+$G$502),$H$2:$H$501,0)),"")</f>
        <v/>
      </c>
      <c r="J289">
        <f t="shared" si="28"/>
        <v>225</v>
      </c>
      <c r="K289" t="str">
        <f t="array" ref="K289">INDEX($B$2:$B$501,SMALL(IF($A$2:$A$501=I289,ROW($A$2:$A$501)-ROW(INDEX($A$2:$A$501,1,1))+1),J289))</f>
        <v/>
      </c>
      <c r="L289" t="str">
        <f t="array" ref="L289">INDEX($C$2:$C$501,SMALL(IF($A$2:$A$501=I289,ROW($A$2:$A$501)-ROW(INDEX($A$2:$A$501,1,1))+1),J289))</f>
        <v/>
      </c>
      <c r="N289" t="str">
        <f t="shared" si="29"/>
        <v/>
      </c>
      <c r="S289" s="10">
        <v>288</v>
      </c>
      <c r="T289" s="10" t="str">
        <f t="array" ref="T289">IFERROR(INDEX(A$2:$A$501,MATCH(0,COUNTIF($T$1:T288,A$2:$A$501),0)),"")</f>
        <v/>
      </c>
      <c r="U289" s="10">
        <f>IFERROR(MATCH(T289,I$2:$I$501,0),"")</f>
        <v>64</v>
      </c>
      <c r="V289" s="10">
        <f>COUNTIF(I$2:$I$501,T289)</f>
        <v>437</v>
      </c>
      <c r="W289" s="10"/>
      <c r="X289" s="10"/>
    </row>
    <row r="290" spans="1:24" x14ac:dyDescent="0.25">
      <c r="A290" t="str">
        <f>IF(Tests!B291="","",Tests!B291)</f>
        <v/>
      </c>
      <c r="B290" t="str">
        <f>IF(Tests!D291="","",Tests!D291)</f>
        <v/>
      </c>
      <c r="C290" t="str">
        <f>IF(Tests!E291="","",Tests!E291)</f>
        <v/>
      </c>
      <c r="E290" s="54">
        <f t="shared" si="24"/>
        <v>0</v>
      </c>
      <c r="F290" s="54">
        <f t="shared" si="25"/>
        <v>0</v>
      </c>
      <c r="G290" s="54">
        <f t="shared" si="26"/>
        <v>1</v>
      </c>
      <c r="H290" s="54">
        <f t="shared" si="27"/>
        <v>437</v>
      </c>
      <c r="I290" s="56" t="str">
        <f>IFERROR(INDEX($A$2:$A$501,MATCH(SMALL($H$2:$H$501,ROWS($I$2:I290)+$G$502),$H$2:$H$501,0)),"")</f>
        <v/>
      </c>
      <c r="J290">
        <f t="shared" si="28"/>
        <v>226</v>
      </c>
      <c r="K290" t="str">
        <f t="array" ref="K290">INDEX($B$2:$B$501,SMALL(IF($A$2:$A$501=I290,ROW($A$2:$A$501)-ROW(INDEX($A$2:$A$501,1,1))+1),J290))</f>
        <v/>
      </c>
      <c r="L290" t="str">
        <f t="array" ref="L290">INDEX($C$2:$C$501,SMALL(IF($A$2:$A$501=I290,ROW($A$2:$A$501)-ROW(INDEX($A$2:$A$501,1,1))+1),J290))</f>
        <v/>
      </c>
      <c r="N290" t="str">
        <f t="shared" si="29"/>
        <v/>
      </c>
      <c r="S290" s="10">
        <v>289</v>
      </c>
      <c r="T290" s="10" t="str">
        <f t="array" ref="T290">IFERROR(INDEX(A$2:$A$501,MATCH(0,COUNTIF($T$1:T289,A$2:$A$501),0)),"")</f>
        <v/>
      </c>
      <c r="U290" s="10">
        <f>IFERROR(MATCH(T290,I$2:$I$501,0),"")</f>
        <v>64</v>
      </c>
      <c r="V290" s="10">
        <f>COUNTIF(I$2:$I$501,T290)</f>
        <v>437</v>
      </c>
      <c r="W290" s="10"/>
      <c r="X290" s="10"/>
    </row>
    <row r="291" spans="1:24" x14ac:dyDescent="0.25">
      <c r="A291" t="str">
        <f>IF(Tests!B292="","",Tests!B292)</f>
        <v/>
      </c>
      <c r="B291" t="str">
        <f>IF(Tests!D292="","",Tests!D292)</f>
        <v/>
      </c>
      <c r="C291" t="str">
        <f>IF(Tests!E292="","",Tests!E292)</f>
        <v/>
      </c>
      <c r="E291" s="54">
        <f t="shared" si="24"/>
        <v>0</v>
      </c>
      <c r="F291" s="54">
        <f t="shared" si="25"/>
        <v>0</v>
      </c>
      <c r="G291" s="54">
        <f t="shared" si="26"/>
        <v>1</v>
      </c>
      <c r="H291" s="54">
        <f t="shared" si="27"/>
        <v>437</v>
      </c>
      <c r="I291" s="56" t="str">
        <f>IFERROR(INDEX($A$2:$A$501,MATCH(SMALL($H$2:$H$501,ROWS($I$2:I291)+$G$502),$H$2:$H$501,0)),"")</f>
        <v/>
      </c>
      <c r="J291">
        <f t="shared" si="28"/>
        <v>227</v>
      </c>
      <c r="K291" t="str">
        <f t="array" ref="K291">INDEX($B$2:$B$501,SMALL(IF($A$2:$A$501=I291,ROW($A$2:$A$501)-ROW(INDEX($A$2:$A$501,1,1))+1),J291))</f>
        <v/>
      </c>
      <c r="L291" t="str">
        <f t="array" ref="L291">INDEX($C$2:$C$501,SMALL(IF($A$2:$A$501=I291,ROW($A$2:$A$501)-ROW(INDEX($A$2:$A$501,1,1))+1),J291))</f>
        <v/>
      </c>
      <c r="N291" t="str">
        <f t="shared" si="29"/>
        <v/>
      </c>
      <c r="S291" s="10">
        <v>290</v>
      </c>
      <c r="T291" s="10" t="str">
        <f t="array" ref="T291">IFERROR(INDEX(A$2:$A$501,MATCH(0,COUNTIF($T$1:T290,A$2:$A$501),0)),"")</f>
        <v/>
      </c>
      <c r="U291" s="10">
        <f>IFERROR(MATCH(T291,I$2:$I$501,0),"")</f>
        <v>64</v>
      </c>
      <c r="V291" s="10">
        <f>COUNTIF(I$2:$I$501,T291)</f>
        <v>437</v>
      </c>
      <c r="W291" s="10"/>
      <c r="X291" s="10"/>
    </row>
    <row r="292" spans="1:24" x14ac:dyDescent="0.25">
      <c r="A292" t="str">
        <f>IF(Tests!B293="","",Tests!B293)</f>
        <v/>
      </c>
      <c r="B292" t="str">
        <f>IF(Tests!D293="","",Tests!D293)</f>
        <v/>
      </c>
      <c r="C292" t="str">
        <f>IF(Tests!E293="","",Tests!E293)</f>
        <v/>
      </c>
      <c r="E292" s="54">
        <f t="shared" si="24"/>
        <v>0</v>
      </c>
      <c r="F292" s="54">
        <f t="shared" si="25"/>
        <v>0</v>
      </c>
      <c r="G292" s="54">
        <f t="shared" si="26"/>
        <v>1</v>
      </c>
      <c r="H292" s="54">
        <f t="shared" si="27"/>
        <v>437</v>
      </c>
      <c r="I292" s="56" t="str">
        <f>IFERROR(INDEX($A$2:$A$501,MATCH(SMALL($H$2:$H$501,ROWS($I$2:I292)+$G$502),$H$2:$H$501,0)),"")</f>
        <v/>
      </c>
      <c r="J292">
        <f t="shared" si="28"/>
        <v>228</v>
      </c>
      <c r="K292" t="str">
        <f t="array" ref="K292">INDEX($B$2:$B$501,SMALL(IF($A$2:$A$501=I292,ROW($A$2:$A$501)-ROW(INDEX($A$2:$A$501,1,1))+1),J292))</f>
        <v/>
      </c>
      <c r="L292" t="str">
        <f t="array" ref="L292">INDEX($C$2:$C$501,SMALL(IF($A$2:$A$501=I292,ROW($A$2:$A$501)-ROW(INDEX($A$2:$A$501,1,1))+1),J292))</f>
        <v/>
      </c>
      <c r="N292" t="str">
        <f t="shared" si="29"/>
        <v/>
      </c>
      <c r="S292" s="10">
        <v>291</v>
      </c>
      <c r="T292" s="10" t="str">
        <f t="array" ref="T292">IFERROR(INDEX(A$2:$A$501,MATCH(0,COUNTIF($T$1:T291,A$2:$A$501),0)),"")</f>
        <v/>
      </c>
      <c r="U292" s="10">
        <f>IFERROR(MATCH(T292,I$2:$I$501,0),"")</f>
        <v>64</v>
      </c>
      <c r="V292" s="10">
        <f>COUNTIF(I$2:$I$501,T292)</f>
        <v>437</v>
      </c>
      <c r="W292" s="10"/>
      <c r="X292" s="10"/>
    </row>
    <row r="293" spans="1:24" x14ac:dyDescent="0.25">
      <c r="A293" t="str">
        <f>IF(Tests!B294="","",Tests!B294)</f>
        <v/>
      </c>
      <c r="B293" t="str">
        <f>IF(Tests!D294="","",Tests!D294)</f>
        <v/>
      </c>
      <c r="C293" t="str">
        <f>IF(Tests!E294="","",Tests!E294)</f>
        <v/>
      </c>
      <c r="E293" s="54">
        <f t="shared" si="24"/>
        <v>0</v>
      </c>
      <c r="F293" s="54">
        <f t="shared" si="25"/>
        <v>0</v>
      </c>
      <c r="G293" s="54">
        <f t="shared" si="26"/>
        <v>1</v>
      </c>
      <c r="H293" s="54">
        <f t="shared" si="27"/>
        <v>437</v>
      </c>
      <c r="I293" s="56" t="str">
        <f>IFERROR(INDEX($A$2:$A$501,MATCH(SMALL($H$2:$H$501,ROWS($I$2:I293)+$G$502),$H$2:$H$501,0)),"")</f>
        <v/>
      </c>
      <c r="J293">
        <f t="shared" si="28"/>
        <v>229</v>
      </c>
      <c r="K293" t="str">
        <f t="array" ref="K293">INDEX($B$2:$B$501,SMALL(IF($A$2:$A$501=I293,ROW($A$2:$A$501)-ROW(INDEX($A$2:$A$501,1,1))+1),J293))</f>
        <v/>
      </c>
      <c r="L293" t="str">
        <f t="array" ref="L293">INDEX($C$2:$C$501,SMALL(IF($A$2:$A$501=I293,ROW($A$2:$A$501)-ROW(INDEX($A$2:$A$501,1,1))+1),J293))</f>
        <v/>
      </c>
      <c r="N293" t="str">
        <f t="shared" si="29"/>
        <v/>
      </c>
      <c r="S293" s="10">
        <v>292</v>
      </c>
      <c r="T293" s="10" t="str">
        <f t="array" ref="T293">IFERROR(INDEX(A$2:$A$501,MATCH(0,COUNTIF($T$1:T292,A$2:$A$501),0)),"")</f>
        <v/>
      </c>
      <c r="U293" s="10">
        <f>IFERROR(MATCH(T293,I$2:$I$501,0),"")</f>
        <v>64</v>
      </c>
      <c r="V293" s="10">
        <f>COUNTIF(I$2:$I$501,T293)</f>
        <v>437</v>
      </c>
      <c r="W293" s="10"/>
      <c r="X293" s="10"/>
    </row>
    <row r="294" spans="1:24" x14ac:dyDescent="0.25">
      <c r="A294" t="str">
        <f>IF(Tests!B295="","",Tests!B295)</f>
        <v/>
      </c>
      <c r="B294" t="str">
        <f>IF(Tests!D295="","",Tests!D295)</f>
        <v/>
      </c>
      <c r="C294" t="str">
        <f>IF(Tests!E295="","",Tests!E295)</f>
        <v/>
      </c>
      <c r="E294" s="54">
        <f t="shared" si="24"/>
        <v>0</v>
      </c>
      <c r="F294" s="54">
        <f t="shared" si="25"/>
        <v>0</v>
      </c>
      <c r="G294" s="54">
        <f t="shared" si="26"/>
        <v>1</v>
      </c>
      <c r="H294" s="54">
        <f t="shared" si="27"/>
        <v>437</v>
      </c>
      <c r="I294" s="56" t="str">
        <f>IFERROR(INDEX($A$2:$A$501,MATCH(SMALL($H$2:$H$501,ROWS($I$2:I294)+$G$502),$H$2:$H$501,0)),"")</f>
        <v/>
      </c>
      <c r="J294">
        <f t="shared" si="28"/>
        <v>230</v>
      </c>
      <c r="K294" t="str">
        <f t="array" ref="K294">INDEX($B$2:$B$501,SMALL(IF($A$2:$A$501=I294,ROW($A$2:$A$501)-ROW(INDEX($A$2:$A$501,1,1))+1),J294))</f>
        <v/>
      </c>
      <c r="L294" t="str">
        <f t="array" ref="L294">INDEX($C$2:$C$501,SMALL(IF($A$2:$A$501=I294,ROW($A$2:$A$501)-ROW(INDEX($A$2:$A$501,1,1))+1),J294))</f>
        <v/>
      </c>
      <c r="N294" t="str">
        <f t="shared" si="29"/>
        <v/>
      </c>
      <c r="S294" s="10">
        <v>293</v>
      </c>
      <c r="T294" s="10" t="str">
        <f t="array" ref="T294">IFERROR(INDEX(A$2:$A$501,MATCH(0,COUNTIF($T$1:T293,A$2:$A$501),0)),"")</f>
        <v/>
      </c>
      <c r="U294" s="10">
        <f>IFERROR(MATCH(T294,I$2:$I$501,0),"")</f>
        <v>64</v>
      </c>
      <c r="V294" s="10">
        <f>COUNTIF(I$2:$I$501,T294)</f>
        <v>437</v>
      </c>
      <c r="W294" s="10"/>
      <c r="X294" s="10"/>
    </row>
    <row r="295" spans="1:24" x14ac:dyDescent="0.25">
      <c r="A295" t="str">
        <f>IF(Tests!B296="","",Tests!B296)</f>
        <v/>
      </c>
      <c r="B295" t="str">
        <f>IF(Tests!D296="","",Tests!D296)</f>
        <v/>
      </c>
      <c r="C295" t="str">
        <f>IF(Tests!E296="","",Tests!E296)</f>
        <v/>
      </c>
      <c r="E295" s="54">
        <f t="shared" si="24"/>
        <v>0</v>
      </c>
      <c r="F295" s="54">
        <f t="shared" si="25"/>
        <v>0</v>
      </c>
      <c r="G295" s="54">
        <f t="shared" si="26"/>
        <v>1</v>
      </c>
      <c r="H295" s="54">
        <f t="shared" si="27"/>
        <v>437</v>
      </c>
      <c r="I295" s="56" t="str">
        <f>IFERROR(INDEX($A$2:$A$501,MATCH(SMALL($H$2:$H$501,ROWS($I$2:I295)+$G$502),$H$2:$H$501,0)),"")</f>
        <v/>
      </c>
      <c r="J295">
        <f t="shared" si="28"/>
        <v>231</v>
      </c>
      <c r="K295" t="str">
        <f t="array" ref="K295">INDEX($B$2:$B$501,SMALL(IF($A$2:$A$501=I295,ROW($A$2:$A$501)-ROW(INDEX($A$2:$A$501,1,1))+1),J295))</f>
        <v/>
      </c>
      <c r="L295" t="str">
        <f t="array" ref="L295">INDEX($C$2:$C$501,SMALL(IF($A$2:$A$501=I295,ROW($A$2:$A$501)-ROW(INDEX($A$2:$A$501,1,1))+1),J295))</f>
        <v/>
      </c>
      <c r="N295" t="str">
        <f t="shared" si="29"/>
        <v/>
      </c>
      <c r="S295" s="10">
        <v>294</v>
      </c>
      <c r="T295" s="10" t="str">
        <f t="array" ref="T295">IFERROR(INDEX(A$2:$A$501,MATCH(0,COUNTIF($T$1:T294,A$2:$A$501),0)),"")</f>
        <v/>
      </c>
      <c r="U295" s="10">
        <f>IFERROR(MATCH(T295,I$2:$I$501,0),"")</f>
        <v>64</v>
      </c>
      <c r="V295" s="10">
        <f>COUNTIF(I$2:$I$501,T295)</f>
        <v>437</v>
      </c>
      <c r="W295" s="10"/>
      <c r="X295" s="10"/>
    </row>
    <row r="296" spans="1:24" x14ac:dyDescent="0.25">
      <c r="A296" t="str">
        <f>IF(Tests!B297="","",Tests!B297)</f>
        <v/>
      </c>
      <c r="B296" t="str">
        <f>IF(Tests!D297="","",Tests!D297)</f>
        <v/>
      </c>
      <c r="C296" t="str">
        <f>IF(Tests!E297="","",Tests!E297)</f>
        <v/>
      </c>
      <c r="E296" s="54">
        <f t="shared" si="24"/>
        <v>0</v>
      </c>
      <c r="F296" s="54">
        <f t="shared" si="25"/>
        <v>0</v>
      </c>
      <c r="G296" s="54">
        <f t="shared" si="26"/>
        <v>1</v>
      </c>
      <c r="H296" s="54">
        <f t="shared" si="27"/>
        <v>437</v>
      </c>
      <c r="I296" s="56" t="str">
        <f>IFERROR(INDEX($A$2:$A$501,MATCH(SMALL($H$2:$H$501,ROWS($I$2:I296)+$G$502),$H$2:$H$501,0)),"")</f>
        <v/>
      </c>
      <c r="J296">
        <f t="shared" si="28"/>
        <v>232</v>
      </c>
      <c r="K296" t="str">
        <f t="array" ref="K296">INDEX($B$2:$B$501,SMALL(IF($A$2:$A$501=I296,ROW($A$2:$A$501)-ROW(INDEX($A$2:$A$501,1,1))+1),J296))</f>
        <v/>
      </c>
      <c r="L296" t="str">
        <f t="array" ref="L296">INDEX($C$2:$C$501,SMALL(IF($A$2:$A$501=I296,ROW($A$2:$A$501)-ROW(INDEX($A$2:$A$501,1,1))+1),J296))</f>
        <v/>
      </c>
      <c r="N296" t="str">
        <f t="shared" si="29"/>
        <v/>
      </c>
      <c r="S296" s="10">
        <v>295</v>
      </c>
      <c r="T296" s="10" t="str">
        <f t="array" ref="T296">IFERROR(INDEX(A$2:$A$501,MATCH(0,COUNTIF($T$1:T295,A$2:$A$501),0)),"")</f>
        <v/>
      </c>
      <c r="U296" s="10">
        <f>IFERROR(MATCH(T296,I$2:$I$501,0),"")</f>
        <v>64</v>
      </c>
      <c r="V296" s="10">
        <f>COUNTIF(I$2:$I$501,T296)</f>
        <v>437</v>
      </c>
      <c r="W296" s="10"/>
      <c r="X296" s="10"/>
    </row>
    <row r="297" spans="1:24" x14ac:dyDescent="0.25">
      <c r="A297" t="str">
        <f>IF(Tests!B298="","",Tests!B298)</f>
        <v/>
      </c>
      <c r="B297" t="str">
        <f>IF(Tests!D298="","",Tests!D298)</f>
        <v/>
      </c>
      <c r="C297" t="str">
        <f>IF(Tests!E298="","",Tests!E298)</f>
        <v/>
      </c>
      <c r="E297" s="54">
        <f t="shared" si="24"/>
        <v>0</v>
      </c>
      <c r="F297" s="54">
        <f t="shared" si="25"/>
        <v>0</v>
      </c>
      <c r="G297" s="54">
        <f t="shared" si="26"/>
        <v>1</v>
      </c>
      <c r="H297" s="54">
        <f t="shared" si="27"/>
        <v>437</v>
      </c>
      <c r="I297" s="56" t="str">
        <f>IFERROR(INDEX($A$2:$A$501,MATCH(SMALL($H$2:$H$501,ROWS($I$2:I297)+$G$502),$H$2:$H$501,0)),"")</f>
        <v/>
      </c>
      <c r="J297">
        <f t="shared" si="28"/>
        <v>233</v>
      </c>
      <c r="K297" t="str">
        <f t="array" ref="K297">INDEX($B$2:$B$501,SMALL(IF($A$2:$A$501=I297,ROW($A$2:$A$501)-ROW(INDEX($A$2:$A$501,1,1))+1),J297))</f>
        <v/>
      </c>
      <c r="L297" t="str">
        <f t="array" ref="L297">INDEX($C$2:$C$501,SMALL(IF($A$2:$A$501=I297,ROW($A$2:$A$501)-ROW(INDEX($A$2:$A$501,1,1))+1),J297))</f>
        <v/>
      </c>
      <c r="N297" t="str">
        <f t="shared" si="29"/>
        <v/>
      </c>
      <c r="S297" s="10">
        <v>296</v>
      </c>
      <c r="T297" s="10" t="str">
        <f t="array" ref="T297">IFERROR(INDEX(A$2:$A$501,MATCH(0,COUNTIF($T$1:T296,A$2:$A$501),0)),"")</f>
        <v/>
      </c>
      <c r="U297" s="10">
        <f>IFERROR(MATCH(T297,I$2:$I$501,0),"")</f>
        <v>64</v>
      </c>
      <c r="V297" s="10">
        <f>COUNTIF(I$2:$I$501,T297)</f>
        <v>437</v>
      </c>
      <c r="W297" s="10"/>
      <c r="X297" s="10"/>
    </row>
    <row r="298" spans="1:24" x14ac:dyDescent="0.25">
      <c r="A298" t="str">
        <f>IF(Tests!B299="","",Tests!B299)</f>
        <v/>
      </c>
      <c r="B298" t="str">
        <f>IF(Tests!D299="","",Tests!D299)</f>
        <v/>
      </c>
      <c r="C298" t="str">
        <f>IF(Tests!E299="","",Tests!E299)</f>
        <v/>
      </c>
      <c r="E298" s="54">
        <f t="shared" si="24"/>
        <v>0</v>
      </c>
      <c r="F298" s="54">
        <f t="shared" si="25"/>
        <v>0</v>
      </c>
      <c r="G298" s="54">
        <f t="shared" si="26"/>
        <v>1</v>
      </c>
      <c r="H298" s="54">
        <f t="shared" si="27"/>
        <v>437</v>
      </c>
      <c r="I298" s="56" t="str">
        <f>IFERROR(INDEX($A$2:$A$501,MATCH(SMALL($H$2:$H$501,ROWS($I$2:I298)+$G$502),$H$2:$H$501,0)),"")</f>
        <v/>
      </c>
      <c r="J298">
        <f t="shared" si="28"/>
        <v>234</v>
      </c>
      <c r="K298" t="str">
        <f t="array" ref="K298">INDEX($B$2:$B$501,SMALL(IF($A$2:$A$501=I298,ROW($A$2:$A$501)-ROW(INDEX($A$2:$A$501,1,1))+1),J298))</f>
        <v/>
      </c>
      <c r="L298" t="str">
        <f t="array" ref="L298">INDEX($C$2:$C$501,SMALL(IF($A$2:$A$501=I298,ROW($A$2:$A$501)-ROW(INDEX($A$2:$A$501,1,1))+1),J298))</f>
        <v/>
      </c>
      <c r="N298" t="str">
        <f t="shared" si="29"/>
        <v/>
      </c>
      <c r="S298" s="10">
        <v>297</v>
      </c>
      <c r="T298" s="10" t="str">
        <f t="array" ref="T298">IFERROR(INDEX(A$2:$A$501,MATCH(0,COUNTIF($T$1:T297,A$2:$A$501),0)),"")</f>
        <v/>
      </c>
      <c r="U298" s="10">
        <f>IFERROR(MATCH(T298,I$2:$I$501,0),"")</f>
        <v>64</v>
      </c>
      <c r="V298" s="10">
        <f>COUNTIF(I$2:$I$501,T298)</f>
        <v>437</v>
      </c>
      <c r="W298" s="10"/>
      <c r="X298" s="10"/>
    </row>
    <row r="299" spans="1:24" x14ac:dyDescent="0.25">
      <c r="A299" t="str">
        <f>IF(Tests!B300="","",Tests!B300)</f>
        <v/>
      </c>
      <c r="B299" t="str">
        <f>IF(Tests!D300="","",Tests!D300)</f>
        <v/>
      </c>
      <c r="C299" t="str">
        <f>IF(Tests!E300="","",Tests!E300)</f>
        <v/>
      </c>
      <c r="E299" s="54">
        <f t="shared" si="24"/>
        <v>0</v>
      </c>
      <c r="F299" s="54">
        <f t="shared" si="25"/>
        <v>0</v>
      </c>
      <c r="G299" s="54">
        <f t="shared" si="26"/>
        <v>1</v>
      </c>
      <c r="H299" s="54">
        <f t="shared" si="27"/>
        <v>437</v>
      </c>
      <c r="I299" s="56" t="str">
        <f>IFERROR(INDEX($A$2:$A$501,MATCH(SMALL($H$2:$H$501,ROWS($I$2:I299)+$G$502),$H$2:$H$501,0)),"")</f>
        <v/>
      </c>
      <c r="J299">
        <f t="shared" si="28"/>
        <v>235</v>
      </c>
      <c r="K299" t="str">
        <f t="array" ref="K299">INDEX($B$2:$B$501,SMALL(IF($A$2:$A$501=I299,ROW($A$2:$A$501)-ROW(INDEX($A$2:$A$501,1,1))+1),J299))</f>
        <v/>
      </c>
      <c r="L299" t="str">
        <f t="array" ref="L299">INDEX($C$2:$C$501,SMALL(IF($A$2:$A$501=I299,ROW($A$2:$A$501)-ROW(INDEX($A$2:$A$501,1,1))+1),J299))</f>
        <v/>
      </c>
      <c r="N299" t="str">
        <f t="shared" si="29"/>
        <v/>
      </c>
      <c r="S299" s="10">
        <v>298</v>
      </c>
      <c r="T299" s="10" t="str">
        <f t="array" ref="T299">IFERROR(INDEX(A$2:$A$501,MATCH(0,COUNTIF($T$1:T298,A$2:$A$501),0)),"")</f>
        <v/>
      </c>
      <c r="U299" s="10">
        <f>IFERROR(MATCH(T299,I$2:$I$501,0),"")</f>
        <v>64</v>
      </c>
      <c r="V299" s="10">
        <f>COUNTIF(I$2:$I$501,T299)</f>
        <v>437</v>
      </c>
      <c r="W299" s="10"/>
      <c r="X299" s="10"/>
    </row>
    <row r="300" spans="1:24" x14ac:dyDescent="0.25">
      <c r="A300" t="str">
        <f>IF(Tests!B301="","",Tests!B301)</f>
        <v/>
      </c>
      <c r="B300" t="str">
        <f>IF(Tests!D301="","",Tests!D301)</f>
        <v/>
      </c>
      <c r="C300" t="str">
        <f>IF(Tests!E301="","",Tests!E301)</f>
        <v/>
      </c>
      <c r="E300" s="54">
        <f t="shared" si="24"/>
        <v>0</v>
      </c>
      <c r="F300" s="54">
        <f t="shared" si="25"/>
        <v>0</v>
      </c>
      <c r="G300" s="54">
        <f t="shared" si="26"/>
        <v>1</v>
      </c>
      <c r="H300" s="54">
        <f t="shared" si="27"/>
        <v>437</v>
      </c>
      <c r="I300" s="56" t="str">
        <f>IFERROR(INDEX($A$2:$A$501,MATCH(SMALL($H$2:$H$501,ROWS($I$2:I300)+$G$502),$H$2:$H$501,0)),"")</f>
        <v/>
      </c>
      <c r="J300">
        <f t="shared" si="28"/>
        <v>236</v>
      </c>
      <c r="K300" t="str">
        <f t="array" ref="K300">INDEX($B$2:$B$501,SMALL(IF($A$2:$A$501=I300,ROW($A$2:$A$501)-ROW(INDEX($A$2:$A$501,1,1))+1),J300))</f>
        <v/>
      </c>
      <c r="L300" t="str">
        <f t="array" ref="L300">INDEX($C$2:$C$501,SMALL(IF($A$2:$A$501=I300,ROW($A$2:$A$501)-ROW(INDEX($A$2:$A$501,1,1))+1),J300))</f>
        <v/>
      </c>
      <c r="N300" t="str">
        <f t="shared" si="29"/>
        <v/>
      </c>
      <c r="S300" s="10">
        <v>299</v>
      </c>
      <c r="T300" s="10" t="str">
        <f t="array" ref="T300">IFERROR(INDEX(A$2:$A$501,MATCH(0,COUNTIF($T$1:T299,A$2:$A$501),0)),"")</f>
        <v/>
      </c>
      <c r="U300" s="10">
        <f>IFERROR(MATCH(T300,I$2:$I$501,0),"")</f>
        <v>64</v>
      </c>
      <c r="V300" s="10">
        <f>COUNTIF(I$2:$I$501,T300)</f>
        <v>437</v>
      </c>
      <c r="W300" s="10"/>
      <c r="X300" s="10"/>
    </row>
    <row r="301" spans="1:24" x14ac:dyDescent="0.25">
      <c r="A301" t="str">
        <f>IF(Tests!B302="","",Tests!B302)</f>
        <v/>
      </c>
      <c r="B301" t="str">
        <f>IF(Tests!D302="","",Tests!D302)</f>
        <v/>
      </c>
      <c r="C301" t="str">
        <f>IF(Tests!E302="","",Tests!E302)</f>
        <v/>
      </c>
      <c r="E301" s="54">
        <f t="shared" si="24"/>
        <v>0</v>
      </c>
      <c r="F301" s="54">
        <f t="shared" si="25"/>
        <v>0</v>
      </c>
      <c r="G301" s="54">
        <f t="shared" si="26"/>
        <v>1</v>
      </c>
      <c r="H301" s="54">
        <f t="shared" si="27"/>
        <v>437</v>
      </c>
      <c r="I301" s="56" t="str">
        <f>IFERROR(INDEX($A$2:$A$501,MATCH(SMALL($H$2:$H$501,ROWS($I$2:I301)+$G$502),$H$2:$H$501,0)),"")</f>
        <v/>
      </c>
      <c r="J301">
        <f t="shared" si="28"/>
        <v>237</v>
      </c>
      <c r="K301" t="str">
        <f t="array" ref="K301">INDEX($B$2:$B$501,SMALL(IF($A$2:$A$501=I301,ROW($A$2:$A$501)-ROW(INDEX($A$2:$A$501,1,1))+1),J301))</f>
        <v/>
      </c>
      <c r="L301" t="str">
        <f t="array" ref="L301">INDEX($C$2:$C$501,SMALL(IF($A$2:$A$501=I301,ROW($A$2:$A$501)-ROW(INDEX($A$2:$A$501,1,1))+1),J301))</f>
        <v/>
      </c>
      <c r="N301" t="str">
        <f t="shared" si="29"/>
        <v/>
      </c>
      <c r="S301" s="10">
        <v>300</v>
      </c>
      <c r="T301" s="10" t="str">
        <f t="array" ref="T301">IFERROR(INDEX(A$2:$A$501,MATCH(0,COUNTIF($T$1:T300,A$2:$A$501),0)),"")</f>
        <v/>
      </c>
      <c r="U301" s="10">
        <f>IFERROR(MATCH(T301,I$2:$I$501,0),"")</f>
        <v>64</v>
      </c>
      <c r="V301" s="10">
        <f>COUNTIF(I$2:$I$501,T301)</f>
        <v>437</v>
      </c>
      <c r="W301" s="10"/>
      <c r="X301" s="10"/>
    </row>
    <row r="302" spans="1:24" x14ac:dyDescent="0.25">
      <c r="A302" t="str">
        <f>IF(Tests!B303="","",Tests!B303)</f>
        <v/>
      </c>
      <c r="B302" t="str">
        <f>IF(Tests!D303="","",Tests!D303)</f>
        <v/>
      </c>
      <c r="C302" t="str">
        <f>IF(Tests!E303="","",Tests!E303)</f>
        <v/>
      </c>
      <c r="E302" s="54">
        <f t="shared" si="24"/>
        <v>0</v>
      </c>
      <c r="F302" s="54">
        <f t="shared" si="25"/>
        <v>0</v>
      </c>
      <c r="G302" s="54">
        <f t="shared" si="26"/>
        <v>1</v>
      </c>
      <c r="H302" s="54">
        <f t="shared" si="27"/>
        <v>437</v>
      </c>
      <c r="I302" s="56" t="str">
        <f>IFERROR(INDEX($A$2:$A$501,MATCH(SMALL($H$2:$H$501,ROWS($I$2:I302)+$G$502),$H$2:$H$501,0)),"")</f>
        <v/>
      </c>
      <c r="J302">
        <f t="shared" si="28"/>
        <v>238</v>
      </c>
      <c r="K302" t="str">
        <f t="array" ref="K302">INDEX($B$2:$B$501,SMALL(IF($A$2:$A$501=I302,ROW($A$2:$A$501)-ROW(INDEX($A$2:$A$501,1,1))+1),J302))</f>
        <v/>
      </c>
      <c r="L302" t="str">
        <f t="array" ref="L302">INDEX($C$2:$C$501,SMALL(IF($A$2:$A$501=I302,ROW($A$2:$A$501)-ROW(INDEX($A$2:$A$501,1,1))+1),J302))</f>
        <v/>
      </c>
      <c r="N302" t="str">
        <f t="shared" si="29"/>
        <v/>
      </c>
      <c r="S302" s="10">
        <v>301</v>
      </c>
      <c r="T302" s="10" t="str">
        <f t="array" ref="T302">IFERROR(INDEX(A$2:$A$501,MATCH(0,COUNTIF($T$1:T301,A$2:$A$501),0)),"")</f>
        <v/>
      </c>
      <c r="U302" s="10">
        <f>IFERROR(MATCH(T302,I$2:$I$501,0),"")</f>
        <v>64</v>
      </c>
      <c r="V302" s="10">
        <f>COUNTIF(I$2:$I$501,T302)</f>
        <v>437</v>
      </c>
      <c r="W302" s="10"/>
      <c r="X302" s="10"/>
    </row>
    <row r="303" spans="1:24" x14ac:dyDescent="0.25">
      <c r="A303" t="str">
        <f>IF(Tests!B304="","",Tests!B304)</f>
        <v/>
      </c>
      <c r="B303" t="str">
        <f>IF(Tests!D304="","",Tests!D304)</f>
        <v/>
      </c>
      <c r="C303" t="str">
        <f>IF(Tests!E304="","",Tests!E304)</f>
        <v/>
      </c>
      <c r="E303" s="54">
        <f t="shared" si="24"/>
        <v>0</v>
      </c>
      <c r="F303" s="54">
        <f t="shared" si="25"/>
        <v>0</v>
      </c>
      <c r="G303" s="54">
        <f t="shared" si="26"/>
        <v>1</v>
      </c>
      <c r="H303" s="54">
        <f t="shared" si="27"/>
        <v>437</v>
      </c>
      <c r="I303" s="56" t="str">
        <f>IFERROR(INDEX($A$2:$A$501,MATCH(SMALL($H$2:$H$501,ROWS($I$2:I303)+$G$502),$H$2:$H$501,0)),"")</f>
        <v/>
      </c>
      <c r="J303">
        <f t="shared" si="28"/>
        <v>239</v>
      </c>
      <c r="K303" t="str">
        <f t="array" ref="K303">INDEX($B$2:$B$501,SMALL(IF($A$2:$A$501=I303,ROW($A$2:$A$501)-ROW(INDEX($A$2:$A$501,1,1))+1),J303))</f>
        <v/>
      </c>
      <c r="L303" t="str">
        <f t="array" ref="L303">INDEX($C$2:$C$501,SMALL(IF($A$2:$A$501=I303,ROW($A$2:$A$501)-ROW(INDEX($A$2:$A$501,1,1))+1),J303))</f>
        <v/>
      </c>
      <c r="N303" t="str">
        <f t="shared" si="29"/>
        <v/>
      </c>
      <c r="S303" s="10">
        <v>302</v>
      </c>
      <c r="T303" s="10" t="str">
        <f t="array" ref="T303">IFERROR(INDEX(A$2:$A$501,MATCH(0,COUNTIF($T$1:T302,A$2:$A$501),0)),"")</f>
        <v/>
      </c>
      <c r="U303" s="10">
        <f>IFERROR(MATCH(T303,I$2:$I$501,0),"")</f>
        <v>64</v>
      </c>
      <c r="V303" s="10">
        <f>COUNTIF(I$2:$I$501,T303)</f>
        <v>437</v>
      </c>
      <c r="W303" s="10"/>
      <c r="X303" s="10"/>
    </row>
    <row r="304" spans="1:24" x14ac:dyDescent="0.25">
      <c r="A304" t="str">
        <f>IF(Tests!B305="","",Tests!B305)</f>
        <v/>
      </c>
      <c r="B304" t="str">
        <f>IF(Tests!D305="","",Tests!D305)</f>
        <v/>
      </c>
      <c r="C304" t="str">
        <f>IF(Tests!E305="","",Tests!E305)</f>
        <v/>
      </c>
      <c r="E304" s="54">
        <f t="shared" si="24"/>
        <v>0</v>
      </c>
      <c r="F304" s="54">
        <f t="shared" si="25"/>
        <v>0</v>
      </c>
      <c r="G304" s="54">
        <f t="shared" si="26"/>
        <v>1</v>
      </c>
      <c r="H304" s="54">
        <f t="shared" si="27"/>
        <v>437</v>
      </c>
      <c r="I304" s="56" t="str">
        <f>IFERROR(INDEX($A$2:$A$501,MATCH(SMALL($H$2:$H$501,ROWS($I$2:I304)+$G$502),$H$2:$H$501,0)),"")</f>
        <v/>
      </c>
      <c r="J304">
        <f t="shared" si="28"/>
        <v>240</v>
      </c>
      <c r="K304" t="str">
        <f t="array" ref="K304">INDEX($B$2:$B$501,SMALL(IF($A$2:$A$501=I304,ROW($A$2:$A$501)-ROW(INDEX($A$2:$A$501,1,1))+1),J304))</f>
        <v/>
      </c>
      <c r="L304" t="str">
        <f t="array" ref="L304">INDEX($C$2:$C$501,SMALL(IF($A$2:$A$501=I304,ROW($A$2:$A$501)-ROW(INDEX($A$2:$A$501,1,1))+1),J304))</f>
        <v/>
      </c>
      <c r="N304" t="str">
        <f t="shared" si="29"/>
        <v/>
      </c>
      <c r="S304" s="10">
        <v>303</v>
      </c>
      <c r="T304" s="10" t="str">
        <f t="array" ref="T304">IFERROR(INDEX(A$2:$A$501,MATCH(0,COUNTIF($T$1:T303,A$2:$A$501),0)),"")</f>
        <v/>
      </c>
      <c r="U304" s="10">
        <f>IFERROR(MATCH(T304,I$2:$I$501,0),"")</f>
        <v>64</v>
      </c>
      <c r="V304" s="10">
        <f>COUNTIF(I$2:$I$501,T304)</f>
        <v>437</v>
      </c>
      <c r="W304" s="10"/>
      <c r="X304" s="10"/>
    </row>
    <row r="305" spans="1:24" x14ac:dyDescent="0.25">
      <c r="A305" t="str">
        <f>IF(Tests!B306="","",Tests!B306)</f>
        <v/>
      </c>
      <c r="B305" t="str">
        <f>IF(Tests!D306="","",Tests!D306)</f>
        <v/>
      </c>
      <c r="C305" t="str">
        <f>IF(Tests!E306="","",Tests!E306)</f>
        <v/>
      </c>
      <c r="E305" s="54">
        <f t="shared" si="24"/>
        <v>0</v>
      </c>
      <c r="F305" s="54">
        <f t="shared" si="25"/>
        <v>0</v>
      </c>
      <c r="G305" s="54">
        <f t="shared" si="26"/>
        <v>1</v>
      </c>
      <c r="H305" s="54">
        <f t="shared" si="27"/>
        <v>437</v>
      </c>
      <c r="I305" s="56" t="str">
        <f>IFERROR(INDEX($A$2:$A$501,MATCH(SMALL($H$2:$H$501,ROWS($I$2:I305)+$G$502),$H$2:$H$501,0)),"")</f>
        <v/>
      </c>
      <c r="J305">
        <f t="shared" si="28"/>
        <v>241</v>
      </c>
      <c r="K305" t="str">
        <f t="array" ref="K305">INDEX($B$2:$B$501,SMALL(IF($A$2:$A$501=I305,ROW($A$2:$A$501)-ROW(INDEX($A$2:$A$501,1,1))+1),J305))</f>
        <v/>
      </c>
      <c r="L305" t="str">
        <f t="array" ref="L305">INDEX($C$2:$C$501,SMALL(IF($A$2:$A$501=I305,ROW($A$2:$A$501)-ROW(INDEX($A$2:$A$501,1,1))+1),J305))</f>
        <v/>
      </c>
      <c r="N305" t="str">
        <f t="shared" si="29"/>
        <v/>
      </c>
      <c r="S305" s="10">
        <v>304</v>
      </c>
      <c r="T305" s="10" t="str">
        <f t="array" ref="T305">IFERROR(INDEX(A$2:$A$501,MATCH(0,COUNTIF($T$1:T304,A$2:$A$501),0)),"")</f>
        <v/>
      </c>
      <c r="U305" s="10">
        <f>IFERROR(MATCH(T305,I$2:$I$501,0),"")</f>
        <v>64</v>
      </c>
      <c r="V305" s="10">
        <f>COUNTIF(I$2:$I$501,T305)</f>
        <v>437</v>
      </c>
      <c r="W305" s="10"/>
      <c r="X305" s="10"/>
    </row>
    <row r="306" spans="1:24" x14ac:dyDescent="0.25">
      <c r="A306" t="str">
        <f>IF(Tests!B307="","",Tests!B307)</f>
        <v/>
      </c>
      <c r="B306" t="str">
        <f>IF(Tests!D307="","",Tests!D307)</f>
        <v/>
      </c>
      <c r="C306" t="str">
        <f>IF(Tests!E307="","",Tests!E307)</f>
        <v/>
      </c>
      <c r="E306" s="54">
        <f t="shared" si="24"/>
        <v>0</v>
      </c>
      <c r="F306" s="54">
        <f t="shared" si="25"/>
        <v>0</v>
      </c>
      <c r="G306" s="54">
        <f t="shared" si="26"/>
        <v>1</v>
      </c>
      <c r="H306" s="54">
        <f t="shared" si="27"/>
        <v>437</v>
      </c>
      <c r="I306" s="56" t="str">
        <f>IFERROR(INDEX($A$2:$A$501,MATCH(SMALL($H$2:$H$501,ROWS($I$2:I306)+$G$502),$H$2:$H$501,0)),"")</f>
        <v/>
      </c>
      <c r="J306">
        <f t="shared" si="28"/>
        <v>242</v>
      </c>
      <c r="K306" t="str">
        <f t="array" ref="K306">INDEX($B$2:$B$501,SMALL(IF($A$2:$A$501=I306,ROW($A$2:$A$501)-ROW(INDEX($A$2:$A$501,1,1))+1),J306))</f>
        <v/>
      </c>
      <c r="L306" t="str">
        <f t="array" ref="L306">INDEX($C$2:$C$501,SMALL(IF($A$2:$A$501=I306,ROW($A$2:$A$501)-ROW(INDEX($A$2:$A$501,1,1))+1),J306))</f>
        <v/>
      </c>
      <c r="N306" t="str">
        <f t="shared" si="29"/>
        <v/>
      </c>
      <c r="S306" s="10">
        <v>305</v>
      </c>
      <c r="T306" s="10" t="str">
        <f t="array" ref="T306">IFERROR(INDEX(A$2:$A$501,MATCH(0,COUNTIF($T$1:T305,A$2:$A$501),0)),"")</f>
        <v/>
      </c>
      <c r="U306" s="10">
        <f>IFERROR(MATCH(T306,I$2:$I$501,0),"")</f>
        <v>64</v>
      </c>
      <c r="V306" s="10">
        <f>COUNTIF(I$2:$I$501,T306)</f>
        <v>437</v>
      </c>
      <c r="W306" s="10"/>
      <c r="X306" s="10"/>
    </row>
    <row r="307" spans="1:24" x14ac:dyDescent="0.25">
      <c r="A307" t="str">
        <f>IF(Tests!B308="","",Tests!B308)</f>
        <v/>
      </c>
      <c r="B307" t="str">
        <f>IF(Tests!D308="","",Tests!D308)</f>
        <v/>
      </c>
      <c r="C307" t="str">
        <f>IF(Tests!E308="","",Tests!E308)</f>
        <v/>
      </c>
      <c r="E307" s="54">
        <f t="shared" si="24"/>
        <v>0</v>
      </c>
      <c r="F307" s="54">
        <f t="shared" si="25"/>
        <v>0</v>
      </c>
      <c r="G307" s="54">
        <f t="shared" si="26"/>
        <v>1</v>
      </c>
      <c r="H307" s="54">
        <f t="shared" si="27"/>
        <v>437</v>
      </c>
      <c r="I307" s="56" t="str">
        <f>IFERROR(INDEX($A$2:$A$501,MATCH(SMALL($H$2:$H$501,ROWS($I$2:I307)+$G$502),$H$2:$H$501,0)),"")</f>
        <v/>
      </c>
      <c r="J307">
        <f t="shared" si="28"/>
        <v>243</v>
      </c>
      <c r="K307" t="str">
        <f t="array" ref="K307">INDEX($B$2:$B$501,SMALL(IF($A$2:$A$501=I307,ROW($A$2:$A$501)-ROW(INDEX($A$2:$A$501,1,1))+1),J307))</f>
        <v/>
      </c>
      <c r="L307" t="str">
        <f t="array" ref="L307">INDEX($C$2:$C$501,SMALL(IF($A$2:$A$501=I307,ROW($A$2:$A$501)-ROW(INDEX($A$2:$A$501,1,1))+1),J307))</f>
        <v/>
      </c>
      <c r="N307" t="str">
        <f t="shared" si="29"/>
        <v/>
      </c>
      <c r="S307" s="10">
        <v>306</v>
      </c>
      <c r="T307" s="10" t="str">
        <f t="array" ref="T307">IFERROR(INDEX(A$2:$A$501,MATCH(0,COUNTIF($T$1:T306,A$2:$A$501),0)),"")</f>
        <v/>
      </c>
      <c r="U307" s="10">
        <f>IFERROR(MATCH(T307,I$2:$I$501,0),"")</f>
        <v>64</v>
      </c>
      <c r="V307" s="10">
        <f>COUNTIF(I$2:$I$501,T307)</f>
        <v>437</v>
      </c>
      <c r="W307" s="10"/>
      <c r="X307" s="10"/>
    </row>
    <row r="308" spans="1:24" x14ac:dyDescent="0.25">
      <c r="A308" t="str">
        <f>IF(Tests!B309="","",Tests!B309)</f>
        <v/>
      </c>
      <c r="B308" t="str">
        <f>IF(Tests!D309="","",Tests!D309)</f>
        <v/>
      </c>
      <c r="C308" t="str">
        <f>IF(Tests!E309="","",Tests!E309)</f>
        <v/>
      </c>
      <c r="E308" s="54">
        <f t="shared" si="24"/>
        <v>0</v>
      </c>
      <c r="F308" s="54">
        <f t="shared" si="25"/>
        <v>0</v>
      </c>
      <c r="G308" s="54">
        <f t="shared" si="26"/>
        <v>1</v>
      </c>
      <c r="H308" s="54">
        <f t="shared" si="27"/>
        <v>437</v>
      </c>
      <c r="I308" s="56" t="str">
        <f>IFERROR(INDEX($A$2:$A$501,MATCH(SMALL($H$2:$H$501,ROWS($I$2:I308)+$G$502),$H$2:$H$501,0)),"")</f>
        <v/>
      </c>
      <c r="J308">
        <f t="shared" si="28"/>
        <v>244</v>
      </c>
      <c r="K308" t="str">
        <f t="array" ref="K308">INDEX($B$2:$B$501,SMALL(IF($A$2:$A$501=I308,ROW($A$2:$A$501)-ROW(INDEX($A$2:$A$501,1,1))+1),J308))</f>
        <v/>
      </c>
      <c r="L308" t="str">
        <f t="array" ref="L308">INDEX($C$2:$C$501,SMALL(IF($A$2:$A$501=I308,ROW($A$2:$A$501)-ROW(INDEX($A$2:$A$501,1,1))+1),J308))</f>
        <v/>
      </c>
      <c r="N308" t="str">
        <f t="shared" si="29"/>
        <v/>
      </c>
      <c r="S308" s="10">
        <v>307</v>
      </c>
      <c r="T308" s="10" t="str">
        <f t="array" ref="T308">IFERROR(INDEX(A$2:$A$501,MATCH(0,COUNTIF($T$1:T307,A$2:$A$501),0)),"")</f>
        <v/>
      </c>
      <c r="U308" s="10">
        <f>IFERROR(MATCH(T308,I$2:$I$501,0),"")</f>
        <v>64</v>
      </c>
      <c r="V308" s="10">
        <f>COUNTIF(I$2:$I$501,T308)</f>
        <v>437</v>
      </c>
      <c r="W308" s="10"/>
      <c r="X308" s="10"/>
    </row>
    <row r="309" spans="1:24" x14ac:dyDescent="0.25">
      <c r="A309" t="str">
        <f>IF(Tests!B310="","",Tests!B310)</f>
        <v/>
      </c>
      <c r="B309" t="str">
        <f>IF(Tests!D310="","",Tests!D310)</f>
        <v/>
      </c>
      <c r="C309" t="str">
        <f>IF(Tests!E310="","",Tests!E310)</f>
        <v/>
      </c>
      <c r="E309" s="54">
        <f t="shared" si="24"/>
        <v>0</v>
      </c>
      <c r="F309" s="54">
        <f t="shared" si="25"/>
        <v>0</v>
      </c>
      <c r="G309" s="54">
        <f t="shared" si="26"/>
        <v>1</v>
      </c>
      <c r="H309" s="54">
        <f t="shared" si="27"/>
        <v>437</v>
      </c>
      <c r="I309" s="56" t="str">
        <f>IFERROR(INDEX($A$2:$A$501,MATCH(SMALL($H$2:$H$501,ROWS($I$2:I309)+$G$502),$H$2:$H$501,0)),"")</f>
        <v/>
      </c>
      <c r="J309">
        <f t="shared" si="28"/>
        <v>245</v>
      </c>
      <c r="K309" t="str">
        <f t="array" ref="K309">INDEX($B$2:$B$501,SMALL(IF($A$2:$A$501=I309,ROW($A$2:$A$501)-ROW(INDEX($A$2:$A$501,1,1))+1),J309))</f>
        <v/>
      </c>
      <c r="L309" t="str">
        <f t="array" ref="L309">INDEX($C$2:$C$501,SMALL(IF($A$2:$A$501=I309,ROW($A$2:$A$501)-ROW(INDEX($A$2:$A$501,1,1))+1),J309))</f>
        <v/>
      </c>
      <c r="N309" t="str">
        <f t="shared" si="29"/>
        <v/>
      </c>
      <c r="S309" s="10">
        <v>308</v>
      </c>
      <c r="T309" s="10" t="str">
        <f t="array" ref="T309">IFERROR(INDEX(A$2:$A$501,MATCH(0,COUNTIF($T$1:T308,A$2:$A$501),0)),"")</f>
        <v/>
      </c>
      <c r="U309" s="10">
        <f>IFERROR(MATCH(T309,I$2:$I$501,0),"")</f>
        <v>64</v>
      </c>
      <c r="V309" s="10">
        <f>COUNTIF(I$2:$I$501,T309)</f>
        <v>437</v>
      </c>
      <c r="W309" s="10"/>
      <c r="X309" s="10"/>
    </row>
    <row r="310" spans="1:24" x14ac:dyDescent="0.25">
      <c r="A310" t="str">
        <f>IF(Tests!B311="","",Tests!B311)</f>
        <v/>
      </c>
      <c r="B310" t="str">
        <f>IF(Tests!D311="","",Tests!D311)</f>
        <v/>
      </c>
      <c r="C310" t="str">
        <f>IF(Tests!E311="","",Tests!E311)</f>
        <v/>
      </c>
      <c r="E310" s="54">
        <f t="shared" si="24"/>
        <v>0</v>
      </c>
      <c r="F310" s="54">
        <f t="shared" si="25"/>
        <v>0</v>
      </c>
      <c r="G310" s="54">
        <f t="shared" si="26"/>
        <v>1</v>
      </c>
      <c r="H310" s="54">
        <f t="shared" si="27"/>
        <v>437</v>
      </c>
      <c r="I310" s="56" t="str">
        <f>IFERROR(INDEX($A$2:$A$501,MATCH(SMALL($H$2:$H$501,ROWS($I$2:I310)+$G$502),$H$2:$H$501,0)),"")</f>
        <v/>
      </c>
      <c r="J310">
        <f t="shared" si="28"/>
        <v>246</v>
      </c>
      <c r="K310" t="str">
        <f t="array" ref="K310">INDEX($B$2:$B$501,SMALL(IF($A$2:$A$501=I310,ROW($A$2:$A$501)-ROW(INDEX($A$2:$A$501,1,1))+1),J310))</f>
        <v/>
      </c>
      <c r="L310" t="str">
        <f t="array" ref="L310">INDEX($C$2:$C$501,SMALL(IF($A$2:$A$501=I310,ROW($A$2:$A$501)-ROW(INDEX($A$2:$A$501,1,1))+1),J310))</f>
        <v/>
      </c>
      <c r="N310" t="str">
        <f t="shared" si="29"/>
        <v/>
      </c>
      <c r="S310" s="10">
        <v>309</v>
      </c>
      <c r="T310" s="10" t="str">
        <f t="array" ref="T310">IFERROR(INDEX(A$2:$A$501,MATCH(0,COUNTIF($T$1:T309,A$2:$A$501),0)),"")</f>
        <v/>
      </c>
      <c r="U310" s="10">
        <f>IFERROR(MATCH(T310,I$2:$I$501,0),"")</f>
        <v>64</v>
      </c>
      <c r="V310" s="10">
        <f>COUNTIF(I$2:$I$501,T310)</f>
        <v>437</v>
      </c>
      <c r="W310" s="10"/>
      <c r="X310" s="10"/>
    </row>
    <row r="311" spans="1:24" x14ac:dyDescent="0.25">
      <c r="A311" t="str">
        <f>IF(Tests!B312="","",Tests!B312)</f>
        <v/>
      </c>
      <c r="B311" t="str">
        <f>IF(Tests!D312="","",Tests!D312)</f>
        <v/>
      </c>
      <c r="C311" t="str">
        <f>IF(Tests!E312="","",Tests!E312)</f>
        <v/>
      </c>
      <c r="E311" s="54">
        <f t="shared" si="24"/>
        <v>0</v>
      </c>
      <c r="F311" s="54">
        <f t="shared" si="25"/>
        <v>0</v>
      </c>
      <c r="G311" s="54">
        <f t="shared" si="26"/>
        <v>1</v>
      </c>
      <c r="H311" s="54">
        <f t="shared" si="27"/>
        <v>437</v>
      </c>
      <c r="I311" s="56" t="str">
        <f>IFERROR(INDEX($A$2:$A$501,MATCH(SMALL($H$2:$H$501,ROWS($I$2:I311)+$G$502),$H$2:$H$501,0)),"")</f>
        <v/>
      </c>
      <c r="J311">
        <f t="shared" si="28"/>
        <v>247</v>
      </c>
      <c r="K311" t="str">
        <f t="array" ref="K311">INDEX($B$2:$B$501,SMALL(IF($A$2:$A$501=I311,ROW($A$2:$A$501)-ROW(INDEX($A$2:$A$501,1,1))+1),J311))</f>
        <v/>
      </c>
      <c r="L311" t="str">
        <f t="array" ref="L311">INDEX($C$2:$C$501,SMALL(IF($A$2:$A$501=I311,ROW($A$2:$A$501)-ROW(INDEX($A$2:$A$501,1,1))+1),J311))</f>
        <v/>
      </c>
      <c r="N311" t="str">
        <f t="shared" si="29"/>
        <v/>
      </c>
      <c r="S311" s="10">
        <v>310</v>
      </c>
      <c r="T311" s="10" t="str">
        <f t="array" ref="T311">IFERROR(INDEX(A$2:$A$501,MATCH(0,COUNTIF($T$1:T310,A$2:$A$501),0)),"")</f>
        <v/>
      </c>
      <c r="U311" s="10">
        <f>IFERROR(MATCH(T311,I$2:$I$501,0),"")</f>
        <v>64</v>
      </c>
      <c r="V311" s="10">
        <f>COUNTIF(I$2:$I$501,T311)</f>
        <v>437</v>
      </c>
      <c r="W311" s="10"/>
      <c r="X311" s="10"/>
    </row>
    <row r="312" spans="1:24" x14ac:dyDescent="0.25">
      <c r="A312" t="str">
        <f>IF(Tests!B313="","",Tests!B313)</f>
        <v/>
      </c>
      <c r="B312" t="str">
        <f>IF(Tests!D313="","",Tests!D313)</f>
        <v/>
      </c>
      <c r="C312" t="str">
        <f>IF(Tests!E313="","",Tests!E313)</f>
        <v/>
      </c>
      <c r="E312" s="54">
        <f t="shared" si="24"/>
        <v>0</v>
      </c>
      <c r="F312" s="54">
        <f t="shared" si="25"/>
        <v>0</v>
      </c>
      <c r="G312" s="54">
        <f t="shared" si="26"/>
        <v>1</v>
      </c>
      <c r="H312" s="54">
        <f t="shared" si="27"/>
        <v>437</v>
      </c>
      <c r="I312" s="56" t="str">
        <f>IFERROR(INDEX($A$2:$A$501,MATCH(SMALL($H$2:$H$501,ROWS($I$2:I312)+$G$502),$H$2:$H$501,0)),"")</f>
        <v/>
      </c>
      <c r="J312">
        <f t="shared" si="28"/>
        <v>248</v>
      </c>
      <c r="K312" t="str">
        <f t="array" ref="K312">INDEX($B$2:$B$501,SMALL(IF($A$2:$A$501=I312,ROW($A$2:$A$501)-ROW(INDEX($A$2:$A$501,1,1))+1),J312))</f>
        <v/>
      </c>
      <c r="L312" t="str">
        <f t="array" ref="L312">INDEX($C$2:$C$501,SMALL(IF($A$2:$A$501=I312,ROW($A$2:$A$501)-ROW(INDEX($A$2:$A$501,1,1))+1),J312))</f>
        <v/>
      </c>
      <c r="N312" t="str">
        <f t="shared" si="29"/>
        <v/>
      </c>
      <c r="S312" s="10">
        <v>311</v>
      </c>
      <c r="T312" s="10" t="str">
        <f t="array" ref="T312">IFERROR(INDEX(A$2:$A$501,MATCH(0,COUNTIF($T$1:T311,A$2:$A$501),0)),"")</f>
        <v/>
      </c>
      <c r="U312" s="10">
        <f>IFERROR(MATCH(T312,I$2:$I$501,0),"")</f>
        <v>64</v>
      </c>
      <c r="V312" s="10">
        <f>COUNTIF(I$2:$I$501,T312)</f>
        <v>437</v>
      </c>
      <c r="W312" s="10"/>
      <c r="X312" s="10"/>
    </row>
    <row r="313" spans="1:24" x14ac:dyDescent="0.25">
      <c r="A313" t="str">
        <f>IF(Tests!B314="","",Tests!B314)</f>
        <v/>
      </c>
      <c r="B313" t="str">
        <f>IF(Tests!D314="","",Tests!D314)</f>
        <v/>
      </c>
      <c r="C313" t="str">
        <f>IF(Tests!E314="","",Tests!E314)</f>
        <v/>
      </c>
      <c r="E313" s="54">
        <f t="shared" si="24"/>
        <v>0</v>
      </c>
      <c r="F313" s="54">
        <f t="shared" si="25"/>
        <v>0</v>
      </c>
      <c r="G313" s="54">
        <f t="shared" si="26"/>
        <v>1</v>
      </c>
      <c r="H313" s="54">
        <f t="shared" si="27"/>
        <v>437</v>
      </c>
      <c r="I313" s="56" t="str">
        <f>IFERROR(INDEX($A$2:$A$501,MATCH(SMALL($H$2:$H$501,ROWS($I$2:I313)+$G$502),$H$2:$H$501,0)),"")</f>
        <v/>
      </c>
      <c r="J313">
        <f t="shared" si="28"/>
        <v>249</v>
      </c>
      <c r="K313" t="str">
        <f t="array" ref="K313">INDEX($B$2:$B$501,SMALL(IF($A$2:$A$501=I313,ROW($A$2:$A$501)-ROW(INDEX($A$2:$A$501,1,1))+1),J313))</f>
        <v/>
      </c>
      <c r="L313" t="str">
        <f t="array" ref="L313">INDEX($C$2:$C$501,SMALL(IF($A$2:$A$501=I313,ROW($A$2:$A$501)-ROW(INDEX($A$2:$A$501,1,1))+1),J313))</f>
        <v/>
      </c>
      <c r="N313" t="str">
        <f t="shared" si="29"/>
        <v/>
      </c>
      <c r="S313" s="10">
        <v>312</v>
      </c>
      <c r="T313" s="10" t="str">
        <f t="array" ref="T313">IFERROR(INDEX(A$2:$A$501,MATCH(0,COUNTIF($T$1:T312,A$2:$A$501),0)),"")</f>
        <v/>
      </c>
      <c r="U313" s="10">
        <f>IFERROR(MATCH(T313,I$2:$I$501,0),"")</f>
        <v>64</v>
      </c>
      <c r="V313" s="10">
        <f>COUNTIF(I$2:$I$501,T313)</f>
        <v>437</v>
      </c>
      <c r="W313" s="10"/>
      <c r="X313" s="10"/>
    </row>
    <row r="314" spans="1:24" x14ac:dyDescent="0.25">
      <c r="A314" t="str">
        <f>IF(Tests!B315="","",Tests!B315)</f>
        <v/>
      </c>
      <c r="B314" t="str">
        <f>IF(Tests!D315="","",Tests!D315)</f>
        <v/>
      </c>
      <c r="C314" t="str">
        <f>IF(Tests!E315="","",Tests!E315)</f>
        <v/>
      </c>
      <c r="E314" s="54">
        <f t="shared" si="24"/>
        <v>0</v>
      </c>
      <c r="F314" s="54">
        <f t="shared" si="25"/>
        <v>0</v>
      </c>
      <c r="G314" s="54">
        <f t="shared" si="26"/>
        <v>1</v>
      </c>
      <c r="H314" s="54">
        <f t="shared" si="27"/>
        <v>437</v>
      </c>
      <c r="I314" s="56" t="str">
        <f>IFERROR(INDEX($A$2:$A$501,MATCH(SMALL($H$2:$H$501,ROWS($I$2:I314)+$G$502),$H$2:$H$501,0)),"")</f>
        <v/>
      </c>
      <c r="J314">
        <f t="shared" si="28"/>
        <v>250</v>
      </c>
      <c r="K314" t="str">
        <f t="array" ref="K314">INDEX($B$2:$B$501,SMALL(IF($A$2:$A$501=I314,ROW($A$2:$A$501)-ROW(INDEX($A$2:$A$501,1,1))+1),J314))</f>
        <v/>
      </c>
      <c r="L314" t="str">
        <f t="array" ref="L314">INDEX($C$2:$C$501,SMALL(IF($A$2:$A$501=I314,ROW($A$2:$A$501)-ROW(INDEX($A$2:$A$501,1,1))+1),J314))</f>
        <v/>
      </c>
      <c r="N314" t="str">
        <f t="shared" si="29"/>
        <v/>
      </c>
      <c r="S314" s="10">
        <v>313</v>
      </c>
      <c r="T314" s="10" t="str">
        <f t="array" ref="T314">IFERROR(INDEX(A$2:$A$501,MATCH(0,COUNTIF($T$1:T313,A$2:$A$501),0)),"")</f>
        <v/>
      </c>
      <c r="U314" s="10">
        <f>IFERROR(MATCH(T314,I$2:$I$501,0),"")</f>
        <v>64</v>
      </c>
      <c r="V314" s="10">
        <f>COUNTIF(I$2:$I$501,T314)</f>
        <v>437</v>
      </c>
      <c r="W314" s="10"/>
      <c r="X314" s="10"/>
    </row>
    <row r="315" spans="1:24" x14ac:dyDescent="0.25">
      <c r="A315" t="str">
        <f>IF(Tests!B316="","",Tests!B316)</f>
        <v/>
      </c>
      <c r="B315" t="str">
        <f>IF(Tests!D316="","",Tests!D316)</f>
        <v/>
      </c>
      <c r="C315" t="str">
        <f>IF(Tests!E316="","",Tests!E316)</f>
        <v/>
      </c>
      <c r="E315" s="54">
        <f t="shared" si="24"/>
        <v>0</v>
      </c>
      <c r="F315" s="54">
        <f t="shared" si="25"/>
        <v>0</v>
      </c>
      <c r="G315" s="54">
        <f t="shared" si="26"/>
        <v>1</v>
      </c>
      <c r="H315" s="54">
        <f t="shared" si="27"/>
        <v>437</v>
      </c>
      <c r="I315" s="56" t="str">
        <f>IFERROR(INDEX($A$2:$A$501,MATCH(SMALL($H$2:$H$501,ROWS($I$2:I315)+$G$502),$H$2:$H$501,0)),"")</f>
        <v/>
      </c>
      <c r="J315">
        <f t="shared" si="28"/>
        <v>251</v>
      </c>
      <c r="K315" t="str">
        <f t="array" ref="K315">INDEX($B$2:$B$501,SMALL(IF($A$2:$A$501=I315,ROW($A$2:$A$501)-ROW(INDEX($A$2:$A$501,1,1))+1),J315))</f>
        <v/>
      </c>
      <c r="L315" t="str">
        <f t="array" ref="L315">INDEX($C$2:$C$501,SMALL(IF($A$2:$A$501=I315,ROW($A$2:$A$501)-ROW(INDEX($A$2:$A$501,1,1))+1),J315))</f>
        <v/>
      </c>
      <c r="N315" t="str">
        <f t="shared" si="29"/>
        <v/>
      </c>
      <c r="S315" s="10">
        <v>314</v>
      </c>
      <c r="T315" s="10" t="str">
        <f t="array" ref="T315">IFERROR(INDEX(A$2:$A$501,MATCH(0,COUNTIF($T$1:T314,A$2:$A$501),0)),"")</f>
        <v/>
      </c>
      <c r="U315" s="10">
        <f>IFERROR(MATCH(T315,I$2:$I$501,0),"")</f>
        <v>64</v>
      </c>
      <c r="V315" s="10">
        <f>COUNTIF(I$2:$I$501,T315)</f>
        <v>437</v>
      </c>
      <c r="W315" s="10"/>
      <c r="X315" s="10"/>
    </row>
    <row r="316" spans="1:24" x14ac:dyDescent="0.25">
      <c r="A316" t="str">
        <f>IF(Tests!B317="","",Tests!B317)</f>
        <v/>
      </c>
      <c r="B316" t="str">
        <f>IF(Tests!D317="","",Tests!D317)</f>
        <v/>
      </c>
      <c r="C316" t="str">
        <f>IF(Tests!E317="","",Tests!E317)</f>
        <v/>
      </c>
      <c r="E316" s="54">
        <f t="shared" si="24"/>
        <v>0</v>
      </c>
      <c r="F316" s="54">
        <f t="shared" si="25"/>
        <v>0</v>
      </c>
      <c r="G316" s="54">
        <f t="shared" si="26"/>
        <v>1</v>
      </c>
      <c r="H316" s="54">
        <f t="shared" si="27"/>
        <v>437</v>
      </c>
      <c r="I316" s="56" t="str">
        <f>IFERROR(INDEX($A$2:$A$501,MATCH(SMALL($H$2:$H$501,ROWS($I$2:I316)+$G$502),$H$2:$H$501,0)),"")</f>
        <v/>
      </c>
      <c r="J316">
        <f t="shared" si="28"/>
        <v>252</v>
      </c>
      <c r="K316" t="str">
        <f t="array" ref="K316">INDEX($B$2:$B$501,SMALL(IF($A$2:$A$501=I316,ROW($A$2:$A$501)-ROW(INDEX($A$2:$A$501,1,1))+1),J316))</f>
        <v/>
      </c>
      <c r="L316" t="str">
        <f t="array" ref="L316">INDEX($C$2:$C$501,SMALL(IF($A$2:$A$501=I316,ROW($A$2:$A$501)-ROW(INDEX($A$2:$A$501,1,1))+1),J316))</f>
        <v/>
      </c>
      <c r="N316" t="str">
        <f t="shared" si="29"/>
        <v/>
      </c>
      <c r="S316" s="10">
        <v>315</v>
      </c>
      <c r="T316" s="10" t="str">
        <f t="array" ref="T316">IFERROR(INDEX(A$2:$A$501,MATCH(0,COUNTIF($T$1:T315,A$2:$A$501),0)),"")</f>
        <v/>
      </c>
      <c r="U316" s="10">
        <f>IFERROR(MATCH(T316,I$2:$I$501,0),"")</f>
        <v>64</v>
      </c>
      <c r="V316" s="10">
        <f>COUNTIF(I$2:$I$501,T316)</f>
        <v>437</v>
      </c>
      <c r="W316" s="10"/>
      <c r="X316" s="10"/>
    </row>
    <row r="317" spans="1:24" x14ac:dyDescent="0.25">
      <c r="A317" t="str">
        <f>IF(Tests!B318="","",Tests!B318)</f>
        <v/>
      </c>
      <c r="B317" t="str">
        <f>IF(Tests!D318="","",Tests!D318)</f>
        <v/>
      </c>
      <c r="C317" t="str">
        <f>IF(Tests!E318="","",Tests!E318)</f>
        <v/>
      </c>
      <c r="E317" s="54">
        <f t="shared" si="24"/>
        <v>0</v>
      </c>
      <c r="F317" s="54">
        <f t="shared" si="25"/>
        <v>0</v>
      </c>
      <c r="G317" s="54">
        <f t="shared" si="26"/>
        <v>1</v>
      </c>
      <c r="H317" s="54">
        <f t="shared" si="27"/>
        <v>437</v>
      </c>
      <c r="I317" s="56" t="str">
        <f>IFERROR(INDEX($A$2:$A$501,MATCH(SMALL($H$2:$H$501,ROWS($I$2:I317)+$G$502),$H$2:$H$501,0)),"")</f>
        <v/>
      </c>
      <c r="J317">
        <f t="shared" si="28"/>
        <v>253</v>
      </c>
      <c r="K317" t="str">
        <f t="array" ref="K317">INDEX($B$2:$B$501,SMALL(IF($A$2:$A$501=I317,ROW($A$2:$A$501)-ROW(INDEX($A$2:$A$501,1,1))+1),J317))</f>
        <v/>
      </c>
      <c r="L317" t="str">
        <f t="array" ref="L317">INDEX($C$2:$C$501,SMALL(IF($A$2:$A$501=I317,ROW($A$2:$A$501)-ROW(INDEX($A$2:$A$501,1,1))+1),J317))</f>
        <v/>
      </c>
      <c r="N317" t="str">
        <f t="shared" si="29"/>
        <v/>
      </c>
      <c r="S317" s="10">
        <v>316</v>
      </c>
      <c r="T317" s="10" t="str">
        <f t="array" ref="T317">IFERROR(INDEX(A$2:$A$501,MATCH(0,COUNTIF($T$1:T316,A$2:$A$501),0)),"")</f>
        <v/>
      </c>
      <c r="U317" s="10">
        <f>IFERROR(MATCH(T317,I$2:$I$501,0),"")</f>
        <v>64</v>
      </c>
      <c r="V317" s="10">
        <f>COUNTIF(I$2:$I$501,T317)</f>
        <v>437</v>
      </c>
      <c r="W317" s="10"/>
      <c r="X317" s="10"/>
    </row>
    <row r="318" spans="1:24" x14ac:dyDescent="0.25">
      <c r="A318" t="str">
        <f>IF(Tests!B319="","",Tests!B319)</f>
        <v/>
      </c>
      <c r="B318" t="str">
        <f>IF(Tests!D319="","",Tests!D319)</f>
        <v/>
      </c>
      <c r="C318" t="str">
        <f>IF(Tests!E319="","",Tests!E319)</f>
        <v/>
      </c>
      <c r="E318" s="54">
        <f t="shared" si="24"/>
        <v>0</v>
      </c>
      <c r="F318" s="54">
        <f t="shared" si="25"/>
        <v>0</v>
      </c>
      <c r="G318" s="54">
        <f t="shared" si="26"/>
        <v>1</v>
      </c>
      <c r="H318" s="54">
        <f t="shared" si="27"/>
        <v>437</v>
      </c>
      <c r="I318" s="56" t="str">
        <f>IFERROR(INDEX($A$2:$A$501,MATCH(SMALL($H$2:$H$501,ROWS($I$2:I318)+$G$502),$H$2:$H$501,0)),"")</f>
        <v/>
      </c>
      <c r="J318">
        <f t="shared" si="28"/>
        <v>254</v>
      </c>
      <c r="K318" t="str">
        <f t="array" ref="K318">INDEX($B$2:$B$501,SMALL(IF($A$2:$A$501=I318,ROW($A$2:$A$501)-ROW(INDEX($A$2:$A$501,1,1))+1),J318))</f>
        <v/>
      </c>
      <c r="L318" t="str">
        <f t="array" ref="L318">INDEX($C$2:$C$501,SMALL(IF($A$2:$A$501=I318,ROW($A$2:$A$501)-ROW(INDEX($A$2:$A$501,1,1))+1),J318))</f>
        <v/>
      </c>
      <c r="N318" t="str">
        <f t="shared" si="29"/>
        <v/>
      </c>
      <c r="S318" s="10">
        <v>317</v>
      </c>
      <c r="T318" s="10" t="str">
        <f t="array" ref="T318">IFERROR(INDEX(A$2:$A$501,MATCH(0,COUNTIF($T$1:T317,A$2:$A$501),0)),"")</f>
        <v/>
      </c>
      <c r="U318" s="10">
        <f>IFERROR(MATCH(T318,I$2:$I$501,0),"")</f>
        <v>64</v>
      </c>
      <c r="V318" s="10">
        <f>COUNTIF(I$2:$I$501,T318)</f>
        <v>437</v>
      </c>
      <c r="W318" s="10"/>
      <c r="X318" s="10"/>
    </row>
    <row r="319" spans="1:24" x14ac:dyDescent="0.25">
      <c r="A319" t="str">
        <f>IF(Tests!B320="","",Tests!B320)</f>
        <v/>
      </c>
      <c r="B319" t="str">
        <f>IF(Tests!D320="","",Tests!D320)</f>
        <v/>
      </c>
      <c r="C319" t="str">
        <f>IF(Tests!E320="","",Tests!E320)</f>
        <v/>
      </c>
      <c r="E319" s="54">
        <f t="shared" si="24"/>
        <v>0</v>
      </c>
      <c r="F319" s="54">
        <f t="shared" si="25"/>
        <v>0</v>
      </c>
      <c r="G319" s="54">
        <f t="shared" si="26"/>
        <v>1</v>
      </c>
      <c r="H319" s="54">
        <f t="shared" si="27"/>
        <v>437</v>
      </c>
      <c r="I319" s="56" t="str">
        <f>IFERROR(INDEX($A$2:$A$501,MATCH(SMALL($H$2:$H$501,ROWS($I$2:I319)+$G$502),$H$2:$H$501,0)),"")</f>
        <v/>
      </c>
      <c r="J319">
        <f t="shared" si="28"/>
        <v>255</v>
      </c>
      <c r="K319" t="str">
        <f t="array" ref="K319">INDEX($B$2:$B$501,SMALL(IF($A$2:$A$501=I319,ROW($A$2:$A$501)-ROW(INDEX($A$2:$A$501,1,1))+1),J319))</f>
        <v/>
      </c>
      <c r="L319" t="str">
        <f t="array" ref="L319">INDEX($C$2:$C$501,SMALL(IF($A$2:$A$501=I319,ROW($A$2:$A$501)-ROW(INDEX($A$2:$A$501,1,1))+1),J319))</f>
        <v/>
      </c>
      <c r="N319" t="str">
        <f t="shared" si="29"/>
        <v/>
      </c>
      <c r="S319" s="10">
        <v>318</v>
      </c>
      <c r="T319" s="10" t="str">
        <f t="array" ref="T319">IFERROR(INDEX(A$2:$A$501,MATCH(0,COUNTIF($T$1:T318,A$2:$A$501),0)),"")</f>
        <v/>
      </c>
      <c r="U319" s="10">
        <f>IFERROR(MATCH(T319,I$2:$I$501,0),"")</f>
        <v>64</v>
      </c>
      <c r="V319" s="10">
        <f>COUNTIF(I$2:$I$501,T319)</f>
        <v>437</v>
      </c>
      <c r="W319" s="10"/>
      <c r="X319" s="10"/>
    </row>
    <row r="320" spans="1:24" x14ac:dyDescent="0.25">
      <c r="A320" t="str">
        <f>IF(Tests!B321="","",Tests!B321)</f>
        <v/>
      </c>
      <c r="B320" t="str">
        <f>IF(Tests!D321="","",Tests!D321)</f>
        <v/>
      </c>
      <c r="C320" t="str">
        <f>IF(Tests!E321="","",Tests!E321)</f>
        <v/>
      </c>
      <c r="E320" s="54">
        <f t="shared" si="24"/>
        <v>0</v>
      </c>
      <c r="F320" s="54">
        <f t="shared" si="25"/>
        <v>0</v>
      </c>
      <c r="G320" s="54">
        <f t="shared" si="26"/>
        <v>1</v>
      </c>
      <c r="H320" s="54">
        <f t="shared" si="27"/>
        <v>437</v>
      </c>
      <c r="I320" s="56" t="str">
        <f>IFERROR(INDEX($A$2:$A$501,MATCH(SMALL($H$2:$H$501,ROWS($I$2:I320)+$G$502),$H$2:$H$501,0)),"")</f>
        <v/>
      </c>
      <c r="J320">
        <f t="shared" si="28"/>
        <v>256</v>
      </c>
      <c r="K320" t="str">
        <f t="array" ref="K320">INDEX($B$2:$B$501,SMALL(IF($A$2:$A$501=I320,ROW($A$2:$A$501)-ROW(INDEX($A$2:$A$501,1,1))+1),J320))</f>
        <v/>
      </c>
      <c r="L320" t="str">
        <f t="array" ref="L320">INDEX($C$2:$C$501,SMALL(IF($A$2:$A$501=I320,ROW($A$2:$A$501)-ROW(INDEX($A$2:$A$501,1,1))+1),J320))</f>
        <v/>
      </c>
      <c r="N320" t="str">
        <f t="shared" si="29"/>
        <v/>
      </c>
      <c r="S320" s="10">
        <v>319</v>
      </c>
      <c r="T320" s="10" t="str">
        <f t="array" ref="T320">IFERROR(INDEX(A$2:$A$501,MATCH(0,COUNTIF($T$1:T319,A$2:$A$501),0)),"")</f>
        <v/>
      </c>
      <c r="U320" s="10">
        <f>IFERROR(MATCH(T320,I$2:$I$501,0),"")</f>
        <v>64</v>
      </c>
      <c r="V320" s="10">
        <f>COUNTIF(I$2:$I$501,T320)</f>
        <v>437</v>
      </c>
      <c r="W320" s="10"/>
      <c r="X320" s="10"/>
    </row>
    <row r="321" spans="1:24" x14ac:dyDescent="0.25">
      <c r="A321" t="str">
        <f>IF(Tests!B322="","",Tests!B322)</f>
        <v/>
      </c>
      <c r="B321" t="str">
        <f>IF(Tests!D322="","",Tests!D322)</f>
        <v/>
      </c>
      <c r="C321" t="str">
        <f>IF(Tests!E322="","",Tests!E322)</f>
        <v/>
      </c>
      <c r="E321" s="54">
        <f t="shared" si="24"/>
        <v>0</v>
      </c>
      <c r="F321" s="54">
        <f t="shared" si="25"/>
        <v>0</v>
      </c>
      <c r="G321" s="54">
        <f t="shared" si="26"/>
        <v>1</v>
      </c>
      <c r="H321" s="54">
        <f t="shared" si="27"/>
        <v>437</v>
      </c>
      <c r="I321" s="56" t="str">
        <f>IFERROR(INDEX($A$2:$A$501,MATCH(SMALL($H$2:$H$501,ROWS($I$2:I321)+$G$502),$H$2:$H$501,0)),"")</f>
        <v/>
      </c>
      <c r="J321">
        <f t="shared" si="28"/>
        <v>257</v>
      </c>
      <c r="K321" t="str">
        <f t="array" ref="K321">INDEX($B$2:$B$501,SMALL(IF($A$2:$A$501=I321,ROW($A$2:$A$501)-ROW(INDEX($A$2:$A$501,1,1))+1),J321))</f>
        <v/>
      </c>
      <c r="L321" t="str">
        <f t="array" ref="L321">INDEX($C$2:$C$501,SMALL(IF($A$2:$A$501=I321,ROW($A$2:$A$501)-ROW(INDEX($A$2:$A$501,1,1))+1),J321))</f>
        <v/>
      </c>
      <c r="N321" t="str">
        <f t="shared" si="29"/>
        <v/>
      </c>
      <c r="S321" s="10">
        <v>320</v>
      </c>
      <c r="T321" s="10" t="str">
        <f t="array" ref="T321">IFERROR(INDEX(A$2:$A$501,MATCH(0,COUNTIF($T$1:T320,A$2:$A$501),0)),"")</f>
        <v/>
      </c>
      <c r="U321" s="10">
        <f>IFERROR(MATCH(T321,I$2:$I$501,0),"")</f>
        <v>64</v>
      </c>
      <c r="V321" s="10">
        <f>COUNTIF(I$2:$I$501,T321)</f>
        <v>437</v>
      </c>
      <c r="W321" s="10"/>
      <c r="X321" s="10"/>
    </row>
    <row r="322" spans="1:24" x14ac:dyDescent="0.25">
      <c r="A322" t="str">
        <f>IF(Tests!B323="","",Tests!B323)</f>
        <v/>
      </c>
      <c r="B322" t="str">
        <f>IF(Tests!D323="","",Tests!D323)</f>
        <v/>
      </c>
      <c r="C322" t="str">
        <f>IF(Tests!E323="","",Tests!E323)</f>
        <v/>
      </c>
      <c r="E322" s="54">
        <f t="shared" si="24"/>
        <v>0</v>
      </c>
      <c r="F322" s="54">
        <f t="shared" si="25"/>
        <v>0</v>
      </c>
      <c r="G322" s="54">
        <f t="shared" si="26"/>
        <v>1</v>
      </c>
      <c r="H322" s="54">
        <f t="shared" si="27"/>
        <v>437</v>
      </c>
      <c r="I322" s="56" t="str">
        <f>IFERROR(INDEX($A$2:$A$501,MATCH(SMALL($H$2:$H$501,ROWS($I$2:I322)+$G$502),$H$2:$H$501,0)),"")</f>
        <v/>
      </c>
      <c r="J322">
        <f t="shared" si="28"/>
        <v>258</v>
      </c>
      <c r="K322" t="str">
        <f t="array" ref="K322">INDEX($B$2:$B$501,SMALL(IF($A$2:$A$501=I322,ROW($A$2:$A$501)-ROW(INDEX($A$2:$A$501,1,1))+1),J322))</f>
        <v/>
      </c>
      <c r="L322" t="str">
        <f t="array" ref="L322">INDEX($C$2:$C$501,SMALL(IF($A$2:$A$501=I322,ROW($A$2:$A$501)-ROW(INDEX($A$2:$A$501,1,1))+1),J322))</f>
        <v/>
      </c>
      <c r="N322" t="str">
        <f t="shared" si="29"/>
        <v/>
      </c>
      <c r="S322" s="10">
        <v>321</v>
      </c>
      <c r="T322" s="10" t="str">
        <f t="array" ref="T322">IFERROR(INDEX(A$2:$A$501,MATCH(0,COUNTIF($T$1:T321,A$2:$A$501),0)),"")</f>
        <v/>
      </c>
      <c r="U322" s="10">
        <f>IFERROR(MATCH(T322,I$2:$I$501,0),"")</f>
        <v>64</v>
      </c>
      <c r="V322" s="10">
        <f>COUNTIF(I$2:$I$501,T322)</f>
        <v>437</v>
      </c>
      <c r="W322" s="10"/>
      <c r="X322" s="10"/>
    </row>
    <row r="323" spans="1:24" x14ac:dyDescent="0.25">
      <c r="A323" t="str">
        <f>IF(Tests!B324="","",Tests!B324)</f>
        <v/>
      </c>
      <c r="B323" t="str">
        <f>IF(Tests!D324="","",Tests!D324)</f>
        <v/>
      </c>
      <c r="C323" t="str">
        <f>IF(Tests!E324="","",Tests!E324)</f>
        <v/>
      </c>
      <c r="E323" s="54">
        <f t="shared" ref="E323:E386" si="30">COUNTIF($A$2:$A$501,"&lt;="&amp;A323)</f>
        <v>0</v>
      </c>
      <c r="F323" s="54">
        <f t="shared" ref="F323:F386" si="31">--ISNUMBER(A323)</f>
        <v>0</v>
      </c>
      <c r="G323" s="54">
        <f t="shared" ref="G323:G386" si="32">--(A323="")</f>
        <v>1</v>
      </c>
      <c r="H323" s="54">
        <f t="shared" ref="H323:H386" si="33">IF(ISNUMBER(A323),E323,IF(ISBLANK(A323),E323,E323+$F$502))+$G$502</f>
        <v>437</v>
      </c>
      <c r="I323" s="56" t="str">
        <f>IFERROR(INDEX($A$2:$A$501,MATCH(SMALL($H$2:$H$501,ROWS($I$2:I323)+$G$502),$H$2:$H$501,0)),"")</f>
        <v/>
      </c>
      <c r="J323">
        <f t="shared" ref="J323:J386" si="34">IF(I322=I323,J322+1,1)</f>
        <v>259</v>
      </c>
      <c r="K323" t="str">
        <f t="array" ref="K323">INDEX($B$2:$B$501,SMALL(IF($A$2:$A$501=I323,ROW($A$2:$A$501)-ROW(INDEX($A$2:$A$501,1,1))+1),J323))</f>
        <v/>
      </c>
      <c r="L323" t="str">
        <f t="array" ref="L323">INDEX($C$2:$C$501,SMALL(IF($A$2:$A$501=I323,ROW($A$2:$A$501)-ROW(INDEX($A$2:$A$501,1,1))+1),J323))</f>
        <v/>
      </c>
      <c r="N323" t="str">
        <f t="shared" ref="N323:N386" si="35">IF(K323="","",K323&amp;" ("&amp;L323&amp;")")</f>
        <v/>
      </c>
      <c r="S323" s="10">
        <v>322</v>
      </c>
      <c r="T323" s="10" t="str">
        <f t="array" ref="T323">IFERROR(INDEX(A$2:$A$501,MATCH(0,COUNTIF($T$1:T322,A$2:$A$501),0)),"")</f>
        <v/>
      </c>
      <c r="U323" s="10">
        <f>IFERROR(MATCH(T323,I$2:$I$501,0),"")</f>
        <v>64</v>
      </c>
      <c r="V323" s="10">
        <f>COUNTIF(I$2:$I$501,T323)</f>
        <v>437</v>
      </c>
      <c r="W323" s="10"/>
      <c r="X323" s="10"/>
    </row>
    <row r="324" spans="1:24" x14ac:dyDescent="0.25">
      <c r="A324" t="str">
        <f>IF(Tests!B325="","",Tests!B325)</f>
        <v/>
      </c>
      <c r="B324" t="str">
        <f>IF(Tests!D325="","",Tests!D325)</f>
        <v/>
      </c>
      <c r="C324" t="str">
        <f>IF(Tests!E325="","",Tests!E325)</f>
        <v/>
      </c>
      <c r="E324" s="54">
        <f t="shared" si="30"/>
        <v>0</v>
      </c>
      <c r="F324" s="54">
        <f t="shared" si="31"/>
        <v>0</v>
      </c>
      <c r="G324" s="54">
        <f t="shared" si="32"/>
        <v>1</v>
      </c>
      <c r="H324" s="54">
        <f t="shared" si="33"/>
        <v>437</v>
      </c>
      <c r="I324" s="56" t="str">
        <f>IFERROR(INDEX($A$2:$A$501,MATCH(SMALL($H$2:$H$501,ROWS($I$2:I324)+$G$502),$H$2:$H$501,0)),"")</f>
        <v/>
      </c>
      <c r="J324">
        <f t="shared" si="34"/>
        <v>260</v>
      </c>
      <c r="K324" t="str">
        <f t="array" ref="K324">INDEX($B$2:$B$501,SMALL(IF($A$2:$A$501=I324,ROW($A$2:$A$501)-ROW(INDEX($A$2:$A$501,1,1))+1),J324))</f>
        <v/>
      </c>
      <c r="L324" t="str">
        <f t="array" ref="L324">INDEX($C$2:$C$501,SMALL(IF($A$2:$A$501=I324,ROW($A$2:$A$501)-ROW(INDEX($A$2:$A$501,1,1))+1),J324))</f>
        <v/>
      </c>
      <c r="N324" t="str">
        <f t="shared" si="35"/>
        <v/>
      </c>
      <c r="S324" s="10">
        <v>323</v>
      </c>
      <c r="T324" s="10" t="str">
        <f t="array" ref="T324">IFERROR(INDEX(A$2:$A$501,MATCH(0,COUNTIF($T$1:T323,A$2:$A$501),0)),"")</f>
        <v/>
      </c>
      <c r="U324" s="10">
        <f>IFERROR(MATCH(T324,I$2:$I$501,0),"")</f>
        <v>64</v>
      </c>
      <c r="V324" s="10">
        <f>COUNTIF(I$2:$I$501,T324)</f>
        <v>437</v>
      </c>
      <c r="W324" s="10"/>
      <c r="X324" s="10"/>
    </row>
    <row r="325" spans="1:24" x14ac:dyDescent="0.25">
      <c r="A325" t="str">
        <f>IF(Tests!B326="","",Tests!B326)</f>
        <v/>
      </c>
      <c r="B325" t="str">
        <f>IF(Tests!D326="","",Tests!D326)</f>
        <v/>
      </c>
      <c r="C325" t="str">
        <f>IF(Tests!E326="","",Tests!E326)</f>
        <v/>
      </c>
      <c r="E325" s="54">
        <f t="shared" si="30"/>
        <v>0</v>
      </c>
      <c r="F325" s="54">
        <f t="shared" si="31"/>
        <v>0</v>
      </c>
      <c r="G325" s="54">
        <f t="shared" si="32"/>
        <v>1</v>
      </c>
      <c r="H325" s="54">
        <f t="shared" si="33"/>
        <v>437</v>
      </c>
      <c r="I325" s="56" t="str">
        <f>IFERROR(INDEX($A$2:$A$501,MATCH(SMALL($H$2:$H$501,ROWS($I$2:I325)+$G$502),$H$2:$H$501,0)),"")</f>
        <v/>
      </c>
      <c r="J325">
        <f t="shared" si="34"/>
        <v>261</v>
      </c>
      <c r="K325" t="str">
        <f t="array" ref="K325">INDEX($B$2:$B$501,SMALL(IF($A$2:$A$501=I325,ROW($A$2:$A$501)-ROW(INDEX($A$2:$A$501,1,1))+1),J325))</f>
        <v/>
      </c>
      <c r="L325" t="str">
        <f t="array" ref="L325">INDEX($C$2:$C$501,SMALL(IF($A$2:$A$501=I325,ROW($A$2:$A$501)-ROW(INDEX($A$2:$A$501,1,1))+1),J325))</f>
        <v/>
      </c>
      <c r="N325" t="str">
        <f t="shared" si="35"/>
        <v/>
      </c>
      <c r="S325" s="10">
        <v>324</v>
      </c>
      <c r="T325" s="10" t="str">
        <f t="array" ref="T325">IFERROR(INDEX(A$2:$A$501,MATCH(0,COUNTIF($T$1:T324,A$2:$A$501),0)),"")</f>
        <v/>
      </c>
      <c r="U325" s="10">
        <f>IFERROR(MATCH(T325,I$2:$I$501,0),"")</f>
        <v>64</v>
      </c>
      <c r="V325" s="10">
        <f>COUNTIF(I$2:$I$501,T325)</f>
        <v>437</v>
      </c>
      <c r="W325" s="10"/>
      <c r="X325" s="10"/>
    </row>
    <row r="326" spans="1:24" x14ac:dyDescent="0.25">
      <c r="A326" t="str">
        <f>IF(Tests!B327="","",Tests!B327)</f>
        <v/>
      </c>
      <c r="B326" t="str">
        <f>IF(Tests!D327="","",Tests!D327)</f>
        <v/>
      </c>
      <c r="C326" t="str">
        <f>IF(Tests!E327="","",Tests!E327)</f>
        <v/>
      </c>
      <c r="E326" s="54">
        <f t="shared" si="30"/>
        <v>0</v>
      </c>
      <c r="F326" s="54">
        <f t="shared" si="31"/>
        <v>0</v>
      </c>
      <c r="G326" s="54">
        <f t="shared" si="32"/>
        <v>1</v>
      </c>
      <c r="H326" s="54">
        <f t="shared" si="33"/>
        <v>437</v>
      </c>
      <c r="I326" s="56" t="str">
        <f>IFERROR(INDEX($A$2:$A$501,MATCH(SMALL($H$2:$H$501,ROWS($I$2:I326)+$G$502),$H$2:$H$501,0)),"")</f>
        <v/>
      </c>
      <c r="J326">
        <f t="shared" si="34"/>
        <v>262</v>
      </c>
      <c r="K326" t="str">
        <f t="array" ref="K326">INDEX($B$2:$B$501,SMALL(IF($A$2:$A$501=I326,ROW($A$2:$A$501)-ROW(INDEX($A$2:$A$501,1,1))+1),J326))</f>
        <v/>
      </c>
      <c r="L326" t="str">
        <f t="array" ref="L326">INDEX($C$2:$C$501,SMALL(IF($A$2:$A$501=I326,ROW($A$2:$A$501)-ROW(INDEX($A$2:$A$501,1,1))+1),J326))</f>
        <v/>
      </c>
      <c r="N326" t="str">
        <f t="shared" si="35"/>
        <v/>
      </c>
      <c r="S326" s="10">
        <v>325</v>
      </c>
      <c r="T326" s="10" t="str">
        <f t="array" ref="T326">IFERROR(INDEX(A$2:$A$501,MATCH(0,COUNTIF($T$1:T325,A$2:$A$501),0)),"")</f>
        <v/>
      </c>
      <c r="U326" s="10">
        <f>IFERROR(MATCH(T326,I$2:$I$501,0),"")</f>
        <v>64</v>
      </c>
      <c r="V326" s="10">
        <f>COUNTIF(I$2:$I$501,T326)</f>
        <v>437</v>
      </c>
      <c r="W326" s="10"/>
      <c r="X326" s="10"/>
    </row>
    <row r="327" spans="1:24" x14ac:dyDescent="0.25">
      <c r="A327" t="str">
        <f>IF(Tests!B328="","",Tests!B328)</f>
        <v/>
      </c>
      <c r="B327" t="str">
        <f>IF(Tests!D328="","",Tests!D328)</f>
        <v/>
      </c>
      <c r="C327" t="str">
        <f>IF(Tests!E328="","",Tests!E328)</f>
        <v/>
      </c>
      <c r="E327" s="54">
        <f t="shared" si="30"/>
        <v>0</v>
      </c>
      <c r="F327" s="54">
        <f t="shared" si="31"/>
        <v>0</v>
      </c>
      <c r="G327" s="54">
        <f t="shared" si="32"/>
        <v>1</v>
      </c>
      <c r="H327" s="54">
        <f t="shared" si="33"/>
        <v>437</v>
      </c>
      <c r="I327" s="56" t="str">
        <f>IFERROR(INDEX($A$2:$A$501,MATCH(SMALL($H$2:$H$501,ROWS($I$2:I327)+$G$502),$H$2:$H$501,0)),"")</f>
        <v/>
      </c>
      <c r="J327">
        <f t="shared" si="34"/>
        <v>263</v>
      </c>
      <c r="K327" t="str">
        <f t="array" ref="K327">INDEX($B$2:$B$501,SMALL(IF($A$2:$A$501=I327,ROW($A$2:$A$501)-ROW(INDEX($A$2:$A$501,1,1))+1),J327))</f>
        <v/>
      </c>
      <c r="L327" t="str">
        <f t="array" ref="L327">INDEX($C$2:$C$501,SMALL(IF($A$2:$A$501=I327,ROW($A$2:$A$501)-ROW(INDEX($A$2:$A$501,1,1))+1),J327))</f>
        <v/>
      </c>
      <c r="N327" t="str">
        <f t="shared" si="35"/>
        <v/>
      </c>
      <c r="S327" s="10">
        <v>326</v>
      </c>
      <c r="T327" s="10" t="str">
        <f t="array" ref="T327">IFERROR(INDEX(A$2:$A$501,MATCH(0,COUNTIF($T$1:T326,A$2:$A$501),0)),"")</f>
        <v/>
      </c>
      <c r="U327" s="10">
        <f>IFERROR(MATCH(T327,I$2:$I$501,0),"")</f>
        <v>64</v>
      </c>
      <c r="V327" s="10">
        <f>COUNTIF(I$2:$I$501,T327)</f>
        <v>437</v>
      </c>
      <c r="W327" s="10"/>
      <c r="X327" s="10"/>
    </row>
    <row r="328" spans="1:24" x14ac:dyDescent="0.25">
      <c r="A328" t="str">
        <f>IF(Tests!B329="","",Tests!B329)</f>
        <v/>
      </c>
      <c r="B328" t="str">
        <f>IF(Tests!D329="","",Tests!D329)</f>
        <v/>
      </c>
      <c r="C328" t="str">
        <f>IF(Tests!E329="","",Tests!E329)</f>
        <v/>
      </c>
      <c r="E328" s="54">
        <f t="shared" si="30"/>
        <v>0</v>
      </c>
      <c r="F328" s="54">
        <f t="shared" si="31"/>
        <v>0</v>
      </c>
      <c r="G328" s="54">
        <f t="shared" si="32"/>
        <v>1</v>
      </c>
      <c r="H328" s="54">
        <f t="shared" si="33"/>
        <v>437</v>
      </c>
      <c r="I328" s="56" t="str">
        <f>IFERROR(INDEX($A$2:$A$501,MATCH(SMALL($H$2:$H$501,ROWS($I$2:I328)+$G$502),$H$2:$H$501,0)),"")</f>
        <v/>
      </c>
      <c r="J328">
        <f t="shared" si="34"/>
        <v>264</v>
      </c>
      <c r="K328" t="str">
        <f t="array" ref="K328">INDEX($B$2:$B$501,SMALL(IF($A$2:$A$501=I328,ROW($A$2:$A$501)-ROW(INDEX($A$2:$A$501,1,1))+1),J328))</f>
        <v/>
      </c>
      <c r="L328" t="str">
        <f t="array" ref="L328">INDEX($C$2:$C$501,SMALL(IF($A$2:$A$501=I328,ROW($A$2:$A$501)-ROW(INDEX($A$2:$A$501,1,1))+1),J328))</f>
        <v/>
      </c>
      <c r="N328" t="str">
        <f t="shared" si="35"/>
        <v/>
      </c>
      <c r="S328" s="10">
        <v>327</v>
      </c>
      <c r="T328" s="10" t="str">
        <f t="array" ref="T328">IFERROR(INDEX(A$2:$A$501,MATCH(0,COUNTIF($T$1:T327,A$2:$A$501),0)),"")</f>
        <v/>
      </c>
      <c r="U328" s="10">
        <f>IFERROR(MATCH(T328,I$2:$I$501,0),"")</f>
        <v>64</v>
      </c>
      <c r="V328" s="10">
        <f>COUNTIF(I$2:$I$501,T328)</f>
        <v>437</v>
      </c>
      <c r="W328" s="10"/>
      <c r="X328" s="10"/>
    </row>
    <row r="329" spans="1:24" x14ac:dyDescent="0.25">
      <c r="A329" t="str">
        <f>IF(Tests!B330="","",Tests!B330)</f>
        <v/>
      </c>
      <c r="B329" t="str">
        <f>IF(Tests!D330="","",Tests!D330)</f>
        <v/>
      </c>
      <c r="C329" t="str">
        <f>IF(Tests!E330="","",Tests!E330)</f>
        <v/>
      </c>
      <c r="E329" s="54">
        <f t="shared" si="30"/>
        <v>0</v>
      </c>
      <c r="F329" s="54">
        <f t="shared" si="31"/>
        <v>0</v>
      </c>
      <c r="G329" s="54">
        <f t="shared" si="32"/>
        <v>1</v>
      </c>
      <c r="H329" s="54">
        <f t="shared" si="33"/>
        <v>437</v>
      </c>
      <c r="I329" s="56" t="str">
        <f>IFERROR(INDEX($A$2:$A$501,MATCH(SMALL($H$2:$H$501,ROWS($I$2:I329)+$G$502),$H$2:$H$501,0)),"")</f>
        <v/>
      </c>
      <c r="J329">
        <f t="shared" si="34"/>
        <v>265</v>
      </c>
      <c r="K329" t="str">
        <f t="array" ref="K329">INDEX($B$2:$B$501,SMALL(IF($A$2:$A$501=I329,ROW($A$2:$A$501)-ROW(INDEX($A$2:$A$501,1,1))+1),J329))</f>
        <v/>
      </c>
      <c r="L329" t="str">
        <f t="array" ref="L329">INDEX($C$2:$C$501,SMALL(IF($A$2:$A$501=I329,ROW($A$2:$A$501)-ROW(INDEX($A$2:$A$501,1,1))+1),J329))</f>
        <v/>
      </c>
      <c r="N329" t="str">
        <f t="shared" si="35"/>
        <v/>
      </c>
      <c r="S329" s="10">
        <v>328</v>
      </c>
      <c r="T329" s="10" t="str">
        <f t="array" ref="T329">IFERROR(INDEX(A$2:$A$501,MATCH(0,COUNTIF($T$1:T328,A$2:$A$501),0)),"")</f>
        <v/>
      </c>
      <c r="U329" s="10">
        <f>IFERROR(MATCH(T329,I$2:$I$501,0),"")</f>
        <v>64</v>
      </c>
      <c r="V329" s="10">
        <f>COUNTIF(I$2:$I$501,T329)</f>
        <v>437</v>
      </c>
      <c r="W329" s="10"/>
      <c r="X329" s="10"/>
    </row>
    <row r="330" spans="1:24" x14ac:dyDescent="0.25">
      <c r="A330" t="str">
        <f>IF(Tests!B331="","",Tests!B331)</f>
        <v/>
      </c>
      <c r="B330" t="str">
        <f>IF(Tests!D331="","",Tests!D331)</f>
        <v/>
      </c>
      <c r="C330" t="str">
        <f>IF(Tests!E331="","",Tests!E331)</f>
        <v/>
      </c>
      <c r="E330" s="54">
        <f t="shared" si="30"/>
        <v>0</v>
      </c>
      <c r="F330" s="54">
        <f t="shared" si="31"/>
        <v>0</v>
      </c>
      <c r="G330" s="54">
        <f t="shared" si="32"/>
        <v>1</v>
      </c>
      <c r="H330" s="54">
        <f t="shared" si="33"/>
        <v>437</v>
      </c>
      <c r="I330" s="56" t="str">
        <f>IFERROR(INDEX($A$2:$A$501,MATCH(SMALL($H$2:$H$501,ROWS($I$2:I330)+$G$502),$H$2:$H$501,0)),"")</f>
        <v/>
      </c>
      <c r="J330">
        <f t="shared" si="34"/>
        <v>266</v>
      </c>
      <c r="K330" t="str">
        <f t="array" ref="K330">INDEX($B$2:$B$501,SMALL(IF($A$2:$A$501=I330,ROW($A$2:$A$501)-ROW(INDEX($A$2:$A$501,1,1))+1),J330))</f>
        <v/>
      </c>
      <c r="L330" t="str">
        <f t="array" ref="L330">INDEX($C$2:$C$501,SMALL(IF($A$2:$A$501=I330,ROW($A$2:$A$501)-ROW(INDEX($A$2:$A$501,1,1))+1),J330))</f>
        <v/>
      </c>
      <c r="N330" t="str">
        <f t="shared" si="35"/>
        <v/>
      </c>
      <c r="S330" s="10">
        <v>329</v>
      </c>
      <c r="T330" s="10" t="str">
        <f t="array" ref="T330">IFERROR(INDEX(A$2:$A$501,MATCH(0,COUNTIF($T$1:T329,A$2:$A$501),0)),"")</f>
        <v/>
      </c>
      <c r="U330" s="10">
        <f>IFERROR(MATCH(T330,I$2:$I$501,0),"")</f>
        <v>64</v>
      </c>
      <c r="V330" s="10">
        <f>COUNTIF(I$2:$I$501,T330)</f>
        <v>437</v>
      </c>
      <c r="W330" s="10"/>
      <c r="X330" s="10"/>
    </row>
    <row r="331" spans="1:24" x14ac:dyDescent="0.25">
      <c r="A331" t="str">
        <f>IF(Tests!B332="","",Tests!B332)</f>
        <v/>
      </c>
      <c r="B331" t="str">
        <f>IF(Tests!D332="","",Tests!D332)</f>
        <v/>
      </c>
      <c r="C331" t="str">
        <f>IF(Tests!E332="","",Tests!E332)</f>
        <v/>
      </c>
      <c r="E331" s="54">
        <f t="shared" si="30"/>
        <v>0</v>
      </c>
      <c r="F331" s="54">
        <f t="shared" si="31"/>
        <v>0</v>
      </c>
      <c r="G331" s="54">
        <f t="shared" si="32"/>
        <v>1</v>
      </c>
      <c r="H331" s="54">
        <f t="shared" si="33"/>
        <v>437</v>
      </c>
      <c r="I331" s="56" t="str">
        <f>IFERROR(INDEX($A$2:$A$501,MATCH(SMALL($H$2:$H$501,ROWS($I$2:I331)+$G$502),$H$2:$H$501,0)),"")</f>
        <v/>
      </c>
      <c r="J331">
        <f t="shared" si="34"/>
        <v>267</v>
      </c>
      <c r="K331" t="str">
        <f t="array" ref="K331">INDEX($B$2:$B$501,SMALL(IF($A$2:$A$501=I331,ROW($A$2:$A$501)-ROW(INDEX($A$2:$A$501,1,1))+1),J331))</f>
        <v/>
      </c>
      <c r="L331" t="str">
        <f t="array" ref="L331">INDEX($C$2:$C$501,SMALL(IF($A$2:$A$501=I331,ROW($A$2:$A$501)-ROW(INDEX($A$2:$A$501,1,1))+1),J331))</f>
        <v/>
      </c>
      <c r="N331" t="str">
        <f t="shared" si="35"/>
        <v/>
      </c>
      <c r="S331" s="10">
        <v>330</v>
      </c>
      <c r="T331" s="10" t="str">
        <f t="array" ref="T331">IFERROR(INDEX(A$2:$A$501,MATCH(0,COUNTIF($T$1:T330,A$2:$A$501),0)),"")</f>
        <v/>
      </c>
      <c r="U331" s="10">
        <f>IFERROR(MATCH(T331,I$2:$I$501,0),"")</f>
        <v>64</v>
      </c>
      <c r="V331" s="10">
        <f>COUNTIF(I$2:$I$501,T331)</f>
        <v>437</v>
      </c>
      <c r="W331" s="10"/>
      <c r="X331" s="10"/>
    </row>
    <row r="332" spans="1:24" x14ac:dyDescent="0.25">
      <c r="A332" t="str">
        <f>IF(Tests!B333="","",Tests!B333)</f>
        <v/>
      </c>
      <c r="B332" t="str">
        <f>IF(Tests!D333="","",Tests!D333)</f>
        <v/>
      </c>
      <c r="C332" t="str">
        <f>IF(Tests!E333="","",Tests!E333)</f>
        <v/>
      </c>
      <c r="E332" s="54">
        <f t="shared" si="30"/>
        <v>0</v>
      </c>
      <c r="F332" s="54">
        <f t="shared" si="31"/>
        <v>0</v>
      </c>
      <c r="G332" s="54">
        <f t="shared" si="32"/>
        <v>1</v>
      </c>
      <c r="H332" s="54">
        <f t="shared" si="33"/>
        <v>437</v>
      </c>
      <c r="I332" s="56" t="str">
        <f>IFERROR(INDEX($A$2:$A$501,MATCH(SMALL($H$2:$H$501,ROWS($I$2:I332)+$G$502),$H$2:$H$501,0)),"")</f>
        <v/>
      </c>
      <c r="J332">
        <f t="shared" si="34"/>
        <v>268</v>
      </c>
      <c r="K332" t="str">
        <f t="array" ref="K332">INDEX($B$2:$B$501,SMALL(IF($A$2:$A$501=I332,ROW($A$2:$A$501)-ROW(INDEX($A$2:$A$501,1,1))+1),J332))</f>
        <v/>
      </c>
      <c r="L332" t="str">
        <f t="array" ref="L332">INDEX($C$2:$C$501,SMALL(IF($A$2:$A$501=I332,ROW($A$2:$A$501)-ROW(INDEX($A$2:$A$501,1,1))+1),J332))</f>
        <v/>
      </c>
      <c r="N332" t="str">
        <f t="shared" si="35"/>
        <v/>
      </c>
      <c r="S332" s="10">
        <v>331</v>
      </c>
      <c r="T332" s="10" t="str">
        <f t="array" ref="T332">IFERROR(INDEX(A$2:$A$501,MATCH(0,COUNTIF($T$1:T331,A$2:$A$501),0)),"")</f>
        <v/>
      </c>
      <c r="U332" s="10">
        <f>IFERROR(MATCH(T332,I$2:$I$501,0),"")</f>
        <v>64</v>
      </c>
      <c r="V332" s="10">
        <f>COUNTIF(I$2:$I$501,T332)</f>
        <v>437</v>
      </c>
      <c r="W332" s="10"/>
      <c r="X332" s="10"/>
    </row>
    <row r="333" spans="1:24" x14ac:dyDescent="0.25">
      <c r="A333" t="str">
        <f>IF(Tests!B334="","",Tests!B334)</f>
        <v/>
      </c>
      <c r="B333" t="str">
        <f>IF(Tests!D334="","",Tests!D334)</f>
        <v/>
      </c>
      <c r="C333" t="str">
        <f>IF(Tests!E334="","",Tests!E334)</f>
        <v/>
      </c>
      <c r="E333" s="54">
        <f t="shared" si="30"/>
        <v>0</v>
      </c>
      <c r="F333" s="54">
        <f t="shared" si="31"/>
        <v>0</v>
      </c>
      <c r="G333" s="54">
        <f t="shared" si="32"/>
        <v>1</v>
      </c>
      <c r="H333" s="54">
        <f t="shared" si="33"/>
        <v>437</v>
      </c>
      <c r="I333" s="56" t="str">
        <f>IFERROR(INDEX($A$2:$A$501,MATCH(SMALL($H$2:$H$501,ROWS($I$2:I333)+$G$502),$H$2:$H$501,0)),"")</f>
        <v/>
      </c>
      <c r="J333">
        <f t="shared" si="34"/>
        <v>269</v>
      </c>
      <c r="K333" t="str">
        <f t="array" ref="K333">INDEX($B$2:$B$501,SMALL(IF($A$2:$A$501=I333,ROW($A$2:$A$501)-ROW(INDEX($A$2:$A$501,1,1))+1),J333))</f>
        <v/>
      </c>
      <c r="L333" t="str">
        <f t="array" ref="L333">INDEX($C$2:$C$501,SMALL(IF($A$2:$A$501=I333,ROW($A$2:$A$501)-ROW(INDEX($A$2:$A$501,1,1))+1),J333))</f>
        <v/>
      </c>
      <c r="N333" t="str">
        <f t="shared" si="35"/>
        <v/>
      </c>
      <c r="S333" s="10">
        <v>332</v>
      </c>
      <c r="T333" s="10" t="str">
        <f t="array" ref="T333">IFERROR(INDEX(A$2:$A$501,MATCH(0,COUNTIF($T$1:T332,A$2:$A$501),0)),"")</f>
        <v/>
      </c>
      <c r="U333" s="10">
        <f>IFERROR(MATCH(T333,I$2:$I$501,0),"")</f>
        <v>64</v>
      </c>
      <c r="V333" s="10">
        <f>COUNTIF(I$2:$I$501,T333)</f>
        <v>437</v>
      </c>
      <c r="W333" s="10"/>
      <c r="X333" s="10"/>
    </row>
    <row r="334" spans="1:24" x14ac:dyDescent="0.25">
      <c r="A334" t="str">
        <f>IF(Tests!B335="","",Tests!B335)</f>
        <v/>
      </c>
      <c r="B334" t="str">
        <f>IF(Tests!D335="","",Tests!D335)</f>
        <v/>
      </c>
      <c r="C334" t="str">
        <f>IF(Tests!E335="","",Tests!E335)</f>
        <v/>
      </c>
      <c r="E334" s="54">
        <f t="shared" si="30"/>
        <v>0</v>
      </c>
      <c r="F334" s="54">
        <f t="shared" si="31"/>
        <v>0</v>
      </c>
      <c r="G334" s="54">
        <f t="shared" si="32"/>
        <v>1</v>
      </c>
      <c r="H334" s="54">
        <f t="shared" si="33"/>
        <v>437</v>
      </c>
      <c r="I334" s="56" t="str">
        <f>IFERROR(INDEX($A$2:$A$501,MATCH(SMALL($H$2:$H$501,ROWS($I$2:I334)+$G$502),$H$2:$H$501,0)),"")</f>
        <v/>
      </c>
      <c r="J334">
        <f t="shared" si="34"/>
        <v>270</v>
      </c>
      <c r="K334" t="str">
        <f t="array" ref="K334">INDEX($B$2:$B$501,SMALL(IF($A$2:$A$501=I334,ROW($A$2:$A$501)-ROW(INDEX($A$2:$A$501,1,1))+1),J334))</f>
        <v/>
      </c>
      <c r="L334" t="str">
        <f t="array" ref="L334">INDEX($C$2:$C$501,SMALL(IF($A$2:$A$501=I334,ROW($A$2:$A$501)-ROW(INDEX($A$2:$A$501,1,1))+1),J334))</f>
        <v/>
      </c>
      <c r="N334" t="str">
        <f t="shared" si="35"/>
        <v/>
      </c>
      <c r="S334" s="10">
        <v>333</v>
      </c>
      <c r="T334" s="10" t="str">
        <f t="array" ref="T334">IFERROR(INDEX(A$2:$A$501,MATCH(0,COUNTIF($T$1:T333,A$2:$A$501),0)),"")</f>
        <v/>
      </c>
      <c r="U334" s="10">
        <f>IFERROR(MATCH(T334,I$2:$I$501,0),"")</f>
        <v>64</v>
      </c>
      <c r="V334" s="10">
        <f>COUNTIF(I$2:$I$501,T334)</f>
        <v>437</v>
      </c>
      <c r="W334" s="10"/>
      <c r="X334" s="10"/>
    </row>
    <row r="335" spans="1:24" x14ac:dyDescent="0.25">
      <c r="A335" t="str">
        <f>IF(Tests!B336="","",Tests!B336)</f>
        <v/>
      </c>
      <c r="B335" t="str">
        <f>IF(Tests!D336="","",Tests!D336)</f>
        <v/>
      </c>
      <c r="C335" t="str">
        <f>IF(Tests!E336="","",Tests!E336)</f>
        <v/>
      </c>
      <c r="E335" s="54">
        <f t="shared" si="30"/>
        <v>0</v>
      </c>
      <c r="F335" s="54">
        <f t="shared" si="31"/>
        <v>0</v>
      </c>
      <c r="G335" s="54">
        <f t="shared" si="32"/>
        <v>1</v>
      </c>
      <c r="H335" s="54">
        <f t="shared" si="33"/>
        <v>437</v>
      </c>
      <c r="I335" s="56" t="str">
        <f>IFERROR(INDEX($A$2:$A$501,MATCH(SMALL($H$2:$H$501,ROWS($I$2:I335)+$G$502),$H$2:$H$501,0)),"")</f>
        <v/>
      </c>
      <c r="J335">
        <f t="shared" si="34"/>
        <v>271</v>
      </c>
      <c r="K335" t="str">
        <f t="array" ref="K335">INDEX($B$2:$B$501,SMALL(IF($A$2:$A$501=I335,ROW($A$2:$A$501)-ROW(INDEX($A$2:$A$501,1,1))+1),J335))</f>
        <v/>
      </c>
      <c r="L335" t="str">
        <f t="array" ref="L335">INDEX($C$2:$C$501,SMALL(IF($A$2:$A$501=I335,ROW($A$2:$A$501)-ROW(INDEX($A$2:$A$501,1,1))+1),J335))</f>
        <v/>
      </c>
      <c r="N335" t="str">
        <f t="shared" si="35"/>
        <v/>
      </c>
      <c r="S335" s="10">
        <v>334</v>
      </c>
      <c r="T335" s="10" t="str">
        <f t="array" ref="T335">IFERROR(INDEX(A$2:$A$501,MATCH(0,COUNTIF($T$1:T334,A$2:$A$501),0)),"")</f>
        <v/>
      </c>
      <c r="U335" s="10">
        <f>IFERROR(MATCH(T335,I$2:$I$501,0),"")</f>
        <v>64</v>
      </c>
      <c r="V335" s="10">
        <f>COUNTIF(I$2:$I$501,T335)</f>
        <v>437</v>
      </c>
      <c r="W335" s="10"/>
      <c r="X335" s="10"/>
    </row>
    <row r="336" spans="1:24" x14ac:dyDescent="0.25">
      <c r="A336" t="str">
        <f>IF(Tests!B337="","",Tests!B337)</f>
        <v/>
      </c>
      <c r="B336" t="str">
        <f>IF(Tests!D337="","",Tests!D337)</f>
        <v/>
      </c>
      <c r="C336" t="str">
        <f>IF(Tests!E337="","",Tests!E337)</f>
        <v/>
      </c>
      <c r="E336" s="54">
        <f t="shared" si="30"/>
        <v>0</v>
      </c>
      <c r="F336" s="54">
        <f t="shared" si="31"/>
        <v>0</v>
      </c>
      <c r="G336" s="54">
        <f t="shared" si="32"/>
        <v>1</v>
      </c>
      <c r="H336" s="54">
        <f t="shared" si="33"/>
        <v>437</v>
      </c>
      <c r="I336" s="56" t="str">
        <f>IFERROR(INDEX($A$2:$A$501,MATCH(SMALL($H$2:$H$501,ROWS($I$2:I336)+$G$502),$H$2:$H$501,0)),"")</f>
        <v/>
      </c>
      <c r="J336">
        <f t="shared" si="34"/>
        <v>272</v>
      </c>
      <c r="K336" t="str">
        <f t="array" ref="K336">INDEX($B$2:$B$501,SMALL(IF($A$2:$A$501=I336,ROW($A$2:$A$501)-ROW(INDEX($A$2:$A$501,1,1))+1),J336))</f>
        <v/>
      </c>
      <c r="L336" t="str">
        <f t="array" ref="L336">INDEX($C$2:$C$501,SMALL(IF($A$2:$A$501=I336,ROW($A$2:$A$501)-ROW(INDEX($A$2:$A$501,1,1))+1),J336))</f>
        <v/>
      </c>
      <c r="N336" t="str">
        <f t="shared" si="35"/>
        <v/>
      </c>
      <c r="S336" s="10">
        <v>335</v>
      </c>
      <c r="T336" s="10" t="str">
        <f t="array" ref="T336">IFERROR(INDEX(A$2:$A$501,MATCH(0,COUNTIF($T$1:T335,A$2:$A$501),0)),"")</f>
        <v/>
      </c>
      <c r="U336" s="10">
        <f>IFERROR(MATCH(T336,I$2:$I$501,0),"")</f>
        <v>64</v>
      </c>
      <c r="V336" s="10">
        <f>COUNTIF(I$2:$I$501,T336)</f>
        <v>437</v>
      </c>
      <c r="W336" s="10"/>
      <c r="X336" s="10"/>
    </row>
    <row r="337" spans="1:24" x14ac:dyDescent="0.25">
      <c r="A337" t="str">
        <f>IF(Tests!B338="","",Tests!B338)</f>
        <v/>
      </c>
      <c r="B337" t="str">
        <f>IF(Tests!D338="","",Tests!D338)</f>
        <v/>
      </c>
      <c r="C337" t="str">
        <f>IF(Tests!E338="","",Tests!E338)</f>
        <v/>
      </c>
      <c r="E337" s="54">
        <f t="shared" si="30"/>
        <v>0</v>
      </c>
      <c r="F337" s="54">
        <f t="shared" si="31"/>
        <v>0</v>
      </c>
      <c r="G337" s="54">
        <f t="shared" si="32"/>
        <v>1</v>
      </c>
      <c r="H337" s="54">
        <f t="shared" si="33"/>
        <v>437</v>
      </c>
      <c r="I337" s="56" t="str">
        <f>IFERROR(INDEX($A$2:$A$501,MATCH(SMALL($H$2:$H$501,ROWS($I$2:I337)+$G$502),$H$2:$H$501,0)),"")</f>
        <v/>
      </c>
      <c r="J337">
        <f t="shared" si="34"/>
        <v>273</v>
      </c>
      <c r="K337" t="str">
        <f t="array" ref="K337">INDEX($B$2:$B$501,SMALL(IF($A$2:$A$501=I337,ROW($A$2:$A$501)-ROW(INDEX($A$2:$A$501,1,1))+1),J337))</f>
        <v/>
      </c>
      <c r="L337" t="str">
        <f t="array" ref="L337">INDEX($C$2:$C$501,SMALL(IF($A$2:$A$501=I337,ROW($A$2:$A$501)-ROW(INDEX($A$2:$A$501,1,1))+1),J337))</f>
        <v/>
      </c>
      <c r="N337" t="str">
        <f t="shared" si="35"/>
        <v/>
      </c>
      <c r="S337" s="10">
        <v>336</v>
      </c>
      <c r="T337" s="10" t="str">
        <f t="array" ref="T337">IFERROR(INDEX(A$2:$A$501,MATCH(0,COUNTIF($T$1:T336,A$2:$A$501),0)),"")</f>
        <v/>
      </c>
      <c r="U337" s="10">
        <f>IFERROR(MATCH(T337,I$2:$I$501,0),"")</f>
        <v>64</v>
      </c>
      <c r="V337" s="10">
        <f>COUNTIF(I$2:$I$501,T337)</f>
        <v>437</v>
      </c>
      <c r="W337" s="10"/>
      <c r="X337" s="10"/>
    </row>
    <row r="338" spans="1:24" x14ac:dyDescent="0.25">
      <c r="A338" t="str">
        <f>IF(Tests!B339="","",Tests!B339)</f>
        <v/>
      </c>
      <c r="B338" t="str">
        <f>IF(Tests!D339="","",Tests!D339)</f>
        <v/>
      </c>
      <c r="C338" t="str">
        <f>IF(Tests!E339="","",Tests!E339)</f>
        <v/>
      </c>
      <c r="E338" s="54">
        <f t="shared" si="30"/>
        <v>0</v>
      </c>
      <c r="F338" s="54">
        <f t="shared" si="31"/>
        <v>0</v>
      </c>
      <c r="G338" s="54">
        <f t="shared" si="32"/>
        <v>1</v>
      </c>
      <c r="H338" s="54">
        <f t="shared" si="33"/>
        <v>437</v>
      </c>
      <c r="I338" s="56" t="str">
        <f>IFERROR(INDEX($A$2:$A$501,MATCH(SMALL($H$2:$H$501,ROWS($I$2:I338)+$G$502),$H$2:$H$501,0)),"")</f>
        <v/>
      </c>
      <c r="J338">
        <f t="shared" si="34"/>
        <v>274</v>
      </c>
      <c r="K338" t="str">
        <f t="array" ref="K338">INDEX($B$2:$B$501,SMALL(IF($A$2:$A$501=I338,ROW($A$2:$A$501)-ROW(INDEX($A$2:$A$501,1,1))+1),J338))</f>
        <v/>
      </c>
      <c r="L338" t="str">
        <f t="array" ref="L338">INDEX($C$2:$C$501,SMALL(IF($A$2:$A$501=I338,ROW($A$2:$A$501)-ROW(INDEX($A$2:$A$501,1,1))+1),J338))</f>
        <v/>
      </c>
      <c r="N338" t="str">
        <f t="shared" si="35"/>
        <v/>
      </c>
      <c r="S338" s="10">
        <v>337</v>
      </c>
      <c r="T338" s="10" t="str">
        <f t="array" ref="T338">IFERROR(INDEX(A$2:$A$501,MATCH(0,COUNTIF($T$1:T337,A$2:$A$501),0)),"")</f>
        <v/>
      </c>
      <c r="U338" s="10">
        <f>IFERROR(MATCH(T338,I$2:$I$501,0),"")</f>
        <v>64</v>
      </c>
      <c r="V338" s="10">
        <f>COUNTIF(I$2:$I$501,T338)</f>
        <v>437</v>
      </c>
      <c r="W338" s="10"/>
      <c r="X338" s="10"/>
    </row>
    <row r="339" spans="1:24" x14ac:dyDescent="0.25">
      <c r="A339" t="str">
        <f>IF(Tests!B340="","",Tests!B340)</f>
        <v/>
      </c>
      <c r="B339" t="str">
        <f>IF(Tests!D340="","",Tests!D340)</f>
        <v/>
      </c>
      <c r="C339" t="str">
        <f>IF(Tests!E340="","",Tests!E340)</f>
        <v/>
      </c>
      <c r="E339" s="54">
        <f t="shared" si="30"/>
        <v>0</v>
      </c>
      <c r="F339" s="54">
        <f t="shared" si="31"/>
        <v>0</v>
      </c>
      <c r="G339" s="54">
        <f t="shared" si="32"/>
        <v>1</v>
      </c>
      <c r="H339" s="54">
        <f t="shared" si="33"/>
        <v>437</v>
      </c>
      <c r="I339" s="56" t="str">
        <f>IFERROR(INDEX($A$2:$A$501,MATCH(SMALL($H$2:$H$501,ROWS($I$2:I339)+$G$502),$H$2:$H$501,0)),"")</f>
        <v/>
      </c>
      <c r="J339">
        <f t="shared" si="34"/>
        <v>275</v>
      </c>
      <c r="K339" t="str">
        <f t="array" ref="K339">INDEX($B$2:$B$501,SMALL(IF($A$2:$A$501=I339,ROW($A$2:$A$501)-ROW(INDEX($A$2:$A$501,1,1))+1),J339))</f>
        <v/>
      </c>
      <c r="L339" t="str">
        <f t="array" ref="L339">INDEX($C$2:$C$501,SMALL(IF($A$2:$A$501=I339,ROW($A$2:$A$501)-ROW(INDEX($A$2:$A$501,1,1))+1),J339))</f>
        <v/>
      </c>
      <c r="N339" t="str">
        <f t="shared" si="35"/>
        <v/>
      </c>
      <c r="S339" s="10">
        <v>338</v>
      </c>
      <c r="T339" s="10" t="str">
        <f t="array" ref="T339">IFERROR(INDEX(A$2:$A$501,MATCH(0,COUNTIF($T$1:T338,A$2:$A$501),0)),"")</f>
        <v/>
      </c>
      <c r="U339" s="10">
        <f>IFERROR(MATCH(T339,I$2:$I$501,0),"")</f>
        <v>64</v>
      </c>
      <c r="V339" s="10">
        <f>COUNTIF(I$2:$I$501,T339)</f>
        <v>437</v>
      </c>
      <c r="W339" s="10"/>
      <c r="X339" s="10"/>
    </row>
    <row r="340" spans="1:24" x14ac:dyDescent="0.25">
      <c r="A340" t="str">
        <f>IF(Tests!B341="","",Tests!B341)</f>
        <v/>
      </c>
      <c r="B340" t="str">
        <f>IF(Tests!D341="","",Tests!D341)</f>
        <v/>
      </c>
      <c r="C340" t="str">
        <f>IF(Tests!E341="","",Tests!E341)</f>
        <v/>
      </c>
      <c r="E340" s="54">
        <f t="shared" si="30"/>
        <v>0</v>
      </c>
      <c r="F340" s="54">
        <f t="shared" si="31"/>
        <v>0</v>
      </c>
      <c r="G340" s="54">
        <f t="shared" si="32"/>
        <v>1</v>
      </c>
      <c r="H340" s="54">
        <f t="shared" si="33"/>
        <v>437</v>
      </c>
      <c r="I340" s="56" t="str">
        <f>IFERROR(INDEX($A$2:$A$501,MATCH(SMALL($H$2:$H$501,ROWS($I$2:I340)+$G$502),$H$2:$H$501,0)),"")</f>
        <v/>
      </c>
      <c r="J340">
        <f t="shared" si="34"/>
        <v>276</v>
      </c>
      <c r="K340" t="str">
        <f t="array" ref="K340">INDEX($B$2:$B$501,SMALL(IF($A$2:$A$501=I340,ROW($A$2:$A$501)-ROW(INDEX($A$2:$A$501,1,1))+1),J340))</f>
        <v/>
      </c>
      <c r="L340" t="str">
        <f t="array" ref="L340">INDEX($C$2:$C$501,SMALL(IF($A$2:$A$501=I340,ROW($A$2:$A$501)-ROW(INDEX($A$2:$A$501,1,1))+1),J340))</f>
        <v/>
      </c>
      <c r="N340" t="str">
        <f t="shared" si="35"/>
        <v/>
      </c>
      <c r="S340" s="10">
        <v>339</v>
      </c>
      <c r="T340" s="10" t="str">
        <f t="array" ref="T340">IFERROR(INDEX(A$2:$A$501,MATCH(0,COUNTIF($T$1:T339,A$2:$A$501),0)),"")</f>
        <v/>
      </c>
      <c r="U340" s="10">
        <f>IFERROR(MATCH(T340,I$2:$I$501,0),"")</f>
        <v>64</v>
      </c>
      <c r="V340" s="10">
        <f>COUNTIF(I$2:$I$501,T340)</f>
        <v>437</v>
      </c>
      <c r="W340" s="10"/>
      <c r="X340" s="10"/>
    </row>
    <row r="341" spans="1:24" x14ac:dyDescent="0.25">
      <c r="A341" t="str">
        <f>IF(Tests!B342="","",Tests!B342)</f>
        <v/>
      </c>
      <c r="B341" t="str">
        <f>IF(Tests!D342="","",Tests!D342)</f>
        <v/>
      </c>
      <c r="C341" t="str">
        <f>IF(Tests!E342="","",Tests!E342)</f>
        <v/>
      </c>
      <c r="E341" s="54">
        <f t="shared" si="30"/>
        <v>0</v>
      </c>
      <c r="F341" s="54">
        <f t="shared" si="31"/>
        <v>0</v>
      </c>
      <c r="G341" s="54">
        <f t="shared" si="32"/>
        <v>1</v>
      </c>
      <c r="H341" s="54">
        <f t="shared" si="33"/>
        <v>437</v>
      </c>
      <c r="I341" s="56" t="str">
        <f>IFERROR(INDEX($A$2:$A$501,MATCH(SMALL($H$2:$H$501,ROWS($I$2:I341)+$G$502),$H$2:$H$501,0)),"")</f>
        <v/>
      </c>
      <c r="J341">
        <f t="shared" si="34"/>
        <v>277</v>
      </c>
      <c r="K341" t="str">
        <f t="array" ref="K341">INDEX($B$2:$B$501,SMALL(IF($A$2:$A$501=I341,ROW($A$2:$A$501)-ROW(INDEX($A$2:$A$501,1,1))+1),J341))</f>
        <v/>
      </c>
      <c r="L341" t="str">
        <f t="array" ref="L341">INDEX($C$2:$C$501,SMALL(IF($A$2:$A$501=I341,ROW($A$2:$A$501)-ROW(INDEX($A$2:$A$501,1,1))+1),J341))</f>
        <v/>
      </c>
      <c r="N341" t="str">
        <f t="shared" si="35"/>
        <v/>
      </c>
      <c r="S341" s="10">
        <v>340</v>
      </c>
      <c r="T341" s="10" t="str">
        <f t="array" ref="T341">IFERROR(INDEX(A$2:$A$501,MATCH(0,COUNTIF($T$1:T340,A$2:$A$501),0)),"")</f>
        <v/>
      </c>
      <c r="U341" s="10">
        <f>IFERROR(MATCH(T341,I$2:$I$501,0),"")</f>
        <v>64</v>
      </c>
      <c r="V341" s="10">
        <f>COUNTIF(I$2:$I$501,T341)</f>
        <v>437</v>
      </c>
      <c r="W341" s="10"/>
      <c r="X341" s="10"/>
    </row>
    <row r="342" spans="1:24" x14ac:dyDescent="0.25">
      <c r="A342" t="str">
        <f>IF(Tests!B343="","",Tests!B343)</f>
        <v/>
      </c>
      <c r="B342" t="str">
        <f>IF(Tests!D343="","",Tests!D343)</f>
        <v/>
      </c>
      <c r="C342" t="str">
        <f>IF(Tests!E343="","",Tests!E343)</f>
        <v/>
      </c>
      <c r="E342" s="54">
        <f t="shared" si="30"/>
        <v>0</v>
      </c>
      <c r="F342" s="54">
        <f t="shared" si="31"/>
        <v>0</v>
      </c>
      <c r="G342" s="54">
        <f t="shared" si="32"/>
        <v>1</v>
      </c>
      <c r="H342" s="54">
        <f t="shared" si="33"/>
        <v>437</v>
      </c>
      <c r="I342" s="56" t="str">
        <f>IFERROR(INDEX($A$2:$A$501,MATCH(SMALL($H$2:$H$501,ROWS($I$2:I342)+$G$502),$H$2:$H$501,0)),"")</f>
        <v/>
      </c>
      <c r="J342">
        <f t="shared" si="34"/>
        <v>278</v>
      </c>
      <c r="K342" t="str">
        <f t="array" ref="K342">INDEX($B$2:$B$501,SMALL(IF($A$2:$A$501=I342,ROW($A$2:$A$501)-ROW(INDEX($A$2:$A$501,1,1))+1),J342))</f>
        <v/>
      </c>
      <c r="L342" t="str">
        <f t="array" ref="L342">INDEX($C$2:$C$501,SMALL(IF($A$2:$A$501=I342,ROW($A$2:$A$501)-ROW(INDEX($A$2:$A$501,1,1))+1),J342))</f>
        <v/>
      </c>
      <c r="N342" t="str">
        <f t="shared" si="35"/>
        <v/>
      </c>
      <c r="S342" s="10">
        <v>341</v>
      </c>
      <c r="T342" s="10" t="str">
        <f t="array" ref="T342">IFERROR(INDEX(A$2:$A$501,MATCH(0,COUNTIF($T$1:T341,A$2:$A$501),0)),"")</f>
        <v/>
      </c>
      <c r="U342" s="10">
        <f>IFERROR(MATCH(T342,I$2:$I$501,0),"")</f>
        <v>64</v>
      </c>
      <c r="V342" s="10">
        <f>COUNTIF(I$2:$I$501,T342)</f>
        <v>437</v>
      </c>
      <c r="W342" s="10"/>
      <c r="X342" s="10"/>
    </row>
    <row r="343" spans="1:24" x14ac:dyDescent="0.25">
      <c r="A343" t="str">
        <f>IF(Tests!B344="","",Tests!B344)</f>
        <v/>
      </c>
      <c r="B343" t="str">
        <f>IF(Tests!D344="","",Tests!D344)</f>
        <v/>
      </c>
      <c r="C343" t="str">
        <f>IF(Tests!E344="","",Tests!E344)</f>
        <v/>
      </c>
      <c r="E343" s="54">
        <f t="shared" si="30"/>
        <v>0</v>
      </c>
      <c r="F343" s="54">
        <f t="shared" si="31"/>
        <v>0</v>
      </c>
      <c r="G343" s="54">
        <f t="shared" si="32"/>
        <v>1</v>
      </c>
      <c r="H343" s="54">
        <f t="shared" si="33"/>
        <v>437</v>
      </c>
      <c r="I343" s="56" t="str">
        <f>IFERROR(INDEX($A$2:$A$501,MATCH(SMALL($H$2:$H$501,ROWS($I$2:I343)+$G$502),$H$2:$H$501,0)),"")</f>
        <v/>
      </c>
      <c r="J343">
        <f t="shared" si="34"/>
        <v>279</v>
      </c>
      <c r="K343" t="str">
        <f t="array" ref="K343">INDEX($B$2:$B$501,SMALL(IF($A$2:$A$501=I343,ROW($A$2:$A$501)-ROW(INDEX($A$2:$A$501,1,1))+1),J343))</f>
        <v/>
      </c>
      <c r="L343" t="str">
        <f t="array" ref="L343">INDEX($C$2:$C$501,SMALL(IF($A$2:$A$501=I343,ROW($A$2:$A$501)-ROW(INDEX($A$2:$A$501,1,1))+1),J343))</f>
        <v/>
      </c>
      <c r="N343" t="str">
        <f t="shared" si="35"/>
        <v/>
      </c>
      <c r="S343" s="10">
        <v>342</v>
      </c>
      <c r="T343" s="10" t="str">
        <f t="array" ref="T343">IFERROR(INDEX(A$2:$A$501,MATCH(0,COUNTIF($T$1:T342,A$2:$A$501),0)),"")</f>
        <v/>
      </c>
      <c r="U343" s="10">
        <f>IFERROR(MATCH(T343,I$2:$I$501,0),"")</f>
        <v>64</v>
      </c>
      <c r="V343" s="10">
        <f>COUNTIF(I$2:$I$501,T343)</f>
        <v>437</v>
      </c>
      <c r="W343" s="10"/>
      <c r="X343" s="10"/>
    </row>
    <row r="344" spans="1:24" x14ac:dyDescent="0.25">
      <c r="A344" t="str">
        <f>IF(Tests!B345="","",Tests!B345)</f>
        <v/>
      </c>
      <c r="B344" t="str">
        <f>IF(Tests!D345="","",Tests!D345)</f>
        <v/>
      </c>
      <c r="C344" t="str">
        <f>IF(Tests!E345="","",Tests!E345)</f>
        <v/>
      </c>
      <c r="E344" s="54">
        <f t="shared" si="30"/>
        <v>0</v>
      </c>
      <c r="F344" s="54">
        <f t="shared" si="31"/>
        <v>0</v>
      </c>
      <c r="G344" s="54">
        <f t="shared" si="32"/>
        <v>1</v>
      </c>
      <c r="H344" s="54">
        <f t="shared" si="33"/>
        <v>437</v>
      </c>
      <c r="I344" s="56" t="str">
        <f>IFERROR(INDEX($A$2:$A$501,MATCH(SMALL($H$2:$H$501,ROWS($I$2:I344)+$G$502),$H$2:$H$501,0)),"")</f>
        <v/>
      </c>
      <c r="J344">
        <f t="shared" si="34"/>
        <v>280</v>
      </c>
      <c r="K344" t="str">
        <f t="array" ref="K344">INDEX($B$2:$B$501,SMALL(IF($A$2:$A$501=I344,ROW($A$2:$A$501)-ROW(INDEX($A$2:$A$501,1,1))+1),J344))</f>
        <v/>
      </c>
      <c r="L344" t="str">
        <f t="array" ref="L344">INDEX($C$2:$C$501,SMALL(IF($A$2:$A$501=I344,ROW($A$2:$A$501)-ROW(INDEX($A$2:$A$501,1,1))+1),J344))</f>
        <v/>
      </c>
      <c r="N344" t="str">
        <f t="shared" si="35"/>
        <v/>
      </c>
      <c r="S344" s="10">
        <v>343</v>
      </c>
      <c r="T344" s="10" t="str">
        <f t="array" ref="T344">IFERROR(INDEX(A$2:$A$501,MATCH(0,COUNTIF($T$1:T343,A$2:$A$501),0)),"")</f>
        <v/>
      </c>
      <c r="U344" s="10">
        <f>IFERROR(MATCH(T344,I$2:$I$501,0),"")</f>
        <v>64</v>
      </c>
      <c r="V344" s="10">
        <f>COUNTIF(I$2:$I$501,T344)</f>
        <v>437</v>
      </c>
      <c r="W344" s="10"/>
      <c r="X344" s="10"/>
    </row>
    <row r="345" spans="1:24" x14ac:dyDescent="0.25">
      <c r="A345" t="str">
        <f>IF(Tests!B346="","",Tests!B346)</f>
        <v/>
      </c>
      <c r="B345" t="str">
        <f>IF(Tests!D346="","",Tests!D346)</f>
        <v/>
      </c>
      <c r="C345" t="str">
        <f>IF(Tests!E346="","",Tests!E346)</f>
        <v/>
      </c>
      <c r="E345" s="54">
        <f t="shared" si="30"/>
        <v>0</v>
      </c>
      <c r="F345" s="54">
        <f t="shared" si="31"/>
        <v>0</v>
      </c>
      <c r="G345" s="54">
        <f t="shared" si="32"/>
        <v>1</v>
      </c>
      <c r="H345" s="54">
        <f t="shared" si="33"/>
        <v>437</v>
      </c>
      <c r="I345" s="56" t="str">
        <f>IFERROR(INDEX($A$2:$A$501,MATCH(SMALL($H$2:$H$501,ROWS($I$2:I345)+$G$502),$H$2:$H$501,0)),"")</f>
        <v/>
      </c>
      <c r="J345">
        <f t="shared" si="34"/>
        <v>281</v>
      </c>
      <c r="K345" t="str">
        <f t="array" ref="K345">INDEX($B$2:$B$501,SMALL(IF($A$2:$A$501=I345,ROW($A$2:$A$501)-ROW(INDEX($A$2:$A$501,1,1))+1),J345))</f>
        <v/>
      </c>
      <c r="L345" t="str">
        <f t="array" ref="L345">INDEX($C$2:$C$501,SMALL(IF($A$2:$A$501=I345,ROW($A$2:$A$501)-ROW(INDEX($A$2:$A$501,1,1))+1),J345))</f>
        <v/>
      </c>
      <c r="N345" t="str">
        <f t="shared" si="35"/>
        <v/>
      </c>
      <c r="S345" s="10">
        <v>344</v>
      </c>
      <c r="T345" s="10" t="str">
        <f t="array" ref="T345">IFERROR(INDEX(A$2:$A$501,MATCH(0,COUNTIF($T$1:T344,A$2:$A$501),0)),"")</f>
        <v/>
      </c>
      <c r="U345" s="10">
        <f>IFERROR(MATCH(T345,I$2:$I$501,0),"")</f>
        <v>64</v>
      </c>
      <c r="V345" s="10">
        <f>COUNTIF(I$2:$I$501,T345)</f>
        <v>437</v>
      </c>
      <c r="W345" s="10"/>
      <c r="X345" s="10"/>
    </row>
    <row r="346" spans="1:24" x14ac:dyDescent="0.25">
      <c r="A346" t="str">
        <f>IF(Tests!B347="","",Tests!B347)</f>
        <v/>
      </c>
      <c r="B346" t="str">
        <f>IF(Tests!D347="","",Tests!D347)</f>
        <v/>
      </c>
      <c r="C346" t="str">
        <f>IF(Tests!E347="","",Tests!E347)</f>
        <v/>
      </c>
      <c r="E346" s="54">
        <f t="shared" si="30"/>
        <v>0</v>
      </c>
      <c r="F346" s="54">
        <f t="shared" si="31"/>
        <v>0</v>
      </c>
      <c r="G346" s="54">
        <f t="shared" si="32"/>
        <v>1</v>
      </c>
      <c r="H346" s="54">
        <f t="shared" si="33"/>
        <v>437</v>
      </c>
      <c r="I346" s="56" t="str">
        <f>IFERROR(INDEX($A$2:$A$501,MATCH(SMALL($H$2:$H$501,ROWS($I$2:I346)+$G$502),$H$2:$H$501,0)),"")</f>
        <v/>
      </c>
      <c r="J346">
        <f t="shared" si="34"/>
        <v>282</v>
      </c>
      <c r="K346" t="str">
        <f t="array" ref="K346">INDEX($B$2:$B$501,SMALL(IF($A$2:$A$501=I346,ROW($A$2:$A$501)-ROW(INDEX($A$2:$A$501,1,1))+1),J346))</f>
        <v/>
      </c>
      <c r="L346" t="str">
        <f t="array" ref="L346">INDEX($C$2:$C$501,SMALL(IF($A$2:$A$501=I346,ROW($A$2:$A$501)-ROW(INDEX($A$2:$A$501,1,1))+1),J346))</f>
        <v/>
      </c>
      <c r="N346" t="str">
        <f t="shared" si="35"/>
        <v/>
      </c>
      <c r="S346" s="10">
        <v>345</v>
      </c>
      <c r="T346" s="10" t="str">
        <f t="array" ref="T346">IFERROR(INDEX(A$2:$A$501,MATCH(0,COUNTIF($T$1:T345,A$2:$A$501),0)),"")</f>
        <v/>
      </c>
      <c r="U346" s="10">
        <f>IFERROR(MATCH(T346,I$2:$I$501,0),"")</f>
        <v>64</v>
      </c>
      <c r="V346" s="10">
        <f>COUNTIF(I$2:$I$501,T346)</f>
        <v>437</v>
      </c>
      <c r="W346" s="10"/>
      <c r="X346" s="10"/>
    </row>
    <row r="347" spans="1:24" x14ac:dyDescent="0.25">
      <c r="A347" t="str">
        <f>IF(Tests!B348="","",Tests!B348)</f>
        <v/>
      </c>
      <c r="B347" t="str">
        <f>IF(Tests!D348="","",Tests!D348)</f>
        <v/>
      </c>
      <c r="C347" t="str">
        <f>IF(Tests!E348="","",Tests!E348)</f>
        <v/>
      </c>
      <c r="E347" s="54">
        <f t="shared" si="30"/>
        <v>0</v>
      </c>
      <c r="F347" s="54">
        <f t="shared" si="31"/>
        <v>0</v>
      </c>
      <c r="G347" s="54">
        <f t="shared" si="32"/>
        <v>1</v>
      </c>
      <c r="H347" s="54">
        <f t="shared" si="33"/>
        <v>437</v>
      </c>
      <c r="I347" s="56" t="str">
        <f>IFERROR(INDEX($A$2:$A$501,MATCH(SMALL($H$2:$H$501,ROWS($I$2:I347)+$G$502),$H$2:$H$501,0)),"")</f>
        <v/>
      </c>
      <c r="J347">
        <f t="shared" si="34"/>
        <v>283</v>
      </c>
      <c r="K347" t="str">
        <f t="array" ref="K347">INDEX($B$2:$B$501,SMALL(IF($A$2:$A$501=I347,ROW($A$2:$A$501)-ROW(INDEX($A$2:$A$501,1,1))+1),J347))</f>
        <v/>
      </c>
      <c r="L347" t="str">
        <f t="array" ref="L347">INDEX($C$2:$C$501,SMALL(IF($A$2:$A$501=I347,ROW($A$2:$A$501)-ROW(INDEX($A$2:$A$501,1,1))+1),J347))</f>
        <v/>
      </c>
      <c r="N347" t="str">
        <f t="shared" si="35"/>
        <v/>
      </c>
      <c r="S347" s="10">
        <v>346</v>
      </c>
      <c r="T347" s="10" t="str">
        <f t="array" ref="T347">IFERROR(INDEX(A$2:$A$501,MATCH(0,COUNTIF($T$1:T346,A$2:$A$501),0)),"")</f>
        <v/>
      </c>
      <c r="U347" s="10">
        <f>IFERROR(MATCH(T347,I$2:$I$501,0),"")</f>
        <v>64</v>
      </c>
      <c r="V347" s="10">
        <f>COUNTIF(I$2:$I$501,T347)</f>
        <v>437</v>
      </c>
      <c r="W347" s="10"/>
      <c r="X347" s="10"/>
    </row>
    <row r="348" spans="1:24" x14ac:dyDescent="0.25">
      <c r="A348" t="str">
        <f>IF(Tests!B349="","",Tests!B349)</f>
        <v/>
      </c>
      <c r="B348" t="str">
        <f>IF(Tests!D349="","",Tests!D349)</f>
        <v/>
      </c>
      <c r="C348" t="str">
        <f>IF(Tests!E349="","",Tests!E349)</f>
        <v/>
      </c>
      <c r="E348" s="54">
        <f t="shared" si="30"/>
        <v>0</v>
      </c>
      <c r="F348" s="54">
        <f t="shared" si="31"/>
        <v>0</v>
      </c>
      <c r="G348" s="54">
        <f t="shared" si="32"/>
        <v>1</v>
      </c>
      <c r="H348" s="54">
        <f t="shared" si="33"/>
        <v>437</v>
      </c>
      <c r="I348" s="56" t="str">
        <f>IFERROR(INDEX($A$2:$A$501,MATCH(SMALL($H$2:$H$501,ROWS($I$2:I348)+$G$502),$H$2:$H$501,0)),"")</f>
        <v/>
      </c>
      <c r="J348">
        <f t="shared" si="34"/>
        <v>284</v>
      </c>
      <c r="K348" t="str">
        <f t="array" ref="K348">INDEX($B$2:$B$501,SMALL(IF($A$2:$A$501=I348,ROW($A$2:$A$501)-ROW(INDEX($A$2:$A$501,1,1))+1),J348))</f>
        <v/>
      </c>
      <c r="L348" t="str">
        <f t="array" ref="L348">INDEX($C$2:$C$501,SMALL(IF($A$2:$A$501=I348,ROW($A$2:$A$501)-ROW(INDEX($A$2:$A$501,1,1))+1),J348))</f>
        <v/>
      </c>
      <c r="N348" t="str">
        <f t="shared" si="35"/>
        <v/>
      </c>
      <c r="S348" s="10">
        <v>347</v>
      </c>
      <c r="T348" s="10" t="str">
        <f t="array" ref="T348">IFERROR(INDEX(A$2:$A$501,MATCH(0,COUNTIF($T$1:T347,A$2:$A$501),0)),"")</f>
        <v/>
      </c>
      <c r="U348" s="10">
        <f>IFERROR(MATCH(T348,I$2:$I$501,0),"")</f>
        <v>64</v>
      </c>
      <c r="V348" s="10">
        <f>COUNTIF(I$2:$I$501,T348)</f>
        <v>437</v>
      </c>
      <c r="W348" s="10"/>
      <c r="X348" s="10"/>
    </row>
    <row r="349" spans="1:24" x14ac:dyDescent="0.25">
      <c r="A349" t="str">
        <f>IF(Tests!B350="","",Tests!B350)</f>
        <v/>
      </c>
      <c r="B349" t="str">
        <f>IF(Tests!D350="","",Tests!D350)</f>
        <v/>
      </c>
      <c r="C349" t="str">
        <f>IF(Tests!E350="","",Tests!E350)</f>
        <v/>
      </c>
      <c r="E349" s="54">
        <f t="shared" si="30"/>
        <v>0</v>
      </c>
      <c r="F349" s="54">
        <f t="shared" si="31"/>
        <v>0</v>
      </c>
      <c r="G349" s="54">
        <f t="shared" si="32"/>
        <v>1</v>
      </c>
      <c r="H349" s="54">
        <f t="shared" si="33"/>
        <v>437</v>
      </c>
      <c r="I349" s="56" t="str">
        <f>IFERROR(INDEX($A$2:$A$501,MATCH(SMALL($H$2:$H$501,ROWS($I$2:I349)+$G$502),$H$2:$H$501,0)),"")</f>
        <v/>
      </c>
      <c r="J349">
        <f t="shared" si="34"/>
        <v>285</v>
      </c>
      <c r="K349" t="str">
        <f t="array" ref="K349">INDEX($B$2:$B$501,SMALL(IF($A$2:$A$501=I349,ROW($A$2:$A$501)-ROW(INDEX($A$2:$A$501,1,1))+1),J349))</f>
        <v/>
      </c>
      <c r="L349" t="str">
        <f t="array" ref="L349">INDEX($C$2:$C$501,SMALL(IF($A$2:$A$501=I349,ROW($A$2:$A$501)-ROW(INDEX($A$2:$A$501,1,1))+1),J349))</f>
        <v/>
      </c>
      <c r="N349" t="str">
        <f t="shared" si="35"/>
        <v/>
      </c>
      <c r="S349" s="10">
        <v>348</v>
      </c>
      <c r="T349" s="10" t="str">
        <f t="array" ref="T349">IFERROR(INDEX(A$2:$A$501,MATCH(0,COUNTIF($T$1:T348,A$2:$A$501),0)),"")</f>
        <v/>
      </c>
      <c r="U349" s="10">
        <f>IFERROR(MATCH(T349,I$2:$I$501,0),"")</f>
        <v>64</v>
      </c>
      <c r="V349" s="10">
        <f>COUNTIF(I$2:$I$501,T349)</f>
        <v>437</v>
      </c>
      <c r="W349" s="10"/>
      <c r="X349" s="10"/>
    </row>
    <row r="350" spans="1:24" x14ac:dyDescent="0.25">
      <c r="A350" t="str">
        <f>IF(Tests!B351="","",Tests!B351)</f>
        <v/>
      </c>
      <c r="B350" t="str">
        <f>IF(Tests!D351="","",Tests!D351)</f>
        <v/>
      </c>
      <c r="C350" t="str">
        <f>IF(Tests!E351="","",Tests!E351)</f>
        <v/>
      </c>
      <c r="E350" s="54">
        <f t="shared" si="30"/>
        <v>0</v>
      </c>
      <c r="F350" s="54">
        <f t="shared" si="31"/>
        <v>0</v>
      </c>
      <c r="G350" s="54">
        <f t="shared" si="32"/>
        <v>1</v>
      </c>
      <c r="H350" s="54">
        <f t="shared" si="33"/>
        <v>437</v>
      </c>
      <c r="I350" s="56" t="str">
        <f>IFERROR(INDEX($A$2:$A$501,MATCH(SMALL($H$2:$H$501,ROWS($I$2:I350)+$G$502),$H$2:$H$501,0)),"")</f>
        <v/>
      </c>
      <c r="J350">
        <f t="shared" si="34"/>
        <v>286</v>
      </c>
      <c r="K350" t="str">
        <f t="array" ref="K350">INDEX($B$2:$B$501,SMALL(IF($A$2:$A$501=I350,ROW($A$2:$A$501)-ROW(INDEX($A$2:$A$501,1,1))+1),J350))</f>
        <v/>
      </c>
      <c r="L350" t="str">
        <f t="array" ref="L350">INDEX($C$2:$C$501,SMALL(IF($A$2:$A$501=I350,ROW($A$2:$A$501)-ROW(INDEX($A$2:$A$501,1,1))+1),J350))</f>
        <v/>
      </c>
      <c r="N350" t="str">
        <f t="shared" si="35"/>
        <v/>
      </c>
      <c r="S350" s="10">
        <v>349</v>
      </c>
      <c r="T350" s="10" t="str">
        <f t="array" ref="T350">IFERROR(INDEX(A$2:$A$501,MATCH(0,COUNTIF($T$1:T349,A$2:$A$501),0)),"")</f>
        <v/>
      </c>
      <c r="U350" s="10">
        <f>IFERROR(MATCH(T350,I$2:$I$501,0),"")</f>
        <v>64</v>
      </c>
      <c r="V350" s="10">
        <f>COUNTIF(I$2:$I$501,T350)</f>
        <v>437</v>
      </c>
      <c r="W350" s="10"/>
      <c r="X350" s="10"/>
    </row>
    <row r="351" spans="1:24" x14ac:dyDescent="0.25">
      <c r="A351" t="str">
        <f>IF(Tests!B352="","",Tests!B352)</f>
        <v/>
      </c>
      <c r="B351" t="str">
        <f>IF(Tests!D352="","",Tests!D352)</f>
        <v/>
      </c>
      <c r="C351" t="str">
        <f>IF(Tests!E352="","",Tests!E352)</f>
        <v/>
      </c>
      <c r="E351" s="54">
        <f t="shared" si="30"/>
        <v>0</v>
      </c>
      <c r="F351" s="54">
        <f t="shared" si="31"/>
        <v>0</v>
      </c>
      <c r="G351" s="54">
        <f t="shared" si="32"/>
        <v>1</v>
      </c>
      <c r="H351" s="54">
        <f t="shared" si="33"/>
        <v>437</v>
      </c>
      <c r="I351" s="56" t="str">
        <f>IFERROR(INDEX($A$2:$A$501,MATCH(SMALL($H$2:$H$501,ROWS($I$2:I351)+$G$502),$H$2:$H$501,0)),"")</f>
        <v/>
      </c>
      <c r="J351">
        <f t="shared" si="34"/>
        <v>287</v>
      </c>
      <c r="K351" t="str">
        <f t="array" ref="K351">INDEX($B$2:$B$501,SMALL(IF($A$2:$A$501=I351,ROW($A$2:$A$501)-ROW(INDEX($A$2:$A$501,1,1))+1),J351))</f>
        <v/>
      </c>
      <c r="L351" t="str">
        <f t="array" ref="L351">INDEX($C$2:$C$501,SMALL(IF($A$2:$A$501=I351,ROW($A$2:$A$501)-ROW(INDEX($A$2:$A$501,1,1))+1),J351))</f>
        <v/>
      </c>
      <c r="N351" t="str">
        <f t="shared" si="35"/>
        <v/>
      </c>
      <c r="S351" s="10">
        <v>350</v>
      </c>
      <c r="T351" s="10" t="str">
        <f t="array" ref="T351">IFERROR(INDEX(A$2:$A$501,MATCH(0,COUNTIF($T$1:T350,A$2:$A$501),0)),"")</f>
        <v/>
      </c>
      <c r="U351" s="10">
        <f>IFERROR(MATCH(T351,I$2:$I$501,0),"")</f>
        <v>64</v>
      </c>
      <c r="V351" s="10">
        <f>COUNTIF(I$2:$I$501,T351)</f>
        <v>437</v>
      </c>
      <c r="W351" s="10"/>
      <c r="X351" s="10"/>
    </row>
    <row r="352" spans="1:24" x14ac:dyDescent="0.25">
      <c r="A352" t="str">
        <f>IF(Tests!B353="","",Tests!B353)</f>
        <v/>
      </c>
      <c r="B352" t="str">
        <f>IF(Tests!D353="","",Tests!D353)</f>
        <v/>
      </c>
      <c r="C352" t="str">
        <f>IF(Tests!E353="","",Tests!E353)</f>
        <v/>
      </c>
      <c r="E352" s="54">
        <f t="shared" si="30"/>
        <v>0</v>
      </c>
      <c r="F352" s="54">
        <f t="shared" si="31"/>
        <v>0</v>
      </c>
      <c r="G352" s="54">
        <f t="shared" si="32"/>
        <v>1</v>
      </c>
      <c r="H352" s="54">
        <f t="shared" si="33"/>
        <v>437</v>
      </c>
      <c r="I352" s="56" t="str">
        <f>IFERROR(INDEX($A$2:$A$501,MATCH(SMALL($H$2:$H$501,ROWS($I$2:I352)+$G$502),$H$2:$H$501,0)),"")</f>
        <v/>
      </c>
      <c r="J352">
        <f t="shared" si="34"/>
        <v>288</v>
      </c>
      <c r="K352" t="str">
        <f t="array" ref="K352">INDEX($B$2:$B$501,SMALL(IF($A$2:$A$501=I352,ROW($A$2:$A$501)-ROW(INDEX($A$2:$A$501,1,1))+1),J352))</f>
        <v/>
      </c>
      <c r="L352" t="str">
        <f t="array" ref="L352">INDEX($C$2:$C$501,SMALL(IF($A$2:$A$501=I352,ROW($A$2:$A$501)-ROW(INDEX($A$2:$A$501,1,1))+1),J352))</f>
        <v/>
      </c>
      <c r="N352" t="str">
        <f t="shared" si="35"/>
        <v/>
      </c>
      <c r="S352" s="10">
        <v>351</v>
      </c>
      <c r="T352" s="10" t="str">
        <f t="array" ref="T352">IFERROR(INDEX(A$2:$A$501,MATCH(0,COUNTIF($T$1:T351,A$2:$A$501),0)),"")</f>
        <v/>
      </c>
      <c r="U352" s="10">
        <f>IFERROR(MATCH(T352,I$2:$I$501,0),"")</f>
        <v>64</v>
      </c>
      <c r="V352" s="10">
        <f>COUNTIF(I$2:$I$501,T352)</f>
        <v>437</v>
      </c>
      <c r="W352" s="10"/>
      <c r="X352" s="10"/>
    </row>
    <row r="353" spans="1:24" x14ac:dyDescent="0.25">
      <c r="A353" t="str">
        <f>IF(Tests!B354="","",Tests!B354)</f>
        <v/>
      </c>
      <c r="B353" t="str">
        <f>IF(Tests!D354="","",Tests!D354)</f>
        <v/>
      </c>
      <c r="C353" t="str">
        <f>IF(Tests!E354="","",Tests!E354)</f>
        <v/>
      </c>
      <c r="E353" s="54">
        <f t="shared" si="30"/>
        <v>0</v>
      </c>
      <c r="F353" s="54">
        <f t="shared" si="31"/>
        <v>0</v>
      </c>
      <c r="G353" s="54">
        <f t="shared" si="32"/>
        <v>1</v>
      </c>
      <c r="H353" s="54">
        <f t="shared" si="33"/>
        <v>437</v>
      </c>
      <c r="I353" s="56" t="str">
        <f>IFERROR(INDEX($A$2:$A$501,MATCH(SMALL($H$2:$H$501,ROWS($I$2:I353)+$G$502),$H$2:$H$501,0)),"")</f>
        <v/>
      </c>
      <c r="J353">
        <f t="shared" si="34"/>
        <v>289</v>
      </c>
      <c r="K353" t="str">
        <f t="array" ref="K353">INDEX($B$2:$B$501,SMALL(IF($A$2:$A$501=I353,ROW($A$2:$A$501)-ROW(INDEX($A$2:$A$501,1,1))+1),J353))</f>
        <v/>
      </c>
      <c r="L353" t="str">
        <f t="array" ref="L353">INDEX($C$2:$C$501,SMALL(IF($A$2:$A$501=I353,ROW($A$2:$A$501)-ROW(INDEX($A$2:$A$501,1,1))+1),J353))</f>
        <v/>
      </c>
      <c r="N353" t="str">
        <f t="shared" si="35"/>
        <v/>
      </c>
      <c r="S353" s="10">
        <v>352</v>
      </c>
      <c r="T353" s="10" t="str">
        <f t="array" ref="T353">IFERROR(INDEX(A$2:$A$501,MATCH(0,COUNTIF($T$1:T352,A$2:$A$501),0)),"")</f>
        <v/>
      </c>
      <c r="U353" s="10">
        <f>IFERROR(MATCH(T353,I$2:$I$501,0),"")</f>
        <v>64</v>
      </c>
      <c r="V353" s="10">
        <f>COUNTIF(I$2:$I$501,T353)</f>
        <v>437</v>
      </c>
      <c r="W353" s="10"/>
      <c r="X353" s="10"/>
    </row>
    <row r="354" spans="1:24" x14ac:dyDescent="0.25">
      <c r="A354" t="str">
        <f>IF(Tests!B355="","",Tests!B355)</f>
        <v/>
      </c>
      <c r="B354" t="str">
        <f>IF(Tests!D355="","",Tests!D355)</f>
        <v/>
      </c>
      <c r="C354" t="str">
        <f>IF(Tests!E355="","",Tests!E355)</f>
        <v/>
      </c>
      <c r="E354" s="54">
        <f t="shared" si="30"/>
        <v>0</v>
      </c>
      <c r="F354" s="54">
        <f t="shared" si="31"/>
        <v>0</v>
      </c>
      <c r="G354" s="54">
        <f t="shared" si="32"/>
        <v>1</v>
      </c>
      <c r="H354" s="54">
        <f t="shared" si="33"/>
        <v>437</v>
      </c>
      <c r="I354" s="56" t="str">
        <f>IFERROR(INDEX($A$2:$A$501,MATCH(SMALL($H$2:$H$501,ROWS($I$2:I354)+$G$502),$H$2:$H$501,0)),"")</f>
        <v/>
      </c>
      <c r="J354">
        <f t="shared" si="34"/>
        <v>290</v>
      </c>
      <c r="K354" t="str">
        <f t="array" ref="K354">INDEX($B$2:$B$501,SMALL(IF($A$2:$A$501=I354,ROW($A$2:$A$501)-ROW(INDEX($A$2:$A$501,1,1))+1),J354))</f>
        <v/>
      </c>
      <c r="L354" t="str">
        <f t="array" ref="L354">INDEX($C$2:$C$501,SMALL(IF($A$2:$A$501=I354,ROW($A$2:$A$501)-ROW(INDEX($A$2:$A$501,1,1))+1),J354))</f>
        <v/>
      </c>
      <c r="N354" t="str">
        <f t="shared" si="35"/>
        <v/>
      </c>
      <c r="S354" s="10">
        <v>353</v>
      </c>
      <c r="T354" s="10" t="str">
        <f t="array" ref="T354">IFERROR(INDEX(A$2:$A$501,MATCH(0,COUNTIF($T$1:T353,A$2:$A$501),0)),"")</f>
        <v/>
      </c>
      <c r="U354" s="10">
        <f>IFERROR(MATCH(T354,I$2:$I$501,0),"")</f>
        <v>64</v>
      </c>
      <c r="V354" s="10">
        <f>COUNTIF(I$2:$I$501,T354)</f>
        <v>437</v>
      </c>
      <c r="W354" s="10"/>
      <c r="X354" s="10"/>
    </row>
    <row r="355" spans="1:24" x14ac:dyDescent="0.25">
      <c r="A355" t="str">
        <f>IF(Tests!B356="","",Tests!B356)</f>
        <v/>
      </c>
      <c r="B355" t="str">
        <f>IF(Tests!D356="","",Tests!D356)</f>
        <v/>
      </c>
      <c r="C355" t="str">
        <f>IF(Tests!E356="","",Tests!E356)</f>
        <v/>
      </c>
      <c r="E355" s="54">
        <f t="shared" si="30"/>
        <v>0</v>
      </c>
      <c r="F355" s="54">
        <f t="shared" si="31"/>
        <v>0</v>
      </c>
      <c r="G355" s="54">
        <f t="shared" si="32"/>
        <v>1</v>
      </c>
      <c r="H355" s="54">
        <f t="shared" si="33"/>
        <v>437</v>
      </c>
      <c r="I355" s="56" t="str">
        <f>IFERROR(INDEX($A$2:$A$501,MATCH(SMALL($H$2:$H$501,ROWS($I$2:I355)+$G$502),$H$2:$H$501,0)),"")</f>
        <v/>
      </c>
      <c r="J355">
        <f t="shared" si="34"/>
        <v>291</v>
      </c>
      <c r="K355" t="str">
        <f t="array" ref="K355">INDEX($B$2:$B$501,SMALL(IF($A$2:$A$501=I355,ROW($A$2:$A$501)-ROW(INDEX($A$2:$A$501,1,1))+1),J355))</f>
        <v/>
      </c>
      <c r="L355" t="str">
        <f t="array" ref="L355">INDEX($C$2:$C$501,SMALL(IF($A$2:$A$501=I355,ROW($A$2:$A$501)-ROW(INDEX($A$2:$A$501,1,1))+1),J355))</f>
        <v/>
      </c>
      <c r="N355" t="str">
        <f t="shared" si="35"/>
        <v/>
      </c>
      <c r="S355" s="10">
        <v>354</v>
      </c>
      <c r="T355" s="10" t="str">
        <f t="array" ref="T355">IFERROR(INDEX(A$2:$A$501,MATCH(0,COUNTIF($T$1:T354,A$2:$A$501),0)),"")</f>
        <v/>
      </c>
      <c r="U355" s="10">
        <f>IFERROR(MATCH(T355,I$2:$I$501,0),"")</f>
        <v>64</v>
      </c>
      <c r="V355" s="10">
        <f>COUNTIF(I$2:$I$501,T355)</f>
        <v>437</v>
      </c>
      <c r="W355" s="10"/>
      <c r="X355" s="10"/>
    </row>
    <row r="356" spans="1:24" x14ac:dyDescent="0.25">
      <c r="A356" t="str">
        <f>IF(Tests!B357="","",Tests!B357)</f>
        <v/>
      </c>
      <c r="B356" t="str">
        <f>IF(Tests!D357="","",Tests!D357)</f>
        <v/>
      </c>
      <c r="C356" t="str">
        <f>IF(Tests!E357="","",Tests!E357)</f>
        <v/>
      </c>
      <c r="E356" s="54">
        <f t="shared" si="30"/>
        <v>0</v>
      </c>
      <c r="F356" s="54">
        <f t="shared" si="31"/>
        <v>0</v>
      </c>
      <c r="G356" s="54">
        <f t="shared" si="32"/>
        <v>1</v>
      </c>
      <c r="H356" s="54">
        <f t="shared" si="33"/>
        <v>437</v>
      </c>
      <c r="I356" s="56" t="str">
        <f>IFERROR(INDEX($A$2:$A$501,MATCH(SMALL($H$2:$H$501,ROWS($I$2:I356)+$G$502),$H$2:$H$501,0)),"")</f>
        <v/>
      </c>
      <c r="J356">
        <f t="shared" si="34"/>
        <v>292</v>
      </c>
      <c r="K356" t="str">
        <f t="array" ref="K356">INDEX($B$2:$B$501,SMALL(IF($A$2:$A$501=I356,ROW($A$2:$A$501)-ROW(INDEX($A$2:$A$501,1,1))+1),J356))</f>
        <v/>
      </c>
      <c r="L356" t="str">
        <f t="array" ref="L356">INDEX($C$2:$C$501,SMALL(IF($A$2:$A$501=I356,ROW($A$2:$A$501)-ROW(INDEX($A$2:$A$501,1,1))+1),J356))</f>
        <v/>
      </c>
      <c r="N356" t="str">
        <f t="shared" si="35"/>
        <v/>
      </c>
      <c r="S356" s="10">
        <v>355</v>
      </c>
      <c r="T356" s="10" t="str">
        <f t="array" ref="T356">IFERROR(INDEX(A$2:$A$501,MATCH(0,COUNTIF($T$1:T355,A$2:$A$501),0)),"")</f>
        <v/>
      </c>
      <c r="U356" s="10">
        <f>IFERROR(MATCH(T356,I$2:$I$501,0),"")</f>
        <v>64</v>
      </c>
      <c r="V356" s="10">
        <f>COUNTIF(I$2:$I$501,T356)</f>
        <v>437</v>
      </c>
      <c r="W356" s="10"/>
      <c r="X356" s="10"/>
    </row>
    <row r="357" spans="1:24" x14ac:dyDescent="0.25">
      <c r="A357" t="str">
        <f>IF(Tests!B358="","",Tests!B358)</f>
        <v/>
      </c>
      <c r="B357" t="str">
        <f>IF(Tests!D358="","",Tests!D358)</f>
        <v/>
      </c>
      <c r="C357" t="str">
        <f>IF(Tests!E358="","",Tests!E358)</f>
        <v/>
      </c>
      <c r="E357" s="54">
        <f t="shared" si="30"/>
        <v>0</v>
      </c>
      <c r="F357" s="54">
        <f t="shared" si="31"/>
        <v>0</v>
      </c>
      <c r="G357" s="54">
        <f t="shared" si="32"/>
        <v>1</v>
      </c>
      <c r="H357" s="54">
        <f t="shared" si="33"/>
        <v>437</v>
      </c>
      <c r="I357" s="56" t="str">
        <f>IFERROR(INDEX($A$2:$A$501,MATCH(SMALL($H$2:$H$501,ROWS($I$2:I357)+$G$502),$H$2:$H$501,0)),"")</f>
        <v/>
      </c>
      <c r="J357">
        <f t="shared" si="34"/>
        <v>293</v>
      </c>
      <c r="K357" t="str">
        <f t="array" ref="K357">INDEX($B$2:$B$501,SMALL(IF($A$2:$A$501=I357,ROW($A$2:$A$501)-ROW(INDEX($A$2:$A$501,1,1))+1),J357))</f>
        <v/>
      </c>
      <c r="L357" t="str">
        <f t="array" ref="L357">INDEX($C$2:$C$501,SMALL(IF($A$2:$A$501=I357,ROW($A$2:$A$501)-ROW(INDEX($A$2:$A$501,1,1))+1),J357))</f>
        <v/>
      </c>
      <c r="N357" t="str">
        <f t="shared" si="35"/>
        <v/>
      </c>
      <c r="S357" s="10">
        <v>356</v>
      </c>
      <c r="T357" s="10" t="str">
        <f t="array" ref="T357">IFERROR(INDEX(A$2:$A$501,MATCH(0,COUNTIF($T$1:T356,A$2:$A$501),0)),"")</f>
        <v/>
      </c>
      <c r="U357" s="10">
        <f>IFERROR(MATCH(T357,I$2:$I$501,0),"")</f>
        <v>64</v>
      </c>
      <c r="V357" s="10">
        <f>COUNTIF(I$2:$I$501,T357)</f>
        <v>437</v>
      </c>
      <c r="W357" s="10"/>
      <c r="X357" s="10"/>
    </row>
    <row r="358" spans="1:24" x14ac:dyDescent="0.25">
      <c r="A358" t="str">
        <f>IF(Tests!B359="","",Tests!B359)</f>
        <v/>
      </c>
      <c r="B358" t="str">
        <f>IF(Tests!D359="","",Tests!D359)</f>
        <v/>
      </c>
      <c r="C358" t="str">
        <f>IF(Tests!E359="","",Tests!E359)</f>
        <v/>
      </c>
      <c r="E358" s="54">
        <f t="shared" si="30"/>
        <v>0</v>
      </c>
      <c r="F358" s="54">
        <f t="shared" si="31"/>
        <v>0</v>
      </c>
      <c r="G358" s="54">
        <f t="shared" si="32"/>
        <v>1</v>
      </c>
      <c r="H358" s="54">
        <f t="shared" si="33"/>
        <v>437</v>
      </c>
      <c r="I358" s="56" t="str">
        <f>IFERROR(INDEX($A$2:$A$501,MATCH(SMALL($H$2:$H$501,ROWS($I$2:I358)+$G$502),$H$2:$H$501,0)),"")</f>
        <v/>
      </c>
      <c r="J358">
        <f t="shared" si="34"/>
        <v>294</v>
      </c>
      <c r="K358" t="str">
        <f t="array" ref="K358">INDEX($B$2:$B$501,SMALL(IF($A$2:$A$501=I358,ROW($A$2:$A$501)-ROW(INDEX($A$2:$A$501,1,1))+1),J358))</f>
        <v/>
      </c>
      <c r="L358" t="str">
        <f t="array" ref="L358">INDEX($C$2:$C$501,SMALL(IF($A$2:$A$501=I358,ROW($A$2:$A$501)-ROW(INDEX($A$2:$A$501,1,1))+1),J358))</f>
        <v/>
      </c>
      <c r="N358" t="str">
        <f t="shared" si="35"/>
        <v/>
      </c>
      <c r="S358" s="10">
        <v>357</v>
      </c>
      <c r="T358" s="10" t="str">
        <f t="array" ref="T358">IFERROR(INDEX(A$2:$A$501,MATCH(0,COUNTIF($T$1:T357,A$2:$A$501),0)),"")</f>
        <v/>
      </c>
      <c r="U358" s="10">
        <f>IFERROR(MATCH(T358,I$2:$I$501,0),"")</f>
        <v>64</v>
      </c>
      <c r="V358" s="10">
        <f>COUNTIF(I$2:$I$501,T358)</f>
        <v>437</v>
      </c>
      <c r="W358" s="10"/>
      <c r="X358" s="10"/>
    </row>
    <row r="359" spans="1:24" x14ac:dyDescent="0.25">
      <c r="A359" t="str">
        <f>IF(Tests!B360="","",Tests!B360)</f>
        <v/>
      </c>
      <c r="B359" t="str">
        <f>IF(Tests!D360="","",Tests!D360)</f>
        <v/>
      </c>
      <c r="C359" t="str">
        <f>IF(Tests!E360="","",Tests!E360)</f>
        <v/>
      </c>
      <c r="E359" s="54">
        <f t="shared" si="30"/>
        <v>0</v>
      </c>
      <c r="F359" s="54">
        <f t="shared" si="31"/>
        <v>0</v>
      </c>
      <c r="G359" s="54">
        <f t="shared" si="32"/>
        <v>1</v>
      </c>
      <c r="H359" s="54">
        <f t="shared" si="33"/>
        <v>437</v>
      </c>
      <c r="I359" s="56" t="str">
        <f>IFERROR(INDEX($A$2:$A$501,MATCH(SMALL($H$2:$H$501,ROWS($I$2:I359)+$G$502),$H$2:$H$501,0)),"")</f>
        <v/>
      </c>
      <c r="J359">
        <f t="shared" si="34"/>
        <v>295</v>
      </c>
      <c r="K359" t="str">
        <f t="array" ref="K359">INDEX($B$2:$B$501,SMALL(IF($A$2:$A$501=I359,ROW($A$2:$A$501)-ROW(INDEX($A$2:$A$501,1,1))+1),J359))</f>
        <v/>
      </c>
      <c r="L359" t="str">
        <f t="array" ref="L359">INDEX($C$2:$C$501,SMALL(IF($A$2:$A$501=I359,ROW($A$2:$A$501)-ROW(INDEX($A$2:$A$501,1,1))+1),J359))</f>
        <v/>
      </c>
      <c r="N359" t="str">
        <f t="shared" si="35"/>
        <v/>
      </c>
      <c r="S359" s="10">
        <v>358</v>
      </c>
      <c r="T359" s="10" t="str">
        <f t="array" ref="T359">IFERROR(INDEX(A$2:$A$501,MATCH(0,COUNTIF($T$1:T358,A$2:$A$501),0)),"")</f>
        <v/>
      </c>
      <c r="U359" s="10">
        <f>IFERROR(MATCH(T359,I$2:$I$501,0),"")</f>
        <v>64</v>
      </c>
      <c r="V359" s="10">
        <f>COUNTIF(I$2:$I$501,T359)</f>
        <v>437</v>
      </c>
      <c r="W359" s="10"/>
      <c r="X359" s="10"/>
    </row>
    <row r="360" spans="1:24" x14ac:dyDescent="0.25">
      <c r="A360" t="str">
        <f>IF(Tests!B361="","",Tests!B361)</f>
        <v/>
      </c>
      <c r="B360" t="str">
        <f>IF(Tests!D361="","",Tests!D361)</f>
        <v/>
      </c>
      <c r="C360" t="str">
        <f>IF(Tests!E361="","",Tests!E361)</f>
        <v/>
      </c>
      <c r="E360" s="54">
        <f t="shared" si="30"/>
        <v>0</v>
      </c>
      <c r="F360" s="54">
        <f t="shared" si="31"/>
        <v>0</v>
      </c>
      <c r="G360" s="54">
        <f t="shared" si="32"/>
        <v>1</v>
      </c>
      <c r="H360" s="54">
        <f t="shared" si="33"/>
        <v>437</v>
      </c>
      <c r="I360" s="56" t="str">
        <f>IFERROR(INDEX($A$2:$A$501,MATCH(SMALL($H$2:$H$501,ROWS($I$2:I360)+$G$502),$H$2:$H$501,0)),"")</f>
        <v/>
      </c>
      <c r="J360">
        <f t="shared" si="34"/>
        <v>296</v>
      </c>
      <c r="K360" t="str">
        <f t="array" ref="K360">INDEX($B$2:$B$501,SMALL(IF($A$2:$A$501=I360,ROW($A$2:$A$501)-ROW(INDEX($A$2:$A$501,1,1))+1),J360))</f>
        <v/>
      </c>
      <c r="L360" t="str">
        <f t="array" ref="L360">INDEX($C$2:$C$501,SMALL(IF($A$2:$A$501=I360,ROW($A$2:$A$501)-ROW(INDEX($A$2:$A$501,1,1))+1),J360))</f>
        <v/>
      </c>
      <c r="N360" t="str">
        <f t="shared" si="35"/>
        <v/>
      </c>
      <c r="S360" s="10">
        <v>359</v>
      </c>
      <c r="T360" s="10" t="str">
        <f t="array" ref="T360">IFERROR(INDEX(A$2:$A$501,MATCH(0,COUNTIF($T$1:T359,A$2:$A$501),0)),"")</f>
        <v/>
      </c>
      <c r="U360" s="10">
        <f>IFERROR(MATCH(T360,I$2:$I$501,0),"")</f>
        <v>64</v>
      </c>
      <c r="V360" s="10">
        <f>COUNTIF(I$2:$I$501,T360)</f>
        <v>437</v>
      </c>
      <c r="W360" s="10"/>
      <c r="X360" s="10"/>
    </row>
    <row r="361" spans="1:24" x14ac:dyDescent="0.25">
      <c r="A361" t="str">
        <f>IF(Tests!B362="","",Tests!B362)</f>
        <v/>
      </c>
      <c r="B361" t="str">
        <f>IF(Tests!D362="","",Tests!D362)</f>
        <v/>
      </c>
      <c r="C361" t="str">
        <f>IF(Tests!E362="","",Tests!E362)</f>
        <v/>
      </c>
      <c r="E361" s="54">
        <f t="shared" si="30"/>
        <v>0</v>
      </c>
      <c r="F361" s="54">
        <f t="shared" si="31"/>
        <v>0</v>
      </c>
      <c r="G361" s="54">
        <f t="shared" si="32"/>
        <v>1</v>
      </c>
      <c r="H361" s="54">
        <f t="shared" si="33"/>
        <v>437</v>
      </c>
      <c r="I361" s="56" t="str">
        <f>IFERROR(INDEX($A$2:$A$501,MATCH(SMALL($H$2:$H$501,ROWS($I$2:I361)+$G$502),$H$2:$H$501,0)),"")</f>
        <v/>
      </c>
      <c r="J361">
        <f t="shared" si="34"/>
        <v>297</v>
      </c>
      <c r="K361" t="str">
        <f t="array" ref="K361">INDEX($B$2:$B$501,SMALL(IF($A$2:$A$501=I361,ROW($A$2:$A$501)-ROW(INDEX($A$2:$A$501,1,1))+1),J361))</f>
        <v/>
      </c>
      <c r="L361" t="str">
        <f t="array" ref="L361">INDEX($C$2:$C$501,SMALL(IF($A$2:$A$501=I361,ROW($A$2:$A$501)-ROW(INDEX($A$2:$A$501,1,1))+1),J361))</f>
        <v/>
      </c>
      <c r="N361" t="str">
        <f t="shared" si="35"/>
        <v/>
      </c>
      <c r="S361" s="10">
        <v>360</v>
      </c>
      <c r="T361" s="10" t="str">
        <f t="array" ref="T361">IFERROR(INDEX(A$2:$A$501,MATCH(0,COUNTIF($T$1:T360,A$2:$A$501),0)),"")</f>
        <v/>
      </c>
      <c r="U361" s="10">
        <f>IFERROR(MATCH(T361,I$2:$I$501,0),"")</f>
        <v>64</v>
      </c>
      <c r="V361" s="10">
        <f>COUNTIF(I$2:$I$501,T361)</f>
        <v>437</v>
      </c>
      <c r="W361" s="10"/>
      <c r="X361" s="10"/>
    </row>
    <row r="362" spans="1:24" x14ac:dyDescent="0.25">
      <c r="A362" t="str">
        <f>IF(Tests!B363="","",Tests!B363)</f>
        <v/>
      </c>
      <c r="B362" t="str">
        <f>IF(Tests!D363="","",Tests!D363)</f>
        <v/>
      </c>
      <c r="C362" t="str">
        <f>IF(Tests!E363="","",Tests!E363)</f>
        <v/>
      </c>
      <c r="E362" s="54">
        <f t="shared" si="30"/>
        <v>0</v>
      </c>
      <c r="F362" s="54">
        <f t="shared" si="31"/>
        <v>0</v>
      </c>
      <c r="G362" s="54">
        <f t="shared" si="32"/>
        <v>1</v>
      </c>
      <c r="H362" s="54">
        <f t="shared" si="33"/>
        <v>437</v>
      </c>
      <c r="I362" s="56" t="str">
        <f>IFERROR(INDEX($A$2:$A$501,MATCH(SMALL($H$2:$H$501,ROWS($I$2:I362)+$G$502),$H$2:$H$501,0)),"")</f>
        <v/>
      </c>
      <c r="J362">
        <f t="shared" si="34"/>
        <v>298</v>
      </c>
      <c r="K362" t="str">
        <f t="array" ref="K362">INDEX($B$2:$B$501,SMALL(IF($A$2:$A$501=I362,ROW($A$2:$A$501)-ROW(INDEX($A$2:$A$501,1,1))+1),J362))</f>
        <v/>
      </c>
      <c r="L362" t="str">
        <f t="array" ref="L362">INDEX($C$2:$C$501,SMALL(IF($A$2:$A$501=I362,ROW($A$2:$A$501)-ROW(INDEX($A$2:$A$501,1,1))+1),J362))</f>
        <v/>
      </c>
      <c r="N362" t="str">
        <f t="shared" si="35"/>
        <v/>
      </c>
      <c r="S362" s="10">
        <v>361</v>
      </c>
      <c r="T362" s="10" t="str">
        <f t="array" ref="T362">IFERROR(INDEX(A$2:$A$501,MATCH(0,COUNTIF($T$1:T361,A$2:$A$501),0)),"")</f>
        <v/>
      </c>
      <c r="U362" s="10">
        <f>IFERROR(MATCH(T362,I$2:$I$501,0),"")</f>
        <v>64</v>
      </c>
      <c r="V362" s="10">
        <f>COUNTIF(I$2:$I$501,T362)</f>
        <v>437</v>
      </c>
      <c r="W362" s="10"/>
      <c r="X362" s="10"/>
    </row>
    <row r="363" spans="1:24" x14ac:dyDescent="0.25">
      <c r="A363" t="str">
        <f>IF(Tests!B364="","",Tests!B364)</f>
        <v/>
      </c>
      <c r="B363" t="str">
        <f>IF(Tests!D364="","",Tests!D364)</f>
        <v/>
      </c>
      <c r="C363" t="str">
        <f>IF(Tests!E364="","",Tests!E364)</f>
        <v/>
      </c>
      <c r="E363" s="54">
        <f t="shared" si="30"/>
        <v>0</v>
      </c>
      <c r="F363" s="54">
        <f t="shared" si="31"/>
        <v>0</v>
      </c>
      <c r="G363" s="54">
        <f t="shared" si="32"/>
        <v>1</v>
      </c>
      <c r="H363" s="54">
        <f t="shared" si="33"/>
        <v>437</v>
      </c>
      <c r="I363" s="56" t="str">
        <f>IFERROR(INDEX($A$2:$A$501,MATCH(SMALL($H$2:$H$501,ROWS($I$2:I363)+$G$502),$H$2:$H$501,0)),"")</f>
        <v/>
      </c>
      <c r="J363">
        <f t="shared" si="34"/>
        <v>299</v>
      </c>
      <c r="K363" t="str">
        <f t="array" ref="K363">INDEX($B$2:$B$501,SMALL(IF($A$2:$A$501=I363,ROW($A$2:$A$501)-ROW(INDEX($A$2:$A$501,1,1))+1),J363))</f>
        <v/>
      </c>
      <c r="L363" t="str">
        <f t="array" ref="L363">INDEX($C$2:$C$501,SMALL(IF($A$2:$A$501=I363,ROW($A$2:$A$501)-ROW(INDEX($A$2:$A$501,1,1))+1),J363))</f>
        <v/>
      </c>
      <c r="N363" t="str">
        <f t="shared" si="35"/>
        <v/>
      </c>
      <c r="S363" s="10">
        <v>362</v>
      </c>
      <c r="T363" s="10" t="str">
        <f t="array" ref="T363">IFERROR(INDEX(A$2:$A$501,MATCH(0,COUNTIF($T$1:T362,A$2:$A$501),0)),"")</f>
        <v/>
      </c>
      <c r="U363" s="10">
        <f>IFERROR(MATCH(T363,I$2:$I$501,0),"")</f>
        <v>64</v>
      </c>
      <c r="V363" s="10">
        <f>COUNTIF(I$2:$I$501,T363)</f>
        <v>437</v>
      </c>
      <c r="W363" s="10"/>
      <c r="X363" s="10"/>
    </row>
    <row r="364" spans="1:24" x14ac:dyDescent="0.25">
      <c r="A364" t="str">
        <f>IF(Tests!B365="","",Tests!B365)</f>
        <v/>
      </c>
      <c r="B364" t="str">
        <f>IF(Tests!D365="","",Tests!D365)</f>
        <v/>
      </c>
      <c r="C364" t="str">
        <f>IF(Tests!E365="","",Tests!E365)</f>
        <v/>
      </c>
      <c r="E364" s="54">
        <f t="shared" si="30"/>
        <v>0</v>
      </c>
      <c r="F364" s="54">
        <f t="shared" si="31"/>
        <v>0</v>
      </c>
      <c r="G364" s="54">
        <f t="shared" si="32"/>
        <v>1</v>
      </c>
      <c r="H364" s="54">
        <f t="shared" si="33"/>
        <v>437</v>
      </c>
      <c r="I364" s="56" t="str">
        <f>IFERROR(INDEX($A$2:$A$501,MATCH(SMALL($H$2:$H$501,ROWS($I$2:I364)+$G$502),$H$2:$H$501,0)),"")</f>
        <v/>
      </c>
      <c r="J364">
        <f t="shared" si="34"/>
        <v>300</v>
      </c>
      <c r="K364" t="str">
        <f t="array" ref="K364">INDEX($B$2:$B$501,SMALL(IF($A$2:$A$501=I364,ROW($A$2:$A$501)-ROW(INDEX($A$2:$A$501,1,1))+1),J364))</f>
        <v/>
      </c>
      <c r="L364" t="str">
        <f t="array" ref="L364">INDEX($C$2:$C$501,SMALL(IF($A$2:$A$501=I364,ROW($A$2:$A$501)-ROW(INDEX($A$2:$A$501,1,1))+1),J364))</f>
        <v/>
      </c>
      <c r="N364" t="str">
        <f t="shared" si="35"/>
        <v/>
      </c>
      <c r="S364" s="10">
        <v>363</v>
      </c>
      <c r="T364" s="10" t="str">
        <f t="array" ref="T364">IFERROR(INDEX(A$2:$A$501,MATCH(0,COUNTIF($T$1:T363,A$2:$A$501),0)),"")</f>
        <v/>
      </c>
      <c r="U364" s="10">
        <f>IFERROR(MATCH(T364,I$2:$I$501,0),"")</f>
        <v>64</v>
      </c>
      <c r="V364" s="10">
        <f>COUNTIF(I$2:$I$501,T364)</f>
        <v>437</v>
      </c>
      <c r="W364" s="10"/>
      <c r="X364" s="10"/>
    </row>
    <row r="365" spans="1:24" x14ac:dyDescent="0.25">
      <c r="A365" t="str">
        <f>IF(Tests!B366="","",Tests!B366)</f>
        <v/>
      </c>
      <c r="B365" t="str">
        <f>IF(Tests!D366="","",Tests!D366)</f>
        <v/>
      </c>
      <c r="C365" t="str">
        <f>IF(Tests!E366="","",Tests!E366)</f>
        <v/>
      </c>
      <c r="E365" s="54">
        <f t="shared" si="30"/>
        <v>0</v>
      </c>
      <c r="F365" s="54">
        <f t="shared" si="31"/>
        <v>0</v>
      </c>
      <c r="G365" s="54">
        <f t="shared" si="32"/>
        <v>1</v>
      </c>
      <c r="H365" s="54">
        <f t="shared" si="33"/>
        <v>437</v>
      </c>
      <c r="I365" s="56" t="str">
        <f>IFERROR(INDEX($A$2:$A$501,MATCH(SMALL($H$2:$H$501,ROWS($I$2:I365)+$G$502),$H$2:$H$501,0)),"")</f>
        <v/>
      </c>
      <c r="J365">
        <f t="shared" si="34"/>
        <v>301</v>
      </c>
      <c r="K365" t="str">
        <f t="array" ref="K365">INDEX($B$2:$B$501,SMALL(IF($A$2:$A$501=I365,ROW($A$2:$A$501)-ROW(INDEX($A$2:$A$501,1,1))+1),J365))</f>
        <v/>
      </c>
      <c r="L365" t="str">
        <f t="array" ref="L365">INDEX($C$2:$C$501,SMALL(IF($A$2:$A$501=I365,ROW($A$2:$A$501)-ROW(INDEX($A$2:$A$501,1,1))+1),J365))</f>
        <v/>
      </c>
      <c r="N365" t="str">
        <f t="shared" si="35"/>
        <v/>
      </c>
      <c r="S365" s="10">
        <v>364</v>
      </c>
      <c r="T365" s="10" t="str">
        <f t="array" ref="T365">IFERROR(INDEX(A$2:$A$501,MATCH(0,COUNTIF($T$1:T364,A$2:$A$501),0)),"")</f>
        <v/>
      </c>
      <c r="U365" s="10">
        <f>IFERROR(MATCH(T365,I$2:$I$501,0),"")</f>
        <v>64</v>
      </c>
      <c r="V365" s="10">
        <f>COUNTIF(I$2:$I$501,T365)</f>
        <v>437</v>
      </c>
      <c r="W365" s="10"/>
      <c r="X365" s="10"/>
    </row>
    <row r="366" spans="1:24" x14ac:dyDescent="0.25">
      <c r="A366" t="str">
        <f>IF(Tests!B367="","",Tests!B367)</f>
        <v/>
      </c>
      <c r="B366" t="str">
        <f>IF(Tests!D367="","",Tests!D367)</f>
        <v/>
      </c>
      <c r="C366" t="str">
        <f>IF(Tests!E367="","",Tests!E367)</f>
        <v/>
      </c>
      <c r="E366" s="54">
        <f t="shared" si="30"/>
        <v>0</v>
      </c>
      <c r="F366" s="54">
        <f t="shared" si="31"/>
        <v>0</v>
      </c>
      <c r="G366" s="54">
        <f t="shared" si="32"/>
        <v>1</v>
      </c>
      <c r="H366" s="54">
        <f t="shared" si="33"/>
        <v>437</v>
      </c>
      <c r="I366" s="56" t="str">
        <f>IFERROR(INDEX($A$2:$A$501,MATCH(SMALL($H$2:$H$501,ROWS($I$2:I366)+$G$502),$H$2:$H$501,0)),"")</f>
        <v/>
      </c>
      <c r="J366">
        <f t="shared" si="34"/>
        <v>302</v>
      </c>
      <c r="K366" t="str">
        <f t="array" ref="K366">INDEX($B$2:$B$501,SMALL(IF($A$2:$A$501=I366,ROW($A$2:$A$501)-ROW(INDEX($A$2:$A$501,1,1))+1),J366))</f>
        <v/>
      </c>
      <c r="L366" t="str">
        <f t="array" ref="L366">INDEX($C$2:$C$501,SMALL(IF($A$2:$A$501=I366,ROW($A$2:$A$501)-ROW(INDEX($A$2:$A$501,1,1))+1),J366))</f>
        <v/>
      </c>
      <c r="N366" t="str">
        <f t="shared" si="35"/>
        <v/>
      </c>
      <c r="S366" s="10">
        <v>365</v>
      </c>
      <c r="T366" s="10" t="str">
        <f t="array" ref="T366">IFERROR(INDEX(A$2:$A$501,MATCH(0,COUNTIF($T$1:T365,A$2:$A$501),0)),"")</f>
        <v/>
      </c>
      <c r="U366" s="10">
        <f>IFERROR(MATCH(T366,I$2:$I$501,0),"")</f>
        <v>64</v>
      </c>
      <c r="V366" s="10">
        <f>COUNTIF(I$2:$I$501,T366)</f>
        <v>437</v>
      </c>
      <c r="W366" s="10"/>
      <c r="X366" s="10"/>
    </row>
    <row r="367" spans="1:24" x14ac:dyDescent="0.25">
      <c r="A367" t="str">
        <f>IF(Tests!B368="","",Tests!B368)</f>
        <v/>
      </c>
      <c r="B367" t="str">
        <f>IF(Tests!D368="","",Tests!D368)</f>
        <v/>
      </c>
      <c r="C367" t="str">
        <f>IF(Tests!E368="","",Tests!E368)</f>
        <v/>
      </c>
      <c r="E367" s="54">
        <f t="shared" si="30"/>
        <v>0</v>
      </c>
      <c r="F367" s="54">
        <f t="shared" si="31"/>
        <v>0</v>
      </c>
      <c r="G367" s="54">
        <f t="shared" si="32"/>
        <v>1</v>
      </c>
      <c r="H367" s="54">
        <f t="shared" si="33"/>
        <v>437</v>
      </c>
      <c r="I367" s="56" t="str">
        <f>IFERROR(INDEX($A$2:$A$501,MATCH(SMALL($H$2:$H$501,ROWS($I$2:I367)+$G$502),$H$2:$H$501,0)),"")</f>
        <v/>
      </c>
      <c r="J367">
        <f t="shared" si="34"/>
        <v>303</v>
      </c>
      <c r="K367" t="str">
        <f t="array" ref="K367">INDEX($B$2:$B$501,SMALL(IF($A$2:$A$501=I367,ROW($A$2:$A$501)-ROW(INDEX($A$2:$A$501,1,1))+1),J367))</f>
        <v/>
      </c>
      <c r="L367" t="str">
        <f t="array" ref="L367">INDEX($C$2:$C$501,SMALL(IF($A$2:$A$501=I367,ROW($A$2:$A$501)-ROW(INDEX($A$2:$A$501,1,1))+1),J367))</f>
        <v/>
      </c>
      <c r="N367" t="str">
        <f t="shared" si="35"/>
        <v/>
      </c>
      <c r="S367" s="10">
        <v>366</v>
      </c>
      <c r="T367" s="10" t="str">
        <f t="array" ref="T367">IFERROR(INDEX(A$2:$A$501,MATCH(0,COUNTIF($T$1:T366,A$2:$A$501),0)),"")</f>
        <v/>
      </c>
      <c r="U367" s="10">
        <f>IFERROR(MATCH(T367,I$2:$I$501,0),"")</f>
        <v>64</v>
      </c>
      <c r="V367" s="10">
        <f>COUNTIF(I$2:$I$501,T367)</f>
        <v>437</v>
      </c>
      <c r="W367" s="10"/>
      <c r="X367" s="10"/>
    </row>
    <row r="368" spans="1:24" x14ac:dyDescent="0.25">
      <c r="A368" t="str">
        <f>IF(Tests!B369="","",Tests!B369)</f>
        <v/>
      </c>
      <c r="B368" t="str">
        <f>IF(Tests!D369="","",Tests!D369)</f>
        <v/>
      </c>
      <c r="C368" t="str">
        <f>IF(Tests!E369="","",Tests!E369)</f>
        <v/>
      </c>
      <c r="E368" s="54">
        <f t="shared" si="30"/>
        <v>0</v>
      </c>
      <c r="F368" s="54">
        <f t="shared" si="31"/>
        <v>0</v>
      </c>
      <c r="G368" s="54">
        <f t="shared" si="32"/>
        <v>1</v>
      </c>
      <c r="H368" s="54">
        <f t="shared" si="33"/>
        <v>437</v>
      </c>
      <c r="I368" s="56" t="str">
        <f>IFERROR(INDEX($A$2:$A$501,MATCH(SMALL($H$2:$H$501,ROWS($I$2:I368)+$G$502),$H$2:$H$501,0)),"")</f>
        <v/>
      </c>
      <c r="J368">
        <f t="shared" si="34"/>
        <v>304</v>
      </c>
      <c r="K368" t="str">
        <f t="array" ref="K368">INDEX($B$2:$B$501,SMALL(IF($A$2:$A$501=I368,ROW($A$2:$A$501)-ROW(INDEX($A$2:$A$501,1,1))+1),J368))</f>
        <v/>
      </c>
      <c r="L368" t="str">
        <f t="array" ref="L368">INDEX($C$2:$C$501,SMALL(IF($A$2:$A$501=I368,ROW($A$2:$A$501)-ROW(INDEX($A$2:$A$501,1,1))+1),J368))</f>
        <v/>
      </c>
      <c r="N368" t="str">
        <f t="shared" si="35"/>
        <v/>
      </c>
      <c r="S368" s="10">
        <v>367</v>
      </c>
      <c r="T368" s="10" t="str">
        <f t="array" ref="T368">IFERROR(INDEX(A$2:$A$501,MATCH(0,COUNTIF($T$1:T367,A$2:$A$501),0)),"")</f>
        <v/>
      </c>
      <c r="U368" s="10">
        <f>IFERROR(MATCH(T368,I$2:$I$501,0),"")</f>
        <v>64</v>
      </c>
      <c r="V368" s="10">
        <f>COUNTIF(I$2:$I$501,T368)</f>
        <v>437</v>
      </c>
      <c r="W368" s="10"/>
      <c r="X368" s="10"/>
    </row>
    <row r="369" spans="1:24" x14ac:dyDescent="0.25">
      <c r="A369" t="str">
        <f>IF(Tests!B370="","",Tests!B370)</f>
        <v/>
      </c>
      <c r="B369" t="str">
        <f>IF(Tests!D370="","",Tests!D370)</f>
        <v/>
      </c>
      <c r="C369" t="str">
        <f>IF(Tests!E370="","",Tests!E370)</f>
        <v/>
      </c>
      <c r="E369" s="54">
        <f t="shared" si="30"/>
        <v>0</v>
      </c>
      <c r="F369" s="54">
        <f t="shared" si="31"/>
        <v>0</v>
      </c>
      <c r="G369" s="54">
        <f t="shared" si="32"/>
        <v>1</v>
      </c>
      <c r="H369" s="54">
        <f t="shared" si="33"/>
        <v>437</v>
      </c>
      <c r="I369" s="56" t="str">
        <f>IFERROR(INDEX($A$2:$A$501,MATCH(SMALL($H$2:$H$501,ROWS($I$2:I369)+$G$502),$H$2:$H$501,0)),"")</f>
        <v/>
      </c>
      <c r="J369">
        <f t="shared" si="34"/>
        <v>305</v>
      </c>
      <c r="K369" t="str">
        <f t="array" ref="K369">INDEX($B$2:$B$501,SMALL(IF($A$2:$A$501=I369,ROW($A$2:$A$501)-ROW(INDEX($A$2:$A$501,1,1))+1),J369))</f>
        <v/>
      </c>
      <c r="L369" t="str">
        <f t="array" ref="L369">INDEX($C$2:$C$501,SMALL(IF($A$2:$A$501=I369,ROW($A$2:$A$501)-ROW(INDEX($A$2:$A$501,1,1))+1),J369))</f>
        <v/>
      </c>
      <c r="N369" t="str">
        <f t="shared" si="35"/>
        <v/>
      </c>
      <c r="S369" s="10">
        <v>368</v>
      </c>
      <c r="T369" s="10" t="str">
        <f t="array" ref="T369">IFERROR(INDEX(A$2:$A$501,MATCH(0,COUNTIF($T$1:T368,A$2:$A$501),0)),"")</f>
        <v/>
      </c>
      <c r="U369" s="10">
        <f>IFERROR(MATCH(T369,I$2:$I$501,0),"")</f>
        <v>64</v>
      </c>
      <c r="V369" s="10">
        <f>COUNTIF(I$2:$I$501,T369)</f>
        <v>437</v>
      </c>
      <c r="W369" s="10"/>
      <c r="X369" s="10"/>
    </row>
    <row r="370" spans="1:24" x14ac:dyDescent="0.25">
      <c r="A370" t="str">
        <f>IF(Tests!B371="","",Tests!B371)</f>
        <v/>
      </c>
      <c r="B370" t="str">
        <f>IF(Tests!D371="","",Tests!D371)</f>
        <v/>
      </c>
      <c r="C370" t="str">
        <f>IF(Tests!E371="","",Tests!E371)</f>
        <v/>
      </c>
      <c r="E370" s="54">
        <f t="shared" si="30"/>
        <v>0</v>
      </c>
      <c r="F370" s="54">
        <f t="shared" si="31"/>
        <v>0</v>
      </c>
      <c r="G370" s="54">
        <f t="shared" si="32"/>
        <v>1</v>
      </c>
      <c r="H370" s="54">
        <f t="shared" si="33"/>
        <v>437</v>
      </c>
      <c r="I370" s="56" t="str">
        <f>IFERROR(INDEX($A$2:$A$501,MATCH(SMALL($H$2:$H$501,ROWS($I$2:I370)+$G$502),$H$2:$H$501,0)),"")</f>
        <v/>
      </c>
      <c r="J370">
        <f t="shared" si="34"/>
        <v>306</v>
      </c>
      <c r="K370" t="str">
        <f t="array" ref="K370">INDEX($B$2:$B$501,SMALL(IF($A$2:$A$501=I370,ROW($A$2:$A$501)-ROW(INDEX($A$2:$A$501,1,1))+1),J370))</f>
        <v/>
      </c>
      <c r="L370" t="str">
        <f t="array" ref="L370">INDEX($C$2:$C$501,SMALL(IF($A$2:$A$501=I370,ROW($A$2:$A$501)-ROW(INDEX($A$2:$A$501,1,1))+1),J370))</f>
        <v/>
      </c>
      <c r="N370" t="str">
        <f t="shared" si="35"/>
        <v/>
      </c>
      <c r="S370" s="10">
        <v>369</v>
      </c>
      <c r="T370" s="10" t="str">
        <f t="array" ref="T370">IFERROR(INDEX(A$2:$A$501,MATCH(0,COUNTIF($T$1:T369,A$2:$A$501),0)),"")</f>
        <v/>
      </c>
      <c r="U370" s="10">
        <f>IFERROR(MATCH(T370,I$2:$I$501,0),"")</f>
        <v>64</v>
      </c>
      <c r="V370" s="10">
        <f>COUNTIF(I$2:$I$501,T370)</f>
        <v>437</v>
      </c>
      <c r="W370" s="10"/>
      <c r="X370" s="10"/>
    </row>
    <row r="371" spans="1:24" x14ac:dyDescent="0.25">
      <c r="A371" t="str">
        <f>IF(Tests!B372="","",Tests!B372)</f>
        <v/>
      </c>
      <c r="B371" t="str">
        <f>IF(Tests!D372="","",Tests!D372)</f>
        <v/>
      </c>
      <c r="C371" t="str">
        <f>IF(Tests!E372="","",Tests!E372)</f>
        <v/>
      </c>
      <c r="E371" s="54">
        <f t="shared" si="30"/>
        <v>0</v>
      </c>
      <c r="F371" s="54">
        <f t="shared" si="31"/>
        <v>0</v>
      </c>
      <c r="G371" s="54">
        <f t="shared" si="32"/>
        <v>1</v>
      </c>
      <c r="H371" s="54">
        <f t="shared" si="33"/>
        <v>437</v>
      </c>
      <c r="I371" s="56" t="str">
        <f>IFERROR(INDEX($A$2:$A$501,MATCH(SMALL($H$2:$H$501,ROWS($I$2:I371)+$G$502),$H$2:$H$501,0)),"")</f>
        <v/>
      </c>
      <c r="J371">
        <f t="shared" si="34"/>
        <v>307</v>
      </c>
      <c r="K371" t="str">
        <f t="array" ref="K371">INDEX($B$2:$B$501,SMALL(IF($A$2:$A$501=I371,ROW($A$2:$A$501)-ROW(INDEX($A$2:$A$501,1,1))+1),J371))</f>
        <v/>
      </c>
      <c r="L371" t="str">
        <f t="array" ref="L371">INDEX($C$2:$C$501,SMALL(IF($A$2:$A$501=I371,ROW($A$2:$A$501)-ROW(INDEX($A$2:$A$501,1,1))+1),J371))</f>
        <v/>
      </c>
      <c r="N371" t="str">
        <f t="shared" si="35"/>
        <v/>
      </c>
      <c r="S371" s="10">
        <v>370</v>
      </c>
      <c r="T371" s="10" t="str">
        <f t="array" ref="T371">IFERROR(INDEX(A$2:$A$501,MATCH(0,COUNTIF($T$1:T370,A$2:$A$501),0)),"")</f>
        <v/>
      </c>
      <c r="U371" s="10">
        <f>IFERROR(MATCH(T371,I$2:$I$501,0),"")</f>
        <v>64</v>
      </c>
      <c r="V371" s="10">
        <f>COUNTIF(I$2:$I$501,T371)</f>
        <v>437</v>
      </c>
      <c r="W371" s="10"/>
      <c r="X371" s="10"/>
    </row>
    <row r="372" spans="1:24" x14ac:dyDescent="0.25">
      <c r="A372" t="str">
        <f>IF(Tests!B373="","",Tests!B373)</f>
        <v/>
      </c>
      <c r="B372" t="str">
        <f>IF(Tests!D373="","",Tests!D373)</f>
        <v/>
      </c>
      <c r="C372" t="str">
        <f>IF(Tests!E373="","",Tests!E373)</f>
        <v/>
      </c>
      <c r="E372" s="54">
        <f t="shared" si="30"/>
        <v>0</v>
      </c>
      <c r="F372" s="54">
        <f t="shared" si="31"/>
        <v>0</v>
      </c>
      <c r="G372" s="54">
        <f t="shared" si="32"/>
        <v>1</v>
      </c>
      <c r="H372" s="54">
        <f t="shared" si="33"/>
        <v>437</v>
      </c>
      <c r="I372" s="56" t="str">
        <f>IFERROR(INDEX($A$2:$A$501,MATCH(SMALL($H$2:$H$501,ROWS($I$2:I372)+$G$502),$H$2:$H$501,0)),"")</f>
        <v/>
      </c>
      <c r="J372">
        <f t="shared" si="34"/>
        <v>308</v>
      </c>
      <c r="K372" t="str">
        <f t="array" ref="K372">INDEX($B$2:$B$501,SMALL(IF($A$2:$A$501=I372,ROW($A$2:$A$501)-ROW(INDEX($A$2:$A$501,1,1))+1),J372))</f>
        <v/>
      </c>
      <c r="L372" t="str">
        <f t="array" ref="L372">INDEX($C$2:$C$501,SMALL(IF($A$2:$A$501=I372,ROW($A$2:$A$501)-ROW(INDEX($A$2:$A$501,1,1))+1),J372))</f>
        <v/>
      </c>
      <c r="N372" t="str">
        <f t="shared" si="35"/>
        <v/>
      </c>
      <c r="S372" s="10">
        <v>371</v>
      </c>
      <c r="T372" s="10" t="str">
        <f t="array" ref="T372">IFERROR(INDEX(A$2:$A$501,MATCH(0,COUNTIF($T$1:T371,A$2:$A$501),0)),"")</f>
        <v/>
      </c>
      <c r="U372" s="10">
        <f>IFERROR(MATCH(T372,I$2:$I$501,0),"")</f>
        <v>64</v>
      </c>
      <c r="V372" s="10">
        <f>COUNTIF(I$2:$I$501,T372)</f>
        <v>437</v>
      </c>
      <c r="W372" s="10"/>
      <c r="X372" s="10"/>
    </row>
    <row r="373" spans="1:24" x14ac:dyDescent="0.25">
      <c r="A373" t="str">
        <f>IF(Tests!B374="","",Tests!B374)</f>
        <v/>
      </c>
      <c r="B373" t="str">
        <f>IF(Tests!D374="","",Tests!D374)</f>
        <v/>
      </c>
      <c r="C373" t="str">
        <f>IF(Tests!E374="","",Tests!E374)</f>
        <v/>
      </c>
      <c r="E373" s="54">
        <f t="shared" si="30"/>
        <v>0</v>
      </c>
      <c r="F373" s="54">
        <f t="shared" si="31"/>
        <v>0</v>
      </c>
      <c r="G373" s="54">
        <f t="shared" si="32"/>
        <v>1</v>
      </c>
      <c r="H373" s="54">
        <f t="shared" si="33"/>
        <v>437</v>
      </c>
      <c r="I373" s="56" t="str">
        <f>IFERROR(INDEX($A$2:$A$501,MATCH(SMALL($H$2:$H$501,ROWS($I$2:I373)+$G$502),$H$2:$H$501,0)),"")</f>
        <v/>
      </c>
      <c r="J373">
        <f t="shared" si="34"/>
        <v>309</v>
      </c>
      <c r="K373" t="str">
        <f t="array" ref="K373">INDEX($B$2:$B$501,SMALL(IF($A$2:$A$501=I373,ROW($A$2:$A$501)-ROW(INDEX($A$2:$A$501,1,1))+1),J373))</f>
        <v/>
      </c>
      <c r="L373" t="str">
        <f t="array" ref="L373">INDEX($C$2:$C$501,SMALL(IF($A$2:$A$501=I373,ROW($A$2:$A$501)-ROW(INDEX($A$2:$A$501,1,1))+1),J373))</f>
        <v/>
      </c>
      <c r="N373" t="str">
        <f t="shared" si="35"/>
        <v/>
      </c>
      <c r="S373" s="10">
        <v>372</v>
      </c>
      <c r="T373" s="10" t="str">
        <f t="array" ref="T373">IFERROR(INDEX(A$2:$A$501,MATCH(0,COUNTIF($T$1:T372,A$2:$A$501),0)),"")</f>
        <v/>
      </c>
      <c r="U373" s="10">
        <f>IFERROR(MATCH(T373,I$2:$I$501,0),"")</f>
        <v>64</v>
      </c>
      <c r="V373" s="10">
        <f>COUNTIF(I$2:$I$501,T373)</f>
        <v>437</v>
      </c>
      <c r="W373" s="10"/>
      <c r="X373" s="10"/>
    </row>
    <row r="374" spans="1:24" x14ac:dyDescent="0.25">
      <c r="A374" t="str">
        <f>IF(Tests!B375="","",Tests!B375)</f>
        <v/>
      </c>
      <c r="B374" t="str">
        <f>IF(Tests!D375="","",Tests!D375)</f>
        <v/>
      </c>
      <c r="C374" t="str">
        <f>IF(Tests!E375="","",Tests!E375)</f>
        <v/>
      </c>
      <c r="E374" s="54">
        <f t="shared" si="30"/>
        <v>0</v>
      </c>
      <c r="F374" s="54">
        <f t="shared" si="31"/>
        <v>0</v>
      </c>
      <c r="G374" s="54">
        <f t="shared" si="32"/>
        <v>1</v>
      </c>
      <c r="H374" s="54">
        <f t="shared" si="33"/>
        <v>437</v>
      </c>
      <c r="I374" s="56" t="str">
        <f>IFERROR(INDEX($A$2:$A$501,MATCH(SMALL($H$2:$H$501,ROWS($I$2:I374)+$G$502),$H$2:$H$501,0)),"")</f>
        <v/>
      </c>
      <c r="J374">
        <f t="shared" si="34"/>
        <v>310</v>
      </c>
      <c r="K374" t="str">
        <f t="array" ref="K374">INDEX($B$2:$B$501,SMALL(IF($A$2:$A$501=I374,ROW($A$2:$A$501)-ROW(INDEX($A$2:$A$501,1,1))+1),J374))</f>
        <v/>
      </c>
      <c r="L374" t="str">
        <f t="array" ref="L374">INDEX($C$2:$C$501,SMALL(IF($A$2:$A$501=I374,ROW($A$2:$A$501)-ROW(INDEX($A$2:$A$501,1,1))+1),J374))</f>
        <v/>
      </c>
      <c r="N374" t="str">
        <f t="shared" si="35"/>
        <v/>
      </c>
      <c r="S374" s="10">
        <v>373</v>
      </c>
      <c r="T374" s="10" t="str">
        <f t="array" ref="T374">IFERROR(INDEX(A$2:$A$501,MATCH(0,COUNTIF($T$1:T373,A$2:$A$501),0)),"")</f>
        <v/>
      </c>
      <c r="U374" s="10">
        <f>IFERROR(MATCH(T374,I$2:$I$501,0),"")</f>
        <v>64</v>
      </c>
      <c r="V374" s="10">
        <f>COUNTIF(I$2:$I$501,T374)</f>
        <v>437</v>
      </c>
      <c r="W374" s="10"/>
      <c r="X374" s="10"/>
    </row>
    <row r="375" spans="1:24" x14ac:dyDescent="0.25">
      <c r="A375" t="str">
        <f>IF(Tests!B376="","",Tests!B376)</f>
        <v/>
      </c>
      <c r="B375" t="str">
        <f>IF(Tests!D376="","",Tests!D376)</f>
        <v/>
      </c>
      <c r="C375" t="str">
        <f>IF(Tests!E376="","",Tests!E376)</f>
        <v/>
      </c>
      <c r="E375" s="54">
        <f t="shared" si="30"/>
        <v>0</v>
      </c>
      <c r="F375" s="54">
        <f t="shared" si="31"/>
        <v>0</v>
      </c>
      <c r="G375" s="54">
        <f t="shared" si="32"/>
        <v>1</v>
      </c>
      <c r="H375" s="54">
        <f t="shared" si="33"/>
        <v>437</v>
      </c>
      <c r="I375" s="56" t="str">
        <f>IFERROR(INDEX($A$2:$A$501,MATCH(SMALL($H$2:$H$501,ROWS($I$2:I375)+$G$502),$H$2:$H$501,0)),"")</f>
        <v/>
      </c>
      <c r="J375">
        <f t="shared" si="34"/>
        <v>311</v>
      </c>
      <c r="K375" t="str">
        <f t="array" ref="K375">INDEX($B$2:$B$501,SMALL(IF($A$2:$A$501=I375,ROW($A$2:$A$501)-ROW(INDEX($A$2:$A$501,1,1))+1),J375))</f>
        <v/>
      </c>
      <c r="L375" t="str">
        <f t="array" ref="L375">INDEX($C$2:$C$501,SMALL(IF($A$2:$A$501=I375,ROW($A$2:$A$501)-ROW(INDEX($A$2:$A$501,1,1))+1),J375))</f>
        <v/>
      </c>
      <c r="N375" t="str">
        <f t="shared" si="35"/>
        <v/>
      </c>
      <c r="S375" s="10">
        <v>374</v>
      </c>
      <c r="T375" s="10" t="str">
        <f t="array" ref="T375">IFERROR(INDEX(A$2:$A$501,MATCH(0,COUNTIF($T$1:T374,A$2:$A$501),0)),"")</f>
        <v/>
      </c>
      <c r="U375" s="10">
        <f>IFERROR(MATCH(T375,I$2:$I$501,0),"")</f>
        <v>64</v>
      </c>
      <c r="V375" s="10">
        <f>COUNTIF(I$2:$I$501,T375)</f>
        <v>437</v>
      </c>
      <c r="W375" s="10"/>
      <c r="X375" s="10"/>
    </row>
    <row r="376" spans="1:24" x14ac:dyDescent="0.25">
      <c r="A376" t="str">
        <f>IF(Tests!B377="","",Tests!B377)</f>
        <v/>
      </c>
      <c r="B376" t="str">
        <f>IF(Tests!D377="","",Tests!D377)</f>
        <v/>
      </c>
      <c r="C376" t="str">
        <f>IF(Tests!E377="","",Tests!E377)</f>
        <v/>
      </c>
      <c r="E376" s="54">
        <f t="shared" si="30"/>
        <v>0</v>
      </c>
      <c r="F376" s="54">
        <f t="shared" si="31"/>
        <v>0</v>
      </c>
      <c r="G376" s="54">
        <f t="shared" si="32"/>
        <v>1</v>
      </c>
      <c r="H376" s="54">
        <f t="shared" si="33"/>
        <v>437</v>
      </c>
      <c r="I376" s="56" t="str">
        <f>IFERROR(INDEX($A$2:$A$501,MATCH(SMALL($H$2:$H$501,ROWS($I$2:I376)+$G$502),$H$2:$H$501,0)),"")</f>
        <v/>
      </c>
      <c r="J376">
        <f t="shared" si="34"/>
        <v>312</v>
      </c>
      <c r="K376" t="str">
        <f t="array" ref="K376">INDEX($B$2:$B$501,SMALL(IF($A$2:$A$501=I376,ROW($A$2:$A$501)-ROW(INDEX($A$2:$A$501,1,1))+1),J376))</f>
        <v/>
      </c>
      <c r="L376" t="str">
        <f t="array" ref="L376">INDEX($C$2:$C$501,SMALL(IF($A$2:$A$501=I376,ROW($A$2:$A$501)-ROW(INDEX($A$2:$A$501,1,1))+1),J376))</f>
        <v/>
      </c>
      <c r="N376" t="str">
        <f t="shared" si="35"/>
        <v/>
      </c>
      <c r="S376" s="10">
        <v>375</v>
      </c>
      <c r="T376" s="10" t="str">
        <f t="array" ref="T376">IFERROR(INDEX(A$2:$A$501,MATCH(0,COUNTIF($T$1:T375,A$2:$A$501),0)),"")</f>
        <v/>
      </c>
      <c r="U376" s="10">
        <f>IFERROR(MATCH(T376,I$2:$I$501,0),"")</f>
        <v>64</v>
      </c>
      <c r="V376" s="10">
        <f>COUNTIF(I$2:$I$501,T376)</f>
        <v>437</v>
      </c>
      <c r="W376" s="10"/>
      <c r="X376" s="10"/>
    </row>
    <row r="377" spans="1:24" x14ac:dyDescent="0.25">
      <c r="A377" t="str">
        <f>IF(Tests!B378="","",Tests!B378)</f>
        <v/>
      </c>
      <c r="B377" t="str">
        <f>IF(Tests!D378="","",Tests!D378)</f>
        <v/>
      </c>
      <c r="C377" t="str">
        <f>IF(Tests!E378="","",Tests!E378)</f>
        <v/>
      </c>
      <c r="E377" s="54">
        <f t="shared" si="30"/>
        <v>0</v>
      </c>
      <c r="F377" s="54">
        <f t="shared" si="31"/>
        <v>0</v>
      </c>
      <c r="G377" s="54">
        <f t="shared" si="32"/>
        <v>1</v>
      </c>
      <c r="H377" s="54">
        <f t="shared" si="33"/>
        <v>437</v>
      </c>
      <c r="I377" s="56" t="str">
        <f>IFERROR(INDEX($A$2:$A$501,MATCH(SMALL($H$2:$H$501,ROWS($I$2:I377)+$G$502),$H$2:$H$501,0)),"")</f>
        <v/>
      </c>
      <c r="J377">
        <f t="shared" si="34"/>
        <v>313</v>
      </c>
      <c r="K377" t="str">
        <f t="array" ref="K377">INDEX($B$2:$B$501,SMALL(IF($A$2:$A$501=I377,ROW($A$2:$A$501)-ROW(INDEX($A$2:$A$501,1,1))+1),J377))</f>
        <v/>
      </c>
      <c r="L377" t="str">
        <f t="array" ref="L377">INDEX($C$2:$C$501,SMALL(IF($A$2:$A$501=I377,ROW($A$2:$A$501)-ROW(INDEX($A$2:$A$501,1,1))+1),J377))</f>
        <v/>
      </c>
      <c r="N377" t="str">
        <f t="shared" si="35"/>
        <v/>
      </c>
      <c r="S377" s="10">
        <v>376</v>
      </c>
      <c r="T377" s="10" t="str">
        <f t="array" ref="T377">IFERROR(INDEX(A$2:$A$501,MATCH(0,COUNTIF($T$1:T376,A$2:$A$501),0)),"")</f>
        <v/>
      </c>
      <c r="U377" s="10">
        <f>IFERROR(MATCH(T377,I$2:$I$501,0),"")</f>
        <v>64</v>
      </c>
      <c r="V377" s="10">
        <f>COUNTIF(I$2:$I$501,T377)</f>
        <v>437</v>
      </c>
      <c r="W377" s="10"/>
      <c r="X377" s="10"/>
    </row>
    <row r="378" spans="1:24" x14ac:dyDescent="0.25">
      <c r="A378" t="str">
        <f>IF(Tests!B379="","",Tests!B379)</f>
        <v/>
      </c>
      <c r="B378" t="str">
        <f>IF(Tests!D379="","",Tests!D379)</f>
        <v/>
      </c>
      <c r="C378" t="str">
        <f>IF(Tests!E379="","",Tests!E379)</f>
        <v/>
      </c>
      <c r="E378" s="54">
        <f t="shared" si="30"/>
        <v>0</v>
      </c>
      <c r="F378" s="54">
        <f t="shared" si="31"/>
        <v>0</v>
      </c>
      <c r="G378" s="54">
        <f t="shared" si="32"/>
        <v>1</v>
      </c>
      <c r="H378" s="54">
        <f t="shared" si="33"/>
        <v>437</v>
      </c>
      <c r="I378" s="56" t="str">
        <f>IFERROR(INDEX($A$2:$A$501,MATCH(SMALL($H$2:$H$501,ROWS($I$2:I378)+$G$502),$H$2:$H$501,0)),"")</f>
        <v/>
      </c>
      <c r="J378">
        <f t="shared" si="34"/>
        <v>314</v>
      </c>
      <c r="K378" t="str">
        <f t="array" ref="K378">INDEX($B$2:$B$501,SMALL(IF($A$2:$A$501=I378,ROW($A$2:$A$501)-ROW(INDEX($A$2:$A$501,1,1))+1),J378))</f>
        <v/>
      </c>
      <c r="L378" t="str">
        <f t="array" ref="L378">INDEX($C$2:$C$501,SMALL(IF($A$2:$A$501=I378,ROW($A$2:$A$501)-ROW(INDEX($A$2:$A$501,1,1))+1),J378))</f>
        <v/>
      </c>
      <c r="N378" t="str">
        <f t="shared" si="35"/>
        <v/>
      </c>
      <c r="S378" s="10">
        <v>377</v>
      </c>
      <c r="T378" s="10" t="str">
        <f t="array" ref="T378">IFERROR(INDEX(A$2:$A$501,MATCH(0,COUNTIF($T$1:T377,A$2:$A$501),0)),"")</f>
        <v/>
      </c>
      <c r="U378" s="10">
        <f>IFERROR(MATCH(T378,I$2:$I$501,0),"")</f>
        <v>64</v>
      </c>
      <c r="V378" s="10">
        <f>COUNTIF(I$2:$I$501,T378)</f>
        <v>437</v>
      </c>
      <c r="W378" s="10"/>
      <c r="X378" s="10"/>
    </row>
    <row r="379" spans="1:24" x14ac:dyDescent="0.25">
      <c r="A379" t="str">
        <f>IF(Tests!B380="","",Tests!B380)</f>
        <v/>
      </c>
      <c r="B379" t="str">
        <f>IF(Tests!D380="","",Tests!D380)</f>
        <v/>
      </c>
      <c r="C379" t="str">
        <f>IF(Tests!E380="","",Tests!E380)</f>
        <v/>
      </c>
      <c r="E379" s="54">
        <f t="shared" si="30"/>
        <v>0</v>
      </c>
      <c r="F379" s="54">
        <f t="shared" si="31"/>
        <v>0</v>
      </c>
      <c r="G379" s="54">
        <f t="shared" si="32"/>
        <v>1</v>
      </c>
      <c r="H379" s="54">
        <f t="shared" si="33"/>
        <v>437</v>
      </c>
      <c r="I379" s="56" t="str">
        <f>IFERROR(INDEX($A$2:$A$501,MATCH(SMALL($H$2:$H$501,ROWS($I$2:I379)+$G$502),$H$2:$H$501,0)),"")</f>
        <v/>
      </c>
      <c r="J379">
        <f t="shared" si="34"/>
        <v>315</v>
      </c>
      <c r="K379" t="str">
        <f t="array" ref="K379">INDEX($B$2:$B$501,SMALL(IF($A$2:$A$501=I379,ROW($A$2:$A$501)-ROW(INDEX($A$2:$A$501,1,1))+1),J379))</f>
        <v/>
      </c>
      <c r="L379" t="str">
        <f t="array" ref="L379">INDEX($C$2:$C$501,SMALL(IF($A$2:$A$501=I379,ROW($A$2:$A$501)-ROW(INDEX($A$2:$A$501,1,1))+1),J379))</f>
        <v/>
      </c>
      <c r="N379" t="str">
        <f t="shared" si="35"/>
        <v/>
      </c>
      <c r="S379" s="10">
        <v>378</v>
      </c>
      <c r="T379" s="10" t="str">
        <f t="array" ref="T379">IFERROR(INDEX(A$2:$A$501,MATCH(0,COUNTIF($T$1:T378,A$2:$A$501),0)),"")</f>
        <v/>
      </c>
      <c r="U379" s="10">
        <f>IFERROR(MATCH(T379,I$2:$I$501,0),"")</f>
        <v>64</v>
      </c>
      <c r="V379" s="10">
        <f>COUNTIF(I$2:$I$501,T379)</f>
        <v>437</v>
      </c>
      <c r="W379" s="10"/>
      <c r="X379" s="10"/>
    </row>
    <row r="380" spans="1:24" x14ac:dyDescent="0.25">
      <c r="A380" t="str">
        <f>IF(Tests!B381="","",Tests!B381)</f>
        <v/>
      </c>
      <c r="B380" t="str">
        <f>IF(Tests!D381="","",Tests!D381)</f>
        <v/>
      </c>
      <c r="C380" t="str">
        <f>IF(Tests!E381="","",Tests!E381)</f>
        <v/>
      </c>
      <c r="E380" s="54">
        <f t="shared" si="30"/>
        <v>0</v>
      </c>
      <c r="F380" s="54">
        <f t="shared" si="31"/>
        <v>0</v>
      </c>
      <c r="G380" s="54">
        <f t="shared" si="32"/>
        <v>1</v>
      </c>
      <c r="H380" s="54">
        <f t="shared" si="33"/>
        <v>437</v>
      </c>
      <c r="I380" s="56" t="str">
        <f>IFERROR(INDEX($A$2:$A$501,MATCH(SMALL($H$2:$H$501,ROWS($I$2:I380)+$G$502),$H$2:$H$501,0)),"")</f>
        <v/>
      </c>
      <c r="J380">
        <f t="shared" si="34"/>
        <v>316</v>
      </c>
      <c r="K380" t="str">
        <f t="array" ref="K380">INDEX($B$2:$B$501,SMALL(IF($A$2:$A$501=I380,ROW($A$2:$A$501)-ROW(INDEX($A$2:$A$501,1,1))+1),J380))</f>
        <v/>
      </c>
      <c r="L380" t="str">
        <f t="array" ref="L380">INDEX($C$2:$C$501,SMALL(IF($A$2:$A$501=I380,ROW($A$2:$A$501)-ROW(INDEX($A$2:$A$501,1,1))+1),J380))</f>
        <v/>
      </c>
      <c r="N380" t="str">
        <f t="shared" si="35"/>
        <v/>
      </c>
      <c r="S380" s="10">
        <v>379</v>
      </c>
      <c r="T380" s="10" t="str">
        <f t="array" ref="T380">IFERROR(INDEX(A$2:$A$501,MATCH(0,COUNTIF($T$1:T379,A$2:$A$501),0)),"")</f>
        <v/>
      </c>
      <c r="U380" s="10">
        <f>IFERROR(MATCH(T380,I$2:$I$501,0),"")</f>
        <v>64</v>
      </c>
      <c r="V380" s="10">
        <f>COUNTIF(I$2:$I$501,T380)</f>
        <v>437</v>
      </c>
      <c r="W380" s="10"/>
      <c r="X380" s="10"/>
    </row>
    <row r="381" spans="1:24" x14ac:dyDescent="0.25">
      <c r="A381" t="str">
        <f>IF(Tests!B382="","",Tests!B382)</f>
        <v/>
      </c>
      <c r="B381" t="str">
        <f>IF(Tests!D382="","",Tests!D382)</f>
        <v/>
      </c>
      <c r="C381" t="str">
        <f>IF(Tests!E382="","",Tests!E382)</f>
        <v/>
      </c>
      <c r="E381" s="54">
        <f t="shared" si="30"/>
        <v>0</v>
      </c>
      <c r="F381" s="54">
        <f t="shared" si="31"/>
        <v>0</v>
      </c>
      <c r="G381" s="54">
        <f t="shared" si="32"/>
        <v>1</v>
      </c>
      <c r="H381" s="54">
        <f t="shared" si="33"/>
        <v>437</v>
      </c>
      <c r="I381" s="56" t="str">
        <f>IFERROR(INDEX($A$2:$A$501,MATCH(SMALL($H$2:$H$501,ROWS($I$2:I381)+$G$502),$H$2:$H$501,0)),"")</f>
        <v/>
      </c>
      <c r="J381">
        <f t="shared" si="34"/>
        <v>317</v>
      </c>
      <c r="K381" t="str">
        <f t="array" ref="K381">INDEX($B$2:$B$501,SMALL(IF($A$2:$A$501=I381,ROW($A$2:$A$501)-ROW(INDEX($A$2:$A$501,1,1))+1),J381))</f>
        <v/>
      </c>
      <c r="L381" t="str">
        <f t="array" ref="L381">INDEX($C$2:$C$501,SMALL(IF($A$2:$A$501=I381,ROW($A$2:$A$501)-ROW(INDEX($A$2:$A$501,1,1))+1),J381))</f>
        <v/>
      </c>
      <c r="N381" t="str">
        <f t="shared" si="35"/>
        <v/>
      </c>
      <c r="S381" s="10">
        <v>380</v>
      </c>
      <c r="T381" s="10" t="str">
        <f t="array" ref="T381">IFERROR(INDEX(A$2:$A$501,MATCH(0,COUNTIF($T$1:T380,A$2:$A$501),0)),"")</f>
        <v/>
      </c>
      <c r="U381" s="10">
        <f>IFERROR(MATCH(T381,I$2:$I$501,0),"")</f>
        <v>64</v>
      </c>
      <c r="V381" s="10">
        <f>COUNTIF(I$2:$I$501,T381)</f>
        <v>437</v>
      </c>
      <c r="W381" s="10"/>
      <c r="X381" s="10"/>
    </row>
    <row r="382" spans="1:24" x14ac:dyDescent="0.25">
      <c r="A382" t="str">
        <f>IF(Tests!B383="","",Tests!B383)</f>
        <v/>
      </c>
      <c r="B382" t="str">
        <f>IF(Tests!D383="","",Tests!D383)</f>
        <v/>
      </c>
      <c r="C382" t="str">
        <f>IF(Tests!E383="","",Tests!E383)</f>
        <v/>
      </c>
      <c r="E382" s="54">
        <f t="shared" si="30"/>
        <v>0</v>
      </c>
      <c r="F382" s="54">
        <f t="shared" si="31"/>
        <v>0</v>
      </c>
      <c r="G382" s="54">
        <f t="shared" si="32"/>
        <v>1</v>
      </c>
      <c r="H382" s="54">
        <f t="shared" si="33"/>
        <v>437</v>
      </c>
      <c r="I382" s="56" t="str">
        <f>IFERROR(INDEX($A$2:$A$501,MATCH(SMALL($H$2:$H$501,ROWS($I$2:I382)+$G$502),$H$2:$H$501,0)),"")</f>
        <v/>
      </c>
      <c r="J382">
        <f t="shared" si="34"/>
        <v>318</v>
      </c>
      <c r="K382" t="str">
        <f t="array" ref="K382">INDEX($B$2:$B$501,SMALL(IF($A$2:$A$501=I382,ROW($A$2:$A$501)-ROW(INDEX($A$2:$A$501,1,1))+1),J382))</f>
        <v/>
      </c>
      <c r="L382" t="str">
        <f t="array" ref="L382">INDEX($C$2:$C$501,SMALL(IF($A$2:$A$501=I382,ROW($A$2:$A$501)-ROW(INDEX($A$2:$A$501,1,1))+1),J382))</f>
        <v/>
      </c>
      <c r="N382" t="str">
        <f t="shared" si="35"/>
        <v/>
      </c>
      <c r="S382" s="10">
        <v>381</v>
      </c>
      <c r="T382" s="10" t="str">
        <f t="array" ref="T382">IFERROR(INDEX(A$2:$A$501,MATCH(0,COUNTIF($T$1:T381,A$2:$A$501),0)),"")</f>
        <v/>
      </c>
      <c r="U382" s="10">
        <f>IFERROR(MATCH(T382,I$2:$I$501,0),"")</f>
        <v>64</v>
      </c>
      <c r="V382" s="10">
        <f>COUNTIF(I$2:$I$501,T382)</f>
        <v>437</v>
      </c>
      <c r="W382" s="10"/>
      <c r="X382" s="10"/>
    </row>
    <row r="383" spans="1:24" x14ac:dyDescent="0.25">
      <c r="A383" t="str">
        <f>IF(Tests!B384="","",Tests!B384)</f>
        <v/>
      </c>
      <c r="B383" t="str">
        <f>IF(Tests!D384="","",Tests!D384)</f>
        <v/>
      </c>
      <c r="C383" t="str">
        <f>IF(Tests!E384="","",Tests!E384)</f>
        <v/>
      </c>
      <c r="E383" s="54">
        <f t="shared" si="30"/>
        <v>0</v>
      </c>
      <c r="F383" s="54">
        <f t="shared" si="31"/>
        <v>0</v>
      </c>
      <c r="G383" s="54">
        <f t="shared" si="32"/>
        <v>1</v>
      </c>
      <c r="H383" s="54">
        <f t="shared" si="33"/>
        <v>437</v>
      </c>
      <c r="I383" s="56" t="str">
        <f>IFERROR(INDEX($A$2:$A$501,MATCH(SMALL($H$2:$H$501,ROWS($I$2:I383)+$G$502),$H$2:$H$501,0)),"")</f>
        <v/>
      </c>
      <c r="J383">
        <f t="shared" si="34"/>
        <v>319</v>
      </c>
      <c r="K383" t="str">
        <f t="array" ref="K383">INDEX($B$2:$B$501,SMALL(IF($A$2:$A$501=I383,ROW($A$2:$A$501)-ROW(INDEX($A$2:$A$501,1,1))+1),J383))</f>
        <v/>
      </c>
      <c r="L383" t="str">
        <f t="array" ref="L383">INDEX($C$2:$C$501,SMALL(IF($A$2:$A$501=I383,ROW($A$2:$A$501)-ROW(INDEX($A$2:$A$501,1,1))+1),J383))</f>
        <v/>
      </c>
      <c r="N383" t="str">
        <f t="shared" si="35"/>
        <v/>
      </c>
      <c r="S383" s="10">
        <v>382</v>
      </c>
      <c r="T383" s="10" t="str">
        <f t="array" ref="T383">IFERROR(INDEX(A$2:$A$501,MATCH(0,COUNTIF($T$1:T382,A$2:$A$501),0)),"")</f>
        <v/>
      </c>
      <c r="U383" s="10">
        <f>IFERROR(MATCH(T383,I$2:$I$501,0),"")</f>
        <v>64</v>
      </c>
      <c r="V383" s="10">
        <f>COUNTIF(I$2:$I$501,T383)</f>
        <v>437</v>
      </c>
      <c r="W383" s="10"/>
      <c r="X383" s="10"/>
    </row>
    <row r="384" spans="1:24" x14ac:dyDescent="0.25">
      <c r="A384" t="str">
        <f>IF(Tests!B385="","",Tests!B385)</f>
        <v/>
      </c>
      <c r="B384" t="str">
        <f>IF(Tests!D385="","",Tests!D385)</f>
        <v/>
      </c>
      <c r="C384" t="str">
        <f>IF(Tests!E385="","",Tests!E385)</f>
        <v/>
      </c>
      <c r="E384" s="54">
        <f t="shared" si="30"/>
        <v>0</v>
      </c>
      <c r="F384" s="54">
        <f t="shared" si="31"/>
        <v>0</v>
      </c>
      <c r="G384" s="54">
        <f t="shared" si="32"/>
        <v>1</v>
      </c>
      <c r="H384" s="54">
        <f t="shared" si="33"/>
        <v>437</v>
      </c>
      <c r="I384" s="56" t="str">
        <f>IFERROR(INDEX($A$2:$A$501,MATCH(SMALL($H$2:$H$501,ROWS($I$2:I384)+$G$502),$H$2:$H$501,0)),"")</f>
        <v/>
      </c>
      <c r="J384">
        <f t="shared" si="34"/>
        <v>320</v>
      </c>
      <c r="K384" t="str">
        <f t="array" ref="K384">INDEX($B$2:$B$501,SMALL(IF($A$2:$A$501=I384,ROW($A$2:$A$501)-ROW(INDEX($A$2:$A$501,1,1))+1),J384))</f>
        <v/>
      </c>
      <c r="L384" t="str">
        <f t="array" ref="L384">INDEX($C$2:$C$501,SMALL(IF($A$2:$A$501=I384,ROW($A$2:$A$501)-ROW(INDEX($A$2:$A$501,1,1))+1),J384))</f>
        <v/>
      </c>
      <c r="N384" t="str">
        <f t="shared" si="35"/>
        <v/>
      </c>
      <c r="S384" s="10">
        <v>383</v>
      </c>
      <c r="T384" s="10" t="str">
        <f t="array" ref="T384">IFERROR(INDEX(A$2:$A$501,MATCH(0,COUNTIF($T$1:T383,A$2:$A$501),0)),"")</f>
        <v/>
      </c>
      <c r="U384" s="10">
        <f>IFERROR(MATCH(T384,I$2:$I$501,0),"")</f>
        <v>64</v>
      </c>
      <c r="V384" s="10">
        <f>COUNTIF(I$2:$I$501,T384)</f>
        <v>437</v>
      </c>
      <c r="W384" s="10"/>
      <c r="X384" s="10"/>
    </row>
    <row r="385" spans="1:24" x14ac:dyDescent="0.25">
      <c r="A385" t="str">
        <f>IF(Tests!B386="","",Tests!B386)</f>
        <v/>
      </c>
      <c r="B385" t="str">
        <f>IF(Tests!D386="","",Tests!D386)</f>
        <v/>
      </c>
      <c r="C385" t="str">
        <f>IF(Tests!E386="","",Tests!E386)</f>
        <v/>
      </c>
      <c r="E385" s="54">
        <f t="shared" si="30"/>
        <v>0</v>
      </c>
      <c r="F385" s="54">
        <f t="shared" si="31"/>
        <v>0</v>
      </c>
      <c r="G385" s="54">
        <f t="shared" si="32"/>
        <v>1</v>
      </c>
      <c r="H385" s="54">
        <f t="shared" si="33"/>
        <v>437</v>
      </c>
      <c r="I385" s="56" t="str">
        <f>IFERROR(INDEX($A$2:$A$501,MATCH(SMALL($H$2:$H$501,ROWS($I$2:I385)+$G$502),$H$2:$H$501,0)),"")</f>
        <v/>
      </c>
      <c r="J385">
        <f t="shared" si="34"/>
        <v>321</v>
      </c>
      <c r="K385" t="str">
        <f t="array" ref="K385">INDEX($B$2:$B$501,SMALL(IF($A$2:$A$501=I385,ROW($A$2:$A$501)-ROW(INDEX($A$2:$A$501,1,1))+1),J385))</f>
        <v/>
      </c>
      <c r="L385" t="str">
        <f t="array" ref="L385">INDEX($C$2:$C$501,SMALL(IF($A$2:$A$501=I385,ROW($A$2:$A$501)-ROW(INDEX($A$2:$A$501,1,1))+1),J385))</f>
        <v/>
      </c>
      <c r="N385" t="str">
        <f t="shared" si="35"/>
        <v/>
      </c>
      <c r="S385" s="10">
        <v>384</v>
      </c>
      <c r="T385" s="10" t="str">
        <f t="array" ref="T385">IFERROR(INDEX(A$2:$A$501,MATCH(0,COUNTIF($T$1:T384,A$2:$A$501),0)),"")</f>
        <v/>
      </c>
      <c r="U385" s="10">
        <f>IFERROR(MATCH(T385,I$2:$I$501,0),"")</f>
        <v>64</v>
      </c>
      <c r="V385" s="10">
        <f>COUNTIF(I$2:$I$501,T385)</f>
        <v>437</v>
      </c>
      <c r="W385" s="10"/>
      <c r="X385" s="10"/>
    </row>
    <row r="386" spans="1:24" x14ac:dyDescent="0.25">
      <c r="A386" t="str">
        <f>IF(Tests!B387="","",Tests!B387)</f>
        <v/>
      </c>
      <c r="B386" t="str">
        <f>IF(Tests!D387="","",Tests!D387)</f>
        <v/>
      </c>
      <c r="C386" t="str">
        <f>IF(Tests!E387="","",Tests!E387)</f>
        <v/>
      </c>
      <c r="E386" s="54">
        <f t="shared" si="30"/>
        <v>0</v>
      </c>
      <c r="F386" s="54">
        <f t="shared" si="31"/>
        <v>0</v>
      </c>
      <c r="G386" s="54">
        <f t="shared" si="32"/>
        <v>1</v>
      </c>
      <c r="H386" s="54">
        <f t="shared" si="33"/>
        <v>437</v>
      </c>
      <c r="I386" s="56" t="str">
        <f>IFERROR(INDEX($A$2:$A$501,MATCH(SMALL($H$2:$H$501,ROWS($I$2:I386)+$G$502),$H$2:$H$501,0)),"")</f>
        <v/>
      </c>
      <c r="J386">
        <f t="shared" si="34"/>
        <v>322</v>
      </c>
      <c r="K386" t="str">
        <f t="array" ref="K386">INDEX($B$2:$B$501,SMALL(IF($A$2:$A$501=I386,ROW($A$2:$A$501)-ROW(INDEX($A$2:$A$501,1,1))+1),J386))</f>
        <v/>
      </c>
      <c r="L386" t="str">
        <f t="array" ref="L386">INDEX($C$2:$C$501,SMALL(IF($A$2:$A$501=I386,ROW($A$2:$A$501)-ROW(INDEX($A$2:$A$501,1,1))+1),J386))</f>
        <v/>
      </c>
      <c r="N386" t="str">
        <f t="shared" si="35"/>
        <v/>
      </c>
      <c r="S386" s="10">
        <v>385</v>
      </c>
      <c r="T386" s="10" t="str">
        <f t="array" ref="T386">IFERROR(INDEX(A$2:$A$501,MATCH(0,COUNTIF($T$1:T385,A$2:$A$501),0)),"")</f>
        <v/>
      </c>
      <c r="U386" s="10">
        <f>IFERROR(MATCH(T386,I$2:$I$501,0),"")</f>
        <v>64</v>
      </c>
      <c r="V386" s="10">
        <f>COUNTIF(I$2:$I$501,T386)</f>
        <v>437</v>
      </c>
      <c r="W386" s="10"/>
      <c r="X386" s="10"/>
    </row>
    <row r="387" spans="1:24" x14ac:dyDescent="0.25">
      <c r="A387" t="str">
        <f>IF(Tests!B388="","",Tests!B388)</f>
        <v/>
      </c>
      <c r="B387" t="str">
        <f>IF(Tests!D388="","",Tests!D388)</f>
        <v/>
      </c>
      <c r="C387" t="str">
        <f>IF(Tests!E388="","",Tests!E388)</f>
        <v/>
      </c>
      <c r="E387" s="54">
        <f t="shared" ref="E387:E450" si="36">COUNTIF($A$2:$A$501,"&lt;="&amp;A387)</f>
        <v>0</v>
      </c>
      <c r="F387" s="54">
        <f t="shared" ref="F387:F450" si="37">--ISNUMBER(A387)</f>
        <v>0</v>
      </c>
      <c r="G387" s="54">
        <f t="shared" ref="G387:G450" si="38">--(A387="")</f>
        <v>1</v>
      </c>
      <c r="H387" s="54">
        <f t="shared" ref="H387:H450" si="39">IF(ISNUMBER(A387),E387,IF(ISBLANK(A387),E387,E387+$F$502))+$G$502</f>
        <v>437</v>
      </c>
      <c r="I387" s="56" t="str">
        <f>IFERROR(INDEX($A$2:$A$501,MATCH(SMALL($H$2:$H$501,ROWS($I$2:I387)+$G$502),$H$2:$H$501,0)),"")</f>
        <v/>
      </c>
      <c r="J387">
        <f t="shared" ref="J387:J450" si="40">IF(I386=I387,J386+1,1)</f>
        <v>323</v>
      </c>
      <c r="K387" t="str">
        <f t="array" ref="K387">INDEX($B$2:$B$501,SMALL(IF($A$2:$A$501=I387,ROW($A$2:$A$501)-ROW(INDEX($A$2:$A$501,1,1))+1),J387))</f>
        <v/>
      </c>
      <c r="L387" t="str">
        <f t="array" ref="L387">INDEX($C$2:$C$501,SMALL(IF($A$2:$A$501=I387,ROW($A$2:$A$501)-ROW(INDEX($A$2:$A$501,1,1))+1),J387))</f>
        <v/>
      </c>
      <c r="N387" t="str">
        <f t="shared" ref="N387:N450" si="41">IF(K387="","",K387&amp;" ("&amp;L387&amp;")")</f>
        <v/>
      </c>
      <c r="S387" s="10">
        <v>386</v>
      </c>
      <c r="T387" s="10" t="str">
        <f t="array" ref="T387">IFERROR(INDEX(A$2:$A$501,MATCH(0,COUNTIF($T$1:T386,A$2:$A$501),0)),"")</f>
        <v/>
      </c>
      <c r="U387" s="10">
        <f>IFERROR(MATCH(T387,I$2:$I$501,0),"")</f>
        <v>64</v>
      </c>
      <c r="V387" s="10">
        <f>COUNTIF(I$2:$I$501,T387)</f>
        <v>437</v>
      </c>
      <c r="W387" s="10"/>
      <c r="X387" s="10"/>
    </row>
    <row r="388" spans="1:24" x14ac:dyDescent="0.25">
      <c r="A388" t="str">
        <f>IF(Tests!B389="","",Tests!B389)</f>
        <v/>
      </c>
      <c r="B388" t="str">
        <f>IF(Tests!D389="","",Tests!D389)</f>
        <v/>
      </c>
      <c r="C388" t="str">
        <f>IF(Tests!E389="","",Tests!E389)</f>
        <v/>
      </c>
      <c r="E388" s="54">
        <f t="shared" si="36"/>
        <v>0</v>
      </c>
      <c r="F388" s="54">
        <f t="shared" si="37"/>
        <v>0</v>
      </c>
      <c r="G388" s="54">
        <f t="shared" si="38"/>
        <v>1</v>
      </c>
      <c r="H388" s="54">
        <f t="shared" si="39"/>
        <v>437</v>
      </c>
      <c r="I388" s="56" t="str">
        <f>IFERROR(INDEX($A$2:$A$501,MATCH(SMALL($H$2:$H$501,ROWS($I$2:I388)+$G$502),$H$2:$H$501,0)),"")</f>
        <v/>
      </c>
      <c r="J388">
        <f t="shared" si="40"/>
        <v>324</v>
      </c>
      <c r="K388" t="str">
        <f t="array" ref="K388">INDEX($B$2:$B$501,SMALL(IF($A$2:$A$501=I388,ROW($A$2:$A$501)-ROW(INDEX($A$2:$A$501,1,1))+1),J388))</f>
        <v/>
      </c>
      <c r="L388" t="str">
        <f t="array" ref="L388">INDEX($C$2:$C$501,SMALL(IF($A$2:$A$501=I388,ROW($A$2:$A$501)-ROW(INDEX($A$2:$A$501,1,1))+1),J388))</f>
        <v/>
      </c>
      <c r="N388" t="str">
        <f t="shared" si="41"/>
        <v/>
      </c>
      <c r="S388" s="10">
        <v>387</v>
      </c>
      <c r="T388" s="10" t="str">
        <f t="array" ref="T388">IFERROR(INDEX(A$2:$A$501,MATCH(0,COUNTIF($T$1:T387,A$2:$A$501),0)),"")</f>
        <v/>
      </c>
      <c r="U388" s="10">
        <f>IFERROR(MATCH(T388,I$2:$I$501,0),"")</f>
        <v>64</v>
      </c>
      <c r="V388" s="10">
        <f>COUNTIF(I$2:$I$501,T388)</f>
        <v>437</v>
      </c>
      <c r="W388" s="10"/>
      <c r="X388" s="10"/>
    </row>
    <row r="389" spans="1:24" x14ac:dyDescent="0.25">
      <c r="A389" t="str">
        <f>IF(Tests!B390="","",Tests!B390)</f>
        <v/>
      </c>
      <c r="B389" t="str">
        <f>IF(Tests!D390="","",Tests!D390)</f>
        <v/>
      </c>
      <c r="C389" t="str">
        <f>IF(Tests!E390="","",Tests!E390)</f>
        <v/>
      </c>
      <c r="E389" s="54">
        <f t="shared" si="36"/>
        <v>0</v>
      </c>
      <c r="F389" s="54">
        <f t="shared" si="37"/>
        <v>0</v>
      </c>
      <c r="G389" s="54">
        <f t="shared" si="38"/>
        <v>1</v>
      </c>
      <c r="H389" s="54">
        <f t="shared" si="39"/>
        <v>437</v>
      </c>
      <c r="I389" s="56" t="str">
        <f>IFERROR(INDEX($A$2:$A$501,MATCH(SMALL($H$2:$H$501,ROWS($I$2:I389)+$G$502),$H$2:$H$501,0)),"")</f>
        <v/>
      </c>
      <c r="J389">
        <f t="shared" si="40"/>
        <v>325</v>
      </c>
      <c r="K389" t="str">
        <f t="array" ref="K389">INDEX($B$2:$B$501,SMALL(IF($A$2:$A$501=I389,ROW($A$2:$A$501)-ROW(INDEX($A$2:$A$501,1,1))+1),J389))</f>
        <v/>
      </c>
      <c r="L389" t="str">
        <f t="array" ref="L389">INDEX($C$2:$C$501,SMALL(IF($A$2:$A$501=I389,ROW($A$2:$A$501)-ROW(INDEX($A$2:$A$501,1,1))+1),J389))</f>
        <v/>
      </c>
      <c r="N389" t="str">
        <f t="shared" si="41"/>
        <v/>
      </c>
      <c r="S389" s="10">
        <v>388</v>
      </c>
      <c r="T389" s="10" t="str">
        <f t="array" ref="T389">IFERROR(INDEX(A$2:$A$501,MATCH(0,COUNTIF($T$1:T388,A$2:$A$501),0)),"")</f>
        <v/>
      </c>
      <c r="U389" s="10">
        <f>IFERROR(MATCH(T389,I$2:$I$501,0),"")</f>
        <v>64</v>
      </c>
      <c r="V389" s="10">
        <f>COUNTIF(I$2:$I$501,T389)</f>
        <v>437</v>
      </c>
      <c r="W389" s="10"/>
      <c r="X389" s="10"/>
    </row>
    <row r="390" spans="1:24" x14ac:dyDescent="0.25">
      <c r="A390" t="str">
        <f>IF(Tests!B391="","",Tests!B391)</f>
        <v/>
      </c>
      <c r="B390" t="str">
        <f>IF(Tests!D391="","",Tests!D391)</f>
        <v/>
      </c>
      <c r="C390" t="str">
        <f>IF(Tests!E391="","",Tests!E391)</f>
        <v/>
      </c>
      <c r="E390" s="54">
        <f t="shared" si="36"/>
        <v>0</v>
      </c>
      <c r="F390" s="54">
        <f t="shared" si="37"/>
        <v>0</v>
      </c>
      <c r="G390" s="54">
        <f t="shared" si="38"/>
        <v>1</v>
      </c>
      <c r="H390" s="54">
        <f t="shared" si="39"/>
        <v>437</v>
      </c>
      <c r="I390" s="56" t="str">
        <f>IFERROR(INDEX($A$2:$A$501,MATCH(SMALL($H$2:$H$501,ROWS($I$2:I390)+$G$502),$H$2:$H$501,0)),"")</f>
        <v/>
      </c>
      <c r="J390">
        <f t="shared" si="40"/>
        <v>326</v>
      </c>
      <c r="K390" t="str">
        <f t="array" ref="K390">INDEX($B$2:$B$501,SMALL(IF($A$2:$A$501=I390,ROW($A$2:$A$501)-ROW(INDEX($A$2:$A$501,1,1))+1),J390))</f>
        <v/>
      </c>
      <c r="L390" t="str">
        <f t="array" ref="L390">INDEX($C$2:$C$501,SMALL(IF($A$2:$A$501=I390,ROW($A$2:$A$501)-ROW(INDEX($A$2:$A$501,1,1))+1),J390))</f>
        <v/>
      </c>
      <c r="N390" t="str">
        <f t="shared" si="41"/>
        <v/>
      </c>
      <c r="S390" s="10">
        <v>389</v>
      </c>
      <c r="T390" s="10" t="str">
        <f t="array" ref="T390">IFERROR(INDEX(A$2:$A$501,MATCH(0,COUNTIF($T$1:T389,A$2:$A$501),0)),"")</f>
        <v/>
      </c>
      <c r="U390" s="10">
        <f>IFERROR(MATCH(T390,I$2:$I$501,0),"")</f>
        <v>64</v>
      </c>
      <c r="V390" s="10">
        <f>COUNTIF(I$2:$I$501,T390)</f>
        <v>437</v>
      </c>
      <c r="W390" s="10"/>
      <c r="X390" s="10"/>
    </row>
    <row r="391" spans="1:24" x14ac:dyDescent="0.25">
      <c r="A391" t="str">
        <f>IF(Tests!B392="","",Tests!B392)</f>
        <v/>
      </c>
      <c r="B391" t="str">
        <f>IF(Tests!D392="","",Tests!D392)</f>
        <v/>
      </c>
      <c r="C391" t="str">
        <f>IF(Tests!E392="","",Tests!E392)</f>
        <v/>
      </c>
      <c r="E391" s="54">
        <f t="shared" si="36"/>
        <v>0</v>
      </c>
      <c r="F391" s="54">
        <f t="shared" si="37"/>
        <v>0</v>
      </c>
      <c r="G391" s="54">
        <f t="shared" si="38"/>
        <v>1</v>
      </c>
      <c r="H391" s="54">
        <f t="shared" si="39"/>
        <v>437</v>
      </c>
      <c r="I391" s="56" t="str">
        <f>IFERROR(INDEX($A$2:$A$501,MATCH(SMALL($H$2:$H$501,ROWS($I$2:I391)+$G$502),$H$2:$H$501,0)),"")</f>
        <v/>
      </c>
      <c r="J391">
        <f t="shared" si="40"/>
        <v>327</v>
      </c>
      <c r="K391" t="str">
        <f t="array" ref="K391">INDEX($B$2:$B$501,SMALL(IF($A$2:$A$501=I391,ROW($A$2:$A$501)-ROW(INDEX($A$2:$A$501,1,1))+1),J391))</f>
        <v/>
      </c>
      <c r="L391" t="str">
        <f t="array" ref="L391">INDEX($C$2:$C$501,SMALL(IF($A$2:$A$501=I391,ROW($A$2:$A$501)-ROW(INDEX($A$2:$A$501,1,1))+1),J391))</f>
        <v/>
      </c>
      <c r="N391" t="str">
        <f t="shared" si="41"/>
        <v/>
      </c>
      <c r="S391" s="10">
        <v>390</v>
      </c>
      <c r="T391" s="10" t="str">
        <f t="array" ref="T391">IFERROR(INDEX(A$2:$A$501,MATCH(0,COUNTIF($T$1:T390,A$2:$A$501),0)),"")</f>
        <v/>
      </c>
      <c r="U391" s="10">
        <f>IFERROR(MATCH(T391,I$2:$I$501,0),"")</f>
        <v>64</v>
      </c>
      <c r="V391" s="10">
        <f>COUNTIF(I$2:$I$501,T391)</f>
        <v>437</v>
      </c>
      <c r="W391" s="10"/>
      <c r="X391" s="10"/>
    </row>
    <row r="392" spans="1:24" x14ac:dyDescent="0.25">
      <c r="A392" t="str">
        <f>IF(Tests!B393="","",Tests!B393)</f>
        <v/>
      </c>
      <c r="B392" t="str">
        <f>IF(Tests!D393="","",Tests!D393)</f>
        <v/>
      </c>
      <c r="C392" t="str">
        <f>IF(Tests!E393="","",Tests!E393)</f>
        <v/>
      </c>
      <c r="E392" s="54">
        <f t="shared" si="36"/>
        <v>0</v>
      </c>
      <c r="F392" s="54">
        <f t="shared" si="37"/>
        <v>0</v>
      </c>
      <c r="G392" s="54">
        <f t="shared" si="38"/>
        <v>1</v>
      </c>
      <c r="H392" s="54">
        <f t="shared" si="39"/>
        <v>437</v>
      </c>
      <c r="I392" s="56" t="str">
        <f>IFERROR(INDEX($A$2:$A$501,MATCH(SMALL($H$2:$H$501,ROWS($I$2:I392)+$G$502),$H$2:$H$501,0)),"")</f>
        <v/>
      </c>
      <c r="J392">
        <f t="shared" si="40"/>
        <v>328</v>
      </c>
      <c r="K392" t="str">
        <f t="array" ref="K392">INDEX($B$2:$B$501,SMALL(IF($A$2:$A$501=I392,ROW($A$2:$A$501)-ROW(INDEX($A$2:$A$501,1,1))+1),J392))</f>
        <v/>
      </c>
      <c r="L392" t="str">
        <f t="array" ref="L392">INDEX($C$2:$C$501,SMALL(IF($A$2:$A$501=I392,ROW($A$2:$A$501)-ROW(INDEX($A$2:$A$501,1,1))+1),J392))</f>
        <v/>
      </c>
      <c r="N392" t="str">
        <f t="shared" si="41"/>
        <v/>
      </c>
      <c r="S392" s="10">
        <v>391</v>
      </c>
      <c r="T392" s="10" t="str">
        <f t="array" ref="T392">IFERROR(INDEX(A$2:$A$501,MATCH(0,COUNTIF($T$1:T391,A$2:$A$501),0)),"")</f>
        <v/>
      </c>
      <c r="U392" s="10">
        <f>IFERROR(MATCH(T392,I$2:$I$501,0),"")</f>
        <v>64</v>
      </c>
      <c r="V392" s="10">
        <f>COUNTIF(I$2:$I$501,T392)</f>
        <v>437</v>
      </c>
      <c r="W392" s="10"/>
      <c r="X392" s="10"/>
    </row>
    <row r="393" spans="1:24" x14ac:dyDescent="0.25">
      <c r="A393" t="str">
        <f>IF(Tests!B394="","",Tests!B394)</f>
        <v/>
      </c>
      <c r="B393" t="str">
        <f>IF(Tests!D394="","",Tests!D394)</f>
        <v/>
      </c>
      <c r="C393" t="str">
        <f>IF(Tests!E394="","",Tests!E394)</f>
        <v/>
      </c>
      <c r="E393" s="54">
        <f t="shared" si="36"/>
        <v>0</v>
      </c>
      <c r="F393" s="54">
        <f t="shared" si="37"/>
        <v>0</v>
      </c>
      <c r="G393" s="54">
        <f t="shared" si="38"/>
        <v>1</v>
      </c>
      <c r="H393" s="54">
        <f t="shared" si="39"/>
        <v>437</v>
      </c>
      <c r="I393" s="56" t="str">
        <f>IFERROR(INDEX($A$2:$A$501,MATCH(SMALL($H$2:$H$501,ROWS($I$2:I393)+$G$502),$H$2:$H$501,0)),"")</f>
        <v/>
      </c>
      <c r="J393">
        <f t="shared" si="40"/>
        <v>329</v>
      </c>
      <c r="K393" t="str">
        <f t="array" ref="K393">INDEX($B$2:$B$501,SMALL(IF($A$2:$A$501=I393,ROW($A$2:$A$501)-ROW(INDEX($A$2:$A$501,1,1))+1),J393))</f>
        <v/>
      </c>
      <c r="L393" t="str">
        <f t="array" ref="L393">INDEX($C$2:$C$501,SMALL(IF($A$2:$A$501=I393,ROW($A$2:$A$501)-ROW(INDEX($A$2:$A$501,1,1))+1),J393))</f>
        <v/>
      </c>
      <c r="N393" t="str">
        <f t="shared" si="41"/>
        <v/>
      </c>
      <c r="S393" s="10">
        <v>392</v>
      </c>
      <c r="T393" s="10" t="str">
        <f t="array" ref="T393">IFERROR(INDEX(A$2:$A$501,MATCH(0,COUNTIF($T$1:T392,A$2:$A$501),0)),"")</f>
        <v/>
      </c>
      <c r="U393" s="10">
        <f>IFERROR(MATCH(T393,I$2:$I$501,0),"")</f>
        <v>64</v>
      </c>
      <c r="V393" s="10">
        <f>COUNTIF(I$2:$I$501,T393)</f>
        <v>437</v>
      </c>
      <c r="W393" s="10"/>
      <c r="X393" s="10"/>
    </row>
    <row r="394" spans="1:24" x14ac:dyDescent="0.25">
      <c r="A394" t="str">
        <f>IF(Tests!B395="","",Tests!B395)</f>
        <v/>
      </c>
      <c r="B394" t="str">
        <f>IF(Tests!D395="","",Tests!D395)</f>
        <v/>
      </c>
      <c r="C394" t="str">
        <f>IF(Tests!E395="","",Tests!E395)</f>
        <v/>
      </c>
      <c r="E394" s="54">
        <f t="shared" si="36"/>
        <v>0</v>
      </c>
      <c r="F394" s="54">
        <f t="shared" si="37"/>
        <v>0</v>
      </c>
      <c r="G394" s="54">
        <f t="shared" si="38"/>
        <v>1</v>
      </c>
      <c r="H394" s="54">
        <f t="shared" si="39"/>
        <v>437</v>
      </c>
      <c r="I394" s="56" t="str">
        <f>IFERROR(INDEX($A$2:$A$501,MATCH(SMALL($H$2:$H$501,ROWS($I$2:I394)+$G$502),$H$2:$H$501,0)),"")</f>
        <v/>
      </c>
      <c r="J394">
        <f t="shared" si="40"/>
        <v>330</v>
      </c>
      <c r="K394" t="str">
        <f t="array" ref="K394">INDEX($B$2:$B$501,SMALL(IF($A$2:$A$501=I394,ROW($A$2:$A$501)-ROW(INDEX($A$2:$A$501,1,1))+1),J394))</f>
        <v/>
      </c>
      <c r="L394" t="str">
        <f t="array" ref="L394">INDEX($C$2:$C$501,SMALL(IF($A$2:$A$501=I394,ROW($A$2:$A$501)-ROW(INDEX($A$2:$A$501,1,1))+1),J394))</f>
        <v/>
      </c>
      <c r="N394" t="str">
        <f t="shared" si="41"/>
        <v/>
      </c>
      <c r="S394" s="10">
        <v>393</v>
      </c>
      <c r="T394" s="10" t="str">
        <f t="array" ref="T394">IFERROR(INDEX(A$2:$A$501,MATCH(0,COUNTIF($T$1:T393,A$2:$A$501),0)),"")</f>
        <v/>
      </c>
      <c r="U394" s="10">
        <f>IFERROR(MATCH(T394,I$2:$I$501,0),"")</f>
        <v>64</v>
      </c>
      <c r="V394" s="10">
        <f>COUNTIF(I$2:$I$501,T394)</f>
        <v>437</v>
      </c>
      <c r="W394" s="10"/>
      <c r="X394" s="10"/>
    </row>
    <row r="395" spans="1:24" x14ac:dyDescent="0.25">
      <c r="A395" t="str">
        <f>IF(Tests!B396="","",Tests!B396)</f>
        <v/>
      </c>
      <c r="B395" t="str">
        <f>IF(Tests!D396="","",Tests!D396)</f>
        <v/>
      </c>
      <c r="C395" t="str">
        <f>IF(Tests!E396="","",Tests!E396)</f>
        <v/>
      </c>
      <c r="E395" s="54">
        <f t="shared" si="36"/>
        <v>0</v>
      </c>
      <c r="F395" s="54">
        <f t="shared" si="37"/>
        <v>0</v>
      </c>
      <c r="G395" s="54">
        <f t="shared" si="38"/>
        <v>1</v>
      </c>
      <c r="H395" s="54">
        <f t="shared" si="39"/>
        <v>437</v>
      </c>
      <c r="I395" s="56" t="str">
        <f>IFERROR(INDEX($A$2:$A$501,MATCH(SMALL($H$2:$H$501,ROWS($I$2:I395)+$G$502),$H$2:$H$501,0)),"")</f>
        <v/>
      </c>
      <c r="J395">
        <f t="shared" si="40"/>
        <v>331</v>
      </c>
      <c r="K395" t="str">
        <f t="array" ref="K395">INDEX($B$2:$B$501,SMALL(IF($A$2:$A$501=I395,ROW($A$2:$A$501)-ROW(INDEX($A$2:$A$501,1,1))+1),J395))</f>
        <v/>
      </c>
      <c r="L395" t="str">
        <f t="array" ref="L395">INDEX($C$2:$C$501,SMALL(IF($A$2:$A$501=I395,ROW($A$2:$A$501)-ROW(INDEX($A$2:$A$501,1,1))+1),J395))</f>
        <v/>
      </c>
      <c r="N395" t="str">
        <f t="shared" si="41"/>
        <v/>
      </c>
      <c r="S395" s="10">
        <v>394</v>
      </c>
      <c r="T395" s="10" t="str">
        <f t="array" ref="T395">IFERROR(INDEX(A$2:$A$501,MATCH(0,COUNTIF($T$1:T394,A$2:$A$501),0)),"")</f>
        <v/>
      </c>
      <c r="U395" s="10">
        <f>IFERROR(MATCH(T395,I$2:$I$501,0),"")</f>
        <v>64</v>
      </c>
      <c r="V395" s="10">
        <f>COUNTIF(I$2:$I$501,T395)</f>
        <v>437</v>
      </c>
      <c r="W395" s="10"/>
      <c r="X395" s="10"/>
    </row>
    <row r="396" spans="1:24" x14ac:dyDescent="0.25">
      <c r="A396" t="str">
        <f>IF(Tests!B397="","",Tests!B397)</f>
        <v/>
      </c>
      <c r="B396" t="str">
        <f>IF(Tests!D397="","",Tests!D397)</f>
        <v/>
      </c>
      <c r="C396" t="str">
        <f>IF(Tests!E397="","",Tests!E397)</f>
        <v/>
      </c>
      <c r="E396" s="54">
        <f t="shared" si="36"/>
        <v>0</v>
      </c>
      <c r="F396" s="54">
        <f t="shared" si="37"/>
        <v>0</v>
      </c>
      <c r="G396" s="54">
        <f t="shared" si="38"/>
        <v>1</v>
      </c>
      <c r="H396" s="54">
        <f t="shared" si="39"/>
        <v>437</v>
      </c>
      <c r="I396" s="56" t="str">
        <f>IFERROR(INDEX($A$2:$A$501,MATCH(SMALL($H$2:$H$501,ROWS($I$2:I396)+$G$502),$H$2:$H$501,0)),"")</f>
        <v/>
      </c>
      <c r="J396">
        <f t="shared" si="40"/>
        <v>332</v>
      </c>
      <c r="K396" t="str">
        <f t="array" ref="K396">INDEX($B$2:$B$501,SMALL(IF($A$2:$A$501=I396,ROW($A$2:$A$501)-ROW(INDEX($A$2:$A$501,1,1))+1),J396))</f>
        <v/>
      </c>
      <c r="L396" t="str">
        <f t="array" ref="L396">INDEX($C$2:$C$501,SMALL(IF($A$2:$A$501=I396,ROW($A$2:$A$501)-ROW(INDEX($A$2:$A$501,1,1))+1),J396))</f>
        <v/>
      </c>
      <c r="N396" t="str">
        <f t="shared" si="41"/>
        <v/>
      </c>
      <c r="S396" s="10">
        <v>395</v>
      </c>
      <c r="T396" s="10" t="str">
        <f t="array" ref="T396">IFERROR(INDEX(A$2:$A$501,MATCH(0,COUNTIF($T$1:T395,A$2:$A$501),0)),"")</f>
        <v/>
      </c>
      <c r="U396" s="10">
        <f>IFERROR(MATCH(T396,I$2:$I$501,0),"")</f>
        <v>64</v>
      </c>
      <c r="V396" s="10">
        <f>COUNTIF(I$2:$I$501,T396)</f>
        <v>437</v>
      </c>
      <c r="W396" s="10"/>
      <c r="X396" s="10"/>
    </row>
    <row r="397" spans="1:24" x14ac:dyDescent="0.25">
      <c r="A397" t="str">
        <f>IF(Tests!B398="","",Tests!B398)</f>
        <v/>
      </c>
      <c r="B397" t="str">
        <f>IF(Tests!D398="","",Tests!D398)</f>
        <v/>
      </c>
      <c r="C397" t="str">
        <f>IF(Tests!E398="","",Tests!E398)</f>
        <v/>
      </c>
      <c r="E397" s="54">
        <f t="shared" si="36"/>
        <v>0</v>
      </c>
      <c r="F397" s="54">
        <f t="shared" si="37"/>
        <v>0</v>
      </c>
      <c r="G397" s="54">
        <f t="shared" si="38"/>
        <v>1</v>
      </c>
      <c r="H397" s="54">
        <f t="shared" si="39"/>
        <v>437</v>
      </c>
      <c r="I397" s="56" t="str">
        <f>IFERROR(INDEX($A$2:$A$501,MATCH(SMALL($H$2:$H$501,ROWS($I$2:I397)+$G$502),$H$2:$H$501,0)),"")</f>
        <v/>
      </c>
      <c r="J397">
        <f t="shared" si="40"/>
        <v>333</v>
      </c>
      <c r="K397" t="str">
        <f t="array" ref="K397">INDEX($B$2:$B$501,SMALL(IF($A$2:$A$501=I397,ROW($A$2:$A$501)-ROW(INDEX($A$2:$A$501,1,1))+1),J397))</f>
        <v/>
      </c>
      <c r="L397" t="str">
        <f t="array" ref="L397">INDEX($C$2:$C$501,SMALL(IF($A$2:$A$501=I397,ROW($A$2:$A$501)-ROW(INDEX($A$2:$A$501,1,1))+1),J397))</f>
        <v/>
      </c>
      <c r="N397" t="str">
        <f t="shared" si="41"/>
        <v/>
      </c>
      <c r="S397" s="10">
        <v>396</v>
      </c>
      <c r="T397" s="10" t="str">
        <f t="array" ref="T397">IFERROR(INDEX(A$2:$A$501,MATCH(0,COUNTIF($T$1:T396,A$2:$A$501),0)),"")</f>
        <v/>
      </c>
      <c r="U397" s="10">
        <f>IFERROR(MATCH(T397,I$2:$I$501,0),"")</f>
        <v>64</v>
      </c>
      <c r="V397" s="10">
        <f>COUNTIF(I$2:$I$501,T397)</f>
        <v>437</v>
      </c>
      <c r="W397" s="10"/>
      <c r="X397" s="10"/>
    </row>
    <row r="398" spans="1:24" x14ac:dyDescent="0.25">
      <c r="A398" t="str">
        <f>IF(Tests!B399="","",Tests!B399)</f>
        <v/>
      </c>
      <c r="B398" t="str">
        <f>IF(Tests!D399="","",Tests!D399)</f>
        <v/>
      </c>
      <c r="C398" t="str">
        <f>IF(Tests!E399="","",Tests!E399)</f>
        <v/>
      </c>
      <c r="E398" s="54">
        <f t="shared" si="36"/>
        <v>0</v>
      </c>
      <c r="F398" s="54">
        <f t="shared" si="37"/>
        <v>0</v>
      </c>
      <c r="G398" s="54">
        <f t="shared" si="38"/>
        <v>1</v>
      </c>
      <c r="H398" s="54">
        <f t="shared" si="39"/>
        <v>437</v>
      </c>
      <c r="I398" s="56" t="str">
        <f>IFERROR(INDEX($A$2:$A$501,MATCH(SMALL($H$2:$H$501,ROWS($I$2:I398)+$G$502),$H$2:$H$501,0)),"")</f>
        <v/>
      </c>
      <c r="J398">
        <f t="shared" si="40"/>
        <v>334</v>
      </c>
      <c r="K398" t="str">
        <f t="array" ref="K398">INDEX($B$2:$B$501,SMALL(IF($A$2:$A$501=I398,ROW($A$2:$A$501)-ROW(INDEX($A$2:$A$501,1,1))+1),J398))</f>
        <v/>
      </c>
      <c r="L398" t="str">
        <f t="array" ref="L398">INDEX($C$2:$C$501,SMALL(IF($A$2:$A$501=I398,ROW($A$2:$A$501)-ROW(INDEX($A$2:$A$501,1,1))+1),J398))</f>
        <v/>
      </c>
      <c r="N398" t="str">
        <f t="shared" si="41"/>
        <v/>
      </c>
      <c r="S398" s="10">
        <v>397</v>
      </c>
      <c r="T398" s="10" t="str">
        <f t="array" ref="T398">IFERROR(INDEX(A$2:$A$501,MATCH(0,COUNTIF($T$1:T397,A$2:$A$501),0)),"")</f>
        <v/>
      </c>
      <c r="U398" s="10">
        <f>IFERROR(MATCH(T398,I$2:$I$501,0),"")</f>
        <v>64</v>
      </c>
      <c r="V398" s="10">
        <f>COUNTIF(I$2:$I$501,T398)</f>
        <v>437</v>
      </c>
      <c r="W398" s="10"/>
      <c r="X398" s="10"/>
    </row>
    <row r="399" spans="1:24" x14ac:dyDescent="0.25">
      <c r="A399" t="str">
        <f>IF(Tests!B400="","",Tests!B400)</f>
        <v/>
      </c>
      <c r="B399" t="str">
        <f>IF(Tests!D400="","",Tests!D400)</f>
        <v/>
      </c>
      <c r="C399" t="str">
        <f>IF(Tests!E400="","",Tests!E400)</f>
        <v/>
      </c>
      <c r="E399" s="54">
        <f t="shared" si="36"/>
        <v>0</v>
      </c>
      <c r="F399" s="54">
        <f t="shared" si="37"/>
        <v>0</v>
      </c>
      <c r="G399" s="54">
        <f t="shared" si="38"/>
        <v>1</v>
      </c>
      <c r="H399" s="54">
        <f t="shared" si="39"/>
        <v>437</v>
      </c>
      <c r="I399" s="56" t="str">
        <f>IFERROR(INDEX($A$2:$A$501,MATCH(SMALL($H$2:$H$501,ROWS($I$2:I399)+$G$502),$H$2:$H$501,0)),"")</f>
        <v/>
      </c>
      <c r="J399">
        <f t="shared" si="40"/>
        <v>335</v>
      </c>
      <c r="K399" t="str">
        <f t="array" ref="K399">INDEX($B$2:$B$501,SMALL(IF($A$2:$A$501=I399,ROW($A$2:$A$501)-ROW(INDEX($A$2:$A$501,1,1))+1),J399))</f>
        <v/>
      </c>
      <c r="L399" t="str">
        <f t="array" ref="L399">INDEX($C$2:$C$501,SMALL(IF($A$2:$A$501=I399,ROW($A$2:$A$501)-ROW(INDEX($A$2:$A$501,1,1))+1),J399))</f>
        <v/>
      </c>
      <c r="N399" t="str">
        <f t="shared" si="41"/>
        <v/>
      </c>
      <c r="S399" s="10">
        <v>398</v>
      </c>
      <c r="T399" s="10" t="str">
        <f t="array" ref="T399">IFERROR(INDEX(A$2:$A$501,MATCH(0,COUNTIF($T$1:T398,A$2:$A$501),0)),"")</f>
        <v/>
      </c>
      <c r="U399" s="10">
        <f>IFERROR(MATCH(T399,I$2:$I$501,0),"")</f>
        <v>64</v>
      </c>
      <c r="V399" s="10">
        <f>COUNTIF(I$2:$I$501,T399)</f>
        <v>437</v>
      </c>
      <c r="W399" s="10"/>
      <c r="X399" s="10"/>
    </row>
    <row r="400" spans="1:24" x14ac:dyDescent="0.25">
      <c r="A400" t="str">
        <f>IF(Tests!B401="","",Tests!B401)</f>
        <v/>
      </c>
      <c r="B400" t="str">
        <f>IF(Tests!D401="","",Tests!D401)</f>
        <v/>
      </c>
      <c r="C400" t="str">
        <f>IF(Tests!E401="","",Tests!E401)</f>
        <v/>
      </c>
      <c r="E400" s="54">
        <f t="shared" si="36"/>
        <v>0</v>
      </c>
      <c r="F400" s="54">
        <f t="shared" si="37"/>
        <v>0</v>
      </c>
      <c r="G400" s="54">
        <f t="shared" si="38"/>
        <v>1</v>
      </c>
      <c r="H400" s="54">
        <f t="shared" si="39"/>
        <v>437</v>
      </c>
      <c r="I400" s="56" t="str">
        <f>IFERROR(INDEX($A$2:$A$501,MATCH(SMALL($H$2:$H$501,ROWS($I$2:I400)+$G$502),$H$2:$H$501,0)),"")</f>
        <v/>
      </c>
      <c r="J400">
        <f t="shared" si="40"/>
        <v>336</v>
      </c>
      <c r="K400" t="str">
        <f t="array" ref="K400">INDEX($B$2:$B$501,SMALL(IF($A$2:$A$501=I400,ROW($A$2:$A$501)-ROW(INDEX($A$2:$A$501,1,1))+1),J400))</f>
        <v/>
      </c>
      <c r="L400" t="str">
        <f t="array" ref="L400">INDEX($C$2:$C$501,SMALL(IF($A$2:$A$501=I400,ROW($A$2:$A$501)-ROW(INDEX($A$2:$A$501,1,1))+1),J400))</f>
        <v/>
      </c>
      <c r="N400" t="str">
        <f t="shared" si="41"/>
        <v/>
      </c>
      <c r="S400" s="10">
        <v>399</v>
      </c>
      <c r="T400" s="10" t="str">
        <f t="array" ref="T400">IFERROR(INDEX(A$2:$A$501,MATCH(0,COUNTIF($T$1:T399,A$2:$A$501),0)),"")</f>
        <v/>
      </c>
      <c r="U400" s="10">
        <f>IFERROR(MATCH(T400,I$2:$I$501,0),"")</f>
        <v>64</v>
      </c>
      <c r="V400" s="10">
        <f>COUNTIF(I$2:$I$501,T400)</f>
        <v>437</v>
      </c>
      <c r="W400" s="10"/>
      <c r="X400" s="10"/>
    </row>
    <row r="401" spans="1:24" x14ac:dyDescent="0.25">
      <c r="A401" t="str">
        <f>IF(Tests!B402="","",Tests!B402)</f>
        <v/>
      </c>
      <c r="B401" t="str">
        <f>IF(Tests!D402="","",Tests!D402)</f>
        <v/>
      </c>
      <c r="C401" t="str">
        <f>IF(Tests!E402="","",Tests!E402)</f>
        <v/>
      </c>
      <c r="E401" s="54">
        <f t="shared" si="36"/>
        <v>0</v>
      </c>
      <c r="F401" s="54">
        <f t="shared" si="37"/>
        <v>0</v>
      </c>
      <c r="G401" s="54">
        <f t="shared" si="38"/>
        <v>1</v>
      </c>
      <c r="H401" s="54">
        <f t="shared" si="39"/>
        <v>437</v>
      </c>
      <c r="I401" s="56" t="str">
        <f>IFERROR(INDEX($A$2:$A$501,MATCH(SMALL($H$2:$H$501,ROWS($I$2:I401)+$G$502),$H$2:$H$501,0)),"")</f>
        <v/>
      </c>
      <c r="J401">
        <f t="shared" si="40"/>
        <v>337</v>
      </c>
      <c r="K401" t="str">
        <f t="array" ref="K401">INDEX($B$2:$B$501,SMALL(IF($A$2:$A$501=I401,ROW($A$2:$A$501)-ROW(INDEX($A$2:$A$501,1,1))+1),J401))</f>
        <v/>
      </c>
      <c r="L401" t="str">
        <f t="array" ref="L401">INDEX($C$2:$C$501,SMALL(IF($A$2:$A$501=I401,ROW($A$2:$A$501)-ROW(INDEX($A$2:$A$501,1,1))+1),J401))</f>
        <v/>
      </c>
      <c r="N401" t="str">
        <f t="shared" si="41"/>
        <v/>
      </c>
      <c r="S401" s="10">
        <v>400</v>
      </c>
      <c r="T401" s="10" t="str">
        <f t="array" ref="T401">IFERROR(INDEX(A$2:$A$501,MATCH(0,COUNTIF($T$1:T400,A$2:$A$501),0)),"")</f>
        <v/>
      </c>
      <c r="U401" s="10">
        <f>IFERROR(MATCH(T401,I$2:$I$501,0),"")</f>
        <v>64</v>
      </c>
      <c r="V401" s="10">
        <f>COUNTIF(I$2:$I$501,T401)</f>
        <v>437</v>
      </c>
      <c r="W401" s="10"/>
      <c r="X401" s="10"/>
    </row>
    <row r="402" spans="1:24" x14ac:dyDescent="0.25">
      <c r="A402" t="str">
        <f>IF(Tests!B403="","",Tests!B403)</f>
        <v/>
      </c>
      <c r="B402" t="str">
        <f>IF(Tests!D403="","",Tests!D403)</f>
        <v/>
      </c>
      <c r="C402" t="str">
        <f>IF(Tests!E403="","",Tests!E403)</f>
        <v/>
      </c>
      <c r="E402" s="54">
        <f t="shared" si="36"/>
        <v>0</v>
      </c>
      <c r="F402" s="54">
        <f t="shared" si="37"/>
        <v>0</v>
      </c>
      <c r="G402" s="54">
        <f t="shared" si="38"/>
        <v>1</v>
      </c>
      <c r="H402" s="54">
        <f t="shared" si="39"/>
        <v>437</v>
      </c>
      <c r="I402" s="56" t="str">
        <f>IFERROR(INDEX($A$2:$A$501,MATCH(SMALL($H$2:$H$501,ROWS($I$2:I402)+$G$502),$H$2:$H$501,0)),"")</f>
        <v/>
      </c>
      <c r="J402">
        <f t="shared" si="40"/>
        <v>338</v>
      </c>
      <c r="K402" t="str">
        <f t="array" ref="K402">INDEX($B$2:$B$501,SMALL(IF($A$2:$A$501=I402,ROW($A$2:$A$501)-ROW(INDEX($A$2:$A$501,1,1))+1),J402))</f>
        <v/>
      </c>
      <c r="L402" t="str">
        <f t="array" ref="L402">INDEX($C$2:$C$501,SMALL(IF($A$2:$A$501=I402,ROW($A$2:$A$501)-ROW(INDEX($A$2:$A$501,1,1))+1),J402))</f>
        <v/>
      </c>
      <c r="N402" t="str">
        <f t="shared" si="41"/>
        <v/>
      </c>
      <c r="S402" s="10">
        <v>401</v>
      </c>
      <c r="T402" s="10" t="str">
        <f t="array" ref="T402">IFERROR(INDEX(A$2:$A$501,MATCH(0,COUNTIF($T$1:T401,A$2:$A$501),0)),"")</f>
        <v/>
      </c>
      <c r="U402" s="10">
        <f>IFERROR(MATCH(T402,I$2:$I$501,0),"")</f>
        <v>64</v>
      </c>
      <c r="V402" s="10">
        <f>COUNTIF(I$2:$I$501,T402)</f>
        <v>437</v>
      </c>
      <c r="W402" s="10"/>
      <c r="X402" s="10"/>
    </row>
    <row r="403" spans="1:24" x14ac:dyDescent="0.25">
      <c r="A403" t="str">
        <f>IF(Tests!B404="","",Tests!B404)</f>
        <v/>
      </c>
      <c r="B403" t="str">
        <f>IF(Tests!D404="","",Tests!D404)</f>
        <v/>
      </c>
      <c r="C403" t="str">
        <f>IF(Tests!E404="","",Tests!E404)</f>
        <v/>
      </c>
      <c r="E403" s="54">
        <f t="shared" si="36"/>
        <v>0</v>
      </c>
      <c r="F403" s="54">
        <f t="shared" si="37"/>
        <v>0</v>
      </c>
      <c r="G403" s="54">
        <f t="shared" si="38"/>
        <v>1</v>
      </c>
      <c r="H403" s="54">
        <f t="shared" si="39"/>
        <v>437</v>
      </c>
      <c r="I403" s="56" t="str">
        <f>IFERROR(INDEX($A$2:$A$501,MATCH(SMALL($H$2:$H$501,ROWS($I$2:I403)+$G$502),$H$2:$H$501,0)),"")</f>
        <v/>
      </c>
      <c r="J403">
        <f t="shared" si="40"/>
        <v>339</v>
      </c>
      <c r="K403" t="str">
        <f t="array" ref="K403">INDEX($B$2:$B$501,SMALL(IF($A$2:$A$501=I403,ROW($A$2:$A$501)-ROW(INDEX($A$2:$A$501,1,1))+1),J403))</f>
        <v/>
      </c>
      <c r="L403" t="str">
        <f t="array" ref="L403">INDEX($C$2:$C$501,SMALL(IF($A$2:$A$501=I403,ROW($A$2:$A$501)-ROW(INDEX($A$2:$A$501,1,1))+1),J403))</f>
        <v/>
      </c>
      <c r="N403" t="str">
        <f t="shared" si="41"/>
        <v/>
      </c>
      <c r="S403" s="10">
        <v>402</v>
      </c>
      <c r="T403" s="10" t="str">
        <f t="array" ref="T403">IFERROR(INDEX(A$2:$A$501,MATCH(0,COUNTIF($T$1:T402,A$2:$A$501),0)),"")</f>
        <v/>
      </c>
      <c r="U403" s="10">
        <f>IFERROR(MATCH(T403,I$2:$I$501,0),"")</f>
        <v>64</v>
      </c>
      <c r="V403" s="10">
        <f>COUNTIF(I$2:$I$501,T403)</f>
        <v>437</v>
      </c>
      <c r="W403" s="10"/>
      <c r="X403" s="10"/>
    </row>
    <row r="404" spans="1:24" x14ac:dyDescent="0.25">
      <c r="A404" t="str">
        <f>IF(Tests!B405="","",Tests!B405)</f>
        <v/>
      </c>
      <c r="B404" t="str">
        <f>IF(Tests!D405="","",Tests!D405)</f>
        <v/>
      </c>
      <c r="C404" t="str">
        <f>IF(Tests!E405="","",Tests!E405)</f>
        <v/>
      </c>
      <c r="E404" s="54">
        <f t="shared" si="36"/>
        <v>0</v>
      </c>
      <c r="F404" s="54">
        <f t="shared" si="37"/>
        <v>0</v>
      </c>
      <c r="G404" s="54">
        <f t="shared" si="38"/>
        <v>1</v>
      </c>
      <c r="H404" s="54">
        <f t="shared" si="39"/>
        <v>437</v>
      </c>
      <c r="I404" s="56" t="str">
        <f>IFERROR(INDEX($A$2:$A$501,MATCH(SMALL($H$2:$H$501,ROWS($I$2:I404)+$G$502),$H$2:$H$501,0)),"")</f>
        <v/>
      </c>
      <c r="J404">
        <f t="shared" si="40"/>
        <v>340</v>
      </c>
      <c r="K404" t="str">
        <f t="array" ref="K404">INDEX($B$2:$B$501,SMALL(IF($A$2:$A$501=I404,ROW($A$2:$A$501)-ROW(INDEX($A$2:$A$501,1,1))+1),J404))</f>
        <v/>
      </c>
      <c r="L404" t="str">
        <f t="array" ref="L404">INDEX($C$2:$C$501,SMALL(IF($A$2:$A$501=I404,ROW($A$2:$A$501)-ROW(INDEX($A$2:$A$501,1,1))+1),J404))</f>
        <v/>
      </c>
      <c r="N404" t="str">
        <f t="shared" si="41"/>
        <v/>
      </c>
      <c r="S404" s="10">
        <v>403</v>
      </c>
      <c r="T404" s="10" t="str">
        <f t="array" ref="T404">IFERROR(INDEX(A$2:$A$501,MATCH(0,COUNTIF($T$1:T403,A$2:$A$501),0)),"")</f>
        <v/>
      </c>
      <c r="U404" s="10">
        <f>IFERROR(MATCH(T404,I$2:$I$501,0),"")</f>
        <v>64</v>
      </c>
      <c r="V404" s="10">
        <f>COUNTIF(I$2:$I$501,T404)</f>
        <v>437</v>
      </c>
      <c r="W404" s="10"/>
      <c r="X404" s="10"/>
    </row>
    <row r="405" spans="1:24" x14ac:dyDescent="0.25">
      <c r="A405" t="str">
        <f>IF(Tests!B406="","",Tests!B406)</f>
        <v/>
      </c>
      <c r="B405" t="str">
        <f>IF(Tests!D406="","",Tests!D406)</f>
        <v/>
      </c>
      <c r="C405" t="str">
        <f>IF(Tests!E406="","",Tests!E406)</f>
        <v/>
      </c>
      <c r="E405" s="54">
        <f t="shared" si="36"/>
        <v>0</v>
      </c>
      <c r="F405" s="54">
        <f t="shared" si="37"/>
        <v>0</v>
      </c>
      <c r="G405" s="54">
        <f t="shared" si="38"/>
        <v>1</v>
      </c>
      <c r="H405" s="54">
        <f t="shared" si="39"/>
        <v>437</v>
      </c>
      <c r="I405" s="56" t="str">
        <f>IFERROR(INDEX($A$2:$A$501,MATCH(SMALL($H$2:$H$501,ROWS($I$2:I405)+$G$502),$H$2:$H$501,0)),"")</f>
        <v/>
      </c>
      <c r="J405">
        <f t="shared" si="40"/>
        <v>341</v>
      </c>
      <c r="K405" t="str">
        <f t="array" ref="K405">INDEX($B$2:$B$501,SMALL(IF($A$2:$A$501=I405,ROW($A$2:$A$501)-ROW(INDEX($A$2:$A$501,1,1))+1),J405))</f>
        <v/>
      </c>
      <c r="L405" t="str">
        <f t="array" ref="L405">INDEX($C$2:$C$501,SMALL(IF($A$2:$A$501=I405,ROW($A$2:$A$501)-ROW(INDEX($A$2:$A$501,1,1))+1),J405))</f>
        <v/>
      </c>
      <c r="N405" t="str">
        <f t="shared" si="41"/>
        <v/>
      </c>
      <c r="S405" s="10">
        <v>404</v>
      </c>
      <c r="T405" s="10" t="str">
        <f t="array" ref="T405">IFERROR(INDEX(A$2:$A$501,MATCH(0,COUNTIF($T$1:T404,A$2:$A$501),0)),"")</f>
        <v/>
      </c>
      <c r="U405" s="10">
        <f>IFERROR(MATCH(T405,I$2:$I$501,0),"")</f>
        <v>64</v>
      </c>
      <c r="V405" s="10">
        <f>COUNTIF(I$2:$I$501,T405)</f>
        <v>437</v>
      </c>
      <c r="W405" s="10"/>
      <c r="X405" s="10"/>
    </row>
    <row r="406" spans="1:24" x14ac:dyDescent="0.25">
      <c r="A406" t="str">
        <f>IF(Tests!B407="","",Tests!B407)</f>
        <v/>
      </c>
      <c r="B406" t="str">
        <f>IF(Tests!D407="","",Tests!D407)</f>
        <v/>
      </c>
      <c r="C406" t="str">
        <f>IF(Tests!E407="","",Tests!E407)</f>
        <v/>
      </c>
      <c r="E406" s="54">
        <f t="shared" si="36"/>
        <v>0</v>
      </c>
      <c r="F406" s="54">
        <f t="shared" si="37"/>
        <v>0</v>
      </c>
      <c r="G406" s="54">
        <f t="shared" si="38"/>
        <v>1</v>
      </c>
      <c r="H406" s="54">
        <f t="shared" si="39"/>
        <v>437</v>
      </c>
      <c r="I406" s="56" t="str">
        <f>IFERROR(INDEX($A$2:$A$501,MATCH(SMALL($H$2:$H$501,ROWS($I$2:I406)+$G$502),$H$2:$H$501,0)),"")</f>
        <v/>
      </c>
      <c r="J406">
        <f t="shared" si="40"/>
        <v>342</v>
      </c>
      <c r="K406" t="str">
        <f t="array" ref="K406">INDEX($B$2:$B$501,SMALL(IF($A$2:$A$501=I406,ROW($A$2:$A$501)-ROW(INDEX($A$2:$A$501,1,1))+1),J406))</f>
        <v/>
      </c>
      <c r="L406" t="str">
        <f t="array" ref="L406">INDEX($C$2:$C$501,SMALL(IF($A$2:$A$501=I406,ROW($A$2:$A$501)-ROW(INDEX($A$2:$A$501,1,1))+1),J406))</f>
        <v/>
      </c>
      <c r="N406" t="str">
        <f t="shared" si="41"/>
        <v/>
      </c>
      <c r="S406" s="10">
        <v>405</v>
      </c>
      <c r="T406" s="10" t="str">
        <f t="array" ref="T406">IFERROR(INDEX(A$2:$A$501,MATCH(0,COUNTIF($T$1:T405,A$2:$A$501),0)),"")</f>
        <v/>
      </c>
      <c r="U406" s="10">
        <f>IFERROR(MATCH(T406,I$2:$I$501,0),"")</f>
        <v>64</v>
      </c>
      <c r="V406" s="10">
        <f>COUNTIF(I$2:$I$501,T406)</f>
        <v>437</v>
      </c>
      <c r="W406" s="10"/>
      <c r="X406" s="10"/>
    </row>
    <row r="407" spans="1:24" x14ac:dyDescent="0.25">
      <c r="A407" t="str">
        <f>IF(Tests!B408="","",Tests!B408)</f>
        <v/>
      </c>
      <c r="B407" t="str">
        <f>IF(Tests!D408="","",Tests!D408)</f>
        <v/>
      </c>
      <c r="C407" t="str">
        <f>IF(Tests!E408="","",Tests!E408)</f>
        <v/>
      </c>
      <c r="E407" s="54">
        <f t="shared" si="36"/>
        <v>0</v>
      </c>
      <c r="F407" s="54">
        <f t="shared" si="37"/>
        <v>0</v>
      </c>
      <c r="G407" s="54">
        <f t="shared" si="38"/>
        <v>1</v>
      </c>
      <c r="H407" s="54">
        <f t="shared" si="39"/>
        <v>437</v>
      </c>
      <c r="I407" s="56" t="str">
        <f>IFERROR(INDEX($A$2:$A$501,MATCH(SMALL($H$2:$H$501,ROWS($I$2:I407)+$G$502),$H$2:$H$501,0)),"")</f>
        <v/>
      </c>
      <c r="J407">
        <f t="shared" si="40"/>
        <v>343</v>
      </c>
      <c r="K407" t="str">
        <f t="array" ref="K407">INDEX($B$2:$B$501,SMALL(IF($A$2:$A$501=I407,ROW($A$2:$A$501)-ROW(INDEX($A$2:$A$501,1,1))+1),J407))</f>
        <v/>
      </c>
      <c r="L407" t="str">
        <f t="array" ref="L407">INDEX($C$2:$C$501,SMALL(IF($A$2:$A$501=I407,ROW($A$2:$A$501)-ROW(INDEX($A$2:$A$501,1,1))+1),J407))</f>
        <v/>
      </c>
      <c r="N407" t="str">
        <f t="shared" si="41"/>
        <v/>
      </c>
      <c r="S407" s="10">
        <v>406</v>
      </c>
      <c r="T407" s="10" t="str">
        <f t="array" ref="T407">IFERROR(INDEX(A$2:$A$501,MATCH(0,COUNTIF($T$1:T406,A$2:$A$501),0)),"")</f>
        <v/>
      </c>
      <c r="U407" s="10">
        <f>IFERROR(MATCH(T407,I$2:$I$501,0),"")</f>
        <v>64</v>
      </c>
      <c r="V407" s="10">
        <f>COUNTIF(I$2:$I$501,T407)</f>
        <v>437</v>
      </c>
      <c r="W407" s="10"/>
      <c r="X407" s="10"/>
    </row>
    <row r="408" spans="1:24" x14ac:dyDescent="0.25">
      <c r="A408" t="str">
        <f>IF(Tests!B409="","",Tests!B409)</f>
        <v/>
      </c>
      <c r="B408" t="str">
        <f>IF(Tests!D409="","",Tests!D409)</f>
        <v/>
      </c>
      <c r="C408" t="str">
        <f>IF(Tests!E409="","",Tests!E409)</f>
        <v/>
      </c>
      <c r="E408" s="54">
        <f t="shared" si="36"/>
        <v>0</v>
      </c>
      <c r="F408" s="54">
        <f t="shared" si="37"/>
        <v>0</v>
      </c>
      <c r="G408" s="54">
        <f t="shared" si="38"/>
        <v>1</v>
      </c>
      <c r="H408" s="54">
        <f t="shared" si="39"/>
        <v>437</v>
      </c>
      <c r="I408" s="56" t="str">
        <f>IFERROR(INDEX($A$2:$A$501,MATCH(SMALL($H$2:$H$501,ROWS($I$2:I408)+$G$502),$H$2:$H$501,0)),"")</f>
        <v/>
      </c>
      <c r="J408">
        <f t="shared" si="40"/>
        <v>344</v>
      </c>
      <c r="K408" t="str">
        <f t="array" ref="K408">INDEX($B$2:$B$501,SMALL(IF($A$2:$A$501=I408,ROW($A$2:$A$501)-ROW(INDEX($A$2:$A$501,1,1))+1),J408))</f>
        <v/>
      </c>
      <c r="L408" t="str">
        <f t="array" ref="L408">INDEX($C$2:$C$501,SMALL(IF($A$2:$A$501=I408,ROW($A$2:$A$501)-ROW(INDEX($A$2:$A$501,1,1))+1),J408))</f>
        <v/>
      </c>
      <c r="N408" t="str">
        <f t="shared" si="41"/>
        <v/>
      </c>
      <c r="S408" s="10">
        <v>407</v>
      </c>
      <c r="T408" s="10" t="str">
        <f t="array" ref="T408">IFERROR(INDEX(A$2:$A$501,MATCH(0,COUNTIF($T$1:T407,A$2:$A$501),0)),"")</f>
        <v/>
      </c>
      <c r="U408" s="10">
        <f>IFERROR(MATCH(T408,I$2:$I$501,0),"")</f>
        <v>64</v>
      </c>
      <c r="V408" s="10">
        <f>COUNTIF(I$2:$I$501,T408)</f>
        <v>437</v>
      </c>
      <c r="W408" s="10"/>
      <c r="X408" s="10"/>
    </row>
    <row r="409" spans="1:24" x14ac:dyDescent="0.25">
      <c r="A409" t="str">
        <f>IF(Tests!B410="","",Tests!B410)</f>
        <v/>
      </c>
      <c r="B409" t="str">
        <f>IF(Tests!D410="","",Tests!D410)</f>
        <v/>
      </c>
      <c r="C409" t="str">
        <f>IF(Tests!E410="","",Tests!E410)</f>
        <v/>
      </c>
      <c r="E409" s="54">
        <f t="shared" si="36"/>
        <v>0</v>
      </c>
      <c r="F409" s="54">
        <f t="shared" si="37"/>
        <v>0</v>
      </c>
      <c r="G409" s="54">
        <f t="shared" si="38"/>
        <v>1</v>
      </c>
      <c r="H409" s="54">
        <f t="shared" si="39"/>
        <v>437</v>
      </c>
      <c r="I409" s="56" t="str">
        <f>IFERROR(INDEX($A$2:$A$501,MATCH(SMALL($H$2:$H$501,ROWS($I$2:I409)+$G$502),$H$2:$H$501,0)),"")</f>
        <v/>
      </c>
      <c r="J409">
        <f t="shared" si="40"/>
        <v>345</v>
      </c>
      <c r="K409" t="str">
        <f t="array" ref="K409">INDEX($B$2:$B$501,SMALL(IF($A$2:$A$501=I409,ROW($A$2:$A$501)-ROW(INDEX($A$2:$A$501,1,1))+1),J409))</f>
        <v/>
      </c>
      <c r="L409" t="str">
        <f t="array" ref="L409">INDEX($C$2:$C$501,SMALL(IF($A$2:$A$501=I409,ROW($A$2:$A$501)-ROW(INDEX($A$2:$A$501,1,1))+1),J409))</f>
        <v/>
      </c>
      <c r="N409" t="str">
        <f t="shared" si="41"/>
        <v/>
      </c>
      <c r="S409" s="10">
        <v>408</v>
      </c>
      <c r="T409" s="10" t="str">
        <f t="array" ref="T409">IFERROR(INDEX(A$2:$A$501,MATCH(0,COUNTIF($T$1:T408,A$2:$A$501),0)),"")</f>
        <v/>
      </c>
      <c r="U409" s="10">
        <f>IFERROR(MATCH(T409,I$2:$I$501,0),"")</f>
        <v>64</v>
      </c>
      <c r="V409" s="10">
        <f>COUNTIF(I$2:$I$501,T409)</f>
        <v>437</v>
      </c>
      <c r="W409" s="10"/>
      <c r="X409" s="10"/>
    </row>
    <row r="410" spans="1:24" x14ac:dyDescent="0.25">
      <c r="A410" t="str">
        <f>IF(Tests!B411="","",Tests!B411)</f>
        <v/>
      </c>
      <c r="B410" t="str">
        <f>IF(Tests!D411="","",Tests!D411)</f>
        <v/>
      </c>
      <c r="C410" t="str">
        <f>IF(Tests!E411="","",Tests!E411)</f>
        <v/>
      </c>
      <c r="E410" s="54">
        <f t="shared" si="36"/>
        <v>0</v>
      </c>
      <c r="F410" s="54">
        <f t="shared" si="37"/>
        <v>0</v>
      </c>
      <c r="G410" s="54">
        <f t="shared" si="38"/>
        <v>1</v>
      </c>
      <c r="H410" s="54">
        <f t="shared" si="39"/>
        <v>437</v>
      </c>
      <c r="I410" s="56" t="str">
        <f>IFERROR(INDEX($A$2:$A$501,MATCH(SMALL($H$2:$H$501,ROWS($I$2:I410)+$G$502),$H$2:$H$501,0)),"")</f>
        <v/>
      </c>
      <c r="J410">
        <f t="shared" si="40"/>
        <v>346</v>
      </c>
      <c r="K410" t="str">
        <f t="array" ref="K410">INDEX($B$2:$B$501,SMALL(IF($A$2:$A$501=I410,ROW($A$2:$A$501)-ROW(INDEX($A$2:$A$501,1,1))+1),J410))</f>
        <v/>
      </c>
      <c r="L410" t="str">
        <f t="array" ref="L410">INDEX($C$2:$C$501,SMALL(IF($A$2:$A$501=I410,ROW($A$2:$A$501)-ROW(INDEX($A$2:$A$501,1,1))+1),J410))</f>
        <v/>
      </c>
      <c r="N410" t="str">
        <f t="shared" si="41"/>
        <v/>
      </c>
      <c r="S410" s="10">
        <v>409</v>
      </c>
      <c r="T410" s="10" t="str">
        <f t="array" ref="T410">IFERROR(INDEX(A$2:$A$501,MATCH(0,COUNTIF($T$1:T409,A$2:$A$501),0)),"")</f>
        <v/>
      </c>
      <c r="U410" s="10">
        <f>IFERROR(MATCH(T410,I$2:$I$501,0),"")</f>
        <v>64</v>
      </c>
      <c r="V410" s="10">
        <f>COUNTIF(I$2:$I$501,T410)</f>
        <v>437</v>
      </c>
      <c r="W410" s="10"/>
      <c r="X410" s="10"/>
    </row>
    <row r="411" spans="1:24" x14ac:dyDescent="0.25">
      <c r="A411" t="str">
        <f>IF(Tests!B412="","",Tests!B412)</f>
        <v/>
      </c>
      <c r="B411" t="str">
        <f>IF(Tests!D412="","",Tests!D412)</f>
        <v/>
      </c>
      <c r="C411" t="str">
        <f>IF(Tests!E412="","",Tests!E412)</f>
        <v/>
      </c>
      <c r="E411" s="54">
        <f t="shared" si="36"/>
        <v>0</v>
      </c>
      <c r="F411" s="54">
        <f t="shared" si="37"/>
        <v>0</v>
      </c>
      <c r="G411" s="54">
        <f t="shared" si="38"/>
        <v>1</v>
      </c>
      <c r="H411" s="54">
        <f t="shared" si="39"/>
        <v>437</v>
      </c>
      <c r="I411" s="56" t="str">
        <f>IFERROR(INDEX($A$2:$A$501,MATCH(SMALL($H$2:$H$501,ROWS($I$2:I411)+$G$502),$H$2:$H$501,0)),"")</f>
        <v/>
      </c>
      <c r="J411">
        <f t="shared" si="40"/>
        <v>347</v>
      </c>
      <c r="K411" t="str">
        <f t="array" ref="K411">INDEX($B$2:$B$501,SMALL(IF($A$2:$A$501=I411,ROW($A$2:$A$501)-ROW(INDEX($A$2:$A$501,1,1))+1),J411))</f>
        <v/>
      </c>
      <c r="L411" t="str">
        <f t="array" ref="L411">INDEX($C$2:$C$501,SMALL(IF($A$2:$A$501=I411,ROW($A$2:$A$501)-ROW(INDEX($A$2:$A$501,1,1))+1),J411))</f>
        <v/>
      </c>
      <c r="N411" t="str">
        <f t="shared" si="41"/>
        <v/>
      </c>
      <c r="S411" s="10">
        <v>410</v>
      </c>
      <c r="T411" s="10" t="str">
        <f t="array" ref="T411">IFERROR(INDEX(A$2:$A$501,MATCH(0,COUNTIF($T$1:T410,A$2:$A$501),0)),"")</f>
        <v/>
      </c>
      <c r="U411" s="10">
        <f>IFERROR(MATCH(T411,I$2:$I$501,0),"")</f>
        <v>64</v>
      </c>
      <c r="V411" s="10">
        <f>COUNTIF(I$2:$I$501,T411)</f>
        <v>437</v>
      </c>
      <c r="W411" s="10"/>
      <c r="X411" s="10"/>
    </row>
    <row r="412" spans="1:24" x14ac:dyDescent="0.25">
      <c r="A412" t="str">
        <f>IF(Tests!B413="","",Tests!B413)</f>
        <v/>
      </c>
      <c r="B412" t="str">
        <f>IF(Tests!D413="","",Tests!D413)</f>
        <v/>
      </c>
      <c r="C412" t="str">
        <f>IF(Tests!E413="","",Tests!E413)</f>
        <v/>
      </c>
      <c r="E412" s="54">
        <f t="shared" si="36"/>
        <v>0</v>
      </c>
      <c r="F412" s="54">
        <f t="shared" si="37"/>
        <v>0</v>
      </c>
      <c r="G412" s="54">
        <f t="shared" si="38"/>
        <v>1</v>
      </c>
      <c r="H412" s="54">
        <f t="shared" si="39"/>
        <v>437</v>
      </c>
      <c r="I412" s="56" t="str">
        <f>IFERROR(INDEX($A$2:$A$501,MATCH(SMALL($H$2:$H$501,ROWS($I$2:I412)+$G$502),$H$2:$H$501,0)),"")</f>
        <v/>
      </c>
      <c r="J412">
        <f t="shared" si="40"/>
        <v>348</v>
      </c>
      <c r="K412" t="str">
        <f t="array" ref="K412">INDEX($B$2:$B$501,SMALL(IF($A$2:$A$501=I412,ROW($A$2:$A$501)-ROW(INDEX($A$2:$A$501,1,1))+1),J412))</f>
        <v/>
      </c>
      <c r="L412" t="str">
        <f t="array" ref="L412">INDEX($C$2:$C$501,SMALL(IF($A$2:$A$501=I412,ROW($A$2:$A$501)-ROW(INDEX($A$2:$A$501,1,1))+1),J412))</f>
        <v/>
      </c>
      <c r="N412" t="str">
        <f t="shared" si="41"/>
        <v/>
      </c>
      <c r="S412" s="10">
        <v>411</v>
      </c>
      <c r="T412" s="10" t="str">
        <f t="array" ref="T412">IFERROR(INDEX(A$2:$A$501,MATCH(0,COUNTIF($T$1:T411,A$2:$A$501),0)),"")</f>
        <v/>
      </c>
      <c r="U412" s="10">
        <f>IFERROR(MATCH(T412,I$2:$I$501,0),"")</f>
        <v>64</v>
      </c>
      <c r="V412" s="10">
        <f>COUNTIF(I$2:$I$501,T412)</f>
        <v>437</v>
      </c>
      <c r="W412" s="10"/>
      <c r="X412" s="10"/>
    </row>
    <row r="413" spans="1:24" x14ac:dyDescent="0.25">
      <c r="A413" t="str">
        <f>IF(Tests!B414="","",Tests!B414)</f>
        <v/>
      </c>
      <c r="B413" t="str">
        <f>IF(Tests!D414="","",Tests!D414)</f>
        <v/>
      </c>
      <c r="C413" t="str">
        <f>IF(Tests!E414="","",Tests!E414)</f>
        <v/>
      </c>
      <c r="E413" s="54">
        <f t="shared" si="36"/>
        <v>0</v>
      </c>
      <c r="F413" s="54">
        <f t="shared" si="37"/>
        <v>0</v>
      </c>
      <c r="G413" s="54">
        <f t="shared" si="38"/>
        <v>1</v>
      </c>
      <c r="H413" s="54">
        <f t="shared" si="39"/>
        <v>437</v>
      </c>
      <c r="I413" s="56" t="str">
        <f>IFERROR(INDEX($A$2:$A$501,MATCH(SMALL($H$2:$H$501,ROWS($I$2:I413)+$G$502),$H$2:$H$501,0)),"")</f>
        <v/>
      </c>
      <c r="J413">
        <f t="shared" si="40"/>
        <v>349</v>
      </c>
      <c r="K413" t="str">
        <f t="array" ref="K413">INDEX($B$2:$B$501,SMALL(IF($A$2:$A$501=I413,ROW($A$2:$A$501)-ROW(INDEX($A$2:$A$501,1,1))+1),J413))</f>
        <v/>
      </c>
      <c r="L413" t="str">
        <f t="array" ref="L413">INDEX($C$2:$C$501,SMALL(IF($A$2:$A$501=I413,ROW($A$2:$A$501)-ROW(INDEX($A$2:$A$501,1,1))+1),J413))</f>
        <v/>
      </c>
      <c r="N413" t="str">
        <f t="shared" si="41"/>
        <v/>
      </c>
      <c r="S413" s="10">
        <v>412</v>
      </c>
      <c r="T413" s="10" t="str">
        <f t="array" ref="T413">IFERROR(INDEX(A$2:$A$501,MATCH(0,COUNTIF($T$1:T412,A$2:$A$501),0)),"")</f>
        <v/>
      </c>
      <c r="U413" s="10">
        <f>IFERROR(MATCH(T413,I$2:$I$501,0),"")</f>
        <v>64</v>
      </c>
      <c r="V413" s="10">
        <f>COUNTIF(I$2:$I$501,T413)</f>
        <v>437</v>
      </c>
      <c r="W413" s="10"/>
      <c r="X413" s="10"/>
    </row>
    <row r="414" spans="1:24" x14ac:dyDescent="0.25">
      <c r="A414" t="str">
        <f>IF(Tests!B415="","",Tests!B415)</f>
        <v/>
      </c>
      <c r="B414" t="str">
        <f>IF(Tests!D415="","",Tests!D415)</f>
        <v/>
      </c>
      <c r="C414" t="str">
        <f>IF(Tests!E415="","",Tests!E415)</f>
        <v/>
      </c>
      <c r="E414" s="54">
        <f t="shared" si="36"/>
        <v>0</v>
      </c>
      <c r="F414" s="54">
        <f t="shared" si="37"/>
        <v>0</v>
      </c>
      <c r="G414" s="54">
        <f t="shared" si="38"/>
        <v>1</v>
      </c>
      <c r="H414" s="54">
        <f t="shared" si="39"/>
        <v>437</v>
      </c>
      <c r="I414" s="56" t="str">
        <f>IFERROR(INDEX($A$2:$A$501,MATCH(SMALL($H$2:$H$501,ROWS($I$2:I414)+$G$502),$H$2:$H$501,0)),"")</f>
        <v/>
      </c>
      <c r="J414">
        <f t="shared" si="40"/>
        <v>350</v>
      </c>
      <c r="K414" t="str">
        <f t="array" ref="K414">INDEX($B$2:$B$501,SMALL(IF($A$2:$A$501=I414,ROW($A$2:$A$501)-ROW(INDEX($A$2:$A$501,1,1))+1),J414))</f>
        <v/>
      </c>
      <c r="L414" t="str">
        <f t="array" ref="L414">INDEX($C$2:$C$501,SMALL(IF($A$2:$A$501=I414,ROW($A$2:$A$501)-ROW(INDEX($A$2:$A$501,1,1))+1),J414))</f>
        <v/>
      </c>
      <c r="N414" t="str">
        <f t="shared" si="41"/>
        <v/>
      </c>
      <c r="S414" s="10">
        <v>413</v>
      </c>
      <c r="T414" s="10" t="str">
        <f t="array" ref="T414">IFERROR(INDEX(A$2:$A$501,MATCH(0,COUNTIF($T$1:T413,A$2:$A$501),0)),"")</f>
        <v/>
      </c>
      <c r="U414" s="10">
        <f>IFERROR(MATCH(T414,I$2:$I$501,0),"")</f>
        <v>64</v>
      </c>
      <c r="V414" s="10">
        <f>COUNTIF(I$2:$I$501,T414)</f>
        <v>437</v>
      </c>
      <c r="W414" s="10"/>
      <c r="X414" s="10"/>
    </row>
    <row r="415" spans="1:24" x14ac:dyDescent="0.25">
      <c r="A415" t="str">
        <f>IF(Tests!B416="","",Tests!B416)</f>
        <v/>
      </c>
      <c r="B415" t="str">
        <f>IF(Tests!D416="","",Tests!D416)</f>
        <v/>
      </c>
      <c r="C415" t="str">
        <f>IF(Tests!E416="","",Tests!E416)</f>
        <v/>
      </c>
      <c r="E415" s="54">
        <f t="shared" si="36"/>
        <v>0</v>
      </c>
      <c r="F415" s="54">
        <f t="shared" si="37"/>
        <v>0</v>
      </c>
      <c r="G415" s="54">
        <f t="shared" si="38"/>
        <v>1</v>
      </c>
      <c r="H415" s="54">
        <f t="shared" si="39"/>
        <v>437</v>
      </c>
      <c r="I415" s="56" t="str">
        <f>IFERROR(INDEX($A$2:$A$501,MATCH(SMALL($H$2:$H$501,ROWS($I$2:I415)+$G$502),$H$2:$H$501,0)),"")</f>
        <v/>
      </c>
      <c r="J415">
        <f t="shared" si="40"/>
        <v>351</v>
      </c>
      <c r="K415" t="str">
        <f t="array" ref="K415">INDEX($B$2:$B$501,SMALL(IF($A$2:$A$501=I415,ROW($A$2:$A$501)-ROW(INDEX($A$2:$A$501,1,1))+1),J415))</f>
        <v/>
      </c>
      <c r="L415" t="str">
        <f t="array" ref="L415">INDEX($C$2:$C$501,SMALL(IF($A$2:$A$501=I415,ROW($A$2:$A$501)-ROW(INDEX($A$2:$A$501,1,1))+1),J415))</f>
        <v/>
      </c>
      <c r="N415" t="str">
        <f t="shared" si="41"/>
        <v/>
      </c>
      <c r="S415" s="10">
        <v>414</v>
      </c>
      <c r="T415" s="10" t="str">
        <f t="array" ref="T415">IFERROR(INDEX(A$2:$A$501,MATCH(0,COUNTIF($T$1:T414,A$2:$A$501),0)),"")</f>
        <v/>
      </c>
      <c r="U415" s="10">
        <f>IFERROR(MATCH(T415,I$2:$I$501,0),"")</f>
        <v>64</v>
      </c>
      <c r="V415" s="10">
        <f>COUNTIF(I$2:$I$501,T415)</f>
        <v>437</v>
      </c>
      <c r="W415" s="10"/>
      <c r="X415" s="10"/>
    </row>
    <row r="416" spans="1:24" x14ac:dyDescent="0.25">
      <c r="A416" t="str">
        <f>IF(Tests!B417="","",Tests!B417)</f>
        <v/>
      </c>
      <c r="B416" t="str">
        <f>IF(Tests!D417="","",Tests!D417)</f>
        <v/>
      </c>
      <c r="C416" t="str">
        <f>IF(Tests!E417="","",Tests!E417)</f>
        <v/>
      </c>
      <c r="E416" s="54">
        <f t="shared" si="36"/>
        <v>0</v>
      </c>
      <c r="F416" s="54">
        <f t="shared" si="37"/>
        <v>0</v>
      </c>
      <c r="G416" s="54">
        <f t="shared" si="38"/>
        <v>1</v>
      </c>
      <c r="H416" s="54">
        <f t="shared" si="39"/>
        <v>437</v>
      </c>
      <c r="I416" s="56" t="str">
        <f>IFERROR(INDEX($A$2:$A$501,MATCH(SMALL($H$2:$H$501,ROWS($I$2:I416)+$G$502),$H$2:$H$501,0)),"")</f>
        <v/>
      </c>
      <c r="J416">
        <f t="shared" si="40"/>
        <v>352</v>
      </c>
      <c r="K416" t="str">
        <f t="array" ref="K416">INDEX($B$2:$B$501,SMALL(IF($A$2:$A$501=I416,ROW($A$2:$A$501)-ROW(INDEX($A$2:$A$501,1,1))+1),J416))</f>
        <v/>
      </c>
      <c r="L416" t="str">
        <f t="array" ref="L416">INDEX($C$2:$C$501,SMALL(IF($A$2:$A$501=I416,ROW($A$2:$A$501)-ROW(INDEX($A$2:$A$501,1,1))+1),J416))</f>
        <v/>
      </c>
      <c r="N416" t="str">
        <f t="shared" si="41"/>
        <v/>
      </c>
      <c r="S416" s="10">
        <v>415</v>
      </c>
      <c r="T416" s="10" t="str">
        <f t="array" ref="T416">IFERROR(INDEX(A$2:$A$501,MATCH(0,COUNTIF($T$1:T415,A$2:$A$501),0)),"")</f>
        <v/>
      </c>
      <c r="U416" s="10">
        <f>IFERROR(MATCH(T416,I$2:$I$501,0),"")</f>
        <v>64</v>
      </c>
      <c r="V416" s="10">
        <f>COUNTIF(I$2:$I$501,T416)</f>
        <v>437</v>
      </c>
      <c r="W416" s="10"/>
      <c r="X416" s="10"/>
    </row>
    <row r="417" spans="1:24" x14ac:dyDescent="0.25">
      <c r="A417" t="str">
        <f>IF(Tests!B418="","",Tests!B418)</f>
        <v/>
      </c>
      <c r="B417" t="str">
        <f>IF(Tests!D418="","",Tests!D418)</f>
        <v/>
      </c>
      <c r="C417" t="str">
        <f>IF(Tests!E418="","",Tests!E418)</f>
        <v/>
      </c>
      <c r="E417" s="54">
        <f t="shared" si="36"/>
        <v>0</v>
      </c>
      <c r="F417" s="54">
        <f t="shared" si="37"/>
        <v>0</v>
      </c>
      <c r="G417" s="54">
        <f t="shared" si="38"/>
        <v>1</v>
      </c>
      <c r="H417" s="54">
        <f t="shared" si="39"/>
        <v>437</v>
      </c>
      <c r="I417" s="56" t="str">
        <f>IFERROR(INDEX($A$2:$A$501,MATCH(SMALL($H$2:$H$501,ROWS($I$2:I417)+$G$502),$H$2:$H$501,0)),"")</f>
        <v/>
      </c>
      <c r="J417">
        <f t="shared" si="40"/>
        <v>353</v>
      </c>
      <c r="K417" t="str">
        <f t="array" ref="K417">INDEX($B$2:$B$501,SMALL(IF($A$2:$A$501=I417,ROW($A$2:$A$501)-ROW(INDEX($A$2:$A$501,1,1))+1),J417))</f>
        <v/>
      </c>
      <c r="L417" t="str">
        <f t="array" ref="L417">INDEX($C$2:$C$501,SMALL(IF($A$2:$A$501=I417,ROW($A$2:$A$501)-ROW(INDEX($A$2:$A$501,1,1))+1),J417))</f>
        <v/>
      </c>
      <c r="N417" t="str">
        <f t="shared" si="41"/>
        <v/>
      </c>
      <c r="S417" s="10">
        <v>416</v>
      </c>
      <c r="T417" s="10" t="str">
        <f t="array" ref="T417">IFERROR(INDEX(A$2:$A$501,MATCH(0,COUNTIF($T$1:T416,A$2:$A$501),0)),"")</f>
        <v/>
      </c>
      <c r="U417" s="10">
        <f>IFERROR(MATCH(T417,I$2:$I$501,0),"")</f>
        <v>64</v>
      </c>
      <c r="V417" s="10">
        <f>COUNTIF(I$2:$I$501,T417)</f>
        <v>437</v>
      </c>
      <c r="W417" s="10"/>
      <c r="X417" s="10"/>
    </row>
    <row r="418" spans="1:24" x14ac:dyDescent="0.25">
      <c r="A418" t="str">
        <f>IF(Tests!B419="","",Tests!B419)</f>
        <v/>
      </c>
      <c r="B418" t="str">
        <f>IF(Tests!D419="","",Tests!D419)</f>
        <v/>
      </c>
      <c r="C418" t="str">
        <f>IF(Tests!E419="","",Tests!E419)</f>
        <v/>
      </c>
      <c r="E418" s="54">
        <f t="shared" si="36"/>
        <v>0</v>
      </c>
      <c r="F418" s="54">
        <f t="shared" si="37"/>
        <v>0</v>
      </c>
      <c r="G418" s="54">
        <f t="shared" si="38"/>
        <v>1</v>
      </c>
      <c r="H418" s="54">
        <f t="shared" si="39"/>
        <v>437</v>
      </c>
      <c r="I418" s="56" t="str">
        <f>IFERROR(INDEX($A$2:$A$501,MATCH(SMALL($H$2:$H$501,ROWS($I$2:I418)+$G$502),$H$2:$H$501,0)),"")</f>
        <v/>
      </c>
      <c r="J418">
        <f t="shared" si="40"/>
        <v>354</v>
      </c>
      <c r="K418" t="str">
        <f t="array" ref="K418">INDEX($B$2:$B$501,SMALL(IF($A$2:$A$501=I418,ROW($A$2:$A$501)-ROW(INDEX($A$2:$A$501,1,1))+1),J418))</f>
        <v/>
      </c>
      <c r="L418" t="str">
        <f t="array" ref="L418">INDEX($C$2:$C$501,SMALL(IF($A$2:$A$501=I418,ROW($A$2:$A$501)-ROW(INDEX($A$2:$A$501,1,1))+1),J418))</f>
        <v/>
      </c>
      <c r="N418" t="str">
        <f t="shared" si="41"/>
        <v/>
      </c>
      <c r="S418" s="10">
        <v>417</v>
      </c>
      <c r="T418" s="10" t="str">
        <f t="array" ref="T418">IFERROR(INDEX(A$2:$A$501,MATCH(0,COUNTIF($T$1:T417,A$2:$A$501),0)),"")</f>
        <v/>
      </c>
      <c r="U418" s="10">
        <f>IFERROR(MATCH(T418,I$2:$I$501,0),"")</f>
        <v>64</v>
      </c>
      <c r="V418" s="10">
        <f>COUNTIF(I$2:$I$501,T418)</f>
        <v>437</v>
      </c>
      <c r="W418" s="10"/>
      <c r="X418" s="10"/>
    </row>
    <row r="419" spans="1:24" x14ac:dyDescent="0.25">
      <c r="A419" t="str">
        <f>IF(Tests!B420="","",Tests!B420)</f>
        <v/>
      </c>
      <c r="B419" t="str">
        <f>IF(Tests!D420="","",Tests!D420)</f>
        <v/>
      </c>
      <c r="C419" t="str">
        <f>IF(Tests!E420="","",Tests!E420)</f>
        <v/>
      </c>
      <c r="E419" s="54">
        <f t="shared" si="36"/>
        <v>0</v>
      </c>
      <c r="F419" s="54">
        <f t="shared" si="37"/>
        <v>0</v>
      </c>
      <c r="G419" s="54">
        <f t="shared" si="38"/>
        <v>1</v>
      </c>
      <c r="H419" s="54">
        <f t="shared" si="39"/>
        <v>437</v>
      </c>
      <c r="I419" s="56" t="str">
        <f>IFERROR(INDEX($A$2:$A$501,MATCH(SMALL($H$2:$H$501,ROWS($I$2:I419)+$G$502),$H$2:$H$501,0)),"")</f>
        <v/>
      </c>
      <c r="J419">
        <f t="shared" si="40"/>
        <v>355</v>
      </c>
      <c r="K419" t="str">
        <f t="array" ref="K419">INDEX($B$2:$B$501,SMALL(IF($A$2:$A$501=I419,ROW($A$2:$A$501)-ROW(INDEX($A$2:$A$501,1,1))+1),J419))</f>
        <v/>
      </c>
      <c r="L419" t="str">
        <f t="array" ref="L419">INDEX($C$2:$C$501,SMALL(IF($A$2:$A$501=I419,ROW($A$2:$A$501)-ROW(INDEX($A$2:$A$501,1,1))+1),J419))</f>
        <v/>
      </c>
      <c r="N419" t="str">
        <f t="shared" si="41"/>
        <v/>
      </c>
      <c r="S419" s="10">
        <v>418</v>
      </c>
      <c r="T419" s="10" t="str">
        <f t="array" ref="T419">IFERROR(INDEX(A$2:$A$501,MATCH(0,COUNTIF($T$1:T418,A$2:$A$501),0)),"")</f>
        <v/>
      </c>
      <c r="U419" s="10">
        <f>IFERROR(MATCH(T419,I$2:$I$501,0),"")</f>
        <v>64</v>
      </c>
      <c r="V419" s="10">
        <f>COUNTIF(I$2:$I$501,T419)</f>
        <v>437</v>
      </c>
      <c r="W419" s="10"/>
      <c r="X419" s="10"/>
    </row>
    <row r="420" spans="1:24" x14ac:dyDescent="0.25">
      <c r="A420" t="str">
        <f>IF(Tests!B421="","",Tests!B421)</f>
        <v/>
      </c>
      <c r="B420" t="str">
        <f>IF(Tests!D421="","",Tests!D421)</f>
        <v/>
      </c>
      <c r="C420" t="str">
        <f>IF(Tests!E421="","",Tests!E421)</f>
        <v/>
      </c>
      <c r="E420" s="54">
        <f t="shared" si="36"/>
        <v>0</v>
      </c>
      <c r="F420" s="54">
        <f t="shared" si="37"/>
        <v>0</v>
      </c>
      <c r="G420" s="54">
        <f t="shared" si="38"/>
        <v>1</v>
      </c>
      <c r="H420" s="54">
        <f t="shared" si="39"/>
        <v>437</v>
      </c>
      <c r="I420" s="56" t="str">
        <f>IFERROR(INDEX($A$2:$A$501,MATCH(SMALL($H$2:$H$501,ROWS($I$2:I420)+$G$502),$H$2:$H$501,0)),"")</f>
        <v/>
      </c>
      <c r="J420">
        <f t="shared" si="40"/>
        <v>356</v>
      </c>
      <c r="K420" t="str">
        <f t="array" ref="K420">INDEX($B$2:$B$501,SMALL(IF($A$2:$A$501=I420,ROW($A$2:$A$501)-ROW(INDEX($A$2:$A$501,1,1))+1),J420))</f>
        <v/>
      </c>
      <c r="L420" t="str">
        <f t="array" ref="L420">INDEX($C$2:$C$501,SMALL(IF($A$2:$A$501=I420,ROW($A$2:$A$501)-ROW(INDEX($A$2:$A$501,1,1))+1),J420))</f>
        <v/>
      </c>
      <c r="N420" t="str">
        <f t="shared" si="41"/>
        <v/>
      </c>
      <c r="S420" s="10">
        <v>419</v>
      </c>
      <c r="T420" s="10" t="str">
        <f t="array" ref="T420">IFERROR(INDEX(A$2:$A$501,MATCH(0,COUNTIF($T$1:T419,A$2:$A$501),0)),"")</f>
        <v/>
      </c>
      <c r="U420" s="10">
        <f>IFERROR(MATCH(T420,I$2:$I$501,0),"")</f>
        <v>64</v>
      </c>
      <c r="V420" s="10">
        <f>COUNTIF(I$2:$I$501,T420)</f>
        <v>437</v>
      </c>
      <c r="W420" s="10"/>
      <c r="X420" s="10"/>
    </row>
    <row r="421" spans="1:24" x14ac:dyDescent="0.25">
      <c r="A421" t="str">
        <f>IF(Tests!B422="","",Tests!B422)</f>
        <v/>
      </c>
      <c r="B421" t="str">
        <f>IF(Tests!D422="","",Tests!D422)</f>
        <v/>
      </c>
      <c r="C421" t="str">
        <f>IF(Tests!E422="","",Tests!E422)</f>
        <v/>
      </c>
      <c r="E421" s="54">
        <f t="shared" si="36"/>
        <v>0</v>
      </c>
      <c r="F421" s="54">
        <f t="shared" si="37"/>
        <v>0</v>
      </c>
      <c r="G421" s="54">
        <f t="shared" si="38"/>
        <v>1</v>
      </c>
      <c r="H421" s="54">
        <f t="shared" si="39"/>
        <v>437</v>
      </c>
      <c r="I421" s="56" t="str">
        <f>IFERROR(INDEX($A$2:$A$501,MATCH(SMALL($H$2:$H$501,ROWS($I$2:I421)+$G$502),$H$2:$H$501,0)),"")</f>
        <v/>
      </c>
      <c r="J421">
        <f t="shared" si="40"/>
        <v>357</v>
      </c>
      <c r="K421" t="str">
        <f t="array" ref="K421">INDEX($B$2:$B$501,SMALL(IF($A$2:$A$501=I421,ROW($A$2:$A$501)-ROW(INDEX($A$2:$A$501,1,1))+1),J421))</f>
        <v/>
      </c>
      <c r="L421" t="str">
        <f t="array" ref="L421">INDEX($C$2:$C$501,SMALL(IF($A$2:$A$501=I421,ROW($A$2:$A$501)-ROW(INDEX($A$2:$A$501,1,1))+1),J421))</f>
        <v/>
      </c>
      <c r="N421" t="str">
        <f t="shared" si="41"/>
        <v/>
      </c>
      <c r="S421" s="10">
        <v>420</v>
      </c>
      <c r="T421" s="10" t="str">
        <f t="array" ref="T421">IFERROR(INDEX(A$2:$A$501,MATCH(0,COUNTIF($T$1:T420,A$2:$A$501),0)),"")</f>
        <v/>
      </c>
      <c r="U421" s="10">
        <f>IFERROR(MATCH(T421,I$2:$I$501,0),"")</f>
        <v>64</v>
      </c>
      <c r="V421" s="10">
        <f>COUNTIF(I$2:$I$501,T421)</f>
        <v>437</v>
      </c>
      <c r="W421" s="10"/>
      <c r="X421" s="10"/>
    </row>
    <row r="422" spans="1:24" x14ac:dyDescent="0.25">
      <c r="A422" t="str">
        <f>IF(Tests!B423="","",Tests!B423)</f>
        <v/>
      </c>
      <c r="B422" t="str">
        <f>IF(Tests!D423="","",Tests!D423)</f>
        <v/>
      </c>
      <c r="C422" t="str">
        <f>IF(Tests!E423="","",Tests!E423)</f>
        <v/>
      </c>
      <c r="E422" s="54">
        <f t="shared" si="36"/>
        <v>0</v>
      </c>
      <c r="F422" s="54">
        <f t="shared" si="37"/>
        <v>0</v>
      </c>
      <c r="G422" s="54">
        <f t="shared" si="38"/>
        <v>1</v>
      </c>
      <c r="H422" s="54">
        <f t="shared" si="39"/>
        <v>437</v>
      </c>
      <c r="I422" s="56" t="str">
        <f>IFERROR(INDEX($A$2:$A$501,MATCH(SMALL($H$2:$H$501,ROWS($I$2:I422)+$G$502),$H$2:$H$501,0)),"")</f>
        <v/>
      </c>
      <c r="J422">
        <f t="shared" si="40"/>
        <v>358</v>
      </c>
      <c r="K422" t="str">
        <f t="array" ref="K422">INDEX($B$2:$B$501,SMALL(IF($A$2:$A$501=I422,ROW($A$2:$A$501)-ROW(INDEX($A$2:$A$501,1,1))+1),J422))</f>
        <v/>
      </c>
      <c r="L422" t="str">
        <f t="array" ref="L422">INDEX($C$2:$C$501,SMALL(IF($A$2:$A$501=I422,ROW($A$2:$A$501)-ROW(INDEX($A$2:$A$501,1,1))+1),J422))</f>
        <v/>
      </c>
      <c r="N422" t="str">
        <f t="shared" si="41"/>
        <v/>
      </c>
      <c r="S422" s="10">
        <v>421</v>
      </c>
      <c r="T422" s="10" t="str">
        <f t="array" ref="T422">IFERROR(INDEX(A$2:$A$501,MATCH(0,COUNTIF($T$1:T421,A$2:$A$501),0)),"")</f>
        <v/>
      </c>
      <c r="U422" s="10">
        <f>IFERROR(MATCH(T422,I$2:$I$501,0),"")</f>
        <v>64</v>
      </c>
      <c r="V422" s="10">
        <f>COUNTIF(I$2:$I$501,T422)</f>
        <v>437</v>
      </c>
      <c r="W422" s="10"/>
      <c r="X422" s="10"/>
    </row>
    <row r="423" spans="1:24" x14ac:dyDescent="0.25">
      <c r="A423" t="str">
        <f>IF(Tests!B424="","",Tests!B424)</f>
        <v/>
      </c>
      <c r="B423" t="str">
        <f>IF(Tests!D424="","",Tests!D424)</f>
        <v/>
      </c>
      <c r="C423" t="str">
        <f>IF(Tests!E424="","",Tests!E424)</f>
        <v/>
      </c>
      <c r="E423" s="54">
        <f t="shared" si="36"/>
        <v>0</v>
      </c>
      <c r="F423" s="54">
        <f t="shared" si="37"/>
        <v>0</v>
      </c>
      <c r="G423" s="54">
        <f t="shared" si="38"/>
        <v>1</v>
      </c>
      <c r="H423" s="54">
        <f t="shared" si="39"/>
        <v>437</v>
      </c>
      <c r="I423" s="56" t="str">
        <f>IFERROR(INDEX($A$2:$A$501,MATCH(SMALL($H$2:$H$501,ROWS($I$2:I423)+$G$502),$H$2:$H$501,0)),"")</f>
        <v/>
      </c>
      <c r="J423">
        <f t="shared" si="40"/>
        <v>359</v>
      </c>
      <c r="K423" t="str">
        <f t="array" ref="K423">INDEX($B$2:$B$501,SMALL(IF($A$2:$A$501=I423,ROW($A$2:$A$501)-ROW(INDEX($A$2:$A$501,1,1))+1),J423))</f>
        <v/>
      </c>
      <c r="L423" t="str">
        <f t="array" ref="L423">INDEX($C$2:$C$501,SMALL(IF($A$2:$A$501=I423,ROW($A$2:$A$501)-ROW(INDEX($A$2:$A$501,1,1))+1),J423))</f>
        <v/>
      </c>
      <c r="N423" t="str">
        <f t="shared" si="41"/>
        <v/>
      </c>
      <c r="S423" s="10">
        <v>422</v>
      </c>
      <c r="T423" s="10" t="str">
        <f t="array" ref="T423">IFERROR(INDEX(A$2:$A$501,MATCH(0,COUNTIF($T$1:T422,A$2:$A$501),0)),"")</f>
        <v/>
      </c>
      <c r="U423" s="10">
        <f>IFERROR(MATCH(T423,I$2:$I$501,0),"")</f>
        <v>64</v>
      </c>
      <c r="V423" s="10">
        <f>COUNTIF(I$2:$I$501,T423)</f>
        <v>437</v>
      </c>
      <c r="W423" s="10"/>
      <c r="X423" s="10"/>
    </row>
    <row r="424" spans="1:24" x14ac:dyDescent="0.25">
      <c r="A424" t="str">
        <f>IF(Tests!B425="","",Tests!B425)</f>
        <v/>
      </c>
      <c r="B424" t="str">
        <f>IF(Tests!D425="","",Tests!D425)</f>
        <v/>
      </c>
      <c r="C424" t="str">
        <f>IF(Tests!E425="","",Tests!E425)</f>
        <v/>
      </c>
      <c r="E424" s="54">
        <f t="shared" si="36"/>
        <v>0</v>
      </c>
      <c r="F424" s="54">
        <f t="shared" si="37"/>
        <v>0</v>
      </c>
      <c r="G424" s="54">
        <f t="shared" si="38"/>
        <v>1</v>
      </c>
      <c r="H424" s="54">
        <f t="shared" si="39"/>
        <v>437</v>
      </c>
      <c r="I424" s="56" t="str">
        <f>IFERROR(INDEX($A$2:$A$501,MATCH(SMALL($H$2:$H$501,ROWS($I$2:I424)+$G$502),$H$2:$H$501,0)),"")</f>
        <v/>
      </c>
      <c r="J424">
        <f t="shared" si="40"/>
        <v>360</v>
      </c>
      <c r="K424" t="str">
        <f t="array" ref="K424">INDEX($B$2:$B$501,SMALL(IF($A$2:$A$501=I424,ROW($A$2:$A$501)-ROW(INDEX($A$2:$A$501,1,1))+1),J424))</f>
        <v/>
      </c>
      <c r="L424" t="str">
        <f t="array" ref="L424">INDEX($C$2:$C$501,SMALL(IF($A$2:$A$501=I424,ROW($A$2:$A$501)-ROW(INDEX($A$2:$A$501,1,1))+1),J424))</f>
        <v/>
      </c>
      <c r="N424" t="str">
        <f t="shared" si="41"/>
        <v/>
      </c>
      <c r="S424" s="10">
        <v>423</v>
      </c>
      <c r="T424" s="10" t="str">
        <f t="array" ref="T424">IFERROR(INDEX(A$2:$A$501,MATCH(0,COUNTIF($T$1:T423,A$2:$A$501),0)),"")</f>
        <v/>
      </c>
      <c r="U424" s="10">
        <f>IFERROR(MATCH(T424,I$2:$I$501,0),"")</f>
        <v>64</v>
      </c>
      <c r="V424" s="10">
        <f>COUNTIF(I$2:$I$501,T424)</f>
        <v>437</v>
      </c>
      <c r="W424" s="10"/>
      <c r="X424" s="10"/>
    </row>
    <row r="425" spans="1:24" x14ac:dyDescent="0.25">
      <c r="A425" t="str">
        <f>IF(Tests!B426="","",Tests!B426)</f>
        <v/>
      </c>
      <c r="B425" t="str">
        <f>IF(Tests!D426="","",Tests!D426)</f>
        <v/>
      </c>
      <c r="C425" t="str">
        <f>IF(Tests!E426="","",Tests!E426)</f>
        <v/>
      </c>
      <c r="E425" s="54">
        <f t="shared" si="36"/>
        <v>0</v>
      </c>
      <c r="F425" s="54">
        <f t="shared" si="37"/>
        <v>0</v>
      </c>
      <c r="G425" s="54">
        <f t="shared" si="38"/>
        <v>1</v>
      </c>
      <c r="H425" s="54">
        <f t="shared" si="39"/>
        <v>437</v>
      </c>
      <c r="I425" s="56" t="str">
        <f>IFERROR(INDEX($A$2:$A$501,MATCH(SMALL($H$2:$H$501,ROWS($I$2:I425)+$G$502),$H$2:$H$501,0)),"")</f>
        <v/>
      </c>
      <c r="J425">
        <f t="shared" si="40"/>
        <v>361</v>
      </c>
      <c r="K425" t="str">
        <f t="array" ref="K425">INDEX($B$2:$B$501,SMALL(IF($A$2:$A$501=I425,ROW($A$2:$A$501)-ROW(INDEX($A$2:$A$501,1,1))+1),J425))</f>
        <v/>
      </c>
      <c r="L425" t="str">
        <f t="array" ref="L425">INDEX($C$2:$C$501,SMALL(IF($A$2:$A$501=I425,ROW($A$2:$A$501)-ROW(INDEX($A$2:$A$501,1,1))+1),J425))</f>
        <v/>
      </c>
      <c r="N425" t="str">
        <f t="shared" si="41"/>
        <v/>
      </c>
      <c r="S425" s="10">
        <v>424</v>
      </c>
      <c r="T425" s="10" t="str">
        <f t="array" ref="T425">IFERROR(INDEX(A$2:$A$501,MATCH(0,COUNTIF($T$1:T424,A$2:$A$501),0)),"")</f>
        <v/>
      </c>
      <c r="U425" s="10">
        <f>IFERROR(MATCH(T425,I$2:$I$501,0),"")</f>
        <v>64</v>
      </c>
      <c r="V425" s="10">
        <f>COUNTIF(I$2:$I$501,T425)</f>
        <v>437</v>
      </c>
      <c r="W425" s="10"/>
      <c r="X425" s="10"/>
    </row>
    <row r="426" spans="1:24" x14ac:dyDescent="0.25">
      <c r="A426" t="str">
        <f>IF(Tests!B427="","",Tests!B427)</f>
        <v/>
      </c>
      <c r="B426" t="str">
        <f>IF(Tests!D427="","",Tests!D427)</f>
        <v/>
      </c>
      <c r="C426" t="str">
        <f>IF(Tests!E427="","",Tests!E427)</f>
        <v/>
      </c>
      <c r="E426" s="54">
        <f t="shared" si="36"/>
        <v>0</v>
      </c>
      <c r="F426" s="54">
        <f t="shared" si="37"/>
        <v>0</v>
      </c>
      <c r="G426" s="54">
        <f t="shared" si="38"/>
        <v>1</v>
      </c>
      <c r="H426" s="54">
        <f t="shared" si="39"/>
        <v>437</v>
      </c>
      <c r="I426" s="56" t="str">
        <f>IFERROR(INDEX($A$2:$A$501,MATCH(SMALL($H$2:$H$501,ROWS($I$2:I426)+$G$502),$H$2:$H$501,0)),"")</f>
        <v/>
      </c>
      <c r="J426">
        <f t="shared" si="40"/>
        <v>362</v>
      </c>
      <c r="K426" t="str">
        <f t="array" ref="K426">INDEX($B$2:$B$501,SMALL(IF($A$2:$A$501=I426,ROW($A$2:$A$501)-ROW(INDEX($A$2:$A$501,1,1))+1),J426))</f>
        <v/>
      </c>
      <c r="L426" t="str">
        <f t="array" ref="L426">INDEX($C$2:$C$501,SMALL(IF($A$2:$A$501=I426,ROW($A$2:$A$501)-ROW(INDEX($A$2:$A$501,1,1))+1),J426))</f>
        <v/>
      </c>
      <c r="N426" t="str">
        <f t="shared" si="41"/>
        <v/>
      </c>
      <c r="S426" s="10">
        <v>425</v>
      </c>
      <c r="T426" s="10" t="str">
        <f t="array" ref="T426">IFERROR(INDEX(A$2:$A$501,MATCH(0,COUNTIF($T$1:T425,A$2:$A$501),0)),"")</f>
        <v/>
      </c>
      <c r="U426" s="10">
        <f>IFERROR(MATCH(T426,I$2:$I$501,0),"")</f>
        <v>64</v>
      </c>
      <c r="V426" s="10">
        <f>COUNTIF(I$2:$I$501,T426)</f>
        <v>437</v>
      </c>
      <c r="W426" s="10"/>
      <c r="X426" s="10"/>
    </row>
    <row r="427" spans="1:24" x14ac:dyDescent="0.25">
      <c r="A427" t="str">
        <f>IF(Tests!B428="","",Tests!B428)</f>
        <v/>
      </c>
      <c r="B427" t="str">
        <f>IF(Tests!D428="","",Tests!D428)</f>
        <v/>
      </c>
      <c r="C427" t="str">
        <f>IF(Tests!E428="","",Tests!E428)</f>
        <v/>
      </c>
      <c r="E427" s="54">
        <f t="shared" si="36"/>
        <v>0</v>
      </c>
      <c r="F427" s="54">
        <f t="shared" si="37"/>
        <v>0</v>
      </c>
      <c r="G427" s="54">
        <f t="shared" si="38"/>
        <v>1</v>
      </c>
      <c r="H427" s="54">
        <f t="shared" si="39"/>
        <v>437</v>
      </c>
      <c r="I427" s="56" t="str">
        <f>IFERROR(INDEX($A$2:$A$501,MATCH(SMALL($H$2:$H$501,ROWS($I$2:I427)+$G$502),$H$2:$H$501,0)),"")</f>
        <v/>
      </c>
      <c r="J427">
        <f t="shared" si="40"/>
        <v>363</v>
      </c>
      <c r="K427" t="str">
        <f t="array" ref="K427">INDEX($B$2:$B$501,SMALL(IF($A$2:$A$501=I427,ROW($A$2:$A$501)-ROW(INDEX($A$2:$A$501,1,1))+1),J427))</f>
        <v/>
      </c>
      <c r="L427" t="str">
        <f t="array" ref="L427">INDEX($C$2:$C$501,SMALL(IF($A$2:$A$501=I427,ROW($A$2:$A$501)-ROW(INDEX($A$2:$A$501,1,1))+1),J427))</f>
        <v/>
      </c>
      <c r="N427" t="str">
        <f t="shared" si="41"/>
        <v/>
      </c>
      <c r="S427" s="10">
        <v>426</v>
      </c>
      <c r="T427" s="10" t="str">
        <f t="array" ref="T427">IFERROR(INDEX(A$2:$A$501,MATCH(0,COUNTIF($T$1:T426,A$2:$A$501),0)),"")</f>
        <v/>
      </c>
      <c r="U427" s="10">
        <f>IFERROR(MATCH(T427,I$2:$I$501,0),"")</f>
        <v>64</v>
      </c>
      <c r="V427" s="10">
        <f>COUNTIF(I$2:$I$501,T427)</f>
        <v>437</v>
      </c>
      <c r="W427" s="10"/>
      <c r="X427" s="10"/>
    </row>
    <row r="428" spans="1:24" x14ac:dyDescent="0.25">
      <c r="A428" t="str">
        <f>IF(Tests!B429="","",Tests!B429)</f>
        <v/>
      </c>
      <c r="B428" t="str">
        <f>IF(Tests!D429="","",Tests!D429)</f>
        <v/>
      </c>
      <c r="C428" t="str">
        <f>IF(Tests!E429="","",Tests!E429)</f>
        <v/>
      </c>
      <c r="E428" s="54">
        <f t="shared" si="36"/>
        <v>0</v>
      </c>
      <c r="F428" s="54">
        <f t="shared" si="37"/>
        <v>0</v>
      </c>
      <c r="G428" s="54">
        <f t="shared" si="38"/>
        <v>1</v>
      </c>
      <c r="H428" s="54">
        <f t="shared" si="39"/>
        <v>437</v>
      </c>
      <c r="I428" s="56" t="str">
        <f>IFERROR(INDEX($A$2:$A$501,MATCH(SMALL($H$2:$H$501,ROWS($I$2:I428)+$G$502),$H$2:$H$501,0)),"")</f>
        <v/>
      </c>
      <c r="J428">
        <f t="shared" si="40"/>
        <v>364</v>
      </c>
      <c r="K428" t="str">
        <f t="array" ref="K428">INDEX($B$2:$B$501,SMALL(IF($A$2:$A$501=I428,ROW($A$2:$A$501)-ROW(INDEX($A$2:$A$501,1,1))+1),J428))</f>
        <v/>
      </c>
      <c r="L428" t="str">
        <f t="array" ref="L428">INDEX($C$2:$C$501,SMALL(IF($A$2:$A$501=I428,ROW($A$2:$A$501)-ROW(INDEX($A$2:$A$501,1,1))+1),J428))</f>
        <v/>
      </c>
      <c r="N428" t="str">
        <f t="shared" si="41"/>
        <v/>
      </c>
      <c r="S428" s="10">
        <v>427</v>
      </c>
      <c r="T428" s="10" t="str">
        <f t="array" ref="T428">IFERROR(INDEX(A$2:$A$501,MATCH(0,COUNTIF($T$1:T427,A$2:$A$501),0)),"")</f>
        <v/>
      </c>
      <c r="U428" s="10">
        <f>IFERROR(MATCH(T428,I$2:$I$501,0),"")</f>
        <v>64</v>
      </c>
      <c r="V428" s="10">
        <f>COUNTIF(I$2:$I$501,T428)</f>
        <v>437</v>
      </c>
      <c r="W428" s="10"/>
      <c r="X428" s="10"/>
    </row>
    <row r="429" spans="1:24" x14ac:dyDescent="0.25">
      <c r="A429" t="str">
        <f>IF(Tests!B430="","",Tests!B430)</f>
        <v/>
      </c>
      <c r="B429" t="str">
        <f>IF(Tests!D430="","",Tests!D430)</f>
        <v/>
      </c>
      <c r="C429" t="str">
        <f>IF(Tests!E430="","",Tests!E430)</f>
        <v/>
      </c>
      <c r="E429" s="54">
        <f t="shared" si="36"/>
        <v>0</v>
      </c>
      <c r="F429" s="54">
        <f t="shared" si="37"/>
        <v>0</v>
      </c>
      <c r="G429" s="54">
        <f t="shared" si="38"/>
        <v>1</v>
      </c>
      <c r="H429" s="54">
        <f t="shared" si="39"/>
        <v>437</v>
      </c>
      <c r="I429" s="56" t="str">
        <f>IFERROR(INDEX($A$2:$A$501,MATCH(SMALL($H$2:$H$501,ROWS($I$2:I429)+$G$502),$H$2:$H$501,0)),"")</f>
        <v/>
      </c>
      <c r="J429">
        <f t="shared" si="40"/>
        <v>365</v>
      </c>
      <c r="K429" t="str">
        <f t="array" ref="K429">INDEX($B$2:$B$501,SMALL(IF($A$2:$A$501=I429,ROW($A$2:$A$501)-ROW(INDEX($A$2:$A$501,1,1))+1),J429))</f>
        <v/>
      </c>
      <c r="L429" t="str">
        <f t="array" ref="L429">INDEX($C$2:$C$501,SMALL(IF($A$2:$A$501=I429,ROW($A$2:$A$501)-ROW(INDEX($A$2:$A$501,1,1))+1),J429))</f>
        <v/>
      </c>
      <c r="N429" t="str">
        <f t="shared" si="41"/>
        <v/>
      </c>
      <c r="S429" s="10">
        <v>428</v>
      </c>
      <c r="T429" s="10" t="str">
        <f t="array" ref="T429">IFERROR(INDEX(A$2:$A$501,MATCH(0,COUNTIF($T$1:T428,A$2:$A$501),0)),"")</f>
        <v/>
      </c>
      <c r="U429" s="10">
        <f>IFERROR(MATCH(T429,I$2:$I$501,0),"")</f>
        <v>64</v>
      </c>
      <c r="V429" s="10">
        <f>COUNTIF(I$2:$I$501,T429)</f>
        <v>437</v>
      </c>
      <c r="W429" s="10"/>
      <c r="X429" s="10"/>
    </row>
    <row r="430" spans="1:24" x14ac:dyDescent="0.25">
      <c r="A430" t="str">
        <f>IF(Tests!B431="","",Tests!B431)</f>
        <v/>
      </c>
      <c r="B430" t="str">
        <f>IF(Tests!D431="","",Tests!D431)</f>
        <v/>
      </c>
      <c r="C430" t="str">
        <f>IF(Tests!E431="","",Tests!E431)</f>
        <v/>
      </c>
      <c r="E430" s="54">
        <f t="shared" si="36"/>
        <v>0</v>
      </c>
      <c r="F430" s="54">
        <f t="shared" si="37"/>
        <v>0</v>
      </c>
      <c r="G430" s="54">
        <f t="shared" si="38"/>
        <v>1</v>
      </c>
      <c r="H430" s="54">
        <f t="shared" si="39"/>
        <v>437</v>
      </c>
      <c r="I430" s="56" t="str">
        <f>IFERROR(INDEX($A$2:$A$501,MATCH(SMALL($H$2:$H$501,ROWS($I$2:I430)+$G$502),$H$2:$H$501,0)),"")</f>
        <v/>
      </c>
      <c r="J430">
        <f t="shared" si="40"/>
        <v>366</v>
      </c>
      <c r="K430" t="str">
        <f t="array" ref="K430">INDEX($B$2:$B$501,SMALL(IF($A$2:$A$501=I430,ROW($A$2:$A$501)-ROW(INDEX($A$2:$A$501,1,1))+1),J430))</f>
        <v/>
      </c>
      <c r="L430" t="str">
        <f t="array" ref="L430">INDEX($C$2:$C$501,SMALL(IF($A$2:$A$501=I430,ROW($A$2:$A$501)-ROW(INDEX($A$2:$A$501,1,1))+1),J430))</f>
        <v/>
      </c>
      <c r="N430" t="str">
        <f t="shared" si="41"/>
        <v/>
      </c>
      <c r="S430" s="10">
        <v>429</v>
      </c>
      <c r="T430" s="10" t="str">
        <f t="array" ref="T430">IFERROR(INDEX(A$2:$A$501,MATCH(0,COUNTIF($T$1:T429,A$2:$A$501),0)),"")</f>
        <v/>
      </c>
      <c r="U430" s="10">
        <f>IFERROR(MATCH(T430,I$2:$I$501,0),"")</f>
        <v>64</v>
      </c>
      <c r="V430" s="10">
        <f>COUNTIF(I$2:$I$501,T430)</f>
        <v>437</v>
      </c>
      <c r="W430" s="10"/>
      <c r="X430" s="10"/>
    </row>
    <row r="431" spans="1:24" x14ac:dyDescent="0.25">
      <c r="A431" t="str">
        <f>IF(Tests!B432="","",Tests!B432)</f>
        <v/>
      </c>
      <c r="B431" t="str">
        <f>IF(Tests!D432="","",Tests!D432)</f>
        <v/>
      </c>
      <c r="C431" t="str">
        <f>IF(Tests!E432="","",Tests!E432)</f>
        <v/>
      </c>
      <c r="E431" s="54">
        <f t="shared" si="36"/>
        <v>0</v>
      </c>
      <c r="F431" s="54">
        <f t="shared" si="37"/>
        <v>0</v>
      </c>
      <c r="G431" s="54">
        <f t="shared" si="38"/>
        <v>1</v>
      </c>
      <c r="H431" s="54">
        <f t="shared" si="39"/>
        <v>437</v>
      </c>
      <c r="I431" s="56" t="str">
        <f>IFERROR(INDEX($A$2:$A$501,MATCH(SMALL($H$2:$H$501,ROWS($I$2:I431)+$G$502),$H$2:$H$501,0)),"")</f>
        <v/>
      </c>
      <c r="J431">
        <f t="shared" si="40"/>
        <v>367</v>
      </c>
      <c r="K431" t="str">
        <f t="array" ref="K431">INDEX($B$2:$B$501,SMALL(IF($A$2:$A$501=I431,ROW($A$2:$A$501)-ROW(INDEX($A$2:$A$501,1,1))+1),J431))</f>
        <v/>
      </c>
      <c r="L431" t="str">
        <f t="array" ref="L431">INDEX($C$2:$C$501,SMALL(IF($A$2:$A$501=I431,ROW($A$2:$A$501)-ROW(INDEX($A$2:$A$501,1,1))+1),J431))</f>
        <v/>
      </c>
      <c r="N431" t="str">
        <f t="shared" si="41"/>
        <v/>
      </c>
      <c r="S431" s="10">
        <v>430</v>
      </c>
      <c r="T431" s="10" t="str">
        <f t="array" ref="T431">IFERROR(INDEX(A$2:$A$501,MATCH(0,COUNTIF($T$1:T430,A$2:$A$501),0)),"")</f>
        <v/>
      </c>
      <c r="U431" s="10">
        <f>IFERROR(MATCH(T431,I$2:$I$501,0),"")</f>
        <v>64</v>
      </c>
      <c r="V431" s="10">
        <f>COUNTIF(I$2:$I$501,T431)</f>
        <v>437</v>
      </c>
      <c r="W431" s="10"/>
      <c r="X431" s="10"/>
    </row>
    <row r="432" spans="1:24" x14ac:dyDescent="0.25">
      <c r="A432" t="str">
        <f>IF(Tests!B433="","",Tests!B433)</f>
        <v/>
      </c>
      <c r="B432" t="str">
        <f>IF(Tests!D433="","",Tests!D433)</f>
        <v/>
      </c>
      <c r="C432" t="str">
        <f>IF(Tests!E433="","",Tests!E433)</f>
        <v/>
      </c>
      <c r="E432" s="54">
        <f t="shared" si="36"/>
        <v>0</v>
      </c>
      <c r="F432" s="54">
        <f t="shared" si="37"/>
        <v>0</v>
      </c>
      <c r="G432" s="54">
        <f t="shared" si="38"/>
        <v>1</v>
      </c>
      <c r="H432" s="54">
        <f t="shared" si="39"/>
        <v>437</v>
      </c>
      <c r="I432" s="56" t="str">
        <f>IFERROR(INDEX($A$2:$A$501,MATCH(SMALL($H$2:$H$501,ROWS($I$2:I432)+$G$502),$H$2:$H$501,0)),"")</f>
        <v/>
      </c>
      <c r="J432">
        <f t="shared" si="40"/>
        <v>368</v>
      </c>
      <c r="K432" t="str">
        <f t="array" ref="K432">INDEX($B$2:$B$501,SMALL(IF($A$2:$A$501=I432,ROW($A$2:$A$501)-ROW(INDEX($A$2:$A$501,1,1))+1),J432))</f>
        <v/>
      </c>
      <c r="L432" t="str">
        <f t="array" ref="L432">INDEX($C$2:$C$501,SMALL(IF($A$2:$A$501=I432,ROW($A$2:$A$501)-ROW(INDEX($A$2:$A$501,1,1))+1),J432))</f>
        <v/>
      </c>
      <c r="N432" t="str">
        <f t="shared" si="41"/>
        <v/>
      </c>
      <c r="S432" s="10">
        <v>431</v>
      </c>
      <c r="T432" s="10" t="str">
        <f t="array" ref="T432">IFERROR(INDEX(A$2:$A$501,MATCH(0,COUNTIF($T$1:T431,A$2:$A$501),0)),"")</f>
        <v/>
      </c>
      <c r="U432" s="10">
        <f>IFERROR(MATCH(T432,I$2:$I$501,0),"")</f>
        <v>64</v>
      </c>
      <c r="V432" s="10">
        <f>COUNTIF(I$2:$I$501,T432)</f>
        <v>437</v>
      </c>
      <c r="W432" s="10"/>
      <c r="X432" s="10"/>
    </row>
    <row r="433" spans="1:24" x14ac:dyDescent="0.25">
      <c r="A433" t="str">
        <f>IF(Tests!B434="","",Tests!B434)</f>
        <v/>
      </c>
      <c r="B433" t="str">
        <f>IF(Tests!D434="","",Tests!D434)</f>
        <v/>
      </c>
      <c r="C433" t="str">
        <f>IF(Tests!E434="","",Tests!E434)</f>
        <v/>
      </c>
      <c r="E433" s="54">
        <f t="shared" si="36"/>
        <v>0</v>
      </c>
      <c r="F433" s="54">
        <f t="shared" si="37"/>
        <v>0</v>
      </c>
      <c r="G433" s="54">
        <f t="shared" si="38"/>
        <v>1</v>
      </c>
      <c r="H433" s="54">
        <f t="shared" si="39"/>
        <v>437</v>
      </c>
      <c r="I433" s="56" t="str">
        <f>IFERROR(INDEX($A$2:$A$501,MATCH(SMALL($H$2:$H$501,ROWS($I$2:I433)+$G$502),$H$2:$H$501,0)),"")</f>
        <v/>
      </c>
      <c r="J433">
        <f t="shared" si="40"/>
        <v>369</v>
      </c>
      <c r="K433" t="str">
        <f t="array" ref="K433">INDEX($B$2:$B$501,SMALL(IF($A$2:$A$501=I433,ROW($A$2:$A$501)-ROW(INDEX($A$2:$A$501,1,1))+1),J433))</f>
        <v/>
      </c>
      <c r="L433" t="str">
        <f t="array" ref="L433">INDEX($C$2:$C$501,SMALL(IF($A$2:$A$501=I433,ROW($A$2:$A$501)-ROW(INDEX($A$2:$A$501,1,1))+1),J433))</f>
        <v/>
      </c>
      <c r="N433" t="str">
        <f t="shared" si="41"/>
        <v/>
      </c>
      <c r="S433" s="10">
        <v>432</v>
      </c>
      <c r="T433" s="10" t="str">
        <f t="array" ref="T433">IFERROR(INDEX(A$2:$A$501,MATCH(0,COUNTIF($T$1:T432,A$2:$A$501),0)),"")</f>
        <v/>
      </c>
      <c r="U433" s="10">
        <f>IFERROR(MATCH(T433,I$2:$I$501,0),"")</f>
        <v>64</v>
      </c>
      <c r="V433" s="10">
        <f>COUNTIF(I$2:$I$501,T433)</f>
        <v>437</v>
      </c>
      <c r="W433" s="10"/>
      <c r="X433" s="10"/>
    </row>
    <row r="434" spans="1:24" x14ac:dyDescent="0.25">
      <c r="A434" t="str">
        <f>IF(Tests!B435="","",Tests!B435)</f>
        <v/>
      </c>
      <c r="B434" t="str">
        <f>IF(Tests!D435="","",Tests!D435)</f>
        <v/>
      </c>
      <c r="C434" t="str">
        <f>IF(Tests!E435="","",Tests!E435)</f>
        <v/>
      </c>
      <c r="E434" s="54">
        <f t="shared" si="36"/>
        <v>0</v>
      </c>
      <c r="F434" s="54">
        <f t="shared" si="37"/>
        <v>0</v>
      </c>
      <c r="G434" s="54">
        <f t="shared" si="38"/>
        <v>1</v>
      </c>
      <c r="H434" s="54">
        <f t="shared" si="39"/>
        <v>437</v>
      </c>
      <c r="I434" s="56" t="str">
        <f>IFERROR(INDEX($A$2:$A$501,MATCH(SMALL($H$2:$H$501,ROWS($I$2:I434)+$G$502),$H$2:$H$501,0)),"")</f>
        <v/>
      </c>
      <c r="J434">
        <f t="shared" si="40"/>
        <v>370</v>
      </c>
      <c r="K434" t="str">
        <f t="array" ref="K434">INDEX($B$2:$B$501,SMALL(IF($A$2:$A$501=I434,ROW($A$2:$A$501)-ROW(INDEX($A$2:$A$501,1,1))+1),J434))</f>
        <v/>
      </c>
      <c r="L434" t="str">
        <f t="array" ref="L434">INDEX($C$2:$C$501,SMALL(IF($A$2:$A$501=I434,ROW($A$2:$A$501)-ROW(INDEX($A$2:$A$501,1,1))+1),J434))</f>
        <v/>
      </c>
      <c r="N434" t="str">
        <f t="shared" si="41"/>
        <v/>
      </c>
      <c r="S434" s="10">
        <v>433</v>
      </c>
      <c r="T434" s="10" t="str">
        <f t="array" ref="T434">IFERROR(INDEX(A$2:$A$501,MATCH(0,COUNTIF($T$1:T433,A$2:$A$501),0)),"")</f>
        <v/>
      </c>
      <c r="U434" s="10">
        <f>IFERROR(MATCH(T434,I$2:$I$501,0),"")</f>
        <v>64</v>
      </c>
      <c r="V434" s="10">
        <f>COUNTIF(I$2:$I$501,T434)</f>
        <v>437</v>
      </c>
      <c r="W434" s="10"/>
      <c r="X434" s="10"/>
    </row>
    <row r="435" spans="1:24" x14ac:dyDescent="0.25">
      <c r="A435" t="str">
        <f>IF(Tests!B436="","",Tests!B436)</f>
        <v/>
      </c>
      <c r="B435" t="str">
        <f>IF(Tests!D436="","",Tests!D436)</f>
        <v/>
      </c>
      <c r="C435" t="str">
        <f>IF(Tests!E436="","",Tests!E436)</f>
        <v/>
      </c>
      <c r="E435" s="54">
        <f t="shared" si="36"/>
        <v>0</v>
      </c>
      <c r="F435" s="54">
        <f t="shared" si="37"/>
        <v>0</v>
      </c>
      <c r="G435" s="54">
        <f t="shared" si="38"/>
        <v>1</v>
      </c>
      <c r="H435" s="54">
        <f t="shared" si="39"/>
        <v>437</v>
      </c>
      <c r="I435" s="56" t="str">
        <f>IFERROR(INDEX($A$2:$A$501,MATCH(SMALL($H$2:$H$501,ROWS($I$2:I435)+$G$502),$H$2:$H$501,0)),"")</f>
        <v/>
      </c>
      <c r="J435">
        <f t="shared" si="40"/>
        <v>371</v>
      </c>
      <c r="K435" t="str">
        <f t="array" ref="K435">INDEX($B$2:$B$501,SMALL(IF($A$2:$A$501=I435,ROW($A$2:$A$501)-ROW(INDEX($A$2:$A$501,1,1))+1),J435))</f>
        <v/>
      </c>
      <c r="L435" t="str">
        <f t="array" ref="L435">INDEX($C$2:$C$501,SMALL(IF($A$2:$A$501=I435,ROW($A$2:$A$501)-ROW(INDEX($A$2:$A$501,1,1))+1),J435))</f>
        <v/>
      </c>
      <c r="N435" t="str">
        <f t="shared" si="41"/>
        <v/>
      </c>
      <c r="S435" s="10">
        <v>434</v>
      </c>
      <c r="T435" s="10" t="str">
        <f t="array" ref="T435">IFERROR(INDEX(A$2:$A$501,MATCH(0,COUNTIF($T$1:T434,A$2:$A$501),0)),"")</f>
        <v/>
      </c>
      <c r="U435" s="10">
        <f>IFERROR(MATCH(T435,I$2:$I$501,0),"")</f>
        <v>64</v>
      </c>
      <c r="V435" s="10">
        <f>COUNTIF(I$2:$I$501,T435)</f>
        <v>437</v>
      </c>
      <c r="W435" s="10"/>
      <c r="X435" s="10"/>
    </row>
    <row r="436" spans="1:24" x14ac:dyDescent="0.25">
      <c r="A436" t="str">
        <f>IF(Tests!B437="","",Tests!B437)</f>
        <v/>
      </c>
      <c r="B436" t="str">
        <f>IF(Tests!D437="","",Tests!D437)</f>
        <v/>
      </c>
      <c r="C436" t="str">
        <f>IF(Tests!E437="","",Tests!E437)</f>
        <v/>
      </c>
      <c r="E436" s="54">
        <f t="shared" si="36"/>
        <v>0</v>
      </c>
      <c r="F436" s="54">
        <f t="shared" si="37"/>
        <v>0</v>
      </c>
      <c r="G436" s="54">
        <f t="shared" si="38"/>
        <v>1</v>
      </c>
      <c r="H436" s="54">
        <f t="shared" si="39"/>
        <v>437</v>
      </c>
      <c r="I436" s="56" t="str">
        <f>IFERROR(INDEX($A$2:$A$501,MATCH(SMALL($H$2:$H$501,ROWS($I$2:I436)+$G$502),$H$2:$H$501,0)),"")</f>
        <v/>
      </c>
      <c r="J436">
        <f t="shared" si="40"/>
        <v>372</v>
      </c>
      <c r="K436" t="str">
        <f t="array" ref="K436">INDEX($B$2:$B$501,SMALL(IF($A$2:$A$501=I436,ROW($A$2:$A$501)-ROW(INDEX($A$2:$A$501,1,1))+1),J436))</f>
        <v/>
      </c>
      <c r="L436" t="str">
        <f t="array" ref="L436">INDEX($C$2:$C$501,SMALL(IF($A$2:$A$501=I436,ROW($A$2:$A$501)-ROW(INDEX($A$2:$A$501,1,1))+1),J436))</f>
        <v/>
      </c>
      <c r="N436" t="str">
        <f t="shared" si="41"/>
        <v/>
      </c>
      <c r="S436" s="10">
        <v>435</v>
      </c>
      <c r="T436" s="10" t="str">
        <f t="array" ref="T436">IFERROR(INDEX(A$2:$A$501,MATCH(0,COUNTIF($T$1:T435,A$2:$A$501),0)),"")</f>
        <v/>
      </c>
      <c r="U436" s="10">
        <f>IFERROR(MATCH(T436,I$2:$I$501,0),"")</f>
        <v>64</v>
      </c>
      <c r="V436" s="10">
        <f>COUNTIF(I$2:$I$501,T436)</f>
        <v>437</v>
      </c>
      <c r="W436" s="10"/>
      <c r="X436" s="10"/>
    </row>
    <row r="437" spans="1:24" x14ac:dyDescent="0.25">
      <c r="A437" t="str">
        <f>IF(Tests!B438="","",Tests!B438)</f>
        <v/>
      </c>
      <c r="B437" t="str">
        <f>IF(Tests!D438="","",Tests!D438)</f>
        <v/>
      </c>
      <c r="C437" t="str">
        <f>IF(Tests!E438="","",Tests!E438)</f>
        <v/>
      </c>
      <c r="E437" s="54">
        <f t="shared" si="36"/>
        <v>0</v>
      </c>
      <c r="F437" s="54">
        <f t="shared" si="37"/>
        <v>0</v>
      </c>
      <c r="G437" s="54">
        <f t="shared" si="38"/>
        <v>1</v>
      </c>
      <c r="H437" s="54">
        <f t="shared" si="39"/>
        <v>437</v>
      </c>
      <c r="I437" s="56" t="str">
        <f>IFERROR(INDEX($A$2:$A$501,MATCH(SMALL($H$2:$H$501,ROWS($I$2:I437)+$G$502),$H$2:$H$501,0)),"")</f>
        <v/>
      </c>
      <c r="J437">
        <f t="shared" si="40"/>
        <v>373</v>
      </c>
      <c r="K437" t="str">
        <f t="array" ref="K437">INDEX($B$2:$B$501,SMALL(IF($A$2:$A$501=I437,ROW($A$2:$A$501)-ROW(INDEX($A$2:$A$501,1,1))+1),J437))</f>
        <v/>
      </c>
      <c r="L437" t="str">
        <f t="array" ref="L437">INDEX($C$2:$C$501,SMALL(IF($A$2:$A$501=I437,ROW($A$2:$A$501)-ROW(INDEX($A$2:$A$501,1,1))+1),J437))</f>
        <v/>
      </c>
      <c r="N437" t="str">
        <f t="shared" si="41"/>
        <v/>
      </c>
      <c r="S437" s="10">
        <v>436</v>
      </c>
      <c r="T437" s="10" t="str">
        <f t="array" ref="T437">IFERROR(INDEX(A$2:$A$501,MATCH(0,COUNTIF($T$1:T436,A$2:$A$501),0)),"")</f>
        <v/>
      </c>
      <c r="U437" s="10">
        <f>IFERROR(MATCH(T437,I$2:$I$501,0),"")</f>
        <v>64</v>
      </c>
      <c r="V437" s="10">
        <f>COUNTIF(I$2:$I$501,T437)</f>
        <v>437</v>
      </c>
      <c r="W437" s="10"/>
      <c r="X437" s="10"/>
    </row>
    <row r="438" spans="1:24" x14ac:dyDescent="0.25">
      <c r="A438" t="str">
        <f>IF(Tests!B439="","",Tests!B439)</f>
        <v/>
      </c>
      <c r="B438" t="str">
        <f>IF(Tests!D439="","",Tests!D439)</f>
        <v/>
      </c>
      <c r="C438" t="str">
        <f>IF(Tests!E439="","",Tests!E439)</f>
        <v/>
      </c>
      <c r="E438" s="54">
        <f t="shared" si="36"/>
        <v>0</v>
      </c>
      <c r="F438" s="54">
        <f t="shared" si="37"/>
        <v>0</v>
      </c>
      <c r="G438" s="54">
        <f t="shared" si="38"/>
        <v>1</v>
      </c>
      <c r="H438" s="54">
        <f t="shared" si="39"/>
        <v>437</v>
      </c>
      <c r="I438" s="56" t="str">
        <f>IFERROR(INDEX($A$2:$A$501,MATCH(SMALL($H$2:$H$501,ROWS($I$2:I438)+$G$502),$H$2:$H$501,0)),"")</f>
        <v/>
      </c>
      <c r="J438">
        <f t="shared" si="40"/>
        <v>374</v>
      </c>
      <c r="K438" t="str">
        <f t="array" ref="K438">INDEX($B$2:$B$501,SMALL(IF($A$2:$A$501=I438,ROW($A$2:$A$501)-ROW(INDEX($A$2:$A$501,1,1))+1),J438))</f>
        <v/>
      </c>
      <c r="L438" t="str">
        <f t="array" ref="L438">INDEX($C$2:$C$501,SMALL(IF($A$2:$A$501=I438,ROW($A$2:$A$501)-ROW(INDEX($A$2:$A$501,1,1))+1),J438))</f>
        <v/>
      </c>
      <c r="N438" t="str">
        <f t="shared" si="41"/>
        <v/>
      </c>
      <c r="S438" s="10">
        <v>437</v>
      </c>
      <c r="T438" s="10" t="str">
        <f t="array" ref="T438">IFERROR(INDEX(A$2:$A$501,MATCH(0,COUNTIF($T$1:T437,A$2:$A$501),0)),"")</f>
        <v/>
      </c>
      <c r="U438" s="10">
        <f>IFERROR(MATCH(T438,I$2:$I$501,0),"")</f>
        <v>64</v>
      </c>
      <c r="V438" s="10">
        <f>COUNTIF(I$2:$I$501,T438)</f>
        <v>437</v>
      </c>
      <c r="W438" s="10"/>
      <c r="X438" s="10"/>
    </row>
    <row r="439" spans="1:24" x14ac:dyDescent="0.25">
      <c r="A439" t="str">
        <f>IF(Tests!B440="","",Tests!B440)</f>
        <v/>
      </c>
      <c r="B439" t="str">
        <f>IF(Tests!D440="","",Tests!D440)</f>
        <v/>
      </c>
      <c r="C439" t="str">
        <f>IF(Tests!E440="","",Tests!E440)</f>
        <v/>
      </c>
      <c r="E439" s="54">
        <f t="shared" si="36"/>
        <v>0</v>
      </c>
      <c r="F439" s="54">
        <f t="shared" si="37"/>
        <v>0</v>
      </c>
      <c r="G439" s="54">
        <f t="shared" si="38"/>
        <v>1</v>
      </c>
      <c r="H439" s="54">
        <f t="shared" si="39"/>
        <v>437</v>
      </c>
      <c r="I439" s="56" t="str">
        <f>IFERROR(INDEX($A$2:$A$501,MATCH(SMALL($H$2:$H$501,ROWS($I$2:I439)+$G$502),$H$2:$H$501,0)),"")</f>
        <v/>
      </c>
      <c r="J439">
        <f t="shared" si="40"/>
        <v>375</v>
      </c>
      <c r="K439" t="str">
        <f t="array" ref="K439">INDEX($B$2:$B$501,SMALL(IF($A$2:$A$501=I439,ROW($A$2:$A$501)-ROW(INDEX($A$2:$A$501,1,1))+1),J439))</f>
        <v/>
      </c>
      <c r="L439" t="str">
        <f t="array" ref="L439">INDEX($C$2:$C$501,SMALL(IF($A$2:$A$501=I439,ROW($A$2:$A$501)-ROW(INDEX($A$2:$A$501,1,1))+1),J439))</f>
        <v/>
      </c>
      <c r="N439" t="str">
        <f t="shared" si="41"/>
        <v/>
      </c>
      <c r="S439" s="10">
        <v>438</v>
      </c>
      <c r="T439" s="10" t="str">
        <f t="array" ref="T439">IFERROR(INDEX(A$2:$A$501,MATCH(0,COUNTIF($T$1:T438,A$2:$A$501),0)),"")</f>
        <v/>
      </c>
      <c r="U439" s="10">
        <f>IFERROR(MATCH(T439,I$2:$I$501,0),"")</f>
        <v>64</v>
      </c>
      <c r="V439" s="10">
        <f>COUNTIF(I$2:$I$501,T439)</f>
        <v>437</v>
      </c>
      <c r="W439" s="10"/>
      <c r="X439" s="10"/>
    </row>
    <row r="440" spans="1:24" x14ac:dyDescent="0.25">
      <c r="A440" t="str">
        <f>IF(Tests!B441="","",Tests!B441)</f>
        <v/>
      </c>
      <c r="B440" t="str">
        <f>IF(Tests!D441="","",Tests!D441)</f>
        <v/>
      </c>
      <c r="C440" t="str">
        <f>IF(Tests!E441="","",Tests!E441)</f>
        <v/>
      </c>
      <c r="E440" s="54">
        <f t="shared" si="36"/>
        <v>0</v>
      </c>
      <c r="F440" s="54">
        <f t="shared" si="37"/>
        <v>0</v>
      </c>
      <c r="G440" s="54">
        <f t="shared" si="38"/>
        <v>1</v>
      </c>
      <c r="H440" s="54">
        <f t="shared" si="39"/>
        <v>437</v>
      </c>
      <c r="I440" s="56" t="str">
        <f>IFERROR(INDEX($A$2:$A$501,MATCH(SMALL($H$2:$H$501,ROWS($I$2:I440)+$G$502),$H$2:$H$501,0)),"")</f>
        <v/>
      </c>
      <c r="J440">
        <f t="shared" si="40"/>
        <v>376</v>
      </c>
      <c r="K440" t="str">
        <f t="array" ref="K440">INDEX($B$2:$B$501,SMALL(IF($A$2:$A$501=I440,ROW($A$2:$A$501)-ROW(INDEX($A$2:$A$501,1,1))+1),J440))</f>
        <v/>
      </c>
      <c r="L440" t="str">
        <f t="array" ref="L440">INDEX($C$2:$C$501,SMALL(IF($A$2:$A$501=I440,ROW($A$2:$A$501)-ROW(INDEX($A$2:$A$501,1,1))+1),J440))</f>
        <v/>
      </c>
      <c r="N440" t="str">
        <f t="shared" si="41"/>
        <v/>
      </c>
      <c r="S440" s="10">
        <v>439</v>
      </c>
      <c r="T440" s="10" t="str">
        <f t="array" ref="T440">IFERROR(INDEX(A$2:$A$501,MATCH(0,COUNTIF($T$1:T439,A$2:$A$501),0)),"")</f>
        <v/>
      </c>
      <c r="U440" s="10">
        <f>IFERROR(MATCH(T440,I$2:$I$501,0),"")</f>
        <v>64</v>
      </c>
      <c r="V440" s="10">
        <f>COUNTIF(I$2:$I$501,T440)</f>
        <v>437</v>
      </c>
      <c r="W440" s="10"/>
      <c r="X440" s="10"/>
    </row>
    <row r="441" spans="1:24" x14ac:dyDescent="0.25">
      <c r="A441" t="str">
        <f>IF(Tests!B442="","",Tests!B442)</f>
        <v/>
      </c>
      <c r="B441" t="str">
        <f>IF(Tests!D442="","",Tests!D442)</f>
        <v/>
      </c>
      <c r="C441" t="str">
        <f>IF(Tests!E442="","",Tests!E442)</f>
        <v/>
      </c>
      <c r="E441" s="54">
        <f t="shared" si="36"/>
        <v>0</v>
      </c>
      <c r="F441" s="54">
        <f t="shared" si="37"/>
        <v>0</v>
      </c>
      <c r="G441" s="54">
        <f t="shared" si="38"/>
        <v>1</v>
      </c>
      <c r="H441" s="54">
        <f t="shared" si="39"/>
        <v>437</v>
      </c>
      <c r="I441" s="56" t="str">
        <f>IFERROR(INDEX($A$2:$A$501,MATCH(SMALL($H$2:$H$501,ROWS($I$2:I441)+$G$502),$H$2:$H$501,0)),"")</f>
        <v/>
      </c>
      <c r="J441">
        <f t="shared" si="40"/>
        <v>377</v>
      </c>
      <c r="K441" t="str">
        <f t="array" ref="K441">INDEX($B$2:$B$501,SMALL(IF($A$2:$A$501=I441,ROW($A$2:$A$501)-ROW(INDEX($A$2:$A$501,1,1))+1),J441))</f>
        <v/>
      </c>
      <c r="L441" t="str">
        <f t="array" ref="L441">INDEX($C$2:$C$501,SMALL(IF($A$2:$A$501=I441,ROW($A$2:$A$501)-ROW(INDEX($A$2:$A$501,1,1))+1),J441))</f>
        <v/>
      </c>
      <c r="N441" t="str">
        <f t="shared" si="41"/>
        <v/>
      </c>
      <c r="S441" s="10">
        <v>440</v>
      </c>
      <c r="T441" s="10" t="str">
        <f t="array" ref="T441">IFERROR(INDEX(A$2:$A$501,MATCH(0,COUNTIF($T$1:T440,A$2:$A$501),0)),"")</f>
        <v/>
      </c>
      <c r="U441" s="10">
        <f>IFERROR(MATCH(T441,I$2:$I$501,0),"")</f>
        <v>64</v>
      </c>
      <c r="V441" s="10">
        <f>COUNTIF(I$2:$I$501,T441)</f>
        <v>437</v>
      </c>
      <c r="W441" s="10"/>
      <c r="X441" s="10"/>
    </row>
    <row r="442" spans="1:24" x14ac:dyDescent="0.25">
      <c r="A442" t="str">
        <f>IF(Tests!B443="","",Tests!B443)</f>
        <v/>
      </c>
      <c r="B442" t="str">
        <f>IF(Tests!D443="","",Tests!D443)</f>
        <v/>
      </c>
      <c r="C442" t="str">
        <f>IF(Tests!E443="","",Tests!E443)</f>
        <v/>
      </c>
      <c r="E442" s="54">
        <f t="shared" si="36"/>
        <v>0</v>
      </c>
      <c r="F442" s="54">
        <f t="shared" si="37"/>
        <v>0</v>
      </c>
      <c r="G442" s="54">
        <f t="shared" si="38"/>
        <v>1</v>
      </c>
      <c r="H442" s="54">
        <f t="shared" si="39"/>
        <v>437</v>
      </c>
      <c r="I442" s="56" t="str">
        <f>IFERROR(INDEX($A$2:$A$501,MATCH(SMALL($H$2:$H$501,ROWS($I$2:I442)+$G$502),$H$2:$H$501,0)),"")</f>
        <v/>
      </c>
      <c r="J442">
        <f t="shared" si="40"/>
        <v>378</v>
      </c>
      <c r="K442" t="str">
        <f t="array" ref="K442">INDEX($B$2:$B$501,SMALL(IF($A$2:$A$501=I442,ROW($A$2:$A$501)-ROW(INDEX($A$2:$A$501,1,1))+1),J442))</f>
        <v/>
      </c>
      <c r="L442" t="str">
        <f t="array" ref="L442">INDEX($C$2:$C$501,SMALL(IF($A$2:$A$501=I442,ROW($A$2:$A$501)-ROW(INDEX($A$2:$A$501,1,1))+1),J442))</f>
        <v/>
      </c>
      <c r="N442" t="str">
        <f t="shared" si="41"/>
        <v/>
      </c>
      <c r="S442" s="10">
        <v>441</v>
      </c>
      <c r="T442" s="10" t="str">
        <f t="array" ref="T442">IFERROR(INDEX(A$2:$A$501,MATCH(0,COUNTIF($T$1:T441,A$2:$A$501),0)),"")</f>
        <v/>
      </c>
      <c r="U442" s="10">
        <f>IFERROR(MATCH(T442,I$2:$I$501,0),"")</f>
        <v>64</v>
      </c>
      <c r="V442" s="10">
        <f>COUNTIF(I$2:$I$501,T442)</f>
        <v>437</v>
      </c>
      <c r="W442" s="10"/>
      <c r="X442" s="10"/>
    </row>
    <row r="443" spans="1:24" x14ac:dyDescent="0.25">
      <c r="A443" t="str">
        <f>IF(Tests!B444="","",Tests!B444)</f>
        <v/>
      </c>
      <c r="B443" t="str">
        <f>IF(Tests!D444="","",Tests!D444)</f>
        <v/>
      </c>
      <c r="C443" t="str">
        <f>IF(Tests!E444="","",Tests!E444)</f>
        <v/>
      </c>
      <c r="E443" s="54">
        <f t="shared" si="36"/>
        <v>0</v>
      </c>
      <c r="F443" s="54">
        <f t="shared" si="37"/>
        <v>0</v>
      </c>
      <c r="G443" s="54">
        <f t="shared" si="38"/>
        <v>1</v>
      </c>
      <c r="H443" s="54">
        <f t="shared" si="39"/>
        <v>437</v>
      </c>
      <c r="I443" s="56" t="str">
        <f>IFERROR(INDEX($A$2:$A$501,MATCH(SMALL($H$2:$H$501,ROWS($I$2:I443)+$G$502),$H$2:$H$501,0)),"")</f>
        <v/>
      </c>
      <c r="J443">
        <f t="shared" si="40"/>
        <v>379</v>
      </c>
      <c r="K443" t="str">
        <f t="array" ref="K443">INDEX($B$2:$B$501,SMALL(IF($A$2:$A$501=I443,ROW($A$2:$A$501)-ROW(INDEX($A$2:$A$501,1,1))+1),J443))</f>
        <v/>
      </c>
      <c r="L443" t="str">
        <f t="array" ref="L443">INDEX($C$2:$C$501,SMALL(IF($A$2:$A$501=I443,ROW($A$2:$A$501)-ROW(INDEX($A$2:$A$501,1,1))+1),J443))</f>
        <v/>
      </c>
      <c r="N443" t="str">
        <f t="shared" si="41"/>
        <v/>
      </c>
      <c r="S443" s="10">
        <v>442</v>
      </c>
      <c r="T443" s="10" t="str">
        <f t="array" ref="T443">IFERROR(INDEX(A$2:$A$501,MATCH(0,COUNTIF($T$1:T442,A$2:$A$501),0)),"")</f>
        <v/>
      </c>
      <c r="U443" s="10">
        <f>IFERROR(MATCH(T443,I$2:$I$501,0),"")</f>
        <v>64</v>
      </c>
      <c r="V443" s="10">
        <f>COUNTIF(I$2:$I$501,T443)</f>
        <v>437</v>
      </c>
      <c r="W443" s="10"/>
      <c r="X443" s="10"/>
    </row>
    <row r="444" spans="1:24" x14ac:dyDescent="0.25">
      <c r="A444" t="str">
        <f>IF(Tests!B445="","",Tests!B445)</f>
        <v/>
      </c>
      <c r="B444" t="str">
        <f>IF(Tests!D445="","",Tests!D445)</f>
        <v/>
      </c>
      <c r="C444" t="str">
        <f>IF(Tests!E445="","",Tests!E445)</f>
        <v/>
      </c>
      <c r="E444" s="54">
        <f t="shared" si="36"/>
        <v>0</v>
      </c>
      <c r="F444" s="54">
        <f t="shared" si="37"/>
        <v>0</v>
      </c>
      <c r="G444" s="54">
        <f t="shared" si="38"/>
        <v>1</v>
      </c>
      <c r="H444" s="54">
        <f t="shared" si="39"/>
        <v>437</v>
      </c>
      <c r="I444" s="56" t="str">
        <f>IFERROR(INDEX($A$2:$A$501,MATCH(SMALL($H$2:$H$501,ROWS($I$2:I444)+$G$502),$H$2:$H$501,0)),"")</f>
        <v/>
      </c>
      <c r="J444">
        <f t="shared" si="40"/>
        <v>380</v>
      </c>
      <c r="K444" t="str">
        <f t="array" ref="K444">INDEX($B$2:$B$501,SMALL(IF($A$2:$A$501=I444,ROW($A$2:$A$501)-ROW(INDEX($A$2:$A$501,1,1))+1),J444))</f>
        <v/>
      </c>
      <c r="L444" t="str">
        <f t="array" ref="L444">INDEX($C$2:$C$501,SMALL(IF($A$2:$A$501=I444,ROW($A$2:$A$501)-ROW(INDEX($A$2:$A$501,1,1))+1),J444))</f>
        <v/>
      </c>
      <c r="N444" t="str">
        <f t="shared" si="41"/>
        <v/>
      </c>
      <c r="S444" s="10">
        <v>443</v>
      </c>
      <c r="T444" s="10" t="str">
        <f t="array" ref="T444">IFERROR(INDEX(A$2:$A$501,MATCH(0,COUNTIF($T$1:T443,A$2:$A$501),0)),"")</f>
        <v/>
      </c>
      <c r="U444" s="10">
        <f>IFERROR(MATCH(T444,I$2:$I$501,0),"")</f>
        <v>64</v>
      </c>
      <c r="V444" s="10">
        <f>COUNTIF(I$2:$I$501,T444)</f>
        <v>437</v>
      </c>
      <c r="W444" s="10"/>
      <c r="X444" s="10"/>
    </row>
    <row r="445" spans="1:24" x14ac:dyDescent="0.25">
      <c r="A445" t="str">
        <f>IF(Tests!B446="","",Tests!B446)</f>
        <v/>
      </c>
      <c r="B445" t="str">
        <f>IF(Tests!D446="","",Tests!D446)</f>
        <v/>
      </c>
      <c r="C445" t="str">
        <f>IF(Tests!E446="","",Tests!E446)</f>
        <v/>
      </c>
      <c r="E445" s="54">
        <f t="shared" si="36"/>
        <v>0</v>
      </c>
      <c r="F445" s="54">
        <f t="shared" si="37"/>
        <v>0</v>
      </c>
      <c r="G445" s="54">
        <f t="shared" si="38"/>
        <v>1</v>
      </c>
      <c r="H445" s="54">
        <f t="shared" si="39"/>
        <v>437</v>
      </c>
      <c r="I445" s="56" t="str">
        <f>IFERROR(INDEX($A$2:$A$501,MATCH(SMALL($H$2:$H$501,ROWS($I$2:I445)+$G$502),$H$2:$H$501,0)),"")</f>
        <v/>
      </c>
      <c r="J445">
        <f t="shared" si="40"/>
        <v>381</v>
      </c>
      <c r="K445" t="str">
        <f t="array" ref="K445">INDEX($B$2:$B$501,SMALL(IF($A$2:$A$501=I445,ROW($A$2:$A$501)-ROW(INDEX($A$2:$A$501,1,1))+1),J445))</f>
        <v/>
      </c>
      <c r="L445" t="str">
        <f t="array" ref="L445">INDEX($C$2:$C$501,SMALL(IF($A$2:$A$501=I445,ROW($A$2:$A$501)-ROW(INDEX($A$2:$A$501,1,1))+1),J445))</f>
        <v/>
      </c>
      <c r="N445" t="str">
        <f t="shared" si="41"/>
        <v/>
      </c>
      <c r="S445" s="10">
        <v>444</v>
      </c>
      <c r="T445" s="10" t="str">
        <f t="array" ref="T445">IFERROR(INDEX(A$2:$A$501,MATCH(0,COUNTIF($T$1:T444,A$2:$A$501),0)),"")</f>
        <v/>
      </c>
      <c r="U445" s="10">
        <f>IFERROR(MATCH(T445,I$2:$I$501,0),"")</f>
        <v>64</v>
      </c>
      <c r="V445" s="10">
        <f>COUNTIF(I$2:$I$501,T445)</f>
        <v>437</v>
      </c>
      <c r="W445" s="10"/>
      <c r="X445" s="10"/>
    </row>
    <row r="446" spans="1:24" x14ac:dyDescent="0.25">
      <c r="A446" t="str">
        <f>IF(Tests!B447="","",Tests!B447)</f>
        <v/>
      </c>
      <c r="B446" t="str">
        <f>IF(Tests!D447="","",Tests!D447)</f>
        <v/>
      </c>
      <c r="C446" t="str">
        <f>IF(Tests!E447="","",Tests!E447)</f>
        <v/>
      </c>
      <c r="E446" s="54">
        <f t="shared" si="36"/>
        <v>0</v>
      </c>
      <c r="F446" s="54">
        <f t="shared" si="37"/>
        <v>0</v>
      </c>
      <c r="G446" s="54">
        <f t="shared" si="38"/>
        <v>1</v>
      </c>
      <c r="H446" s="54">
        <f t="shared" si="39"/>
        <v>437</v>
      </c>
      <c r="I446" s="56" t="str">
        <f>IFERROR(INDEX($A$2:$A$501,MATCH(SMALL($H$2:$H$501,ROWS($I$2:I446)+$G$502),$H$2:$H$501,0)),"")</f>
        <v/>
      </c>
      <c r="J446">
        <f t="shared" si="40"/>
        <v>382</v>
      </c>
      <c r="K446" t="str">
        <f t="array" ref="K446">INDEX($B$2:$B$501,SMALL(IF($A$2:$A$501=I446,ROW($A$2:$A$501)-ROW(INDEX($A$2:$A$501,1,1))+1),J446))</f>
        <v/>
      </c>
      <c r="L446" t="str">
        <f t="array" ref="L446">INDEX($C$2:$C$501,SMALL(IF($A$2:$A$501=I446,ROW($A$2:$A$501)-ROW(INDEX($A$2:$A$501,1,1))+1),J446))</f>
        <v/>
      </c>
      <c r="N446" t="str">
        <f t="shared" si="41"/>
        <v/>
      </c>
      <c r="S446" s="10">
        <v>445</v>
      </c>
      <c r="T446" s="10" t="str">
        <f t="array" ref="T446">IFERROR(INDEX(A$2:$A$501,MATCH(0,COUNTIF($T$1:T445,A$2:$A$501),0)),"")</f>
        <v/>
      </c>
      <c r="U446" s="10">
        <f>IFERROR(MATCH(T446,I$2:$I$501,0),"")</f>
        <v>64</v>
      </c>
      <c r="V446" s="10">
        <f>COUNTIF(I$2:$I$501,T446)</f>
        <v>437</v>
      </c>
      <c r="W446" s="10"/>
      <c r="X446" s="10"/>
    </row>
    <row r="447" spans="1:24" x14ac:dyDescent="0.25">
      <c r="A447" t="str">
        <f>IF(Tests!B448="","",Tests!B448)</f>
        <v/>
      </c>
      <c r="B447" t="str">
        <f>IF(Tests!D448="","",Tests!D448)</f>
        <v/>
      </c>
      <c r="C447" t="str">
        <f>IF(Tests!E448="","",Tests!E448)</f>
        <v/>
      </c>
      <c r="E447" s="54">
        <f t="shared" si="36"/>
        <v>0</v>
      </c>
      <c r="F447" s="54">
        <f t="shared" si="37"/>
        <v>0</v>
      </c>
      <c r="G447" s="54">
        <f t="shared" si="38"/>
        <v>1</v>
      </c>
      <c r="H447" s="54">
        <f t="shared" si="39"/>
        <v>437</v>
      </c>
      <c r="I447" s="56" t="str">
        <f>IFERROR(INDEX($A$2:$A$501,MATCH(SMALL($H$2:$H$501,ROWS($I$2:I447)+$G$502),$H$2:$H$501,0)),"")</f>
        <v/>
      </c>
      <c r="J447">
        <f t="shared" si="40"/>
        <v>383</v>
      </c>
      <c r="K447" t="str">
        <f t="array" ref="K447">INDEX($B$2:$B$501,SMALL(IF($A$2:$A$501=I447,ROW($A$2:$A$501)-ROW(INDEX($A$2:$A$501,1,1))+1),J447))</f>
        <v/>
      </c>
      <c r="L447" t="str">
        <f t="array" ref="L447">INDEX($C$2:$C$501,SMALL(IF($A$2:$A$501=I447,ROW($A$2:$A$501)-ROW(INDEX($A$2:$A$501,1,1))+1),J447))</f>
        <v/>
      </c>
      <c r="N447" t="str">
        <f t="shared" si="41"/>
        <v/>
      </c>
      <c r="S447" s="10">
        <v>446</v>
      </c>
      <c r="T447" s="10" t="str">
        <f t="array" ref="T447">IFERROR(INDEX(A$2:$A$501,MATCH(0,COUNTIF($T$1:T446,A$2:$A$501),0)),"")</f>
        <v/>
      </c>
      <c r="U447" s="10">
        <f>IFERROR(MATCH(T447,I$2:$I$501,0),"")</f>
        <v>64</v>
      </c>
      <c r="V447" s="10">
        <f>COUNTIF(I$2:$I$501,T447)</f>
        <v>437</v>
      </c>
      <c r="W447" s="10"/>
      <c r="X447" s="10"/>
    </row>
    <row r="448" spans="1:24" x14ac:dyDescent="0.25">
      <c r="A448" t="str">
        <f>IF(Tests!B449="","",Tests!B449)</f>
        <v/>
      </c>
      <c r="B448" t="str">
        <f>IF(Tests!D449="","",Tests!D449)</f>
        <v/>
      </c>
      <c r="C448" t="str">
        <f>IF(Tests!E449="","",Tests!E449)</f>
        <v/>
      </c>
      <c r="E448" s="54">
        <f t="shared" si="36"/>
        <v>0</v>
      </c>
      <c r="F448" s="54">
        <f t="shared" si="37"/>
        <v>0</v>
      </c>
      <c r="G448" s="54">
        <f t="shared" si="38"/>
        <v>1</v>
      </c>
      <c r="H448" s="54">
        <f t="shared" si="39"/>
        <v>437</v>
      </c>
      <c r="I448" s="56" t="str">
        <f>IFERROR(INDEX($A$2:$A$501,MATCH(SMALL($H$2:$H$501,ROWS($I$2:I448)+$G$502),$H$2:$H$501,0)),"")</f>
        <v/>
      </c>
      <c r="J448">
        <f t="shared" si="40"/>
        <v>384</v>
      </c>
      <c r="K448" t="str">
        <f t="array" ref="K448">INDEX($B$2:$B$501,SMALL(IF($A$2:$A$501=I448,ROW($A$2:$A$501)-ROW(INDEX($A$2:$A$501,1,1))+1),J448))</f>
        <v/>
      </c>
      <c r="L448" t="str">
        <f t="array" ref="L448">INDEX($C$2:$C$501,SMALL(IF($A$2:$A$501=I448,ROW($A$2:$A$501)-ROW(INDEX($A$2:$A$501,1,1))+1),J448))</f>
        <v/>
      </c>
      <c r="N448" t="str">
        <f t="shared" si="41"/>
        <v/>
      </c>
      <c r="S448" s="10">
        <v>447</v>
      </c>
      <c r="T448" s="10" t="str">
        <f t="array" ref="T448">IFERROR(INDEX(A$2:$A$501,MATCH(0,COUNTIF($T$1:T447,A$2:$A$501),0)),"")</f>
        <v/>
      </c>
      <c r="U448" s="10">
        <f>IFERROR(MATCH(T448,I$2:$I$501,0),"")</f>
        <v>64</v>
      </c>
      <c r="V448" s="10">
        <f>COUNTIF(I$2:$I$501,T448)</f>
        <v>437</v>
      </c>
      <c r="W448" s="10"/>
      <c r="X448" s="10"/>
    </row>
    <row r="449" spans="1:24" x14ac:dyDescent="0.25">
      <c r="A449" t="str">
        <f>IF(Tests!B450="","",Tests!B450)</f>
        <v/>
      </c>
      <c r="B449" t="str">
        <f>IF(Tests!D450="","",Tests!D450)</f>
        <v/>
      </c>
      <c r="C449" t="str">
        <f>IF(Tests!E450="","",Tests!E450)</f>
        <v/>
      </c>
      <c r="E449" s="54">
        <f t="shared" si="36"/>
        <v>0</v>
      </c>
      <c r="F449" s="54">
        <f t="shared" si="37"/>
        <v>0</v>
      </c>
      <c r="G449" s="54">
        <f t="shared" si="38"/>
        <v>1</v>
      </c>
      <c r="H449" s="54">
        <f t="shared" si="39"/>
        <v>437</v>
      </c>
      <c r="I449" s="56" t="str">
        <f>IFERROR(INDEX($A$2:$A$501,MATCH(SMALL($H$2:$H$501,ROWS($I$2:I449)+$G$502),$H$2:$H$501,0)),"")</f>
        <v/>
      </c>
      <c r="J449">
        <f t="shared" si="40"/>
        <v>385</v>
      </c>
      <c r="K449" t="str">
        <f t="array" ref="K449">INDEX($B$2:$B$501,SMALL(IF($A$2:$A$501=I449,ROW($A$2:$A$501)-ROW(INDEX($A$2:$A$501,1,1))+1),J449))</f>
        <v/>
      </c>
      <c r="L449" t="str">
        <f t="array" ref="L449">INDEX($C$2:$C$501,SMALL(IF($A$2:$A$501=I449,ROW($A$2:$A$501)-ROW(INDEX($A$2:$A$501,1,1))+1),J449))</f>
        <v/>
      </c>
      <c r="N449" t="str">
        <f t="shared" si="41"/>
        <v/>
      </c>
      <c r="S449" s="10">
        <v>448</v>
      </c>
      <c r="T449" s="10" t="str">
        <f t="array" ref="T449">IFERROR(INDEX(A$2:$A$501,MATCH(0,COUNTIF($T$1:T448,A$2:$A$501),0)),"")</f>
        <v/>
      </c>
      <c r="U449" s="10">
        <f>IFERROR(MATCH(T449,I$2:$I$501,0),"")</f>
        <v>64</v>
      </c>
      <c r="V449" s="10">
        <f>COUNTIF(I$2:$I$501,T449)</f>
        <v>437</v>
      </c>
      <c r="W449" s="10"/>
      <c r="X449" s="10"/>
    </row>
    <row r="450" spans="1:24" x14ac:dyDescent="0.25">
      <c r="A450" t="str">
        <f>IF(Tests!B451="","",Tests!B451)</f>
        <v/>
      </c>
      <c r="B450" t="str">
        <f>IF(Tests!D451="","",Tests!D451)</f>
        <v/>
      </c>
      <c r="C450" t="str">
        <f>IF(Tests!E451="","",Tests!E451)</f>
        <v/>
      </c>
      <c r="E450" s="54">
        <f t="shared" si="36"/>
        <v>0</v>
      </c>
      <c r="F450" s="54">
        <f t="shared" si="37"/>
        <v>0</v>
      </c>
      <c r="G450" s="54">
        <f t="shared" si="38"/>
        <v>1</v>
      </c>
      <c r="H450" s="54">
        <f t="shared" si="39"/>
        <v>437</v>
      </c>
      <c r="I450" s="56" t="str">
        <f>IFERROR(INDEX($A$2:$A$501,MATCH(SMALL($H$2:$H$501,ROWS($I$2:I450)+$G$502),$H$2:$H$501,0)),"")</f>
        <v/>
      </c>
      <c r="J450">
        <f t="shared" si="40"/>
        <v>386</v>
      </c>
      <c r="K450" t="str">
        <f t="array" ref="K450">INDEX($B$2:$B$501,SMALL(IF($A$2:$A$501=I450,ROW($A$2:$A$501)-ROW(INDEX($A$2:$A$501,1,1))+1),J450))</f>
        <v/>
      </c>
      <c r="L450" t="str">
        <f t="array" ref="L450">INDEX($C$2:$C$501,SMALL(IF($A$2:$A$501=I450,ROW($A$2:$A$501)-ROW(INDEX($A$2:$A$501,1,1))+1),J450))</f>
        <v/>
      </c>
      <c r="N450" t="str">
        <f t="shared" si="41"/>
        <v/>
      </c>
      <c r="S450" s="10">
        <v>449</v>
      </c>
      <c r="T450" s="10" t="str">
        <f t="array" ref="T450">IFERROR(INDEX(A$2:$A$501,MATCH(0,COUNTIF($T$1:T449,A$2:$A$501),0)),"")</f>
        <v/>
      </c>
      <c r="U450" s="10">
        <f>IFERROR(MATCH(T450,I$2:$I$501,0),"")</f>
        <v>64</v>
      </c>
      <c r="V450" s="10">
        <f>COUNTIF(I$2:$I$501,T450)</f>
        <v>437</v>
      </c>
      <c r="W450" s="10"/>
      <c r="X450" s="10"/>
    </row>
    <row r="451" spans="1:24" x14ac:dyDescent="0.25">
      <c r="A451" t="str">
        <f>IF(Tests!B452="","",Tests!B452)</f>
        <v/>
      </c>
      <c r="B451" t="str">
        <f>IF(Tests!D452="","",Tests!D452)</f>
        <v/>
      </c>
      <c r="C451" t="str">
        <f>IF(Tests!E452="","",Tests!E452)</f>
        <v/>
      </c>
      <c r="E451" s="54">
        <f t="shared" ref="E451:E501" si="42">COUNTIF($A$2:$A$501,"&lt;="&amp;A451)</f>
        <v>0</v>
      </c>
      <c r="F451" s="54">
        <f t="shared" ref="F451:F501" si="43">--ISNUMBER(A451)</f>
        <v>0</v>
      </c>
      <c r="G451" s="54">
        <f t="shared" ref="G451:G501" si="44">--(A451="")</f>
        <v>1</v>
      </c>
      <c r="H451" s="54">
        <f t="shared" ref="H451:H501" si="45">IF(ISNUMBER(A451),E451,IF(ISBLANK(A451),E451,E451+$F$502))+$G$502</f>
        <v>437</v>
      </c>
      <c r="I451" s="56" t="str">
        <f>IFERROR(INDEX($A$2:$A$501,MATCH(SMALL($H$2:$H$501,ROWS($I$2:I451)+$G$502),$H$2:$H$501,0)),"")</f>
        <v/>
      </c>
      <c r="J451">
        <f t="shared" ref="J451:J501" si="46">IF(I450=I451,J450+1,1)</f>
        <v>387</v>
      </c>
      <c r="K451" t="str">
        <f t="array" ref="K451">INDEX($B$2:$B$501,SMALL(IF($A$2:$A$501=I451,ROW($A$2:$A$501)-ROW(INDEX($A$2:$A$501,1,1))+1),J451))</f>
        <v/>
      </c>
      <c r="L451" t="str">
        <f t="array" ref="L451">INDEX($C$2:$C$501,SMALL(IF($A$2:$A$501=I451,ROW($A$2:$A$501)-ROW(INDEX($A$2:$A$501,1,1))+1),J451))</f>
        <v/>
      </c>
      <c r="N451" t="str">
        <f t="shared" ref="N451:N501" si="47">IF(K451="","",K451&amp;" ("&amp;L451&amp;")")</f>
        <v/>
      </c>
      <c r="S451" s="10">
        <v>450</v>
      </c>
      <c r="T451" s="10" t="str">
        <f t="array" ref="T451">IFERROR(INDEX(A$2:$A$501,MATCH(0,COUNTIF($T$1:T450,A$2:$A$501),0)),"")</f>
        <v/>
      </c>
      <c r="U451" s="10">
        <f>IFERROR(MATCH(T451,I$2:$I$501,0),"")</f>
        <v>64</v>
      </c>
      <c r="V451" s="10">
        <f>COUNTIF(I$2:$I$501,T451)</f>
        <v>437</v>
      </c>
      <c r="W451" s="10"/>
      <c r="X451" s="10"/>
    </row>
    <row r="452" spans="1:24" x14ac:dyDescent="0.25">
      <c r="A452" t="str">
        <f>IF(Tests!B453="","",Tests!B453)</f>
        <v/>
      </c>
      <c r="B452" t="str">
        <f>IF(Tests!D453="","",Tests!D453)</f>
        <v/>
      </c>
      <c r="C452" t="str">
        <f>IF(Tests!E453="","",Tests!E453)</f>
        <v/>
      </c>
      <c r="E452" s="54">
        <f t="shared" si="42"/>
        <v>0</v>
      </c>
      <c r="F452" s="54">
        <f t="shared" si="43"/>
        <v>0</v>
      </c>
      <c r="G452" s="54">
        <f t="shared" si="44"/>
        <v>1</v>
      </c>
      <c r="H452" s="54">
        <f t="shared" si="45"/>
        <v>437</v>
      </c>
      <c r="I452" s="56" t="str">
        <f>IFERROR(INDEX($A$2:$A$501,MATCH(SMALL($H$2:$H$501,ROWS($I$2:I452)+$G$502),$H$2:$H$501,0)),"")</f>
        <v/>
      </c>
      <c r="J452">
        <f t="shared" si="46"/>
        <v>388</v>
      </c>
      <c r="K452" t="str">
        <f t="array" ref="K452">INDEX($B$2:$B$501,SMALL(IF($A$2:$A$501=I452,ROW($A$2:$A$501)-ROW(INDEX($A$2:$A$501,1,1))+1),J452))</f>
        <v/>
      </c>
      <c r="L452" t="str">
        <f t="array" ref="L452">INDEX($C$2:$C$501,SMALL(IF($A$2:$A$501=I452,ROW($A$2:$A$501)-ROW(INDEX($A$2:$A$501,1,1))+1),J452))</f>
        <v/>
      </c>
      <c r="N452" t="str">
        <f t="shared" si="47"/>
        <v/>
      </c>
      <c r="S452" s="10">
        <v>451</v>
      </c>
      <c r="T452" s="10" t="str">
        <f t="array" ref="T452">IFERROR(INDEX(A$2:$A$501,MATCH(0,COUNTIF($T$1:T451,A$2:$A$501),0)),"")</f>
        <v/>
      </c>
      <c r="U452" s="10">
        <f>IFERROR(MATCH(T452,I$2:$I$501,0),"")</f>
        <v>64</v>
      </c>
      <c r="V452" s="10">
        <f>COUNTIF(I$2:$I$501,T452)</f>
        <v>437</v>
      </c>
      <c r="W452" s="10"/>
      <c r="X452" s="10"/>
    </row>
    <row r="453" spans="1:24" x14ac:dyDescent="0.25">
      <c r="A453" t="str">
        <f>IF(Tests!B454="","",Tests!B454)</f>
        <v/>
      </c>
      <c r="B453" t="str">
        <f>IF(Tests!D454="","",Tests!D454)</f>
        <v/>
      </c>
      <c r="C453" t="str">
        <f>IF(Tests!E454="","",Tests!E454)</f>
        <v/>
      </c>
      <c r="E453" s="54">
        <f t="shared" si="42"/>
        <v>0</v>
      </c>
      <c r="F453" s="54">
        <f t="shared" si="43"/>
        <v>0</v>
      </c>
      <c r="G453" s="54">
        <f t="shared" si="44"/>
        <v>1</v>
      </c>
      <c r="H453" s="54">
        <f t="shared" si="45"/>
        <v>437</v>
      </c>
      <c r="I453" s="56" t="str">
        <f>IFERROR(INDEX($A$2:$A$501,MATCH(SMALL($H$2:$H$501,ROWS($I$2:I453)+$G$502),$H$2:$H$501,0)),"")</f>
        <v/>
      </c>
      <c r="J453">
        <f t="shared" si="46"/>
        <v>389</v>
      </c>
      <c r="K453" t="str">
        <f t="array" ref="K453">INDEX($B$2:$B$501,SMALL(IF($A$2:$A$501=I453,ROW($A$2:$A$501)-ROW(INDEX($A$2:$A$501,1,1))+1),J453))</f>
        <v/>
      </c>
      <c r="L453" t="str">
        <f t="array" ref="L453">INDEX($C$2:$C$501,SMALL(IF($A$2:$A$501=I453,ROW($A$2:$A$501)-ROW(INDEX($A$2:$A$501,1,1))+1),J453))</f>
        <v/>
      </c>
      <c r="N453" t="str">
        <f t="shared" si="47"/>
        <v/>
      </c>
      <c r="S453" s="10">
        <v>452</v>
      </c>
      <c r="T453" s="10" t="str">
        <f t="array" ref="T453">IFERROR(INDEX(A$2:$A$501,MATCH(0,COUNTIF($T$1:T452,A$2:$A$501),0)),"")</f>
        <v/>
      </c>
      <c r="U453" s="10">
        <f>IFERROR(MATCH(T453,I$2:$I$501,0),"")</f>
        <v>64</v>
      </c>
      <c r="V453" s="10">
        <f>COUNTIF(I$2:$I$501,T453)</f>
        <v>437</v>
      </c>
      <c r="W453" s="10"/>
      <c r="X453" s="10"/>
    </row>
    <row r="454" spans="1:24" x14ac:dyDescent="0.25">
      <c r="A454" t="str">
        <f>IF(Tests!B455="","",Tests!B455)</f>
        <v/>
      </c>
      <c r="B454" t="str">
        <f>IF(Tests!D455="","",Tests!D455)</f>
        <v/>
      </c>
      <c r="C454" t="str">
        <f>IF(Tests!E455="","",Tests!E455)</f>
        <v/>
      </c>
      <c r="E454" s="54">
        <f t="shared" si="42"/>
        <v>0</v>
      </c>
      <c r="F454" s="54">
        <f t="shared" si="43"/>
        <v>0</v>
      </c>
      <c r="G454" s="54">
        <f t="shared" si="44"/>
        <v>1</v>
      </c>
      <c r="H454" s="54">
        <f t="shared" si="45"/>
        <v>437</v>
      </c>
      <c r="I454" s="56" t="str">
        <f>IFERROR(INDEX($A$2:$A$501,MATCH(SMALL($H$2:$H$501,ROWS($I$2:I454)+$G$502),$H$2:$H$501,0)),"")</f>
        <v/>
      </c>
      <c r="J454">
        <f t="shared" si="46"/>
        <v>390</v>
      </c>
      <c r="K454" t="str">
        <f t="array" ref="K454">INDEX($B$2:$B$501,SMALL(IF($A$2:$A$501=I454,ROW($A$2:$A$501)-ROW(INDEX($A$2:$A$501,1,1))+1),J454))</f>
        <v/>
      </c>
      <c r="L454" t="str">
        <f t="array" ref="L454">INDEX($C$2:$C$501,SMALL(IF($A$2:$A$501=I454,ROW($A$2:$A$501)-ROW(INDEX($A$2:$A$501,1,1))+1),J454))</f>
        <v/>
      </c>
      <c r="N454" t="str">
        <f t="shared" si="47"/>
        <v/>
      </c>
      <c r="S454" s="10">
        <v>453</v>
      </c>
      <c r="T454" s="10" t="str">
        <f t="array" ref="T454">IFERROR(INDEX(A$2:$A$501,MATCH(0,COUNTIF($T$1:T453,A$2:$A$501),0)),"")</f>
        <v/>
      </c>
      <c r="U454" s="10">
        <f>IFERROR(MATCH(T454,I$2:$I$501,0),"")</f>
        <v>64</v>
      </c>
      <c r="V454" s="10">
        <f>COUNTIF(I$2:$I$501,T454)</f>
        <v>437</v>
      </c>
      <c r="W454" s="10"/>
      <c r="X454" s="10"/>
    </row>
    <row r="455" spans="1:24" x14ac:dyDescent="0.25">
      <c r="A455" t="str">
        <f>IF(Tests!B456="","",Tests!B456)</f>
        <v/>
      </c>
      <c r="B455" t="str">
        <f>IF(Tests!D456="","",Tests!D456)</f>
        <v/>
      </c>
      <c r="C455" t="str">
        <f>IF(Tests!E456="","",Tests!E456)</f>
        <v/>
      </c>
      <c r="E455" s="54">
        <f t="shared" si="42"/>
        <v>0</v>
      </c>
      <c r="F455" s="54">
        <f t="shared" si="43"/>
        <v>0</v>
      </c>
      <c r="G455" s="54">
        <f t="shared" si="44"/>
        <v>1</v>
      </c>
      <c r="H455" s="54">
        <f t="shared" si="45"/>
        <v>437</v>
      </c>
      <c r="I455" s="56" t="str">
        <f>IFERROR(INDEX($A$2:$A$501,MATCH(SMALL($H$2:$H$501,ROWS($I$2:I455)+$G$502),$H$2:$H$501,0)),"")</f>
        <v/>
      </c>
      <c r="J455">
        <f t="shared" si="46"/>
        <v>391</v>
      </c>
      <c r="K455" t="str">
        <f t="array" ref="K455">INDEX($B$2:$B$501,SMALL(IF($A$2:$A$501=I455,ROW($A$2:$A$501)-ROW(INDEX($A$2:$A$501,1,1))+1),J455))</f>
        <v/>
      </c>
      <c r="L455" t="str">
        <f t="array" ref="L455">INDEX($C$2:$C$501,SMALL(IF($A$2:$A$501=I455,ROW($A$2:$A$501)-ROW(INDEX($A$2:$A$501,1,1))+1),J455))</f>
        <v/>
      </c>
      <c r="N455" t="str">
        <f t="shared" si="47"/>
        <v/>
      </c>
      <c r="S455" s="10">
        <v>454</v>
      </c>
      <c r="T455" s="10" t="str">
        <f t="array" ref="T455">IFERROR(INDEX(A$2:$A$501,MATCH(0,COUNTIF($T$1:T454,A$2:$A$501),0)),"")</f>
        <v/>
      </c>
      <c r="U455" s="10">
        <f>IFERROR(MATCH(T455,I$2:$I$501,0),"")</f>
        <v>64</v>
      </c>
      <c r="V455" s="10">
        <f>COUNTIF(I$2:$I$501,T455)</f>
        <v>437</v>
      </c>
      <c r="W455" s="10"/>
      <c r="X455" s="10"/>
    </row>
    <row r="456" spans="1:24" x14ac:dyDescent="0.25">
      <c r="A456" t="str">
        <f>IF(Tests!B457="","",Tests!B457)</f>
        <v/>
      </c>
      <c r="B456" t="str">
        <f>IF(Tests!D457="","",Tests!D457)</f>
        <v/>
      </c>
      <c r="C456" t="str">
        <f>IF(Tests!E457="","",Tests!E457)</f>
        <v/>
      </c>
      <c r="E456" s="54">
        <f t="shared" si="42"/>
        <v>0</v>
      </c>
      <c r="F456" s="54">
        <f t="shared" si="43"/>
        <v>0</v>
      </c>
      <c r="G456" s="54">
        <f t="shared" si="44"/>
        <v>1</v>
      </c>
      <c r="H456" s="54">
        <f t="shared" si="45"/>
        <v>437</v>
      </c>
      <c r="I456" s="56" t="str">
        <f>IFERROR(INDEX($A$2:$A$501,MATCH(SMALL($H$2:$H$501,ROWS($I$2:I456)+$G$502),$H$2:$H$501,0)),"")</f>
        <v/>
      </c>
      <c r="J456">
        <f t="shared" si="46"/>
        <v>392</v>
      </c>
      <c r="K456" t="str">
        <f t="array" ref="K456">INDEX($B$2:$B$501,SMALL(IF($A$2:$A$501=I456,ROW($A$2:$A$501)-ROW(INDEX($A$2:$A$501,1,1))+1),J456))</f>
        <v/>
      </c>
      <c r="L456" t="str">
        <f t="array" ref="L456">INDEX($C$2:$C$501,SMALL(IF($A$2:$A$501=I456,ROW($A$2:$A$501)-ROW(INDEX($A$2:$A$501,1,1))+1),J456))</f>
        <v/>
      </c>
      <c r="N456" t="str">
        <f t="shared" si="47"/>
        <v/>
      </c>
      <c r="S456" s="10">
        <v>455</v>
      </c>
      <c r="T456" s="10" t="str">
        <f t="array" ref="T456">IFERROR(INDEX(A$2:$A$501,MATCH(0,COUNTIF($T$1:T455,A$2:$A$501),0)),"")</f>
        <v/>
      </c>
      <c r="U456" s="10">
        <f>IFERROR(MATCH(T456,I$2:$I$501,0),"")</f>
        <v>64</v>
      </c>
      <c r="V456" s="10">
        <f>COUNTIF(I$2:$I$501,T456)</f>
        <v>437</v>
      </c>
      <c r="W456" s="10"/>
      <c r="X456" s="10"/>
    </row>
    <row r="457" spans="1:24" x14ac:dyDescent="0.25">
      <c r="A457" t="str">
        <f>IF(Tests!B458="","",Tests!B458)</f>
        <v/>
      </c>
      <c r="B457" t="str">
        <f>IF(Tests!D458="","",Tests!D458)</f>
        <v/>
      </c>
      <c r="C457" t="str">
        <f>IF(Tests!E458="","",Tests!E458)</f>
        <v/>
      </c>
      <c r="E457" s="54">
        <f t="shared" si="42"/>
        <v>0</v>
      </c>
      <c r="F457" s="54">
        <f t="shared" si="43"/>
        <v>0</v>
      </c>
      <c r="G457" s="54">
        <f t="shared" si="44"/>
        <v>1</v>
      </c>
      <c r="H457" s="54">
        <f t="shared" si="45"/>
        <v>437</v>
      </c>
      <c r="I457" s="56" t="str">
        <f>IFERROR(INDEX($A$2:$A$501,MATCH(SMALL($H$2:$H$501,ROWS($I$2:I457)+$G$502),$H$2:$H$501,0)),"")</f>
        <v/>
      </c>
      <c r="J457">
        <f t="shared" si="46"/>
        <v>393</v>
      </c>
      <c r="K457" t="str">
        <f t="array" ref="K457">INDEX($B$2:$B$501,SMALL(IF($A$2:$A$501=I457,ROW($A$2:$A$501)-ROW(INDEX($A$2:$A$501,1,1))+1),J457))</f>
        <v/>
      </c>
      <c r="L457" t="str">
        <f t="array" ref="L457">INDEX($C$2:$C$501,SMALL(IF($A$2:$A$501=I457,ROW($A$2:$A$501)-ROW(INDEX($A$2:$A$501,1,1))+1),J457))</f>
        <v/>
      </c>
      <c r="N457" t="str">
        <f t="shared" si="47"/>
        <v/>
      </c>
      <c r="S457" s="10">
        <v>456</v>
      </c>
      <c r="T457" s="10" t="str">
        <f t="array" ref="T457">IFERROR(INDEX(A$2:$A$501,MATCH(0,COUNTIF($T$1:T456,A$2:$A$501),0)),"")</f>
        <v/>
      </c>
      <c r="U457" s="10">
        <f>IFERROR(MATCH(T457,I$2:$I$501,0),"")</f>
        <v>64</v>
      </c>
      <c r="V457" s="10">
        <f>COUNTIF(I$2:$I$501,T457)</f>
        <v>437</v>
      </c>
      <c r="W457" s="10"/>
      <c r="X457" s="10"/>
    </row>
    <row r="458" spans="1:24" x14ac:dyDescent="0.25">
      <c r="A458" t="str">
        <f>IF(Tests!B459="","",Tests!B459)</f>
        <v/>
      </c>
      <c r="B458" t="str">
        <f>IF(Tests!D459="","",Tests!D459)</f>
        <v/>
      </c>
      <c r="C458" t="str">
        <f>IF(Tests!E459="","",Tests!E459)</f>
        <v/>
      </c>
      <c r="E458" s="54">
        <f t="shared" si="42"/>
        <v>0</v>
      </c>
      <c r="F458" s="54">
        <f t="shared" si="43"/>
        <v>0</v>
      </c>
      <c r="G458" s="54">
        <f t="shared" si="44"/>
        <v>1</v>
      </c>
      <c r="H458" s="54">
        <f t="shared" si="45"/>
        <v>437</v>
      </c>
      <c r="I458" s="56" t="str">
        <f>IFERROR(INDEX($A$2:$A$501,MATCH(SMALL($H$2:$H$501,ROWS($I$2:I458)+$G$502),$H$2:$H$501,0)),"")</f>
        <v/>
      </c>
      <c r="J458">
        <f t="shared" si="46"/>
        <v>394</v>
      </c>
      <c r="K458" t="str">
        <f t="array" ref="K458">INDEX($B$2:$B$501,SMALL(IF($A$2:$A$501=I458,ROW($A$2:$A$501)-ROW(INDEX($A$2:$A$501,1,1))+1),J458))</f>
        <v/>
      </c>
      <c r="L458" t="str">
        <f t="array" ref="L458">INDEX($C$2:$C$501,SMALL(IF($A$2:$A$501=I458,ROW($A$2:$A$501)-ROW(INDEX($A$2:$A$501,1,1))+1),J458))</f>
        <v/>
      </c>
      <c r="N458" t="str">
        <f t="shared" si="47"/>
        <v/>
      </c>
      <c r="S458" s="10">
        <v>457</v>
      </c>
      <c r="T458" s="10" t="str">
        <f t="array" ref="T458">IFERROR(INDEX(A$2:$A$501,MATCH(0,COUNTIF($T$1:T457,A$2:$A$501),0)),"")</f>
        <v/>
      </c>
      <c r="U458" s="10">
        <f>IFERROR(MATCH(T458,I$2:$I$501,0),"")</f>
        <v>64</v>
      </c>
      <c r="V458" s="10">
        <f>COUNTIF(I$2:$I$501,T458)</f>
        <v>437</v>
      </c>
      <c r="W458" s="10"/>
      <c r="X458" s="10"/>
    </row>
    <row r="459" spans="1:24" x14ac:dyDescent="0.25">
      <c r="A459" t="str">
        <f>IF(Tests!B460="","",Tests!B460)</f>
        <v/>
      </c>
      <c r="B459" t="str">
        <f>IF(Tests!D460="","",Tests!D460)</f>
        <v/>
      </c>
      <c r="C459" t="str">
        <f>IF(Tests!E460="","",Tests!E460)</f>
        <v/>
      </c>
      <c r="E459" s="54">
        <f t="shared" si="42"/>
        <v>0</v>
      </c>
      <c r="F459" s="54">
        <f t="shared" si="43"/>
        <v>0</v>
      </c>
      <c r="G459" s="54">
        <f t="shared" si="44"/>
        <v>1</v>
      </c>
      <c r="H459" s="54">
        <f t="shared" si="45"/>
        <v>437</v>
      </c>
      <c r="I459" s="56" t="str">
        <f>IFERROR(INDEX($A$2:$A$501,MATCH(SMALL($H$2:$H$501,ROWS($I$2:I459)+$G$502),$H$2:$H$501,0)),"")</f>
        <v/>
      </c>
      <c r="J459">
        <f t="shared" si="46"/>
        <v>395</v>
      </c>
      <c r="K459" t="str">
        <f t="array" ref="K459">INDEX($B$2:$B$501,SMALL(IF($A$2:$A$501=I459,ROW($A$2:$A$501)-ROW(INDEX($A$2:$A$501,1,1))+1),J459))</f>
        <v/>
      </c>
      <c r="L459" t="str">
        <f t="array" ref="L459">INDEX($C$2:$C$501,SMALL(IF($A$2:$A$501=I459,ROW($A$2:$A$501)-ROW(INDEX($A$2:$A$501,1,1))+1),J459))</f>
        <v/>
      </c>
      <c r="N459" t="str">
        <f t="shared" si="47"/>
        <v/>
      </c>
      <c r="S459" s="10">
        <v>458</v>
      </c>
      <c r="T459" s="10" t="str">
        <f t="array" ref="T459">IFERROR(INDEX(A$2:$A$501,MATCH(0,COUNTIF($T$1:T458,A$2:$A$501),0)),"")</f>
        <v/>
      </c>
      <c r="U459" s="10">
        <f>IFERROR(MATCH(T459,I$2:$I$501,0),"")</f>
        <v>64</v>
      </c>
      <c r="V459" s="10">
        <f>COUNTIF(I$2:$I$501,T459)</f>
        <v>437</v>
      </c>
      <c r="W459" s="10"/>
      <c r="X459" s="10"/>
    </row>
    <row r="460" spans="1:24" x14ac:dyDescent="0.25">
      <c r="A460" t="str">
        <f>IF(Tests!B461="","",Tests!B461)</f>
        <v/>
      </c>
      <c r="B460" t="str">
        <f>IF(Tests!D461="","",Tests!D461)</f>
        <v/>
      </c>
      <c r="C460" t="str">
        <f>IF(Tests!E461="","",Tests!E461)</f>
        <v/>
      </c>
      <c r="E460" s="54">
        <f t="shared" si="42"/>
        <v>0</v>
      </c>
      <c r="F460" s="54">
        <f t="shared" si="43"/>
        <v>0</v>
      </c>
      <c r="G460" s="54">
        <f t="shared" si="44"/>
        <v>1</v>
      </c>
      <c r="H460" s="54">
        <f t="shared" si="45"/>
        <v>437</v>
      </c>
      <c r="I460" s="56" t="str">
        <f>IFERROR(INDEX($A$2:$A$501,MATCH(SMALL($H$2:$H$501,ROWS($I$2:I460)+$G$502),$H$2:$H$501,0)),"")</f>
        <v/>
      </c>
      <c r="J460">
        <f t="shared" si="46"/>
        <v>396</v>
      </c>
      <c r="K460" t="str">
        <f t="array" ref="K460">INDEX($B$2:$B$501,SMALL(IF($A$2:$A$501=I460,ROW($A$2:$A$501)-ROW(INDEX($A$2:$A$501,1,1))+1),J460))</f>
        <v/>
      </c>
      <c r="L460" t="str">
        <f t="array" ref="L460">INDEX($C$2:$C$501,SMALL(IF($A$2:$A$501=I460,ROW($A$2:$A$501)-ROW(INDEX($A$2:$A$501,1,1))+1),J460))</f>
        <v/>
      </c>
      <c r="N460" t="str">
        <f t="shared" si="47"/>
        <v/>
      </c>
      <c r="S460" s="10">
        <v>459</v>
      </c>
      <c r="T460" s="10" t="str">
        <f t="array" ref="T460">IFERROR(INDEX(A$2:$A$501,MATCH(0,COUNTIF($T$1:T459,A$2:$A$501),0)),"")</f>
        <v/>
      </c>
      <c r="U460" s="10">
        <f>IFERROR(MATCH(T460,I$2:$I$501,0),"")</f>
        <v>64</v>
      </c>
      <c r="V460" s="10">
        <f>COUNTIF(I$2:$I$501,T460)</f>
        <v>437</v>
      </c>
      <c r="W460" s="10"/>
      <c r="X460" s="10"/>
    </row>
    <row r="461" spans="1:24" x14ac:dyDescent="0.25">
      <c r="A461" t="str">
        <f>IF(Tests!B462="","",Tests!B462)</f>
        <v/>
      </c>
      <c r="B461" t="str">
        <f>IF(Tests!D462="","",Tests!D462)</f>
        <v/>
      </c>
      <c r="C461" t="str">
        <f>IF(Tests!E462="","",Tests!E462)</f>
        <v/>
      </c>
      <c r="E461" s="54">
        <f t="shared" si="42"/>
        <v>0</v>
      </c>
      <c r="F461" s="54">
        <f t="shared" si="43"/>
        <v>0</v>
      </c>
      <c r="G461" s="54">
        <f t="shared" si="44"/>
        <v>1</v>
      </c>
      <c r="H461" s="54">
        <f t="shared" si="45"/>
        <v>437</v>
      </c>
      <c r="I461" s="56" t="str">
        <f>IFERROR(INDEX($A$2:$A$501,MATCH(SMALL($H$2:$H$501,ROWS($I$2:I461)+$G$502),$H$2:$H$501,0)),"")</f>
        <v/>
      </c>
      <c r="J461">
        <f t="shared" si="46"/>
        <v>397</v>
      </c>
      <c r="K461" t="str">
        <f t="array" ref="K461">INDEX($B$2:$B$501,SMALL(IF($A$2:$A$501=I461,ROW($A$2:$A$501)-ROW(INDEX($A$2:$A$501,1,1))+1),J461))</f>
        <v/>
      </c>
      <c r="L461" t="str">
        <f t="array" ref="L461">INDEX($C$2:$C$501,SMALL(IF($A$2:$A$501=I461,ROW($A$2:$A$501)-ROW(INDEX($A$2:$A$501,1,1))+1),J461))</f>
        <v/>
      </c>
      <c r="N461" t="str">
        <f t="shared" si="47"/>
        <v/>
      </c>
      <c r="S461" s="10">
        <v>460</v>
      </c>
      <c r="T461" s="10" t="str">
        <f t="array" ref="T461">IFERROR(INDEX(A$2:$A$501,MATCH(0,COUNTIF($T$1:T460,A$2:$A$501),0)),"")</f>
        <v/>
      </c>
      <c r="U461" s="10">
        <f>IFERROR(MATCH(T461,I$2:$I$501,0),"")</f>
        <v>64</v>
      </c>
      <c r="V461" s="10">
        <f>COUNTIF(I$2:$I$501,T461)</f>
        <v>437</v>
      </c>
      <c r="W461" s="10"/>
      <c r="X461" s="10"/>
    </row>
    <row r="462" spans="1:24" x14ac:dyDescent="0.25">
      <c r="A462" t="str">
        <f>IF(Tests!B463="","",Tests!B463)</f>
        <v/>
      </c>
      <c r="B462" t="str">
        <f>IF(Tests!D463="","",Tests!D463)</f>
        <v/>
      </c>
      <c r="C462" t="str">
        <f>IF(Tests!E463="","",Tests!E463)</f>
        <v/>
      </c>
      <c r="E462" s="54">
        <f t="shared" si="42"/>
        <v>0</v>
      </c>
      <c r="F462" s="54">
        <f t="shared" si="43"/>
        <v>0</v>
      </c>
      <c r="G462" s="54">
        <f t="shared" si="44"/>
        <v>1</v>
      </c>
      <c r="H462" s="54">
        <f t="shared" si="45"/>
        <v>437</v>
      </c>
      <c r="I462" s="56" t="str">
        <f>IFERROR(INDEX($A$2:$A$501,MATCH(SMALL($H$2:$H$501,ROWS($I$2:I462)+$G$502),$H$2:$H$501,0)),"")</f>
        <v/>
      </c>
      <c r="J462">
        <f t="shared" si="46"/>
        <v>398</v>
      </c>
      <c r="K462" t="str">
        <f t="array" ref="K462">INDEX($B$2:$B$501,SMALL(IF($A$2:$A$501=I462,ROW($A$2:$A$501)-ROW(INDEX($A$2:$A$501,1,1))+1),J462))</f>
        <v/>
      </c>
      <c r="L462" t="str">
        <f t="array" ref="L462">INDEX($C$2:$C$501,SMALL(IF($A$2:$A$501=I462,ROW($A$2:$A$501)-ROW(INDEX($A$2:$A$501,1,1))+1),J462))</f>
        <v/>
      </c>
      <c r="N462" t="str">
        <f t="shared" si="47"/>
        <v/>
      </c>
      <c r="S462" s="10">
        <v>461</v>
      </c>
      <c r="T462" s="10" t="str">
        <f t="array" ref="T462">IFERROR(INDEX(A$2:$A$501,MATCH(0,COUNTIF($T$1:T461,A$2:$A$501),0)),"")</f>
        <v/>
      </c>
      <c r="U462" s="10">
        <f>IFERROR(MATCH(T462,I$2:$I$501,0),"")</f>
        <v>64</v>
      </c>
      <c r="V462" s="10">
        <f>COUNTIF(I$2:$I$501,T462)</f>
        <v>437</v>
      </c>
      <c r="W462" s="10"/>
      <c r="X462" s="10"/>
    </row>
    <row r="463" spans="1:24" x14ac:dyDescent="0.25">
      <c r="A463" t="str">
        <f>IF(Tests!B464="","",Tests!B464)</f>
        <v/>
      </c>
      <c r="B463" t="str">
        <f>IF(Tests!D464="","",Tests!D464)</f>
        <v/>
      </c>
      <c r="C463" t="str">
        <f>IF(Tests!E464="","",Tests!E464)</f>
        <v/>
      </c>
      <c r="E463" s="54">
        <f t="shared" si="42"/>
        <v>0</v>
      </c>
      <c r="F463" s="54">
        <f t="shared" si="43"/>
        <v>0</v>
      </c>
      <c r="G463" s="54">
        <f t="shared" si="44"/>
        <v>1</v>
      </c>
      <c r="H463" s="54">
        <f t="shared" si="45"/>
        <v>437</v>
      </c>
      <c r="I463" s="56" t="str">
        <f>IFERROR(INDEX($A$2:$A$501,MATCH(SMALL($H$2:$H$501,ROWS($I$2:I463)+$G$502),$H$2:$H$501,0)),"")</f>
        <v/>
      </c>
      <c r="J463">
        <f t="shared" si="46"/>
        <v>399</v>
      </c>
      <c r="K463" t="str">
        <f t="array" ref="K463">INDEX($B$2:$B$501,SMALL(IF($A$2:$A$501=I463,ROW($A$2:$A$501)-ROW(INDEX($A$2:$A$501,1,1))+1),J463))</f>
        <v/>
      </c>
      <c r="L463" t="str">
        <f t="array" ref="L463">INDEX($C$2:$C$501,SMALL(IF($A$2:$A$501=I463,ROW($A$2:$A$501)-ROW(INDEX($A$2:$A$501,1,1))+1),J463))</f>
        <v/>
      </c>
      <c r="N463" t="str">
        <f t="shared" si="47"/>
        <v/>
      </c>
      <c r="S463" s="10">
        <v>462</v>
      </c>
      <c r="T463" s="10" t="str">
        <f t="array" ref="T463">IFERROR(INDEX(A$2:$A$501,MATCH(0,COUNTIF($T$1:T462,A$2:$A$501),0)),"")</f>
        <v/>
      </c>
      <c r="U463" s="10">
        <f>IFERROR(MATCH(T463,I$2:$I$501,0),"")</f>
        <v>64</v>
      </c>
      <c r="V463" s="10">
        <f>COUNTIF(I$2:$I$501,T463)</f>
        <v>437</v>
      </c>
      <c r="W463" s="10"/>
      <c r="X463" s="10"/>
    </row>
    <row r="464" spans="1:24" x14ac:dyDescent="0.25">
      <c r="A464" t="str">
        <f>IF(Tests!B465="","",Tests!B465)</f>
        <v/>
      </c>
      <c r="B464" t="str">
        <f>IF(Tests!D465="","",Tests!D465)</f>
        <v/>
      </c>
      <c r="C464" t="str">
        <f>IF(Tests!E465="","",Tests!E465)</f>
        <v/>
      </c>
      <c r="E464" s="54">
        <f t="shared" si="42"/>
        <v>0</v>
      </c>
      <c r="F464" s="54">
        <f t="shared" si="43"/>
        <v>0</v>
      </c>
      <c r="G464" s="54">
        <f t="shared" si="44"/>
        <v>1</v>
      </c>
      <c r="H464" s="54">
        <f t="shared" si="45"/>
        <v>437</v>
      </c>
      <c r="I464" s="56" t="str">
        <f>IFERROR(INDEX($A$2:$A$501,MATCH(SMALL($H$2:$H$501,ROWS($I$2:I464)+$G$502),$H$2:$H$501,0)),"")</f>
        <v/>
      </c>
      <c r="J464">
        <f t="shared" si="46"/>
        <v>400</v>
      </c>
      <c r="K464" t="str">
        <f t="array" ref="K464">INDEX($B$2:$B$501,SMALL(IF($A$2:$A$501=I464,ROW($A$2:$A$501)-ROW(INDEX($A$2:$A$501,1,1))+1),J464))</f>
        <v/>
      </c>
      <c r="L464" t="str">
        <f t="array" ref="L464">INDEX($C$2:$C$501,SMALL(IF($A$2:$A$501=I464,ROW($A$2:$A$501)-ROW(INDEX($A$2:$A$501,1,1))+1),J464))</f>
        <v/>
      </c>
      <c r="N464" t="str">
        <f t="shared" si="47"/>
        <v/>
      </c>
      <c r="S464" s="10">
        <v>463</v>
      </c>
      <c r="T464" s="10" t="str">
        <f t="array" ref="T464">IFERROR(INDEX(A$2:$A$501,MATCH(0,COUNTIF($T$1:T463,A$2:$A$501),0)),"")</f>
        <v/>
      </c>
      <c r="U464" s="10">
        <f>IFERROR(MATCH(T464,I$2:$I$501,0),"")</f>
        <v>64</v>
      </c>
      <c r="V464" s="10">
        <f>COUNTIF(I$2:$I$501,T464)</f>
        <v>437</v>
      </c>
      <c r="W464" s="10"/>
      <c r="X464" s="10"/>
    </row>
    <row r="465" spans="1:24" x14ac:dyDescent="0.25">
      <c r="A465" t="str">
        <f>IF(Tests!B466="","",Tests!B466)</f>
        <v/>
      </c>
      <c r="B465" t="str">
        <f>IF(Tests!D466="","",Tests!D466)</f>
        <v/>
      </c>
      <c r="C465" t="str">
        <f>IF(Tests!E466="","",Tests!E466)</f>
        <v/>
      </c>
      <c r="E465" s="54">
        <f t="shared" si="42"/>
        <v>0</v>
      </c>
      <c r="F465" s="54">
        <f t="shared" si="43"/>
        <v>0</v>
      </c>
      <c r="G465" s="54">
        <f t="shared" si="44"/>
        <v>1</v>
      </c>
      <c r="H465" s="54">
        <f t="shared" si="45"/>
        <v>437</v>
      </c>
      <c r="I465" s="56" t="str">
        <f>IFERROR(INDEX($A$2:$A$501,MATCH(SMALL($H$2:$H$501,ROWS($I$2:I465)+$G$502),$H$2:$H$501,0)),"")</f>
        <v/>
      </c>
      <c r="J465">
        <f t="shared" si="46"/>
        <v>401</v>
      </c>
      <c r="K465" t="str">
        <f t="array" ref="K465">INDEX($B$2:$B$501,SMALL(IF($A$2:$A$501=I465,ROW($A$2:$A$501)-ROW(INDEX($A$2:$A$501,1,1))+1),J465))</f>
        <v/>
      </c>
      <c r="L465" t="str">
        <f t="array" ref="L465">INDEX($C$2:$C$501,SMALL(IF($A$2:$A$501=I465,ROW($A$2:$A$501)-ROW(INDEX($A$2:$A$501,1,1))+1),J465))</f>
        <v/>
      </c>
      <c r="N465" t="str">
        <f t="shared" si="47"/>
        <v/>
      </c>
      <c r="S465" s="10">
        <v>464</v>
      </c>
      <c r="T465" s="10" t="str">
        <f t="array" ref="T465">IFERROR(INDEX(A$2:$A$501,MATCH(0,COUNTIF($T$1:T464,A$2:$A$501),0)),"")</f>
        <v/>
      </c>
      <c r="U465" s="10">
        <f>IFERROR(MATCH(T465,I$2:$I$501,0),"")</f>
        <v>64</v>
      </c>
      <c r="V465" s="10">
        <f>COUNTIF(I$2:$I$501,T465)</f>
        <v>437</v>
      </c>
      <c r="W465" s="10"/>
      <c r="X465" s="10"/>
    </row>
    <row r="466" spans="1:24" x14ac:dyDescent="0.25">
      <c r="A466" t="str">
        <f>IF(Tests!B467="","",Tests!B467)</f>
        <v/>
      </c>
      <c r="B466" t="str">
        <f>IF(Tests!D467="","",Tests!D467)</f>
        <v/>
      </c>
      <c r="C466" t="str">
        <f>IF(Tests!E467="","",Tests!E467)</f>
        <v/>
      </c>
      <c r="E466" s="54">
        <f t="shared" si="42"/>
        <v>0</v>
      </c>
      <c r="F466" s="54">
        <f t="shared" si="43"/>
        <v>0</v>
      </c>
      <c r="G466" s="54">
        <f t="shared" si="44"/>
        <v>1</v>
      </c>
      <c r="H466" s="54">
        <f t="shared" si="45"/>
        <v>437</v>
      </c>
      <c r="I466" s="56" t="str">
        <f>IFERROR(INDEX($A$2:$A$501,MATCH(SMALL($H$2:$H$501,ROWS($I$2:I466)+$G$502),$H$2:$H$501,0)),"")</f>
        <v/>
      </c>
      <c r="J466">
        <f t="shared" si="46"/>
        <v>402</v>
      </c>
      <c r="K466" t="str">
        <f t="array" ref="K466">INDEX($B$2:$B$501,SMALL(IF($A$2:$A$501=I466,ROW($A$2:$A$501)-ROW(INDEX($A$2:$A$501,1,1))+1),J466))</f>
        <v/>
      </c>
      <c r="L466" t="str">
        <f t="array" ref="L466">INDEX($C$2:$C$501,SMALL(IF($A$2:$A$501=I466,ROW($A$2:$A$501)-ROW(INDEX($A$2:$A$501,1,1))+1),J466))</f>
        <v/>
      </c>
      <c r="N466" t="str">
        <f t="shared" si="47"/>
        <v/>
      </c>
      <c r="S466" s="10">
        <v>465</v>
      </c>
      <c r="T466" s="10" t="str">
        <f t="array" ref="T466">IFERROR(INDEX(A$2:$A$501,MATCH(0,COUNTIF($T$1:T465,A$2:$A$501),0)),"")</f>
        <v/>
      </c>
      <c r="U466" s="10">
        <f>IFERROR(MATCH(T466,I$2:$I$501,0),"")</f>
        <v>64</v>
      </c>
      <c r="V466" s="10">
        <f>COUNTIF(I$2:$I$501,T466)</f>
        <v>437</v>
      </c>
      <c r="W466" s="10"/>
      <c r="X466" s="10"/>
    </row>
    <row r="467" spans="1:24" x14ac:dyDescent="0.25">
      <c r="A467" t="str">
        <f>IF(Tests!B468="","",Tests!B468)</f>
        <v/>
      </c>
      <c r="B467" t="str">
        <f>IF(Tests!D468="","",Tests!D468)</f>
        <v/>
      </c>
      <c r="C467" t="str">
        <f>IF(Tests!E468="","",Tests!E468)</f>
        <v/>
      </c>
      <c r="E467" s="54">
        <f t="shared" si="42"/>
        <v>0</v>
      </c>
      <c r="F467" s="54">
        <f t="shared" si="43"/>
        <v>0</v>
      </c>
      <c r="G467" s="54">
        <f t="shared" si="44"/>
        <v>1</v>
      </c>
      <c r="H467" s="54">
        <f t="shared" si="45"/>
        <v>437</v>
      </c>
      <c r="I467" s="56" t="str">
        <f>IFERROR(INDEX($A$2:$A$501,MATCH(SMALL($H$2:$H$501,ROWS($I$2:I467)+$G$502),$H$2:$H$501,0)),"")</f>
        <v/>
      </c>
      <c r="J467">
        <f t="shared" si="46"/>
        <v>403</v>
      </c>
      <c r="K467" t="str">
        <f t="array" ref="K467">INDEX($B$2:$B$501,SMALL(IF($A$2:$A$501=I467,ROW($A$2:$A$501)-ROW(INDEX($A$2:$A$501,1,1))+1),J467))</f>
        <v/>
      </c>
      <c r="L467" t="str">
        <f t="array" ref="L467">INDEX($C$2:$C$501,SMALL(IF($A$2:$A$501=I467,ROW($A$2:$A$501)-ROW(INDEX($A$2:$A$501,1,1))+1),J467))</f>
        <v/>
      </c>
      <c r="N467" t="str">
        <f t="shared" si="47"/>
        <v/>
      </c>
      <c r="S467" s="10">
        <v>466</v>
      </c>
      <c r="T467" s="10" t="str">
        <f t="array" ref="T467">IFERROR(INDEX(A$2:$A$501,MATCH(0,COUNTIF($T$1:T466,A$2:$A$501),0)),"")</f>
        <v/>
      </c>
      <c r="U467" s="10">
        <f>IFERROR(MATCH(T467,I$2:$I$501,0),"")</f>
        <v>64</v>
      </c>
      <c r="V467" s="10">
        <f>COUNTIF(I$2:$I$501,T467)</f>
        <v>437</v>
      </c>
      <c r="W467" s="10"/>
      <c r="X467" s="10"/>
    </row>
    <row r="468" spans="1:24" x14ac:dyDescent="0.25">
      <c r="A468" t="str">
        <f>IF(Tests!B469="","",Tests!B469)</f>
        <v/>
      </c>
      <c r="B468" t="str">
        <f>IF(Tests!D469="","",Tests!D469)</f>
        <v/>
      </c>
      <c r="C468" t="str">
        <f>IF(Tests!E469="","",Tests!E469)</f>
        <v/>
      </c>
      <c r="E468" s="54">
        <f t="shared" si="42"/>
        <v>0</v>
      </c>
      <c r="F468" s="54">
        <f t="shared" si="43"/>
        <v>0</v>
      </c>
      <c r="G468" s="54">
        <f t="shared" si="44"/>
        <v>1</v>
      </c>
      <c r="H468" s="54">
        <f t="shared" si="45"/>
        <v>437</v>
      </c>
      <c r="I468" s="56" t="str">
        <f>IFERROR(INDEX($A$2:$A$501,MATCH(SMALL($H$2:$H$501,ROWS($I$2:I468)+$G$502),$H$2:$H$501,0)),"")</f>
        <v/>
      </c>
      <c r="J468">
        <f t="shared" si="46"/>
        <v>404</v>
      </c>
      <c r="K468" t="str">
        <f t="array" ref="K468">INDEX($B$2:$B$501,SMALL(IF($A$2:$A$501=I468,ROW($A$2:$A$501)-ROW(INDEX($A$2:$A$501,1,1))+1),J468))</f>
        <v/>
      </c>
      <c r="L468" t="str">
        <f t="array" ref="L468">INDEX($C$2:$C$501,SMALL(IF($A$2:$A$501=I468,ROW($A$2:$A$501)-ROW(INDEX($A$2:$A$501,1,1))+1),J468))</f>
        <v/>
      </c>
      <c r="N468" t="str">
        <f t="shared" si="47"/>
        <v/>
      </c>
      <c r="S468" s="10">
        <v>467</v>
      </c>
      <c r="T468" s="10" t="str">
        <f t="array" ref="T468">IFERROR(INDEX(A$2:$A$501,MATCH(0,COUNTIF($T$1:T467,A$2:$A$501),0)),"")</f>
        <v/>
      </c>
      <c r="U468" s="10">
        <f>IFERROR(MATCH(T468,I$2:$I$501,0),"")</f>
        <v>64</v>
      </c>
      <c r="V468" s="10">
        <f>COUNTIF(I$2:$I$501,T468)</f>
        <v>437</v>
      </c>
      <c r="W468" s="10"/>
      <c r="X468" s="10"/>
    </row>
    <row r="469" spans="1:24" x14ac:dyDescent="0.25">
      <c r="A469" t="str">
        <f>IF(Tests!B470="","",Tests!B470)</f>
        <v/>
      </c>
      <c r="B469" t="str">
        <f>IF(Tests!D470="","",Tests!D470)</f>
        <v/>
      </c>
      <c r="C469" t="str">
        <f>IF(Tests!E470="","",Tests!E470)</f>
        <v/>
      </c>
      <c r="E469" s="54">
        <f t="shared" si="42"/>
        <v>0</v>
      </c>
      <c r="F469" s="54">
        <f t="shared" si="43"/>
        <v>0</v>
      </c>
      <c r="G469" s="54">
        <f t="shared" si="44"/>
        <v>1</v>
      </c>
      <c r="H469" s="54">
        <f t="shared" si="45"/>
        <v>437</v>
      </c>
      <c r="I469" s="56" t="str">
        <f>IFERROR(INDEX($A$2:$A$501,MATCH(SMALL($H$2:$H$501,ROWS($I$2:I469)+$G$502),$H$2:$H$501,0)),"")</f>
        <v/>
      </c>
      <c r="J469">
        <f t="shared" si="46"/>
        <v>405</v>
      </c>
      <c r="K469" t="str">
        <f t="array" ref="K469">INDEX($B$2:$B$501,SMALL(IF($A$2:$A$501=I469,ROW($A$2:$A$501)-ROW(INDEX($A$2:$A$501,1,1))+1),J469))</f>
        <v/>
      </c>
      <c r="L469" t="str">
        <f t="array" ref="L469">INDEX($C$2:$C$501,SMALL(IF($A$2:$A$501=I469,ROW($A$2:$A$501)-ROW(INDEX($A$2:$A$501,1,1))+1),J469))</f>
        <v/>
      </c>
      <c r="N469" t="str">
        <f t="shared" si="47"/>
        <v/>
      </c>
      <c r="S469" s="10">
        <v>468</v>
      </c>
      <c r="T469" s="10" t="str">
        <f t="array" ref="T469">IFERROR(INDEX(A$2:$A$501,MATCH(0,COUNTIF($T$1:T468,A$2:$A$501),0)),"")</f>
        <v/>
      </c>
      <c r="U469" s="10">
        <f>IFERROR(MATCH(T469,I$2:$I$501,0),"")</f>
        <v>64</v>
      </c>
      <c r="V469" s="10">
        <f>COUNTIF(I$2:$I$501,T469)</f>
        <v>437</v>
      </c>
      <c r="W469" s="10"/>
      <c r="X469" s="10"/>
    </row>
    <row r="470" spans="1:24" x14ac:dyDescent="0.25">
      <c r="A470" t="str">
        <f>IF(Tests!B471="","",Tests!B471)</f>
        <v/>
      </c>
      <c r="B470" t="str">
        <f>IF(Tests!D471="","",Tests!D471)</f>
        <v/>
      </c>
      <c r="C470" t="str">
        <f>IF(Tests!E471="","",Tests!E471)</f>
        <v/>
      </c>
      <c r="E470" s="54">
        <f t="shared" si="42"/>
        <v>0</v>
      </c>
      <c r="F470" s="54">
        <f t="shared" si="43"/>
        <v>0</v>
      </c>
      <c r="G470" s="54">
        <f t="shared" si="44"/>
        <v>1</v>
      </c>
      <c r="H470" s="54">
        <f t="shared" si="45"/>
        <v>437</v>
      </c>
      <c r="I470" s="56" t="str">
        <f>IFERROR(INDEX($A$2:$A$501,MATCH(SMALL($H$2:$H$501,ROWS($I$2:I470)+$G$502),$H$2:$H$501,0)),"")</f>
        <v/>
      </c>
      <c r="J470">
        <f t="shared" si="46"/>
        <v>406</v>
      </c>
      <c r="K470" t="str">
        <f t="array" ref="K470">INDEX($B$2:$B$501,SMALL(IF($A$2:$A$501=I470,ROW($A$2:$A$501)-ROW(INDEX($A$2:$A$501,1,1))+1),J470))</f>
        <v/>
      </c>
      <c r="L470" t="str">
        <f t="array" ref="L470">INDEX($C$2:$C$501,SMALL(IF($A$2:$A$501=I470,ROW($A$2:$A$501)-ROW(INDEX($A$2:$A$501,1,1))+1),J470))</f>
        <v/>
      </c>
      <c r="N470" t="str">
        <f t="shared" si="47"/>
        <v/>
      </c>
      <c r="S470" s="10">
        <v>469</v>
      </c>
      <c r="T470" s="10" t="str">
        <f t="array" ref="T470">IFERROR(INDEX(A$2:$A$501,MATCH(0,COUNTIF($T$1:T469,A$2:$A$501),0)),"")</f>
        <v/>
      </c>
      <c r="U470" s="10">
        <f>IFERROR(MATCH(T470,I$2:$I$501,0),"")</f>
        <v>64</v>
      </c>
      <c r="V470" s="10">
        <f>COUNTIF(I$2:$I$501,T470)</f>
        <v>437</v>
      </c>
      <c r="W470" s="10"/>
      <c r="X470" s="10"/>
    </row>
    <row r="471" spans="1:24" x14ac:dyDescent="0.25">
      <c r="A471" t="str">
        <f>IF(Tests!B472="","",Tests!B472)</f>
        <v/>
      </c>
      <c r="B471" t="str">
        <f>IF(Tests!D472="","",Tests!D472)</f>
        <v/>
      </c>
      <c r="C471" t="str">
        <f>IF(Tests!E472="","",Tests!E472)</f>
        <v/>
      </c>
      <c r="E471" s="54">
        <f t="shared" si="42"/>
        <v>0</v>
      </c>
      <c r="F471" s="54">
        <f t="shared" si="43"/>
        <v>0</v>
      </c>
      <c r="G471" s="54">
        <f t="shared" si="44"/>
        <v>1</v>
      </c>
      <c r="H471" s="54">
        <f t="shared" si="45"/>
        <v>437</v>
      </c>
      <c r="I471" s="56" t="str">
        <f>IFERROR(INDEX($A$2:$A$501,MATCH(SMALL($H$2:$H$501,ROWS($I$2:I471)+$G$502),$H$2:$H$501,0)),"")</f>
        <v/>
      </c>
      <c r="J471">
        <f t="shared" si="46"/>
        <v>407</v>
      </c>
      <c r="K471" t="str">
        <f t="array" ref="K471">INDEX($B$2:$B$501,SMALL(IF($A$2:$A$501=I471,ROW($A$2:$A$501)-ROW(INDEX($A$2:$A$501,1,1))+1),J471))</f>
        <v/>
      </c>
      <c r="L471" t="str">
        <f t="array" ref="L471">INDEX($C$2:$C$501,SMALL(IF($A$2:$A$501=I471,ROW($A$2:$A$501)-ROW(INDEX($A$2:$A$501,1,1))+1),J471))</f>
        <v/>
      </c>
      <c r="N471" t="str">
        <f t="shared" si="47"/>
        <v/>
      </c>
      <c r="S471" s="10">
        <v>470</v>
      </c>
      <c r="T471" s="10" t="str">
        <f t="array" ref="T471">IFERROR(INDEX(A$2:$A$501,MATCH(0,COUNTIF($T$1:T470,A$2:$A$501),0)),"")</f>
        <v/>
      </c>
      <c r="U471" s="10">
        <f>IFERROR(MATCH(T471,I$2:$I$501,0),"")</f>
        <v>64</v>
      </c>
      <c r="V471" s="10">
        <f>COUNTIF(I$2:$I$501,T471)</f>
        <v>437</v>
      </c>
      <c r="W471" s="10"/>
      <c r="X471" s="10"/>
    </row>
    <row r="472" spans="1:24" x14ac:dyDescent="0.25">
      <c r="A472" t="str">
        <f>IF(Tests!B473="","",Tests!B473)</f>
        <v/>
      </c>
      <c r="B472" t="str">
        <f>IF(Tests!D473="","",Tests!D473)</f>
        <v/>
      </c>
      <c r="C472" t="str">
        <f>IF(Tests!E473="","",Tests!E473)</f>
        <v/>
      </c>
      <c r="E472" s="54">
        <f t="shared" si="42"/>
        <v>0</v>
      </c>
      <c r="F472" s="54">
        <f t="shared" si="43"/>
        <v>0</v>
      </c>
      <c r="G472" s="54">
        <f t="shared" si="44"/>
        <v>1</v>
      </c>
      <c r="H472" s="54">
        <f t="shared" si="45"/>
        <v>437</v>
      </c>
      <c r="I472" s="56" t="str">
        <f>IFERROR(INDEX($A$2:$A$501,MATCH(SMALL($H$2:$H$501,ROWS($I$2:I472)+$G$502),$H$2:$H$501,0)),"")</f>
        <v/>
      </c>
      <c r="J472">
        <f t="shared" si="46"/>
        <v>408</v>
      </c>
      <c r="K472" t="str">
        <f t="array" ref="K472">INDEX($B$2:$B$501,SMALL(IF($A$2:$A$501=I472,ROW($A$2:$A$501)-ROW(INDEX($A$2:$A$501,1,1))+1),J472))</f>
        <v/>
      </c>
      <c r="L472" t="str">
        <f t="array" ref="L472">INDEX($C$2:$C$501,SMALL(IF($A$2:$A$501=I472,ROW($A$2:$A$501)-ROW(INDEX($A$2:$A$501,1,1))+1),J472))</f>
        <v/>
      </c>
      <c r="N472" t="str">
        <f t="shared" si="47"/>
        <v/>
      </c>
      <c r="S472" s="10">
        <v>471</v>
      </c>
      <c r="T472" s="10" t="str">
        <f t="array" ref="T472">IFERROR(INDEX(A$2:$A$501,MATCH(0,COUNTIF($T$1:T471,A$2:$A$501),0)),"")</f>
        <v/>
      </c>
      <c r="U472" s="10">
        <f>IFERROR(MATCH(T472,I$2:$I$501,0),"")</f>
        <v>64</v>
      </c>
      <c r="V472" s="10">
        <f>COUNTIF(I$2:$I$501,T472)</f>
        <v>437</v>
      </c>
      <c r="W472" s="10"/>
      <c r="X472" s="10"/>
    </row>
    <row r="473" spans="1:24" x14ac:dyDescent="0.25">
      <c r="A473" t="str">
        <f>IF(Tests!B474="","",Tests!B474)</f>
        <v/>
      </c>
      <c r="B473" t="str">
        <f>IF(Tests!D474="","",Tests!D474)</f>
        <v/>
      </c>
      <c r="C473" t="str">
        <f>IF(Tests!E474="","",Tests!E474)</f>
        <v/>
      </c>
      <c r="E473" s="54">
        <f t="shared" si="42"/>
        <v>0</v>
      </c>
      <c r="F473" s="54">
        <f t="shared" si="43"/>
        <v>0</v>
      </c>
      <c r="G473" s="54">
        <f t="shared" si="44"/>
        <v>1</v>
      </c>
      <c r="H473" s="54">
        <f t="shared" si="45"/>
        <v>437</v>
      </c>
      <c r="I473" s="56" t="str">
        <f>IFERROR(INDEX($A$2:$A$501,MATCH(SMALL($H$2:$H$501,ROWS($I$2:I473)+$G$502),$H$2:$H$501,0)),"")</f>
        <v/>
      </c>
      <c r="J473">
        <f t="shared" si="46"/>
        <v>409</v>
      </c>
      <c r="K473" t="str">
        <f t="array" ref="K473">INDEX($B$2:$B$501,SMALL(IF($A$2:$A$501=I473,ROW($A$2:$A$501)-ROW(INDEX($A$2:$A$501,1,1))+1),J473))</f>
        <v/>
      </c>
      <c r="L473" t="str">
        <f t="array" ref="L473">INDEX($C$2:$C$501,SMALL(IF($A$2:$A$501=I473,ROW($A$2:$A$501)-ROW(INDEX($A$2:$A$501,1,1))+1),J473))</f>
        <v/>
      </c>
      <c r="N473" t="str">
        <f t="shared" si="47"/>
        <v/>
      </c>
      <c r="S473" s="10">
        <v>472</v>
      </c>
      <c r="T473" s="10" t="str">
        <f t="array" ref="T473">IFERROR(INDEX(A$2:$A$501,MATCH(0,COUNTIF($T$1:T472,A$2:$A$501),0)),"")</f>
        <v/>
      </c>
      <c r="U473" s="10">
        <f>IFERROR(MATCH(T473,I$2:$I$501,0),"")</f>
        <v>64</v>
      </c>
      <c r="V473" s="10">
        <f>COUNTIF(I$2:$I$501,T473)</f>
        <v>437</v>
      </c>
      <c r="W473" s="10"/>
      <c r="X473" s="10"/>
    </row>
    <row r="474" spans="1:24" x14ac:dyDescent="0.25">
      <c r="A474" t="str">
        <f>IF(Tests!B475="","",Tests!B475)</f>
        <v/>
      </c>
      <c r="B474" t="str">
        <f>IF(Tests!D475="","",Tests!D475)</f>
        <v/>
      </c>
      <c r="C474" t="str">
        <f>IF(Tests!E475="","",Tests!E475)</f>
        <v/>
      </c>
      <c r="E474" s="54">
        <f t="shared" si="42"/>
        <v>0</v>
      </c>
      <c r="F474" s="54">
        <f t="shared" si="43"/>
        <v>0</v>
      </c>
      <c r="G474" s="54">
        <f t="shared" si="44"/>
        <v>1</v>
      </c>
      <c r="H474" s="54">
        <f t="shared" si="45"/>
        <v>437</v>
      </c>
      <c r="I474" s="56" t="str">
        <f>IFERROR(INDEX($A$2:$A$501,MATCH(SMALL($H$2:$H$501,ROWS($I$2:I474)+$G$502),$H$2:$H$501,0)),"")</f>
        <v/>
      </c>
      <c r="J474">
        <f t="shared" si="46"/>
        <v>410</v>
      </c>
      <c r="K474" t="str">
        <f t="array" ref="K474">INDEX($B$2:$B$501,SMALL(IF($A$2:$A$501=I474,ROW($A$2:$A$501)-ROW(INDEX($A$2:$A$501,1,1))+1),J474))</f>
        <v/>
      </c>
      <c r="L474" t="str">
        <f t="array" ref="L474">INDEX($C$2:$C$501,SMALL(IF($A$2:$A$501=I474,ROW($A$2:$A$501)-ROW(INDEX($A$2:$A$501,1,1))+1),J474))</f>
        <v/>
      </c>
      <c r="N474" t="str">
        <f t="shared" si="47"/>
        <v/>
      </c>
      <c r="S474" s="10">
        <v>473</v>
      </c>
      <c r="T474" s="10" t="str">
        <f t="array" ref="T474">IFERROR(INDEX(A$2:$A$501,MATCH(0,COUNTIF($T$1:T473,A$2:$A$501),0)),"")</f>
        <v/>
      </c>
      <c r="U474" s="10">
        <f>IFERROR(MATCH(T474,I$2:$I$501,0),"")</f>
        <v>64</v>
      </c>
      <c r="V474" s="10">
        <f>COUNTIF(I$2:$I$501,T474)</f>
        <v>437</v>
      </c>
      <c r="W474" s="10"/>
      <c r="X474" s="10"/>
    </row>
    <row r="475" spans="1:24" x14ac:dyDescent="0.25">
      <c r="A475" t="str">
        <f>IF(Tests!B476="","",Tests!B476)</f>
        <v/>
      </c>
      <c r="B475" t="str">
        <f>IF(Tests!D476="","",Tests!D476)</f>
        <v/>
      </c>
      <c r="C475" t="str">
        <f>IF(Tests!E476="","",Tests!E476)</f>
        <v/>
      </c>
      <c r="E475" s="54">
        <f t="shared" si="42"/>
        <v>0</v>
      </c>
      <c r="F475" s="54">
        <f t="shared" si="43"/>
        <v>0</v>
      </c>
      <c r="G475" s="54">
        <f t="shared" si="44"/>
        <v>1</v>
      </c>
      <c r="H475" s="54">
        <f t="shared" si="45"/>
        <v>437</v>
      </c>
      <c r="I475" s="56" t="str">
        <f>IFERROR(INDEX($A$2:$A$501,MATCH(SMALL($H$2:$H$501,ROWS($I$2:I475)+$G$502),$H$2:$H$501,0)),"")</f>
        <v/>
      </c>
      <c r="J475">
        <f t="shared" si="46"/>
        <v>411</v>
      </c>
      <c r="K475" t="str">
        <f t="array" ref="K475">INDEX($B$2:$B$501,SMALL(IF($A$2:$A$501=I475,ROW($A$2:$A$501)-ROW(INDEX($A$2:$A$501,1,1))+1),J475))</f>
        <v/>
      </c>
      <c r="L475" t="str">
        <f t="array" ref="L475">INDEX($C$2:$C$501,SMALL(IF($A$2:$A$501=I475,ROW($A$2:$A$501)-ROW(INDEX($A$2:$A$501,1,1))+1),J475))</f>
        <v/>
      </c>
      <c r="N475" t="str">
        <f t="shared" si="47"/>
        <v/>
      </c>
      <c r="S475" s="10">
        <v>474</v>
      </c>
      <c r="T475" s="10" t="str">
        <f t="array" ref="T475">IFERROR(INDEX(A$2:$A$501,MATCH(0,COUNTIF($T$1:T474,A$2:$A$501),0)),"")</f>
        <v/>
      </c>
      <c r="U475" s="10">
        <f>IFERROR(MATCH(T475,I$2:$I$501,0),"")</f>
        <v>64</v>
      </c>
      <c r="V475" s="10">
        <f>COUNTIF(I$2:$I$501,T475)</f>
        <v>437</v>
      </c>
      <c r="W475" s="10"/>
      <c r="X475" s="10"/>
    </row>
    <row r="476" spans="1:24" x14ac:dyDescent="0.25">
      <c r="A476" t="str">
        <f>IF(Tests!B477="","",Tests!B477)</f>
        <v/>
      </c>
      <c r="B476" t="str">
        <f>IF(Tests!D477="","",Tests!D477)</f>
        <v/>
      </c>
      <c r="C476" t="str">
        <f>IF(Tests!E477="","",Tests!E477)</f>
        <v/>
      </c>
      <c r="E476" s="54">
        <f t="shared" si="42"/>
        <v>0</v>
      </c>
      <c r="F476" s="54">
        <f t="shared" si="43"/>
        <v>0</v>
      </c>
      <c r="G476" s="54">
        <f t="shared" si="44"/>
        <v>1</v>
      </c>
      <c r="H476" s="54">
        <f t="shared" si="45"/>
        <v>437</v>
      </c>
      <c r="I476" s="56" t="str">
        <f>IFERROR(INDEX($A$2:$A$501,MATCH(SMALL($H$2:$H$501,ROWS($I$2:I476)+$G$502),$H$2:$H$501,0)),"")</f>
        <v/>
      </c>
      <c r="J476">
        <f t="shared" si="46"/>
        <v>412</v>
      </c>
      <c r="K476" t="str">
        <f t="array" ref="K476">INDEX($B$2:$B$501,SMALL(IF($A$2:$A$501=I476,ROW($A$2:$A$501)-ROW(INDEX($A$2:$A$501,1,1))+1),J476))</f>
        <v/>
      </c>
      <c r="L476" t="str">
        <f t="array" ref="L476">INDEX($C$2:$C$501,SMALL(IF($A$2:$A$501=I476,ROW($A$2:$A$501)-ROW(INDEX($A$2:$A$501,1,1))+1),J476))</f>
        <v/>
      </c>
      <c r="N476" t="str">
        <f t="shared" si="47"/>
        <v/>
      </c>
      <c r="S476" s="10">
        <v>475</v>
      </c>
      <c r="T476" s="10" t="str">
        <f t="array" ref="T476">IFERROR(INDEX(A$2:$A$501,MATCH(0,COUNTIF($T$1:T475,A$2:$A$501),0)),"")</f>
        <v/>
      </c>
      <c r="U476" s="10">
        <f>IFERROR(MATCH(T476,I$2:$I$501,0),"")</f>
        <v>64</v>
      </c>
      <c r="V476" s="10">
        <f>COUNTIF(I$2:$I$501,T476)</f>
        <v>437</v>
      </c>
      <c r="W476" s="10"/>
      <c r="X476" s="10"/>
    </row>
    <row r="477" spans="1:24" x14ac:dyDescent="0.25">
      <c r="A477" t="str">
        <f>IF(Tests!B478="","",Tests!B478)</f>
        <v/>
      </c>
      <c r="B477" t="str">
        <f>IF(Tests!D478="","",Tests!D478)</f>
        <v/>
      </c>
      <c r="C477" t="str">
        <f>IF(Tests!E478="","",Tests!E478)</f>
        <v/>
      </c>
      <c r="E477" s="54">
        <f t="shared" si="42"/>
        <v>0</v>
      </c>
      <c r="F477" s="54">
        <f t="shared" si="43"/>
        <v>0</v>
      </c>
      <c r="G477" s="54">
        <f t="shared" si="44"/>
        <v>1</v>
      </c>
      <c r="H477" s="54">
        <f t="shared" si="45"/>
        <v>437</v>
      </c>
      <c r="I477" s="56" t="str">
        <f>IFERROR(INDEX($A$2:$A$501,MATCH(SMALL($H$2:$H$501,ROWS($I$2:I477)+$G$502),$H$2:$H$501,0)),"")</f>
        <v/>
      </c>
      <c r="J477">
        <f t="shared" si="46"/>
        <v>413</v>
      </c>
      <c r="K477" t="str">
        <f t="array" ref="K477">INDEX($B$2:$B$501,SMALL(IF($A$2:$A$501=I477,ROW($A$2:$A$501)-ROW(INDEX($A$2:$A$501,1,1))+1),J477))</f>
        <v/>
      </c>
      <c r="L477" t="str">
        <f t="array" ref="L477">INDEX($C$2:$C$501,SMALL(IF($A$2:$A$501=I477,ROW($A$2:$A$501)-ROW(INDEX($A$2:$A$501,1,1))+1),J477))</f>
        <v/>
      </c>
      <c r="N477" t="str">
        <f t="shared" si="47"/>
        <v/>
      </c>
      <c r="S477" s="10">
        <v>476</v>
      </c>
      <c r="T477" s="10" t="str">
        <f t="array" ref="T477">IFERROR(INDEX(A$2:$A$501,MATCH(0,COUNTIF($T$1:T476,A$2:$A$501),0)),"")</f>
        <v/>
      </c>
      <c r="U477" s="10">
        <f>IFERROR(MATCH(T477,I$2:$I$501,0),"")</f>
        <v>64</v>
      </c>
      <c r="V477" s="10">
        <f>COUNTIF(I$2:$I$501,T477)</f>
        <v>437</v>
      </c>
      <c r="W477" s="10"/>
      <c r="X477" s="10"/>
    </row>
    <row r="478" spans="1:24" x14ac:dyDescent="0.25">
      <c r="A478" t="str">
        <f>IF(Tests!B479="","",Tests!B479)</f>
        <v/>
      </c>
      <c r="B478" t="str">
        <f>IF(Tests!D479="","",Tests!D479)</f>
        <v/>
      </c>
      <c r="C478" t="str">
        <f>IF(Tests!E479="","",Tests!E479)</f>
        <v/>
      </c>
      <c r="E478" s="54">
        <f t="shared" si="42"/>
        <v>0</v>
      </c>
      <c r="F478" s="54">
        <f t="shared" si="43"/>
        <v>0</v>
      </c>
      <c r="G478" s="54">
        <f t="shared" si="44"/>
        <v>1</v>
      </c>
      <c r="H478" s="54">
        <f t="shared" si="45"/>
        <v>437</v>
      </c>
      <c r="I478" s="56" t="str">
        <f>IFERROR(INDEX($A$2:$A$501,MATCH(SMALL($H$2:$H$501,ROWS($I$2:I478)+$G$502),$H$2:$H$501,0)),"")</f>
        <v/>
      </c>
      <c r="J478">
        <f t="shared" si="46"/>
        <v>414</v>
      </c>
      <c r="K478" t="str">
        <f t="array" ref="K478">INDEX($B$2:$B$501,SMALL(IF($A$2:$A$501=I478,ROW($A$2:$A$501)-ROW(INDEX($A$2:$A$501,1,1))+1),J478))</f>
        <v/>
      </c>
      <c r="L478" t="str">
        <f t="array" ref="L478">INDEX($C$2:$C$501,SMALL(IF($A$2:$A$501=I478,ROW($A$2:$A$501)-ROW(INDEX($A$2:$A$501,1,1))+1),J478))</f>
        <v/>
      </c>
      <c r="N478" t="str">
        <f t="shared" si="47"/>
        <v/>
      </c>
      <c r="S478" s="10">
        <v>477</v>
      </c>
      <c r="T478" s="10" t="str">
        <f t="array" ref="T478">IFERROR(INDEX(A$2:$A$501,MATCH(0,COUNTIF($T$1:T477,A$2:$A$501),0)),"")</f>
        <v/>
      </c>
      <c r="U478" s="10">
        <f>IFERROR(MATCH(T478,I$2:$I$501,0),"")</f>
        <v>64</v>
      </c>
      <c r="V478" s="10">
        <f>COUNTIF(I$2:$I$501,T478)</f>
        <v>437</v>
      </c>
      <c r="W478" s="10"/>
      <c r="X478" s="10"/>
    </row>
    <row r="479" spans="1:24" x14ac:dyDescent="0.25">
      <c r="A479" t="str">
        <f>IF(Tests!B480="","",Tests!B480)</f>
        <v/>
      </c>
      <c r="B479" t="str">
        <f>IF(Tests!D480="","",Tests!D480)</f>
        <v/>
      </c>
      <c r="C479" t="str">
        <f>IF(Tests!E480="","",Tests!E480)</f>
        <v/>
      </c>
      <c r="E479" s="54">
        <f t="shared" si="42"/>
        <v>0</v>
      </c>
      <c r="F479" s="54">
        <f t="shared" si="43"/>
        <v>0</v>
      </c>
      <c r="G479" s="54">
        <f t="shared" si="44"/>
        <v>1</v>
      </c>
      <c r="H479" s="54">
        <f t="shared" si="45"/>
        <v>437</v>
      </c>
      <c r="I479" s="56" t="str">
        <f>IFERROR(INDEX($A$2:$A$501,MATCH(SMALL($H$2:$H$501,ROWS($I$2:I479)+$G$502),$H$2:$H$501,0)),"")</f>
        <v/>
      </c>
      <c r="J479">
        <f t="shared" si="46"/>
        <v>415</v>
      </c>
      <c r="K479" t="str">
        <f t="array" ref="K479">INDEX($B$2:$B$501,SMALL(IF($A$2:$A$501=I479,ROW($A$2:$A$501)-ROW(INDEX($A$2:$A$501,1,1))+1),J479))</f>
        <v/>
      </c>
      <c r="L479" t="str">
        <f t="array" ref="L479">INDEX($C$2:$C$501,SMALL(IF($A$2:$A$501=I479,ROW($A$2:$A$501)-ROW(INDEX($A$2:$A$501,1,1))+1),J479))</f>
        <v/>
      </c>
      <c r="N479" t="str">
        <f t="shared" si="47"/>
        <v/>
      </c>
      <c r="S479" s="10">
        <v>478</v>
      </c>
      <c r="T479" s="10" t="str">
        <f t="array" ref="T479">IFERROR(INDEX(A$2:$A$501,MATCH(0,COUNTIF($T$1:T478,A$2:$A$501),0)),"")</f>
        <v/>
      </c>
      <c r="U479" s="10">
        <f>IFERROR(MATCH(T479,I$2:$I$501,0),"")</f>
        <v>64</v>
      </c>
      <c r="V479" s="10">
        <f>COUNTIF(I$2:$I$501,T479)</f>
        <v>437</v>
      </c>
      <c r="W479" s="10"/>
      <c r="X479" s="10"/>
    </row>
    <row r="480" spans="1:24" x14ac:dyDescent="0.25">
      <c r="A480" t="str">
        <f>IF(Tests!B481="","",Tests!B481)</f>
        <v/>
      </c>
      <c r="B480" t="str">
        <f>IF(Tests!D481="","",Tests!D481)</f>
        <v/>
      </c>
      <c r="C480" t="str">
        <f>IF(Tests!E481="","",Tests!E481)</f>
        <v/>
      </c>
      <c r="E480" s="54">
        <f t="shared" si="42"/>
        <v>0</v>
      </c>
      <c r="F480" s="54">
        <f t="shared" si="43"/>
        <v>0</v>
      </c>
      <c r="G480" s="54">
        <f t="shared" si="44"/>
        <v>1</v>
      </c>
      <c r="H480" s="54">
        <f t="shared" si="45"/>
        <v>437</v>
      </c>
      <c r="I480" s="56" t="str">
        <f>IFERROR(INDEX($A$2:$A$501,MATCH(SMALL($H$2:$H$501,ROWS($I$2:I480)+$G$502),$H$2:$H$501,0)),"")</f>
        <v/>
      </c>
      <c r="J480">
        <f t="shared" si="46"/>
        <v>416</v>
      </c>
      <c r="K480" t="str">
        <f t="array" ref="K480">INDEX($B$2:$B$501,SMALL(IF($A$2:$A$501=I480,ROW($A$2:$A$501)-ROW(INDEX($A$2:$A$501,1,1))+1),J480))</f>
        <v/>
      </c>
      <c r="L480" t="str">
        <f t="array" ref="L480">INDEX($C$2:$C$501,SMALL(IF($A$2:$A$501=I480,ROW($A$2:$A$501)-ROW(INDEX($A$2:$A$501,1,1))+1),J480))</f>
        <v/>
      </c>
      <c r="N480" t="str">
        <f t="shared" si="47"/>
        <v/>
      </c>
      <c r="S480" s="10">
        <v>479</v>
      </c>
      <c r="T480" s="10" t="str">
        <f t="array" ref="T480">IFERROR(INDEX(A$2:$A$501,MATCH(0,COUNTIF($T$1:T479,A$2:$A$501),0)),"")</f>
        <v/>
      </c>
      <c r="U480" s="10">
        <f>IFERROR(MATCH(T480,I$2:$I$501,0),"")</f>
        <v>64</v>
      </c>
      <c r="V480" s="10">
        <f>COUNTIF(I$2:$I$501,T480)</f>
        <v>437</v>
      </c>
      <c r="W480" s="10"/>
      <c r="X480" s="10"/>
    </row>
    <row r="481" spans="1:24" x14ac:dyDescent="0.25">
      <c r="A481" t="str">
        <f>IF(Tests!B482="","",Tests!B482)</f>
        <v/>
      </c>
      <c r="B481" t="str">
        <f>IF(Tests!D482="","",Tests!D482)</f>
        <v/>
      </c>
      <c r="C481" t="str">
        <f>IF(Tests!E482="","",Tests!E482)</f>
        <v/>
      </c>
      <c r="E481" s="54">
        <f t="shared" si="42"/>
        <v>0</v>
      </c>
      <c r="F481" s="54">
        <f t="shared" si="43"/>
        <v>0</v>
      </c>
      <c r="G481" s="54">
        <f t="shared" si="44"/>
        <v>1</v>
      </c>
      <c r="H481" s="54">
        <f t="shared" si="45"/>
        <v>437</v>
      </c>
      <c r="I481" s="56" t="str">
        <f>IFERROR(INDEX($A$2:$A$501,MATCH(SMALL($H$2:$H$501,ROWS($I$2:I481)+$G$502),$H$2:$H$501,0)),"")</f>
        <v/>
      </c>
      <c r="J481">
        <f t="shared" si="46"/>
        <v>417</v>
      </c>
      <c r="K481" t="str">
        <f t="array" ref="K481">INDEX($B$2:$B$501,SMALL(IF($A$2:$A$501=I481,ROW($A$2:$A$501)-ROW(INDEX($A$2:$A$501,1,1))+1),J481))</f>
        <v/>
      </c>
      <c r="L481" t="str">
        <f t="array" ref="L481">INDEX($C$2:$C$501,SMALL(IF($A$2:$A$501=I481,ROW($A$2:$A$501)-ROW(INDEX($A$2:$A$501,1,1))+1),J481))</f>
        <v/>
      </c>
      <c r="N481" t="str">
        <f t="shared" si="47"/>
        <v/>
      </c>
      <c r="S481" s="10">
        <v>480</v>
      </c>
      <c r="T481" s="10" t="str">
        <f t="array" ref="T481">IFERROR(INDEX(A$2:$A$501,MATCH(0,COUNTIF($T$1:T480,A$2:$A$501),0)),"")</f>
        <v/>
      </c>
      <c r="U481" s="10">
        <f>IFERROR(MATCH(T481,I$2:$I$501,0),"")</f>
        <v>64</v>
      </c>
      <c r="V481" s="10">
        <f>COUNTIF(I$2:$I$501,T481)</f>
        <v>437</v>
      </c>
      <c r="W481" s="10"/>
      <c r="X481" s="10"/>
    </row>
    <row r="482" spans="1:24" x14ac:dyDescent="0.25">
      <c r="A482" t="str">
        <f>IF(Tests!B483="","",Tests!B483)</f>
        <v/>
      </c>
      <c r="B482" t="str">
        <f>IF(Tests!D483="","",Tests!D483)</f>
        <v/>
      </c>
      <c r="C482" t="str">
        <f>IF(Tests!E483="","",Tests!E483)</f>
        <v/>
      </c>
      <c r="E482" s="54">
        <f t="shared" si="42"/>
        <v>0</v>
      </c>
      <c r="F482" s="54">
        <f t="shared" si="43"/>
        <v>0</v>
      </c>
      <c r="G482" s="54">
        <f t="shared" si="44"/>
        <v>1</v>
      </c>
      <c r="H482" s="54">
        <f t="shared" si="45"/>
        <v>437</v>
      </c>
      <c r="I482" s="56" t="str">
        <f>IFERROR(INDEX($A$2:$A$501,MATCH(SMALL($H$2:$H$501,ROWS($I$2:I482)+$G$502),$H$2:$H$501,0)),"")</f>
        <v/>
      </c>
      <c r="J482">
        <f t="shared" si="46"/>
        <v>418</v>
      </c>
      <c r="K482" t="str">
        <f t="array" ref="K482">INDEX($B$2:$B$501,SMALL(IF($A$2:$A$501=I482,ROW($A$2:$A$501)-ROW(INDEX($A$2:$A$501,1,1))+1),J482))</f>
        <v/>
      </c>
      <c r="L482" t="str">
        <f t="array" ref="L482">INDEX($C$2:$C$501,SMALL(IF($A$2:$A$501=I482,ROW($A$2:$A$501)-ROW(INDEX($A$2:$A$501,1,1))+1),J482))</f>
        <v/>
      </c>
      <c r="N482" t="str">
        <f t="shared" si="47"/>
        <v/>
      </c>
      <c r="S482" s="10">
        <v>481</v>
      </c>
      <c r="T482" s="10" t="str">
        <f t="array" ref="T482">IFERROR(INDEX(A$2:$A$501,MATCH(0,COUNTIF($T$1:T481,A$2:$A$501),0)),"")</f>
        <v/>
      </c>
      <c r="U482" s="10">
        <f>IFERROR(MATCH(T482,I$2:$I$501,0),"")</f>
        <v>64</v>
      </c>
      <c r="V482" s="10">
        <f>COUNTIF(I$2:$I$501,T482)</f>
        <v>437</v>
      </c>
      <c r="W482" s="10"/>
      <c r="X482" s="10"/>
    </row>
    <row r="483" spans="1:24" x14ac:dyDescent="0.25">
      <c r="A483" t="str">
        <f>IF(Tests!B484="","",Tests!B484)</f>
        <v/>
      </c>
      <c r="B483" t="str">
        <f>IF(Tests!D484="","",Tests!D484)</f>
        <v/>
      </c>
      <c r="C483" t="str">
        <f>IF(Tests!E484="","",Tests!E484)</f>
        <v/>
      </c>
      <c r="E483" s="54">
        <f t="shared" si="42"/>
        <v>0</v>
      </c>
      <c r="F483" s="54">
        <f t="shared" si="43"/>
        <v>0</v>
      </c>
      <c r="G483" s="54">
        <f t="shared" si="44"/>
        <v>1</v>
      </c>
      <c r="H483" s="54">
        <f t="shared" si="45"/>
        <v>437</v>
      </c>
      <c r="I483" s="56" t="str">
        <f>IFERROR(INDEX($A$2:$A$501,MATCH(SMALL($H$2:$H$501,ROWS($I$2:I483)+$G$502),$H$2:$H$501,0)),"")</f>
        <v/>
      </c>
      <c r="J483">
        <f t="shared" si="46"/>
        <v>419</v>
      </c>
      <c r="K483" t="str">
        <f t="array" ref="K483">INDEX($B$2:$B$501,SMALL(IF($A$2:$A$501=I483,ROW($A$2:$A$501)-ROW(INDEX($A$2:$A$501,1,1))+1),J483))</f>
        <v/>
      </c>
      <c r="L483" t="str">
        <f t="array" ref="L483">INDEX($C$2:$C$501,SMALL(IF($A$2:$A$501=I483,ROW($A$2:$A$501)-ROW(INDEX($A$2:$A$501,1,1))+1),J483))</f>
        <v/>
      </c>
      <c r="N483" t="str">
        <f t="shared" si="47"/>
        <v/>
      </c>
      <c r="S483" s="10">
        <v>482</v>
      </c>
      <c r="T483" s="10" t="str">
        <f t="array" ref="T483">IFERROR(INDEX(A$2:$A$501,MATCH(0,COUNTIF($T$1:T482,A$2:$A$501),0)),"")</f>
        <v/>
      </c>
      <c r="U483" s="10">
        <f>IFERROR(MATCH(T483,I$2:$I$501,0),"")</f>
        <v>64</v>
      </c>
      <c r="V483" s="10">
        <f>COUNTIF(I$2:$I$501,T483)</f>
        <v>437</v>
      </c>
      <c r="W483" s="10"/>
      <c r="X483" s="10"/>
    </row>
    <row r="484" spans="1:24" x14ac:dyDescent="0.25">
      <c r="A484" t="str">
        <f>IF(Tests!B485="","",Tests!B485)</f>
        <v/>
      </c>
      <c r="B484" t="str">
        <f>IF(Tests!D485="","",Tests!D485)</f>
        <v/>
      </c>
      <c r="C484" t="str">
        <f>IF(Tests!E485="","",Tests!E485)</f>
        <v/>
      </c>
      <c r="E484" s="54">
        <f t="shared" si="42"/>
        <v>0</v>
      </c>
      <c r="F484" s="54">
        <f t="shared" si="43"/>
        <v>0</v>
      </c>
      <c r="G484" s="54">
        <f t="shared" si="44"/>
        <v>1</v>
      </c>
      <c r="H484" s="54">
        <f t="shared" si="45"/>
        <v>437</v>
      </c>
      <c r="I484" s="56" t="str">
        <f>IFERROR(INDEX($A$2:$A$501,MATCH(SMALL($H$2:$H$501,ROWS($I$2:I484)+$G$502),$H$2:$H$501,0)),"")</f>
        <v/>
      </c>
      <c r="J484">
        <f t="shared" si="46"/>
        <v>420</v>
      </c>
      <c r="K484" t="str">
        <f t="array" ref="K484">INDEX($B$2:$B$501,SMALL(IF($A$2:$A$501=I484,ROW($A$2:$A$501)-ROW(INDEX($A$2:$A$501,1,1))+1),J484))</f>
        <v/>
      </c>
      <c r="L484" t="str">
        <f t="array" ref="L484">INDEX($C$2:$C$501,SMALL(IF($A$2:$A$501=I484,ROW($A$2:$A$501)-ROW(INDEX($A$2:$A$501,1,1))+1),J484))</f>
        <v/>
      </c>
      <c r="N484" t="str">
        <f t="shared" si="47"/>
        <v/>
      </c>
      <c r="S484" s="10">
        <v>483</v>
      </c>
      <c r="T484" s="10" t="str">
        <f t="array" ref="T484">IFERROR(INDEX(A$2:$A$501,MATCH(0,COUNTIF($T$1:T483,A$2:$A$501),0)),"")</f>
        <v/>
      </c>
      <c r="U484" s="10">
        <f>IFERROR(MATCH(T484,I$2:$I$501,0),"")</f>
        <v>64</v>
      </c>
      <c r="V484" s="10">
        <f>COUNTIF(I$2:$I$501,T484)</f>
        <v>437</v>
      </c>
      <c r="W484" s="10"/>
      <c r="X484" s="10"/>
    </row>
    <row r="485" spans="1:24" x14ac:dyDescent="0.25">
      <c r="A485" t="str">
        <f>IF(Tests!B486="","",Tests!B486)</f>
        <v/>
      </c>
      <c r="B485" t="str">
        <f>IF(Tests!D486="","",Tests!D486)</f>
        <v/>
      </c>
      <c r="C485" t="str">
        <f>IF(Tests!E486="","",Tests!E486)</f>
        <v/>
      </c>
      <c r="E485" s="54">
        <f t="shared" si="42"/>
        <v>0</v>
      </c>
      <c r="F485" s="54">
        <f t="shared" si="43"/>
        <v>0</v>
      </c>
      <c r="G485" s="54">
        <f t="shared" si="44"/>
        <v>1</v>
      </c>
      <c r="H485" s="54">
        <f t="shared" si="45"/>
        <v>437</v>
      </c>
      <c r="I485" s="56" t="str">
        <f>IFERROR(INDEX($A$2:$A$501,MATCH(SMALL($H$2:$H$501,ROWS($I$2:I485)+$G$502),$H$2:$H$501,0)),"")</f>
        <v/>
      </c>
      <c r="J485">
        <f t="shared" si="46"/>
        <v>421</v>
      </c>
      <c r="K485" t="str">
        <f t="array" ref="K485">INDEX($B$2:$B$501,SMALL(IF($A$2:$A$501=I485,ROW($A$2:$A$501)-ROW(INDEX($A$2:$A$501,1,1))+1),J485))</f>
        <v/>
      </c>
      <c r="L485" t="str">
        <f t="array" ref="L485">INDEX($C$2:$C$501,SMALL(IF($A$2:$A$501=I485,ROW($A$2:$A$501)-ROW(INDEX($A$2:$A$501,1,1))+1),J485))</f>
        <v/>
      </c>
      <c r="N485" t="str">
        <f t="shared" si="47"/>
        <v/>
      </c>
      <c r="S485" s="10">
        <v>484</v>
      </c>
      <c r="T485" s="10" t="str">
        <f t="array" ref="T485">IFERROR(INDEX(A$2:$A$501,MATCH(0,COUNTIF($T$1:T484,A$2:$A$501),0)),"")</f>
        <v/>
      </c>
      <c r="U485" s="10">
        <f>IFERROR(MATCH(T485,I$2:$I$501,0),"")</f>
        <v>64</v>
      </c>
      <c r="V485" s="10">
        <f>COUNTIF(I$2:$I$501,T485)</f>
        <v>437</v>
      </c>
      <c r="W485" s="10"/>
      <c r="X485" s="10"/>
    </row>
    <row r="486" spans="1:24" x14ac:dyDescent="0.25">
      <c r="A486" t="str">
        <f>IF(Tests!B487="","",Tests!B487)</f>
        <v/>
      </c>
      <c r="B486" t="str">
        <f>IF(Tests!D487="","",Tests!D487)</f>
        <v/>
      </c>
      <c r="C486" t="str">
        <f>IF(Tests!E487="","",Tests!E487)</f>
        <v/>
      </c>
      <c r="E486" s="54">
        <f t="shared" si="42"/>
        <v>0</v>
      </c>
      <c r="F486" s="54">
        <f t="shared" si="43"/>
        <v>0</v>
      </c>
      <c r="G486" s="54">
        <f t="shared" si="44"/>
        <v>1</v>
      </c>
      <c r="H486" s="54">
        <f t="shared" si="45"/>
        <v>437</v>
      </c>
      <c r="I486" s="56" t="str">
        <f>IFERROR(INDEX($A$2:$A$501,MATCH(SMALL($H$2:$H$501,ROWS($I$2:I486)+$G$502),$H$2:$H$501,0)),"")</f>
        <v/>
      </c>
      <c r="J486">
        <f t="shared" si="46"/>
        <v>422</v>
      </c>
      <c r="K486" t="str">
        <f t="array" ref="K486">INDEX($B$2:$B$501,SMALL(IF($A$2:$A$501=I486,ROW($A$2:$A$501)-ROW(INDEX($A$2:$A$501,1,1))+1),J486))</f>
        <v/>
      </c>
      <c r="L486" t="str">
        <f t="array" ref="L486">INDEX($C$2:$C$501,SMALL(IF($A$2:$A$501=I486,ROW($A$2:$A$501)-ROW(INDEX($A$2:$A$501,1,1))+1),J486))</f>
        <v/>
      </c>
      <c r="N486" t="str">
        <f t="shared" si="47"/>
        <v/>
      </c>
      <c r="S486" s="10">
        <v>485</v>
      </c>
      <c r="T486" s="10" t="str">
        <f t="array" ref="T486">IFERROR(INDEX(A$2:$A$501,MATCH(0,COUNTIF($T$1:T485,A$2:$A$501),0)),"")</f>
        <v/>
      </c>
      <c r="U486" s="10">
        <f>IFERROR(MATCH(T486,I$2:$I$501,0),"")</f>
        <v>64</v>
      </c>
      <c r="V486" s="10">
        <f>COUNTIF(I$2:$I$501,T486)</f>
        <v>437</v>
      </c>
      <c r="W486" s="10"/>
      <c r="X486" s="10"/>
    </row>
    <row r="487" spans="1:24" x14ac:dyDescent="0.25">
      <c r="A487" t="str">
        <f>IF(Tests!B488="","",Tests!B488)</f>
        <v/>
      </c>
      <c r="B487" t="str">
        <f>IF(Tests!D488="","",Tests!D488)</f>
        <v/>
      </c>
      <c r="C487" t="str">
        <f>IF(Tests!E488="","",Tests!E488)</f>
        <v/>
      </c>
      <c r="E487" s="54">
        <f t="shared" si="42"/>
        <v>0</v>
      </c>
      <c r="F487" s="54">
        <f t="shared" si="43"/>
        <v>0</v>
      </c>
      <c r="G487" s="54">
        <f t="shared" si="44"/>
        <v>1</v>
      </c>
      <c r="H487" s="54">
        <f t="shared" si="45"/>
        <v>437</v>
      </c>
      <c r="I487" s="56" t="str">
        <f>IFERROR(INDEX($A$2:$A$501,MATCH(SMALL($H$2:$H$501,ROWS($I$2:I487)+$G$502),$H$2:$H$501,0)),"")</f>
        <v/>
      </c>
      <c r="J487">
        <f t="shared" si="46"/>
        <v>423</v>
      </c>
      <c r="K487" t="str">
        <f t="array" ref="K487">INDEX($B$2:$B$501,SMALL(IF($A$2:$A$501=I487,ROW($A$2:$A$501)-ROW(INDEX($A$2:$A$501,1,1))+1),J487))</f>
        <v/>
      </c>
      <c r="L487" t="str">
        <f t="array" ref="L487">INDEX($C$2:$C$501,SMALL(IF($A$2:$A$501=I487,ROW($A$2:$A$501)-ROW(INDEX($A$2:$A$501,1,1))+1),J487))</f>
        <v/>
      </c>
      <c r="N487" t="str">
        <f t="shared" si="47"/>
        <v/>
      </c>
      <c r="S487" s="10">
        <v>486</v>
      </c>
      <c r="T487" s="10" t="str">
        <f t="array" ref="T487">IFERROR(INDEX(A$2:$A$501,MATCH(0,COUNTIF($T$1:T486,A$2:$A$501),0)),"")</f>
        <v/>
      </c>
      <c r="U487" s="10">
        <f>IFERROR(MATCH(T487,I$2:$I$501,0),"")</f>
        <v>64</v>
      </c>
      <c r="V487" s="10">
        <f>COUNTIF(I$2:$I$501,T487)</f>
        <v>437</v>
      </c>
      <c r="W487" s="10"/>
      <c r="X487" s="10"/>
    </row>
    <row r="488" spans="1:24" x14ac:dyDescent="0.25">
      <c r="A488" t="str">
        <f>IF(Tests!B489="","",Tests!B489)</f>
        <v/>
      </c>
      <c r="B488" t="str">
        <f>IF(Tests!D489="","",Tests!D489)</f>
        <v/>
      </c>
      <c r="C488" t="str">
        <f>IF(Tests!E489="","",Tests!E489)</f>
        <v/>
      </c>
      <c r="E488" s="54">
        <f t="shared" si="42"/>
        <v>0</v>
      </c>
      <c r="F488" s="54">
        <f t="shared" si="43"/>
        <v>0</v>
      </c>
      <c r="G488" s="54">
        <f t="shared" si="44"/>
        <v>1</v>
      </c>
      <c r="H488" s="54">
        <f t="shared" si="45"/>
        <v>437</v>
      </c>
      <c r="I488" s="56" t="str">
        <f>IFERROR(INDEX($A$2:$A$501,MATCH(SMALL($H$2:$H$501,ROWS($I$2:I488)+$G$502),$H$2:$H$501,0)),"")</f>
        <v/>
      </c>
      <c r="J488">
        <f t="shared" si="46"/>
        <v>424</v>
      </c>
      <c r="K488" t="str">
        <f t="array" ref="K488">INDEX($B$2:$B$501,SMALL(IF($A$2:$A$501=I488,ROW($A$2:$A$501)-ROW(INDEX($A$2:$A$501,1,1))+1),J488))</f>
        <v/>
      </c>
      <c r="L488" t="str">
        <f t="array" ref="L488">INDEX($C$2:$C$501,SMALL(IF($A$2:$A$501=I488,ROW($A$2:$A$501)-ROW(INDEX($A$2:$A$501,1,1))+1),J488))</f>
        <v/>
      </c>
      <c r="N488" t="str">
        <f t="shared" si="47"/>
        <v/>
      </c>
      <c r="S488" s="10">
        <v>487</v>
      </c>
      <c r="T488" s="10" t="str">
        <f t="array" ref="T488">IFERROR(INDEX(A$2:$A$501,MATCH(0,COUNTIF($T$1:T487,A$2:$A$501),0)),"")</f>
        <v/>
      </c>
      <c r="U488" s="10">
        <f>IFERROR(MATCH(T488,I$2:$I$501,0),"")</f>
        <v>64</v>
      </c>
      <c r="V488" s="10">
        <f>COUNTIF(I$2:$I$501,T488)</f>
        <v>437</v>
      </c>
      <c r="W488" s="10"/>
      <c r="X488" s="10"/>
    </row>
    <row r="489" spans="1:24" x14ac:dyDescent="0.25">
      <c r="A489" t="str">
        <f>IF(Tests!B490="","",Tests!B490)</f>
        <v/>
      </c>
      <c r="B489" t="str">
        <f>IF(Tests!D490="","",Tests!D490)</f>
        <v/>
      </c>
      <c r="C489" t="str">
        <f>IF(Tests!E490="","",Tests!E490)</f>
        <v/>
      </c>
      <c r="E489" s="54">
        <f t="shared" si="42"/>
        <v>0</v>
      </c>
      <c r="F489" s="54">
        <f t="shared" si="43"/>
        <v>0</v>
      </c>
      <c r="G489" s="54">
        <f t="shared" si="44"/>
        <v>1</v>
      </c>
      <c r="H489" s="54">
        <f t="shared" si="45"/>
        <v>437</v>
      </c>
      <c r="I489" s="56" t="str">
        <f>IFERROR(INDEX($A$2:$A$501,MATCH(SMALL($H$2:$H$501,ROWS($I$2:I489)+$G$502),$H$2:$H$501,0)),"")</f>
        <v/>
      </c>
      <c r="J489">
        <f t="shared" si="46"/>
        <v>425</v>
      </c>
      <c r="K489" t="str">
        <f t="array" ref="K489">INDEX($B$2:$B$501,SMALL(IF($A$2:$A$501=I489,ROW($A$2:$A$501)-ROW(INDEX($A$2:$A$501,1,1))+1),J489))</f>
        <v/>
      </c>
      <c r="L489" t="str">
        <f t="array" ref="L489">INDEX($C$2:$C$501,SMALL(IF($A$2:$A$501=I489,ROW($A$2:$A$501)-ROW(INDEX($A$2:$A$501,1,1))+1),J489))</f>
        <v/>
      </c>
      <c r="N489" t="str">
        <f t="shared" si="47"/>
        <v/>
      </c>
      <c r="S489" s="10">
        <v>488</v>
      </c>
      <c r="T489" s="10" t="str">
        <f t="array" ref="T489">IFERROR(INDEX(A$2:$A$501,MATCH(0,COUNTIF($T$1:T488,A$2:$A$501),0)),"")</f>
        <v/>
      </c>
      <c r="U489" s="10">
        <f>IFERROR(MATCH(T489,I$2:$I$501,0),"")</f>
        <v>64</v>
      </c>
      <c r="V489" s="10">
        <f>COUNTIF(I$2:$I$501,T489)</f>
        <v>437</v>
      </c>
      <c r="W489" s="10"/>
      <c r="X489" s="10"/>
    </row>
    <row r="490" spans="1:24" x14ac:dyDescent="0.25">
      <c r="A490" t="str">
        <f>IF(Tests!B491="","",Tests!B491)</f>
        <v/>
      </c>
      <c r="B490" t="str">
        <f>IF(Tests!D491="","",Tests!D491)</f>
        <v/>
      </c>
      <c r="C490" t="str">
        <f>IF(Tests!E491="","",Tests!E491)</f>
        <v/>
      </c>
      <c r="E490" s="54">
        <f t="shared" si="42"/>
        <v>0</v>
      </c>
      <c r="F490" s="54">
        <f t="shared" si="43"/>
        <v>0</v>
      </c>
      <c r="G490" s="54">
        <f t="shared" si="44"/>
        <v>1</v>
      </c>
      <c r="H490" s="54">
        <f t="shared" si="45"/>
        <v>437</v>
      </c>
      <c r="I490" s="56" t="str">
        <f>IFERROR(INDEX($A$2:$A$501,MATCH(SMALL($H$2:$H$501,ROWS($I$2:I490)+$G$502),$H$2:$H$501,0)),"")</f>
        <v/>
      </c>
      <c r="J490">
        <f t="shared" si="46"/>
        <v>426</v>
      </c>
      <c r="K490" t="str">
        <f t="array" ref="K490">INDEX($B$2:$B$501,SMALL(IF($A$2:$A$501=I490,ROW($A$2:$A$501)-ROW(INDEX($A$2:$A$501,1,1))+1),J490))</f>
        <v/>
      </c>
      <c r="L490" t="str">
        <f t="array" ref="L490">INDEX($C$2:$C$501,SMALL(IF($A$2:$A$501=I490,ROW($A$2:$A$501)-ROW(INDEX($A$2:$A$501,1,1))+1),J490))</f>
        <v/>
      </c>
      <c r="N490" t="str">
        <f t="shared" si="47"/>
        <v/>
      </c>
      <c r="S490" s="10">
        <v>489</v>
      </c>
      <c r="T490" s="10" t="str">
        <f t="array" ref="T490">IFERROR(INDEX(A$2:$A$501,MATCH(0,COUNTIF($T$1:T489,A$2:$A$501),0)),"")</f>
        <v/>
      </c>
      <c r="U490" s="10">
        <f>IFERROR(MATCH(T490,I$2:$I$501,0),"")</f>
        <v>64</v>
      </c>
      <c r="V490" s="10">
        <f>COUNTIF(I$2:$I$501,T490)</f>
        <v>437</v>
      </c>
      <c r="W490" s="10"/>
      <c r="X490" s="10"/>
    </row>
    <row r="491" spans="1:24" x14ac:dyDescent="0.25">
      <c r="A491" t="str">
        <f>IF(Tests!B492="","",Tests!B492)</f>
        <v/>
      </c>
      <c r="B491" t="str">
        <f>IF(Tests!D492="","",Tests!D492)</f>
        <v/>
      </c>
      <c r="C491" t="str">
        <f>IF(Tests!E492="","",Tests!E492)</f>
        <v/>
      </c>
      <c r="E491" s="54">
        <f t="shared" si="42"/>
        <v>0</v>
      </c>
      <c r="F491" s="54">
        <f t="shared" si="43"/>
        <v>0</v>
      </c>
      <c r="G491" s="54">
        <f t="shared" si="44"/>
        <v>1</v>
      </c>
      <c r="H491" s="54">
        <f t="shared" si="45"/>
        <v>437</v>
      </c>
      <c r="I491" s="56" t="str">
        <f>IFERROR(INDEX($A$2:$A$501,MATCH(SMALL($H$2:$H$501,ROWS($I$2:I491)+$G$502),$H$2:$H$501,0)),"")</f>
        <v/>
      </c>
      <c r="J491">
        <f t="shared" si="46"/>
        <v>427</v>
      </c>
      <c r="K491" t="str">
        <f t="array" ref="K491">INDEX($B$2:$B$501,SMALL(IF($A$2:$A$501=I491,ROW($A$2:$A$501)-ROW(INDEX($A$2:$A$501,1,1))+1),J491))</f>
        <v/>
      </c>
      <c r="L491" t="str">
        <f t="array" ref="L491">INDEX($C$2:$C$501,SMALL(IF($A$2:$A$501=I491,ROW($A$2:$A$501)-ROW(INDEX($A$2:$A$501,1,1))+1),J491))</f>
        <v/>
      </c>
      <c r="N491" t="str">
        <f t="shared" si="47"/>
        <v/>
      </c>
      <c r="S491" s="10">
        <v>490</v>
      </c>
      <c r="T491" s="10" t="str">
        <f t="array" ref="T491">IFERROR(INDEX(A$2:$A$501,MATCH(0,COUNTIF($T$1:T490,A$2:$A$501),0)),"")</f>
        <v/>
      </c>
      <c r="U491" s="10">
        <f>IFERROR(MATCH(T491,I$2:$I$501,0),"")</f>
        <v>64</v>
      </c>
      <c r="V491" s="10">
        <f>COUNTIF(I$2:$I$501,T491)</f>
        <v>437</v>
      </c>
      <c r="W491" s="10"/>
      <c r="X491" s="10"/>
    </row>
    <row r="492" spans="1:24" x14ac:dyDescent="0.25">
      <c r="A492" t="str">
        <f>IF(Tests!B493="","",Tests!B493)</f>
        <v/>
      </c>
      <c r="B492" t="str">
        <f>IF(Tests!D493="","",Tests!D493)</f>
        <v/>
      </c>
      <c r="C492" t="str">
        <f>IF(Tests!E493="","",Tests!E493)</f>
        <v/>
      </c>
      <c r="E492" s="54">
        <f t="shared" si="42"/>
        <v>0</v>
      </c>
      <c r="F492" s="54">
        <f t="shared" si="43"/>
        <v>0</v>
      </c>
      <c r="G492" s="54">
        <f t="shared" si="44"/>
        <v>1</v>
      </c>
      <c r="H492" s="54">
        <f t="shared" si="45"/>
        <v>437</v>
      </c>
      <c r="I492" s="56" t="str">
        <f>IFERROR(INDEX($A$2:$A$501,MATCH(SMALL($H$2:$H$501,ROWS($I$2:I492)+$G$502),$H$2:$H$501,0)),"")</f>
        <v/>
      </c>
      <c r="J492">
        <f t="shared" si="46"/>
        <v>428</v>
      </c>
      <c r="K492" t="str">
        <f t="array" ref="K492">INDEX($B$2:$B$501,SMALL(IF($A$2:$A$501=I492,ROW($A$2:$A$501)-ROW(INDEX($A$2:$A$501,1,1))+1),J492))</f>
        <v/>
      </c>
      <c r="L492" t="str">
        <f t="array" ref="L492">INDEX($C$2:$C$501,SMALL(IF($A$2:$A$501=I492,ROW($A$2:$A$501)-ROW(INDEX($A$2:$A$501,1,1))+1),J492))</f>
        <v/>
      </c>
      <c r="N492" t="str">
        <f t="shared" si="47"/>
        <v/>
      </c>
      <c r="S492" s="10">
        <v>491</v>
      </c>
      <c r="T492" s="10" t="str">
        <f t="array" ref="T492">IFERROR(INDEX(A$2:$A$501,MATCH(0,COUNTIF($T$1:T491,A$2:$A$501),0)),"")</f>
        <v/>
      </c>
      <c r="U492" s="10">
        <f>IFERROR(MATCH(T492,I$2:$I$501,0),"")</f>
        <v>64</v>
      </c>
      <c r="V492" s="10">
        <f>COUNTIF(I$2:$I$501,T492)</f>
        <v>437</v>
      </c>
      <c r="W492" s="10"/>
      <c r="X492" s="10"/>
    </row>
    <row r="493" spans="1:24" x14ac:dyDescent="0.25">
      <c r="A493" t="str">
        <f>IF(Tests!B494="","",Tests!B494)</f>
        <v/>
      </c>
      <c r="B493" t="str">
        <f>IF(Tests!D494="","",Tests!D494)</f>
        <v/>
      </c>
      <c r="C493" t="str">
        <f>IF(Tests!E494="","",Tests!E494)</f>
        <v/>
      </c>
      <c r="E493" s="54">
        <f t="shared" si="42"/>
        <v>0</v>
      </c>
      <c r="F493" s="54">
        <f t="shared" si="43"/>
        <v>0</v>
      </c>
      <c r="G493" s="54">
        <f t="shared" si="44"/>
        <v>1</v>
      </c>
      <c r="H493" s="54">
        <f t="shared" si="45"/>
        <v>437</v>
      </c>
      <c r="I493" s="56" t="str">
        <f>IFERROR(INDEX($A$2:$A$501,MATCH(SMALL($H$2:$H$501,ROWS($I$2:I493)+$G$502),$H$2:$H$501,0)),"")</f>
        <v/>
      </c>
      <c r="J493">
        <f t="shared" si="46"/>
        <v>429</v>
      </c>
      <c r="K493" t="str">
        <f t="array" ref="K493">INDEX($B$2:$B$501,SMALL(IF($A$2:$A$501=I493,ROW($A$2:$A$501)-ROW(INDEX($A$2:$A$501,1,1))+1),J493))</f>
        <v/>
      </c>
      <c r="L493" t="str">
        <f t="array" ref="L493">INDEX($C$2:$C$501,SMALL(IF($A$2:$A$501=I493,ROW($A$2:$A$501)-ROW(INDEX($A$2:$A$501,1,1))+1),J493))</f>
        <v/>
      </c>
      <c r="N493" t="str">
        <f t="shared" si="47"/>
        <v/>
      </c>
      <c r="S493" s="10">
        <v>492</v>
      </c>
      <c r="T493" s="10" t="str">
        <f t="array" ref="T493">IFERROR(INDEX(A$2:$A$501,MATCH(0,COUNTIF($T$1:T492,A$2:$A$501),0)),"")</f>
        <v/>
      </c>
      <c r="U493" s="10">
        <f>IFERROR(MATCH(T493,I$2:$I$501,0),"")</f>
        <v>64</v>
      </c>
      <c r="V493" s="10">
        <f>COUNTIF(I$2:$I$501,T493)</f>
        <v>437</v>
      </c>
      <c r="W493" s="10"/>
      <c r="X493" s="10"/>
    </row>
    <row r="494" spans="1:24" x14ac:dyDescent="0.25">
      <c r="A494" t="str">
        <f>IF(Tests!B495="","",Tests!B495)</f>
        <v/>
      </c>
      <c r="B494" t="str">
        <f>IF(Tests!D495="","",Tests!D495)</f>
        <v/>
      </c>
      <c r="C494" t="str">
        <f>IF(Tests!E495="","",Tests!E495)</f>
        <v/>
      </c>
      <c r="E494" s="54">
        <f t="shared" si="42"/>
        <v>0</v>
      </c>
      <c r="F494" s="54">
        <f t="shared" si="43"/>
        <v>0</v>
      </c>
      <c r="G494" s="54">
        <f t="shared" si="44"/>
        <v>1</v>
      </c>
      <c r="H494" s="54">
        <f t="shared" si="45"/>
        <v>437</v>
      </c>
      <c r="I494" s="56" t="str">
        <f>IFERROR(INDEX($A$2:$A$501,MATCH(SMALL($H$2:$H$501,ROWS($I$2:I494)+$G$502),$H$2:$H$501,0)),"")</f>
        <v/>
      </c>
      <c r="J494">
        <f t="shared" si="46"/>
        <v>430</v>
      </c>
      <c r="K494" t="str">
        <f t="array" ref="K494">INDEX($B$2:$B$501,SMALL(IF($A$2:$A$501=I494,ROW($A$2:$A$501)-ROW(INDEX($A$2:$A$501,1,1))+1),J494))</f>
        <v/>
      </c>
      <c r="L494" t="str">
        <f t="array" ref="L494">INDEX($C$2:$C$501,SMALL(IF($A$2:$A$501=I494,ROW($A$2:$A$501)-ROW(INDEX($A$2:$A$501,1,1))+1),J494))</f>
        <v/>
      </c>
      <c r="N494" t="str">
        <f t="shared" si="47"/>
        <v/>
      </c>
      <c r="S494" s="10">
        <v>493</v>
      </c>
      <c r="T494" s="10" t="str">
        <f t="array" ref="T494">IFERROR(INDEX(A$2:$A$501,MATCH(0,COUNTIF($T$1:T493,A$2:$A$501),0)),"")</f>
        <v/>
      </c>
      <c r="U494" s="10">
        <f>IFERROR(MATCH(T494,I$2:$I$501,0),"")</f>
        <v>64</v>
      </c>
      <c r="V494" s="10">
        <f>COUNTIF(I$2:$I$501,T494)</f>
        <v>437</v>
      </c>
      <c r="W494" s="10"/>
      <c r="X494" s="10"/>
    </row>
    <row r="495" spans="1:24" x14ac:dyDescent="0.25">
      <c r="A495" t="str">
        <f>IF(Tests!B496="","",Tests!B496)</f>
        <v/>
      </c>
      <c r="B495" t="str">
        <f>IF(Tests!D496="","",Tests!D496)</f>
        <v/>
      </c>
      <c r="C495" t="str">
        <f>IF(Tests!E496="","",Tests!E496)</f>
        <v/>
      </c>
      <c r="E495" s="54">
        <f t="shared" si="42"/>
        <v>0</v>
      </c>
      <c r="F495" s="54">
        <f t="shared" si="43"/>
        <v>0</v>
      </c>
      <c r="G495" s="54">
        <f t="shared" si="44"/>
        <v>1</v>
      </c>
      <c r="H495" s="54">
        <f t="shared" si="45"/>
        <v>437</v>
      </c>
      <c r="I495" s="56" t="str">
        <f>IFERROR(INDEX($A$2:$A$501,MATCH(SMALL($H$2:$H$501,ROWS($I$2:I495)+$G$502),$H$2:$H$501,0)),"")</f>
        <v/>
      </c>
      <c r="J495">
        <f t="shared" si="46"/>
        <v>431</v>
      </c>
      <c r="K495" t="str">
        <f t="array" ref="K495">INDEX($B$2:$B$501,SMALL(IF($A$2:$A$501=I495,ROW($A$2:$A$501)-ROW(INDEX($A$2:$A$501,1,1))+1),J495))</f>
        <v/>
      </c>
      <c r="L495" t="str">
        <f t="array" ref="L495">INDEX($C$2:$C$501,SMALL(IF($A$2:$A$501=I495,ROW($A$2:$A$501)-ROW(INDEX($A$2:$A$501,1,1))+1),J495))</f>
        <v/>
      </c>
      <c r="N495" t="str">
        <f t="shared" si="47"/>
        <v/>
      </c>
      <c r="S495" s="10">
        <v>494</v>
      </c>
      <c r="T495" s="10" t="str">
        <f t="array" ref="T495">IFERROR(INDEX(A$2:$A$501,MATCH(0,COUNTIF($T$1:T494,A$2:$A$501),0)),"")</f>
        <v/>
      </c>
      <c r="U495" s="10">
        <f>IFERROR(MATCH(T495,I$2:$I$501,0),"")</f>
        <v>64</v>
      </c>
      <c r="V495" s="10">
        <f>COUNTIF(I$2:$I$501,T495)</f>
        <v>437</v>
      </c>
      <c r="W495" s="10"/>
      <c r="X495" s="10"/>
    </row>
    <row r="496" spans="1:24" x14ac:dyDescent="0.25">
      <c r="A496" t="str">
        <f>IF(Tests!B497="","",Tests!B497)</f>
        <v/>
      </c>
      <c r="B496" t="str">
        <f>IF(Tests!D497="","",Tests!D497)</f>
        <v/>
      </c>
      <c r="C496" t="str">
        <f>IF(Tests!E497="","",Tests!E497)</f>
        <v/>
      </c>
      <c r="E496" s="54">
        <f t="shared" si="42"/>
        <v>0</v>
      </c>
      <c r="F496" s="54">
        <f t="shared" si="43"/>
        <v>0</v>
      </c>
      <c r="G496" s="54">
        <f t="shared" si="44"/>
        <v>1</v>
      </c>
      <c r="H496" s="54">
        <f t="shared" si="45"/>
        <v>437</v>
      </c>
      <c r="I496" s="56" t="str">
        <f>IFERROR(INDEX($A$2:$A$501,MATCH(SMALL($H$2:$H$501,ROWS($I$2:I496)+$G$502),$H$2:$H$501,0)),"")</f>
        <v/>
      </c>
      <c r="J496">
        <f t="shared" si="46"/>
        <v>432</v>
      </c>
      <c r="K496" t="str">
        <f t="array" ref="K496">INDEX($B$2:$B$501,SMALL(IF($A$2:$A$501=I496,ROW($A$2:$A$501)-ROW(INDEX($A$2:$A$501,1,1))+1),J496))</f>
        <v/>
      </c>
      <c r="L496" t="str">
        <f t="array" ref="L496">INDEX($C$2:$C$501,SMALL(IF($A$2:$A$501=I496,ROW($A$2:$A$501)-ROW(INDEX($A$2:$A$501,1,1))+1),J496))</f>
        <v/>
      </c>
      <c r="N496" t="str">
        <f t="shared" si="47"/>
        <v/>
      </c>
      <c r="S496" s="10">
        <v>495</v>
      </c>
      <c r="T496" s="10" t="str">
        <f t="array" ref="T496">IFERROR(INDEX(A$2:$A$501,MATCH(0,COUNTIF($T$1:T495,A$2:$A$501),0)),"")</f>
        <v/>
      </c>
      <c r="U496" s="10">
        <f>IFERROR(MATCH(T496,I$2:$I$501,0),"")</f>
        <v>64</v>
      </c>
      <c r="V496" s="10">
        <f>COUNTIF(I$2:$I$501,T496)</f>
        <v>437</v>
      </c>
      <c r="W496" s="10"/>
      <c r="X496" s="10"/>
    </row>
    <row r="497" spans="1:24" x14ac:dyDescent="0.25">
      <c r="A497" t="str">
        <f>IF(Tests!B498="","",Tests!B498)</f>
        <v/>
      </c>
      <c r="B497" t="str">
        <f>IF(Tests!D498="","",Tests!D498)</f>
        <v/>
      </c>
      <c r="C497" t="str">
        <f>IF(Tests!E498="","",Tests!E498)</f>
        <v/>
      </c>
      <c r="E497" s="54">
        <f t="shared" si="42"/>
        <v>0</v>
      </c>
      <c r="F497" s="54">
        <f t="shared" si="43"/>
        <v>0</v>
      </c>
      <c r="G497" s="54">
        <f t="shared" si="44"/>
        <v>1</v>
      </c>
      <c r="H497" s="54">
        <f t="shared" si="45"/>
        <v>437</v>
      </c>
      <c r="I497" s="56" t="str">
        <f>IFERROR(INDEX($A$2:$A$501,MATCH(SMALL($H$2:$H$501,ROWS($I$2:I497)+$G$502),$H$2:$H$501,0)),"")</f>
        <v/>
      </c>
      <c r="J497">
        <f t="shared" si="46"/>
        <v>433</v>
      </c>
      <c r="K497" t="str">
        <f t="array" ref="K497">INDEX($B$2:$B$501,SMALL(IF($A$2:$A$501=I497,ROW($A$2:$A$501)-ROW(INDEX($A$2:$A$501,1,1))+1),J497))</f>
        <v/>
      </c>
      <c r="L497" t="str">
        <f t="array" ref="L497">INDEX($C$2:$C$501,SMALL(IF($A$2:$A$501=I497,ROW($A$2:$A$501)-ROW(INDEX($A$2:$A$501,1,1))+1),J497))</f>
        <v/>
      </c>
      <c r="N497" t="str">
        <f t="shared" si="47"/>
        <v/>
      </c>
      <c r="S497" s="10">
        <v>496</v>
      </c>
      <c r="T497" s="10" t="str">
        <f t="array" ref="T497">IFERROR(INDEX(A$2:$A$501,MATCH(0,COUNTIF($T$1:T496,A$2:$A$501),0)),"")</f>
        <v/>
      </c>
      <c r="U497" s="10">
        <f>IFERROR(MATCH(T497,I$2:$I$501,0),"")</f>
        <v>64</v>
      </c>
      <c r="V497" s="10">
        <f>COUNTIF(I$2:$I$501,T497)</f>
        <v>437</v>
      </c>
      <c r="W497" s="10"/>
      <c r="X497" s="10"/>
    </row>
    <row r="498" spans="1:24" x14ac:dyDescent="0.25">
      <c r="A498" t="str">
        <f>IF(Tests!B499="","",Tests!B499)</f>
        <v/>
      </c>
      <c r="B498" t="str">
        <f>IF(Tests!D499="","",Tests!D499)</f>
        <v/>
      </c>
      <c r="C498" t="str">
        <f>IF(Tests!E499="","",Tests!E499)</f>
        <v/>
      </c>
      <c r="E498" s="54">
        <f t="shared" si="42"/>
        <v>0</v>
      </c>
      <c r="F498" s="54">
        <f t="shared" si="43"/>
        <v>0</v>
      </c>
      <c r="G498" s="54">
        <f t="shared" si="44"/>
        <v>1</v>
      </c>
      <c r="H498" s="54">
        <f t="shared" si="45"/>
        <v>437</v>
      </c>
      <c r="I498" s="56" t="str">
        <f>IFERROR(INDEX($A$2:$A$501,MATCH(SMALL($H$2:$H$501,ROWS($I$2:I498)+$G$502),$H$2:$H$501,0)),"")</f>
        <v/>
      </c>
      <c r="J498">
        <f t="shared" si="46"/>
        <v>434</v>
      </c>
      <c r="K498" t="str">
        <f t="array" ref="K498">INDEX($B$2:$B$501,SMALL(IF($A$2:$A$501=I498,ROW($A$2:$A$501)-ROW(INDEX($A$2:$A$501,1,1))+1),J498))</f>
        <v/>
      </c>
      <c r="L498" t="str">
        <f t="array" ref="L498">INDEX($C$2:$C$501,SMALL(IF($A$2:$A$501=I498,ROW($A$2:$A$501)-ROW(INDEX($A$2:$A$501,1,1))+1),J498))</f>
        <v/>
      </c>
      <c r="N498" t="str">
        <f t="shared" si="47"/>
        <v/>
      </c>
      <c r="S498" s="10">
        <v>497</v>
      </c>
      <c r="T498" s="10" t="str">
        <f t="array" ref="T498">IFERROR(INDEX(A$2:$A$501,MATCH(0,COUNTIF($T$1:T497,A$2:$A$501),0)),"")</f>
        <v/>
      </c>
      <c r="U498" s="10">
        <f>IFERROR(MATCH(T498,I$2:$I$501,0),"")</f>
        <v>64</v>
      </c>
      <c r="V498" s="10">
        <f>COUNTIF(I$2:$I$501,T498)</f>
        <v>437</v>
      </c>
      <c r="W498" s="10"/>
      <c r="X498" s="10"/>
    </row>
    <row r="499" spans="1:24" x14ac:dyDescent="0.25">
      <c r="A499" t="str">
        <f>IF(Tests!B500="","",Tests!B500)</f>
        <v/>
      </c>
      <c r="B499" t="str">
        <f>IF(Tests!D500="","",Tests!D500)</f>
        <v/>
      </c>
      <c r="C499" t="str">
        <f>IF(Tests!E500="","",Tests!E500)</f>
        <v/>
      </c>
      <c r="E499" s="54">
        <f t="shared" si="42"/>
        <v>0</v>
      </c>
      <c r="F499" s="54">
        <f t="shared" si="43"/>
        <v>0</v>
      </c>
      <c r="G499" s="54">
        <f t="shared" si="44"/>
        <v>1</v>
      </c>
      <c r="H499" s="54">
        <f t="shared" si="45"/>
        <v>437</v>
      </c>
      <c r="I499" s="56" t="str">
        <f>IFERROR(INDEX($A$2:$A$501,MATCH(SMALL($H$2:$H$501,ROWS($I$2:I499)+$G$502),$H$2:$H$501,0)),"")</f>
        <v/>
      </c>
      <c r="J499">
        <f t="shared" si="46"/>
        <v>435</v>
      </c>
      <c r="K499" t="str">
        <f t="array" ref="K499">INDEX($B$2:$B$501,SMALL(IF($A$2:$A$501=I499,ROW($A$2:$A$501)-ROW(INDEX($A$2:$A$501,1,1))+1),J499))</f>
        <v/>
      </c>
      <c r="L499" t="str">
        <f t="array" ref="L499">INDEX($C$2:$C$501,SMALL(IF($A$2:$A$501=I499,ROW($A$2:$A$501)-ROW(INDEX($A$2:$A$501,1,1))+1),J499))</f>
        <v/>
      </c>
      <c r="N499" t="str">
        <f t="shared" si="47"/>
        <v/>
      </c>
      <c r="S499" s="10">
        <v>498</v>
      </c>
      <c r="T499" s="10" t="str">
        <f t="array" ref="T499">IFERROR(INDEX(A$2:$A$501,MATCH(0,COUNTIF($T$1:T498,A$2:$A$501),0)),"")</f>
        <v/>
      </c>
      <c r="U499" s="10"/>
      <c r="V499" s="10"/>
      <c r="W499" s="10"/>
      <c r="X499" s="10"/>
    </row>
    <row r="500" spans="1:24" x14ac:dyDescent="0.25">
      <c r="A500" t="str">
        <f>IF(Tests!B501="","",Tests!B501)</f>
        <v/>
      </c>
      <c r="B500" t="str">
        <f>IF(Tests!D501="","",Tests!D501)</f>
        <v/>
      </c>
      <c r="C500" t="str">
        <f>IF(Tests!E501="","",Tests!E501)</f>
        <v/>
      </c>
      <c r="E500" s="54">
        <f t="shared" si="42"/>
        <v>0</v>
      </c>
      <c r="F500" s="54">
        <f t="shared" si="43"/>
        <v>0</v>
      </c>
      <c r="G500" s="54">
        <f t="shared" si="44"/>
        <v>1</v>
      </c>
      <c r="H500" s="54">
        <f t="shared" si="45"/>
        <v>437</v>
      </c>
      <c r="I500" s="56" t="str">
        <f>IFERROR(INDEX($A$2:$A$501,MATCH(SMALL($H$2:$H$501,ROWS($I$2:I500)+$G$502),$H$2:$H$501,0)),"")</f>
        <v/>
      </c>
      <c r="J500">
        <f t="shared" si="46"/>
        <v>436</v>
      </c>
      <c r="K500" t="str">
        <f t="array" ref="K500">INDEX($B$2:$B$501,SMALL(IF($A$2:$A$501=I500,ROW($A$2:$A$501)-ROW(INDEX($A$2:$A$501,1,1))+1),J500))</f>
        <v/>
      </c>
      <c r="L500" t="str">
        <f t="array" ref="L500">INDEX($C$2:$C$501,SMALL(IF($A$2:$A$501=I500,ROW($A$2:$A$501)-ROW(INDEX($A$2:$A$501,1,1))+1),J500))</f>
        <v/>
      </c>
      <c r="N500" t="str">
        <f t="shared" si="47"/>
        <v/>
      </c>
      <c r="S500" s="10">
        <v>499</v>
      </c>
      <c r="T500" s="10" t="str">
        <f t="array" ref="T500">IFERROR(INDEX(A$2:$A$501,MATCH(0,COUNTIF($T$1:T499,A$2:$A$501),0)),"")</f>
        <v/>
      </c>
      <c r="U500" s="10"/>
      <c r="V500" s="10"/>
      <c r="W500" s="10"/>
      <c r="X500" s="10"/>
    </row>
    <row r="501" spans="1:24" x14ac:dyDescent="0.25">
      <c r="A501" t="str">
        <f>IF(Tests!B502="","",Tests!B502)</f>
        <v/>
      </c>
      <c r="B501" t="str">
        <f>IF(Tests!D502="","",Tests!D502)</f>
        <v/>
      </c>
      <c r="C501" t="str">
        <f>IF(Tests!E502="","",Tests!E502)</f>
        <v/>
      </c>
      <c r="E501" s="54">
        <f t="shared" si="42"/>
        <v>0</v>
      </c>
      <c r="F501" s="54">
        <f t="shared" si="43"/>
        <v>0</v>
      </c>
      <c r="G501" s="54">
        <f t="shared" si="44"/>
        <v>1</v>
      </c>
      <c r="H501" s="54">
        <f t="shared" si="45"/>
        <v>437</v>
      </c>
      <c r="I501" s="56" t="str">
        <f>IFERROR(INDEX($A$2:$A$501,MATCH(SMALL($H$2:$H$501,ROWS($I$2:I501)+$G$502),$H$2:$H$501,0)),"")</f>
        <v/>
      </c>
      <c r="J501">
        <f t="shared" si="46"/>
        <v>437</v>
      </c>
      <c r="K501" t="str">
        <f t="array" ref="K501">INDEX($B$2:$B$501,SMALL(IF($A$2:$A$501=I501,ROW($A$2:$A$501)-ROW(INDEX($A$2:$A$501,1,1))+1),J501))</f>
        <v/>
      </c>
      <c r="L501" t="str">
        <f t="array" ref="L501">INDEX($C$2:$C$501,SMALL(IF($A$2:$A$501=I501,ROW($A$2:$A$501)-ROW(INDEX($A$2:$A$501,1,1))+1),J501))</f>
        <v/>
      </c>
      <c r="N501" t="str">
        <f t="shared" si="47"/>
        <v/>
      </c>
      <c r="S501" s="10">
        <v>500</v>
      </c>
      <c r="T501" s="10" t="str">
        <f t="array" ref="T501">IFERROR(INDEX(A$2:$A$501,MATCH(0,COUNTIF($T$1:T500,A$2:$A$501),0)),"")</f>
        <v/>
      </c>
      <c r="U501" s="10"/>
      <c r="V501" s="10"/>
      <c r="W501" s="10"/>
      <c r="X501" s="10"/>
    </row>
    <row r="502" spans="1:24" x14ac:dyDescent="0.25">
      <c r="F502" s="55">
        <f>SUM(F2:F501)</f>
        <v>0</v>
      </c>
      <c r="G502" s="55">
        <f>SUM(G2:G501)</f>
        <v>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FFB1-6B88-429D-B4D0-9214EE5E78CA}">
  <dimension ref="A1:U69"/>
  <sheetViews>
    <sheetView topLeftCell="A40" workbookViewId="0">
      <selection activeCell="B47" sqref="B47:U66"/>
    </sheetView>
  </sheetViews>
  <sheetFormatPr defaultRowHeight="15" x14ac:dyDescent="0.25"/>
  <sheetData>
    <row r="1" spans="1:21" x14ac:dyDescent="0.25">
      <c r="A1" t="str">
        <f>Main!Y2</f>
        <v>Correlations</v>
      </c>
      <c r="B1">
        <f>Main!Z2</f>
        <v>1</v>
      </c>
      <c r="C1">
        <f>Main!AA2</f>
        <v>2</v>
      </c>
      <c r="D1">
        <f>Main!AB2</f>
        <v>3</v>
      </c>
      <c r="E1">
        <f>Main!AC2</f>
        <v>4</v>
      </c>
      <c r="F1">
        <f>Main!AD2</f>
        <v>5</v>
      </c>
      <c r="G1">
        <f>Main!AE2</f>
        <v>6</v>
      </c>
      <c r="H1">
        <f>Main!AF2</f>
        <v>7</v>
      </c>
      <c r="I1">
        <f>Main!AG2</f>
        <v>8</v>
      </c>
      <c r="J1">
        <f>Main!AH2</f>
        <v>9</v>
      </c>
      <c r="K1">
        <f>Main!AI2</f>
        <v>10</v>
      </c>
      <c r="L1">
        <f>Main!AJ2</f>
        <v>11</v>
      </c>
      <c r="M1">
        <f>Main!AK2</f>
        <v>12</v>
      </c>
      <c r="N1">
        <f>Main!AL2</f>
        <v>13</v>
      </c>
      <c r="O1">
        <f>Main!AM2</f>
        <v>14</v>
      </c>
      <c r="P1">
        <f>Main!AN2</f>
        <v>15</v>
      </c>
      <c r="Q1">
        <f>Main!AO2</f>
        <v>16</v>
      </c>
      <c r="R1">
        <f>Main!AP2</f>
        <v>17</v>
      </c>
      <c r="S1">
        <f>Main!AQ2</f>
        <v>18</v>
      </c>
      <c r="T1">
        <f>Main!AR2</f>
        <v>19</v>
      </c>
      <c r="U1">
        <f>Main!AS2</f>
        <v>20</v>
      </c>
    </row>
    <row r="2" spans="1:21" x14ac:dyDescent="0.25">
      <c r="A2" t="str">
        <f>Main!Y3</f>
        <v>1. WISC-R (1974)</v>
      </c>
      <c r="B2" t="b">
        <f t="array" ref="B2:U21">ISBLANK(TRANSPOSE(Main!Z3:AS22))</f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 spans="1:21" x14ac:dyDescent="0.25">
      <c r="A3" t="str">
        <f>Main!Y4</f>
        <v>2. WISC-R (1974)</v>
      </c>
      <c r="B3" t="b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  <row r="4" spans="1:21" x14ac:dyDescent="0.25">
      <c r="A4" t="str">
        <f>Main!Y5</f>
        <v>3. WAIS-III (1997)</v>
      </c>
      <c r="B4" t="b">
        <v>0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 spans="1:21" x14ac:dyDescent="0.25">
      <c r="A5" t="str">
        <f>Main!Y6</f>
        <v>4. SB5 (2003)</v>
      </c>
      <c r="B5" t="b">
        <v>0</v>
      </c>
      <c r="C5" t="b">
        <v>0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</row>
    <row r="6" spans="1:21" x14ac:dyDescent="0.25">
      <c r="A6" t="str">
        <f>Main!Y7</f>
        <v>5. WAIS-IV (2008)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</row>
    <row r="7" spans="1:21" x14ac:dyDescent="0.25">
      <c r="A7">
        <f>Main!Y8</f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 spans="1:21" x14ac:dyDescent="0.25">
      <c r="A8">
        <f>Main!Y9</f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 spans="1:21" x14ac:dyDescent="0.25">
      <c r="A9">
        <f>Main!Y10</f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</row>
    <row r="10" spans="1:21" x14ac:dyDescent="0.25">
      <c r="A10">
        <f>Main!Y11</f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</row>
    <row r="11" spans="1:21" x14ac:dyDescent="0.25">
      <c r="A11">
        <f>Main!Y12</f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</row>
    <row r="12" spans="1:21" x14ac:dyDescent="0.25">
      <c r="A12">
        <f>Main!Y13</f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</row>
    <row r="13" spans="1:21" x14ac:dyDescent="0.25">
      <c r="A13">
        <f>Main!Y14</f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</row>
    <row r="14" spans="1:21" x14ac:dyDescent="0.25">
      <c r="A14">
        <f>Main!Y15</f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</row>
    <row r="15" spans="1:21" x14ac:dyDescent="0.25">
      <c r="A15">
        <f>Main!Y16</f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 spans="1:21" x14ac:dyDescent="0.25">
      <c r="A16">
        <f>Main!Y17</f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</row>
    <row r="17" spans="1:21" x14ac:dyDescent="0.25">
      <c r="A17">
        <f>Main!Y18</f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1</v>
      </c>
      <c r="U17" t="b">
        <v>1</v>
      </c>
    </row>
    <row r="18" spans="1:21" x14ac:dyDescent="0.25">
      <c r="A18">
        <f>Main!Y19</f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1</v>
      </c>
    </row>
    <row r="19" spans="1:21" x14ac:dyDescent="0.25">
      <c r="A19">
        <f>Main!Y20</f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1</v>
      </c>
    </row>
    <row r="20" spans="1:21" x14ac:dyDescent="0.25">
      <c r="A20">
        <f>Main!Y21</f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</row>
    <row r="21" spans="1:21" x14ac:dyDescent="0.25">
      <c r="A21">
        <f>Main!Y22</f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4" spans="1:21" x14ac:dyDescent="0.25">
      <c r="A24" t="s">
        <v>56</v>
      </c>
      <c r="B24" t="b">
        <f t="array" ref="B24:U24">TRANSPOSE(A25:A44)</f>
        <v>0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</row>
    <row r="25" spans="1:21" x14ac:dyDescent="0.25">
      <c r="A25" t="b">
        <f>Calculations!Z11=""</f>
        <v>0</v>
      </c>
      <c r="B25" s="22" t="b">
        <f t="array" ref="B25:U44">(A25:A44+B24:U24)&gt;0</f>
        <v>0</v>
      </c>
      <c r="C25" s="22" t="b">
        <v>0</v>
      </c>
      <c r="D25" s="22" t="b">
        <v>0</v>
      </c>
      <c r="E25" s="22" t="b">
        <v>0</v>
      </c>
      <c r="F25" s="22" t="b">
        <v>0</v>
      </c>
      <c r="G25" s="22" t="b">
        <v>1</v>
      </c>
      <c r="H25" s="22" t="b">
        <v>1</v>
      </c>
      <c r="I25" s="22" t="b">
        <v>1</v>
      </c>
      <c r="J25" s="22" t="b">
        <v>1</v>
      </c>
      <c r="K25" s="22" t="b">
        <v>1</v>
      </c>
      <c r="L25" s="22" t="b">
        <v>1</v>
      </c>
      <c r="M25" s="22" t="b">
        <v>1</v>
      </c>
      <c r="N25" s="22" t="b">
        <v>1</v>
      </c>
      <c r="O25" s="22" t="b">
        <v>1</v>
      </c>
      <c r="P25" s="22" t="b">
        <v>1</v>
      </c>
      <c r="Q25" s="22" t="b">
        <v>1</v>
      </c>
      <c r="R25" s="22" t="b">
        <v>1</v>
      </c>
      <c r="S25" s="22" t="b">
        <v>1</v>
      </c>
      <c r="T25" s="22" t="b">
        <v>1</v>
      </c>
      <c r="U25" s="22" t="b">
        <v>1</v>
      </c>
    </row>
    <row r="26" spans="1:21" x14ac:dyDescent="0.25">
      <c r="A26" t="b">
        <f>Calculations!Z12=""</f>
        <v>0</v>
      </c>
      <c r="B26" s="22" t="b">
        <v>0</v>
      </c>
      <c r="C26" s="22" t="b">
        <v>0</v>
      </c>
      <c r="D26" s="22" t="b">
        <v>0</v>
      </c>
      <c r="E26" s="22" t="b">
        <v>0</v>
      </c>
      <c r="F26" s="22" t="b">
        <v>0</v>
      </c>
      <c r="G26" s="22" t="b">
        <v>1</v>
      </c>
      <c r="H26" s="22" t="b">
        <v>1</v>
      </c>
      <c r="I26" s="22" t="b">
        <v>1</v>
      </c>
      <c r="J26" s="22" t="b">
        <v>1</v>
      </c>
      <c r="K26" s="22" t="b">
        <v>1</v>
      </c>
      <c r="L26" s="22" t="b">
        <v>1</v>
      </c>
      <c r="M26" s="22" t="b">
        <v>1</v>
      </c>
      <c r="N26" s="22" t="b">
        <v>1</v>
      </c>
      <c r="O26" s="22" t="b">
        <v>1</v>
      </c>
      <c r="P26" s="22" t="b">
        <v>1</v>
      </c>
      <c r="Q26" s="22" t="b">
        <v>1</v>
      </c>
      <c r="R26" s="22" t="b">
        <v>1</v>
      </c>
      <c r="S26" s="22" t="b">
        <v>1</v>
      </c>
      <c r="T26" s="22" t="b">
        <v>1</v>
      </c>
      <c r="U26" s="22" t="b">
        <v>1</v>
      </c>
    </row>
    <row r="27" spans="1:21" x14ac:dyDescent="0.25">
      <c r="A27" t="b">
        <f>Calculations!Z13=""</f>
        <v>0</v>
      </c>
      <c r="B27" s="22" t="b">
        <v>0</v>
      </c>
      <c r="C27" s="22" t="b">
        <v>0</v>
      </c>
      <c r="D27" s="22" t="b">
        <v>0</v>
      </c>
      <c r="E27" s="22" t="b">
        <v>0</v>
      </c>
      <c r="F27" s="22" t="b">
        <v>0</v>
      </c>
      <c r="G27" s="22" t="b">
        <v>1</v>
      </c>
      <c r="H27" s="22" t="b">
        <v>1</v>
      </c>
      <c r="I27" s="22" t="b">
        <v>1</v>
      </c>
      <c r="J27" s="22" t="b">
        <v>1</v>
      </c>
      <c r="K27" s="22" t="b">
        <v>1</v>
      </c>
      <c r="L27" s="22" t="b">
        <v>1</v>
      </c>
      <c r="M27" s="22" t="b">
        <v>1</v>
      </c>
      <c r="N27" s="22" t="b">
        <v>1</v>
      </c>
      <c r="O27" s="22" t="b">
        <v>1</v>
      </c>
      <c r="P27" s="22" t="b">
        <v>1</v>
      </c>
      <c r="Q27" s="22" t="b">
        <v>1</v>
      </c>
      <c r="R27" s="22" t="b">
        <v>1</v>
      </c>
      <c r="S27" s="22" t="b">
        <v>1</v>
      </c>
      <c r="T27" s="22" t="b">
        <v>1</v>
      </c>
      <c r="U27" s="22" t="b">
        <v>1</v>
      </c>
    </row>
    <row r="28" spans="1:21" x14ac:dyDescent="0.25">
      <c r="A28" t="b">
        <f>Calculations!Z14=""</f>
        <v>0</v>
      </c>
      <c r="B28" s="22" t="b">
        <v>0</v>
      </c>
      <c r="C28" s="22" t="b">
        <v>0</v>
      </c>
      <c r="D28" s="22" t="b">
        <v>0</v>
      </c>
      <c r="E28" s="22" t="b">
        <v>0</v>
      </c>
      <c r="F28" s="22" t="b">
        <v>0</v>
      </c>
      <c r="G28" s="22" t="b">
        <v>1</v>
      </c>
      <c r="H28" s="22" t="b">
        <v>1</v>
      </c>
      <c r="I28" s="22" t="b">
        <v>1</v>
      </c>
      <c r="J28" s="22" t="b">
        <v>1</v>
      </c>
      <c r="K28" s="22" t="b">
        <v>1</v>
      </c>
      <c r="L28" s="22" t="b">
        <v>1</v>
      </c>
      <c r="M28" s="22" t="b">
        <v>1</v>
      </c>
      <c r="N28" s="22" t="b">
        <v>1</v>
      </c>
      <c r="O28" s="22" t="b">
        <v>1</v>
      </c>
      <c r="P28" s="22" t="b">
        <v>1</v>
      </c>
      <c r="Q28" s="22" t="b">
        <v>1</v>
      </c>
      <c r="R28" s="22" t="b">
        <v>1</v>
      </c>
      <c r="S28" s="22" t="b">
        <v>1</v>
      </c>
      <c r="T28" s="22" t="b">
        <v>1</v>
      </c>
      <c r="U28" s="22" t="b">
        <v>1</v>
      </c>
    </row>
    <row r="29" spans="1:21" x14ac:dyDescent="0.25">
      <c r="A29" t="b">
        <f>Calculations!Z15=""</f>
        <v>0</v>
      </c>
      <c r="B29" s="22" t="b">
        <v>0</v>
      </c>
      <c r="C29" s="22" t="b">
        <v>0</v>
      </c>
      <c r="D29" s="22" t="b">
        <v>0</v>
      </c>
      <c r="E29" s="22" t="b">
        <v>0</v>
      </c>
      <c r="F29" s="22" t="b">
        <v>0</v>
      </c>
      <c r="G29" s="22" t="b">
        <v>1</v>
      </c>
      <c r="H29" s="22" t="b">
        <v>1</v>
      </c>
      <c r="I29" s="22" t="b">
        <v>1</v>
      </c>
      <c r="J29" s="22" t="b">
        <v>1</v>
      </c>
      <c r="K29" s="22" t="b">
        <v>1</v>
      </c>
      <c r="L29" s="22" t="b">
        <v>1</v>
      </c>
      <c r="M29" s="22" t="b">
        <v>1</v>
      </c>
      <c r="N29" s="22" t="b">
        <v>1</v>
      </c>
      <c r="O29" s="22" t="b">
        <v>1</v>
      </c>
      <c r="P29" s="22" t="b">
        <v>1</v>
      </c>
      <c r="Q29" s="22" t="b">
        <v>1</v>
      </c>
      <c r="R29" s="22" t="b">
        <v>1</v>
      </c>
      <c r="S29" s="22" t="b">
        <v>1</v>
      </c>
      <c r="T29" s="22" t="b">
        <v>1</v>
      </c>
      <c r="U29" s="22" t="b">
        <v>1</v>
      </c>
    </row>
    <row r="30" spans="1:21" x14ac:dyDescent="0.25">
      <c r="A30" t="b">
        <f>Calculations!Z16=""</f>
        <v>1</v>
      </c>
      <c r="B30" s="22" t="b">
        <v>1</v>
      </c>
      <c r="C30" s="22" t="b">
        <v>1</v>
      </c>
      <c r="D30" s="22" t="b">
        <v>1</v>
      </c>
      <c r="E30" s="22" t="b">
        <v>1</v>
      </c>
      <c r="F30" s="22" t="b">
        <v>1</v>
      </c>
      <c r="G30" s="22" t="b">
        <v>1</v>
      </c>
      <c r="H30" s="22" t="b">
        <v>1</v>
      </c>
      <c r="I30" s="22" t="b">
        <v>1</v>
      </c>
      <c r="J30" s="22" t="b">
        <v>1</v>
      </c>
      <c r="K30" s="22" t="b">
        <v>1</v>
      </c>
      <c r="L30" s="22" t="b">
        <v>1</v>
      </c>
      <c r="M30" s="22" t="b">
        <v>1</v>
      </c>
      <c r="N30" s="22" t="b">
        <v>1</v>
      </c>
      <c r="O30" s="22" t="b">
        <v>1</v>
      </c>
      <c r="P30" s="22" t="b">
        <v>1</v>
      </c>
      <c r="Q30" s="22" t="b">
        <v>1</v>
      </c>
      <c r="R30" s="22" t="b">
        <v>1</v>
      </c>
      <c r="S30" s="22" t="b">
        <v>1</v>
      </c>
      <c r="T30" s="22" t="b">
        <v>1</v>
      </c>
      <c r="U30" s="22" t="b">
        <v>1</v>
      </c>
    </row>
    <row r="31" spans="1:21" x14ac:dyDescent="0.25">
      <c r="A31" t="b">
        <f>Calculations!Z17=""</f>
        <v>1</v>
      </c>
      <c r="B31" s="22" t="b">
        <v>1</v>
      </c>
      <c r="C31" s="22" t="b">
        <v>1</v>
      </c>
      <c r="D31" s="22" t="b">
        <v>1</v>
      </c>
      <c r="E31" s="22" t="b">
        <v>1</v>
      </c>
      <c r="F31" s="22" t="b">
        <v>1</v>
      </c>
      <c r="G31" s="22" t="b">
        <v>1</v>
      </c>
      <c r="H31" s="22" t="b">
        <v>1</v>
      </c>
      <c r="I31" s="22" t="b">
        <v>1</v>
      </c>
      <c r="J31" s="22" t="b">
        <v>1</v>
      </c>
      <c r="K31" s="22" t="b">
        <v>1</v>
      </c>
      <c r="L31" s="22" t="b">
        <v>1</v>
      </c>
      <c r="M31" s="22" t="b">
        <v>1</v>
      </c>
      <c r="N31" s="22" t="b">
        <v>1</v>
      </c>
      <c r="O31" s="22" t="b">
        <v>1</v>
      </c>
      <c r="P31" s="22" t="b">
        <v>1</v>
      </c>
      <c r="Q31" s="22" t="b">
        <v>1</v>
      </c>
      <c r="R31" s="22" t="b">
        <v>1</v>
      </c>
      <c r="S31" s="22" t="b">
        <v>1</v>
      </c>
      <c r="T31" s="22" t="b">
        <v>1</v>
      </c>
      <c r="U31" s="22" t="b">
        <v>1</v>
      </c>
    </row>
    <row r="32" spans="1:21" x14ac:dyDescent="0.25">
      <c r="A32" t="b">
        <f>Calculations!Z18=""</f>
        <v>1</v>
      </c>
      <c r="B32" s="22" t="b">
        <v>1</v>
      </c>
      <c r="C32" s="22" t="b">
        <v>1</v>
      </c>
      <c r="D32" s="22" t="b">
        <v>1</v>
      </c>
      <c r="E32" s="22" t="b">
        <v>1</v>
      </c>
      <c r="F32" s="22" t="b">
        <v>1</v>
      </c>
      <c r="G32" s="22" t="b">
        <v>1</v>
      </c>
      <c r="H32" s="22" t="b">
        <v>1</v>
      </c>
      <c r="I32" s="22" t="b">
        <v>1</v>
      </c>
      <c r="J32" s="22" t="b">
        <v>1</v>
      </c>
      <c r="K32" s="22" t="b">
        <v>1</v>
      </c>
      <c r="L32" s="22" t="b">
        <v>1</v>
      </c>
      <c r="M32" s="22" t="b">
        <v>1</v>
      </c>
      <c r="N32" s="22" t="b">
        <v>1</v>
      </c>
      <c r="O32" s="22" t="b">
        <v>1</v>
      </c>
      <c r="P32" s="22" t="b">
        <v>1</v>
      </c>
      <c r="Q32" s="22" t="b">
        <v>1</v>
      </c>
      <c r="R32" s="22" t="b">
        <v>1</v>
      </c>
      <c r="S32" s="22" t="b">
        <v>1</v>
      </c>
      <c r="T32" s="22" t="b">
        <v>1</v>
      </c>
      <c r="U32" s="22" t="b">
        <v>1</v>
      </c>
    </row>
    <row r="33" spans="1:21" x14ac:dyDescent="0.25">
      <c r="A33" t="b">
        <f>Calculations!Z19=""</f>
        <v>1</v>
      </c>
      <c r="B33" s="22" t="b">
        <v>1</v>
      </c>
      <c r="C33" s="22" t="b">
        <v>1</v>
      </c>
      <c r="D33" s="22" t="b">
        <v>1</v>
      </c>
      <c r="E33" s="22" t="b">
        <v>1</v>
      </c>
      <c r="F33" s="22" t="b">
        <v>1</v>
      </c>
      <c r="G33" s="22" t="b">
        <v>1</v>
      </c>
      <c r="H33" s="22" t="b">
        <v>1</v>
      </c>
      <c r="I33" s="22" t="b">
        <v>1</v>
      </c>
      <c r="J33" s="22" t="b">
        <v>1</v>
      </c>
      <c r="K33" s="22" t="b">
        <v>1</v>
      </c>
      <c r="L33" s="22" t="b">
        <v>1</v>
      </c>
      <c r="M33" s="22" t="b">
        <v>1</v>
      </c>
      <c r="N33" s="22" t="b">
        <v>1</v>
      </c>
      <c r="O33" s="22" t="b">
        <v>1</v>
      </c>
      <c r="P33" s="22" t="b">
        <v>1</v>
      </c>
      <c r="Q33" s="22" t="b">
        <v>1</v>
      </c>
      <c r="R33" s="22" t="b">
        <v>1</v>
      </c>
      <c r="S33" s="22" t="b">
        <v>1</v>
      </c>
      <c r="T33" s="22" t="b">
        <v>1</v>
      </c>
      <c r="U33" s="22" t="b">
        <v>1</v>
      </c>
    </row>
    <row r="34" spans="1:21" x14ac:dyDescent="0.25">
      <c r="A34" t="b">
        <f>Calculations!Z20=""</f>
        <v>1</v>
      </c>
      <c r="B34" s="22" t="b">
        <v>1</v>
      </c>
      <c r="C34" s="22" t="b">
        <v>1</v>
      </c>
      <c r="D34" s="22" t="b">
        <v>1</v>
      </c>
      <c r="E34" s="22" t="b">
        <v>1</v>
      </c>
      <c r="F34" s="22" t="b">
        <v>1</v>
      </c>
      <c r="G34" s="22" t="b">
        <v>1</v>
      </c>
      <c r="H34" s="22" t="b">
        <v>1</v>
      </c>
      <c r="I34" s="22" t="b">
        <v>1</v>
      </c>
      <c r="J34" s="22" t="b">
        <v>1</v>
      </c>
      <c r="K34" s="22" t="b">
        <v>1</v>
      </c>
      <c r="L34" s="22" t="b">
        <v>1</v>
      </c>
      <c r="M34" s="22" t="b">
        <v>1</v>
      </c>
      <c r="N34" s="22" t="b">
        <v>1</v>
      </c>
      <c r="O34" s="22" t="b">
        <v>1</v>
      </c>
      <c r="P34" s="22" t="b">
        <v>1</v>
      </c>
      <c r="Q34" s="22" t="b">
        <v>1</v>
      </c>
      <c r="R34" s="22" t="b">
        <v>1</v>
      </c>
      <c r="S34" s="22" t="b">
        <v>1</v>
      </c>
      <c r="T34" s="22" t="b">
        <v>1</v>
      </c>
      <c r="U34" s="22" t="b">
        <v>1</v>
      </c>
    </row>
    <row r="35" spans="1:21" x14ac:dyDescent="0.25">
      <c r="A35" t="b">
        <f>Calculations!Z21=""</f>
        <v>1</v>
      </c>
      <c r="B35" s="22" t="b">
        <v>1</v>
      </c>
      <c r="C35" s="22" t="b">
        <v>1</v>
      </c>
      <c r="D35" s="22" t="b">
        <v>1</v>
      </c>
      <c r="E35" s="22" t="b">
        <v>1</v>
      </c>
      <c r="F35" s="22" t="b">
        <v>1</v>
      </c>
      <c r="G35" s="22" t="b">
        <v>1</v>
      </c>
      <c r="H35" s="22" t="b">
        <v>1</v>
      </c>
      <c r="I35" s="22" t="b">
        <v>1</v>
      </c>
      <c r="J35" s="22" t="b">
        <v>1</v>
      </c>
      <c r="K35" s="22" t="b">
        <v>1</v>
      </c>
      <c r="L35" s="22" t="b">
        <v>1</v>
      </c>
      <c r="M35" s="22" t="b">
        <v>1</v>
      </c>
      <c r="N35" s="22" t="b">
        <v>1</v>
      </c>
      <c r="O35" s="22" t="b">
        <v>1</v>
      </c>
      <c r="P35" s="22" t="b">
        <v>1</v>
      </c>
      <c r="Q35" s="22" t="b">
        <v>1</v>
      </c>
      <c r="R35" s="22" t="b">
        <v>1</v>
      </c>
      <c r="S35" s="22" t="b">
        <v>1</v>
      </c>
      <c r="T35" s="22" t="b">
        <v>1</v>
      </c>
      <c r="U35" s="22" t="b">
        <v>1</v>
      </c>
    </row>
    <row r="36" spans="1:21" x14ac:dyDescent="0.25">
      <c r="A36" t="b">
        <f>Calculations!Z22=""</f>
        <v>1</v>
      </c>
      <c r="B36" s="22" t="b">
        <v>1</v>
      </c>
      <c r="C36" s="22" t="b">
        <v>1</v>
      </c>
      <c r="D36" s="22" t="b">
        <v>1</v>
      </c>
      <c r="E36" s="22" t="b">
        <v>1</v>
      </c>
      <c r="F36" s="22" t="b">
        <v>1</v>
      </c>
      <c r="G36" s="22" t="b">
        <v>1</v>
      </c>
      <c r="H36" s="22" t="b">
        <v>1</v>
      </c>
      <c r="I36" s="22" t="b">
        <v>1</v>
      </c>
      <c r="J36" s="22" t="b">
        <v>1</v>
      </c>
      <c r="K36" s="22" t="b">
        <v>1</v>
      </c>
      <c r="L36" s="22" t="b">
        <v>1</v>
      </c>
      <c r="M36" s="22" t="b">
        <v>1</v>
      </c>
      <c r="N36" s="22" t="b">
        <v>1</v>
      </c>
      <c r="O36" s="22" t="b">
        <v>1</v>
      </c>
      <c r="P36" s="22" t="b">
        <v>1</v>
      </c>
      <c r="Q36" s="22" t="b">
        <v>1</v>
      </c>
      <c r="R36" s="22" t="b">
        <v>1</v>
      </c>
      <c r="S36" s="22" t="b">
        <v>1</v>
      </c>
      <c r="T36" s="22" t="b">
        <v>1</v>
      </c>
      <c r="U36" s="22" t="b">
        <v>1</v>
      </c>
    </row>
    <row r="37" spans="1:21" x14ac:dyDescent="0.25">
      <c r="A37" t="b">
        <f>Calculations!Z23=""</f>
        <v>1</v>
      </c>
      <c r="B37" s="22" t="b">
        <v>1</v>
      </c>
      <c r="C37" s="22" t="b">
        <v>1</v>
      </c>
      <c r="D37" s="22" t="b">
        <v>1</v>
      </c>
      <c r="E37" s="22" t="b">
        <v>1</v>
      </c>
      <c r="F37" s="22" t="b">
        <v>1</v>
      </c>
      <c r="G37" s="22" t="b">
        <v>1</v>
      </c>
      <c r="H37" s="22" t="b">
        <v>1</v>
      </c>
      <c r="I37" s="22" t="b">
        <v>1</v>
      </c>
      <c r="J37" s="22" t="b">
        <v>1</v>
      </c>
      <c r="K37" s="22" t="b">
        <v>1</v>
      </c>
      <c r="L37" s="22" t="b">
        <v>1</v>
      </c>
      <c r="M37" s="22" t="b">
        <v>1</v>
      </c>
      <c r="N37" s="22" t="b">
        <v>1</v>
      </c>
      <c r="O37" s="22" t="b">
        <v>1</v>
      </c>
      <c r="P37" s="22" t="b">
        <v>1</v>
      </c>
      <c r="Q37" s="22" t="b">
        <v>1</v>
      </c>
      <c r="R37" s="22" t="b">
        <v>1</v>
      </c>
      <c r="S37" s="22" t="b">
        <v>1</v>
      </c>
      <c r="T37" s="22" t="b">
        <v>1</v>
      </c>
      <c r="U37" s="22" t="b">
        <v>1</v>
      </c>
    </row>
    <row r="38" spans="1:21" x14ac:dyDescent="0.25">
      <c r="A38" t="b">
        <f>Calculations!Z24=""</f>
        <v>1</v>
      </c>
      <c r="B38" s="22" t="b">
        <v>1</v>
      </c>
      <c r="C38" s="22" t="b">
        <v>1</v>
      </c>
      <c r="D38" s="22" t="b">
        <v>1</v>
      </c>
      <c r="E38" s="22" t="b">
        <v>1</v>
      </c>
      <c r="F38" s="22" t="b">
        <v>1</v>
      </c>
      <c r="G38" s="22" t="b">
        <v>1</v>
      </c>
      <c r="H38" s="22" t="b">
        <v>1</v>
      </c>
      <c r="I38" s="22" t="b">
        <v>1</v>
      </c>
      <c r="J38" s="22" t="b">
        <v>1</v>
      </c>
      <c r="K38" s="22" t="b">
        <v>1</v>
      </c>
      <c r="L38" s="22" t="b">
        <v>1</v>
      </c>
      <c r="M38" s="22" t="b">
        <v>1</v>
      </c>
      <c r="N38" s="22" t="b">
        <v>1</v>
      </c>
      <c r="O38" s="22" t="b">
        <v>1</v>
      </c>
      <c r="P38" s="22" t="b">
        <v>1</v>
      </c>
      <c r="Q38" s="22" t="b">
        <v>1</v>
      </c>
      <c r="R38" s="22" t="b">
        <v>1</v>
      </c>
      <c r="S38" s="22" t="b">
        <v>1</v>
      </c>
      <c r="T38" s="22" t="b">
        <v>1</v>
      </c>
      <c r="U38" s="22" t="b">
        <v>1</v>
      </c>
    </row>
    <row r="39" spans="1:21" x14ac:dyDescent="0.25">
      <c r="A39" t="b">
        <f>Calculations!Z25=""</f>
        <v>1</v>
      </c>
      <c r="B39" s="22" t="b">
        <v>1</v>
      </c>
      <c r="C39" s="22" t="b">
        <v>1</v>
      </c>
      <c r="D39" s="22" t="b">
        <v>1</v>
      </c>
      <c r="E39" s="22" t="b">
        <v>1</v>
      </c>
      <c r="F39" s="22" t="b">
        <v>1</v>
      </c>
      <c r="G39" s="22" t="b">
        <v>1</v>
      </c>
      <c r="H39" s="22" t="b">
        <v>1</v>
      </c>
      <c r="I39" s="22" t="b">
        <v>1</v>
      </c>
      <c r="J39" s="22" t="b">
        <v>1</v>
      </c>
      <c r="K39" s="22" t="b">
        <v>1</v>
      </c>
      <c r="L39" s="22" t="b">
        <v>1</v>
      </c>
      <c r="M39" s="22" t="b">
        <v>1</v>
      </c>
      <c r="N39" s="22" t="b">
        <v>1</v>
      </c>
      <c r="O39" s="22" t="b">
        <v>1</v>
      </c>
      <c r="P39" s="22" t="b">
        <v>1</v>
      </c>
      <c r="Q39" s="22" t="b">
        <v>1</v>
      </c>
      <c r="R39" s="22" t="b">
        <v>1</v>
      </c>
      <c r="S39" s="22" t="b">
        <v>1</v>
      </c>
      <c r="T39" s="22" t="b">
        <v>1</v>
      </c>
      <c r="U39" s="22" t="b">
        <v>1</v>
      </c>
    </row>
    <row r="40" spans="1:21" x14ac:dyDescent="0.25">
      <c r="A40" t="b">
        <f>Calculations!Z26=""</f>
        <v>1</v>
      </c>
      <c r="B40" s="22" t="b">
        <v>1</v>
      </c>
      <c r="C40" s="22" t="b">
        <v>1</v>
      </c>
      <c r="D40" s="22" t="b">
        <v>1</v>
      </c>
      <c r="E40" s="22" t="b">
        <v>1</v>
      </c>
      <c r="F40" s="22" t="b">
        <v>1</v>
      </c>
      <c r="G40" s="22" t="b">
        <v>1</v>
      </c>
      <c r="H40" s="22" t="b">
        <v>1</v>
      </c>
      <c r="I40" s="22" t="b">
        <v>1</v>
      </c>
      <c r="J40" s="22" t="b">
        <v>1</v>
      </c>
      <c r="K40" s="22" t="b">
        <v>1</v>
      </c>
      <c r="L40" s="22" t="b">
        <v>1</v>
      </c>
      <c r="M40" s="22" t="b">
        <v>1</v>
      </c>
      <c r="N40" s="22" t="b">
        <v>1</v>
      </c>
      <c r="O40" s="22" t="b">
        <v>1</v>
      </c>
      <c r="P40" s="22" t="b">
        <v>1</v>
      </c>
      <c r="Q40" s="22" t="b">
        <v>1</v>
      </c>
      <c r="R40" s="22" t="b">
        <v>1</v>
      </c>
      <c r="S40" s="22" t="b">
        <v>1</v>
      </c>
      <c r="T40" s="22" t="b">
        <v>1</v>
      </c>
      <c r="U40" s="22" t="b">
        <v>1</v>
      </c>
    </row>
    <row r="41" spans="1:21" x14ac:dyDescent="0.25">
      <c r="A41" t="b">
        <f>Calculations!Z27=""</f>
        <v>1</v>
      </c>
      <c r="B41" s="22" t="b">
        <v>1</v>
      </c>
      <c r="C41" s="22" t="b">
        <v>1</v>
      </c>
      <c r="D41" s="22" t="b">
        <v>1</v>
      </c>
      <c r="E41" s="22" t="b">
        <v>1</v>
      </c>
      <c r="F41" s="22" t="b">
        <v>1</v>
      </c>
      <c r="G41" s="22" t="b">
        <v>1</v>
      </c>
      <c r="H41" s="22" t="b">
        <v>1</v>
      </c>
      <c r="I41" s="22" t="b">
        <v>1</v>
      </c>
      <c r="J41" s="22" t="b">
        <v>1</v>
      </c>
      <c r="K41" s="22" t="b">
        <v>1</v>
      </c>
      <c r="L41" s="22" t="b">
        <v>1</v>
      </c>
      <c r="M41" s="22" t="b">
        <v>1</v>
      </c>
      <c r="N41" s="22" t="b">
        <v>1</v>
      </c>
      <c r="O41" s="22" t="b">
        <v>1</v>
      </c>
      <c r="P41" s="22" t="b">
        <v>1</v>
      </c>
      <c r="Q41" s="22" t="b">
        <v>1</v>
      </c>
      <c r="R41" s="22" t="b">
        <v>1</v>
      </c>
      <c r="S41" s="22" t="b">
        <v>1</v>
      </c>
      <c r="T41" s="22" t="b">
        <v>1</v>
      </c>
      <c r="U41" s="22" t="b">
        <v>1</v>
      </c>
    </row>
    <row r="42" spans="1:21" x14ac:dyDescent="0.25">
      <c r="A42" t="b">
        <f>Calculations!Z28=""</f>
        <v>1</v>
      </c>
      <c r="B42" s="22" t="b">
        <v>1</v>
      </c>
      <c r="C42" s="22" t="b">
        <v>1</v>
      </c>
      <c r="D42" s="22" t="b">
        <v>1</v>
      </c>
      <c r="E42" s="22" t="b">
        <v>1</v>
      </c>
      <c r="F42" s="22" t="b">
        <v>1</v>
      </c>
      <c r="G42" s="22" t="b">
        <v>1</v>
      </c>
      <c r="H42" s="22" t="b">
        <v>1</v>
      </c>
      <c r="I42" s="22" t="b">
        <v>1</v>
      </c>
      <c r="J42" s="22" t="b">
        <v>1</v>
      </c>
      <c r="K42" s="22" t="b">
        <v>1</v>
      </c>
      <c r="L42" s="22" t="b">
        <v>1</v>
      </c>
      <c r="M42" s="22" t="b">
        <v>1</v>
      </c>
      <c r="N42" s="22" t="b">
        <v>1</v>
      </c>
      <c r="O42" s="22" t="b">
        <v>1</v>
      </c>
      <c r="P42" s="22" t="b">
        <v>1</v>
      </c>
      <c r="Q42" s="22" t="b">
        <v>1</v>
      </c>
      <c r="R42" s="22" t="b">
        <v>1</v>
      </c>
      <c r="S42" s="22" t="b">
        <v>1</v>
      </c>
      <c r="T42" s="22" t="b">
        <v>1</v>
      </c>
      <c r="U42" s="22" t="b">
        <v>1</v>
      </c>
    </row>
    <row r="43" spans="1:21" x14ac:dyDescent="0.25">
      <c r="A43" t="b">
        <f>Calculations!Z29=""</f>
        <v>1</v>
      </c>
      <c r="B43" s="22" t="b">
        <v>1</v>
      </c>
      <c r="C43" s="22" t="b">
        <v>1</v>
      </c>
      <c r="D43" s="22" t="b">
        <v>1</v>
      </c>
      <c r="E43" s="22" t="b">
        <v>1</v>
      </c>
      <c r="F43" s="22" t="b">
        <v>1</v>
      </c>
      <c r="G43" s="22" t="b">
        <v>1</v>
      </c>
      <c r="H43" s="22" t="b">
        <v>1</v>
      </c>
      <c r="I43" s="22" t="b">
        <v>1</v>
      </c>
      <c r="J43" s="22" t="b">
        <v>1</v>
      </c>
      <c r="K43" s="22" t="b">
        <v>1</v>
      </c>
      <c r="L43" s="22" t="b">
        <v>1</v>
      </c>
      <c r="M43" s="22" t="b">
        <v>1</v>
      </c>
      <c r="N43" s="22" t="b">
        <v>1</v>
      </c>
      <c r="O43" s="22" t="b">
        <v>1</v>
      </c>
      <c r="P43" s="22" t="b">
        <v>1</v>
      </c>
      <c r="Q43" s="22" t="b">
        <v>1</v>
      </c>
      <c r="R43" s="22" t="b">
        <v>1</v>
      </c>
      <c r="S43" s="22" t="b">
        <v>1</v>
      </c>
      <c r="T43" s="22" t="b">
        <v>1</v>
      </c>
      <c r="U43" s="22" t="b">
        <v>1</v>
      </c>
    </row>
    <row r="44" spans="1:21" x14ac:dyDescent="0.25">
      <c r="A44" t="b">
        <f>Calculations!Z30=""</f>
        <v>1</v>
      </c>
      <c r="B44" s="22" t="b">
        <v>1</v>
      </c>
      <c r="C44" s="22" t="b">
        <v>1</v>
      </c>
      <c r="D44" s="22" t="b">
        <v>1</v>
      </c>
      <c r="E44" s="22" t="b">
        <v>1</v>
      </c>
      <c r="F44" s="22" t="b">
        <v>1</v>
      </c>
      <c r="G44" s="22" t="b">
        <v>1</v>
      </c>
      <c r="H44" s="22" t="b">
        <v>1</v>
      </c>
      <c r="I44" s="22" t="b">
        <v>1</v>
      </c>
      <c r="J44" s="22" t="b">
        <v>1</v>
      </c>
      <c r="K44" s="22" t="b">
        <v>1</v>
      </c>
      <c r="L44" s="22" t="b">
        <v>1</v>
      </c>
      <c r="M44" s="22" t="b">
        <v>1</v>
      </c>
      <c r="N44" s="22" t="b">
        <v>1</v>
      </c>
      <c r="O44" s="22" t="b">
        <v>1</v>
      </c>
      <c r="P44" s="22" t="b">
        <v>1</v>
      </c>
      <c r="Q44" s="22" t="b">
        <v>1</v>
      </c>
      <c r="R44" s="22" t="b">
        <v>1</v>
      </c>
      <c r="S44" s="22" t="b">
        <v>1</v>
      </c>
      <c r="T44" s="22" t="b">
        <v>1</v>
      </c>
      <c r="U44" s="22" t="b">
        <v>1</v>
      </c>
    </row>
    <row r="46" spans="1:21" x14ac:dyDescent="0.25">
      <c r="A46" t="s">
        <v>158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  <c r="N46">
        <v>13</v>
      </c>
      <c r="O46">
        <v>14</v>
      </c>
      <c r="P46">
        <v>15</v>
      </c>
      <c r="Q46">
        <v>16</v>
      </c>
      <c r="R46">
        <v>17</v>
      </c>
      <c r="S46">
        <v>18</v>
      </c>
      <c r="T46">
        <v>19</v>
      </c>
      <c r="U46">
        <v>20</v>
      </c>
    </row>
    <row r="47" spans="1:21" x14ac:dyDescent="0.25">
      <c r="A47">
        <v>1</v>
      </c>
      <c r="B47" cm="1">
        <f t="array" ref="B47">IF(INDEX(Main!$Z$3:$AS$22,MIN(B$46,$A47),MAX(B$46,$A47))="",0,INDEX(Main!$Z$3:$AS$22,MIN(B$46,$A47),MAX(B$46,$A47)))</f>
        <v>1</v>
      </c>
      <c r="C47" cm="1">
        <f t="array" ref="C47">IF(INDEX(Main!$Z$3:$AS$22,MIN(C$46,$A47),MAX(C$46,$A47))="",0,INDEX(Main!$Z$3:$AS$22,MIN(C$46,$A47),MAX(C$46,$A47)))</f>
        <v>0.84139726982955088</v>
      </c>
      <c r="D47" cm="1">
        <f t="array" ref="D47">IF(INDEX(Main!$Z$3:$AS$22,MIN(D$46,$A47),MAX(D$46,$A47))="",0,INDEX(Main!$Z$3:$AS$22,MIN(D$46,$A47),MAX(D$46,$A47)))</f>
        <v>0.6883962347830036</v>
      </c>
      <c r="E47" cm="1">
        <f t="array" ref="E47">IF(INDEX(Main!$Z$3:$AS$22,MIN(E$46,$A47),MAX(E$46,$A47))="",0,INDEX(Main!$Z$3:$AS$22,MIN(E$46,$A47),MAX(E$46,$A47)))</f>
        <v>0.57392125641395353</v>
      </c>
      <c r="F47" cm="1">
        <f t="array" ref="F47">IF(INDEX(Main!$Z$3:$AS$22,MIN(F$46,$A47),MAX(F$46,$A47))="",0,INDEX(Main!$Z$3:$AS$22,MIN(F$46,$A47),MAX(F$46,$A47)))</f>
        <v>0.67716730504129063</v>
      </c>
      <c r="G47" cm="1">
        <f t="array" ref="G47">IF(INDEX(Main!$Z$3:$AS$22,MIN(G$46,$A47),MAX(G$46,$A47))="",0,INDEX(Main!$Z$3:$AS$22,MIN(G$46,$A47),MAX(G$46,$A47)))</f>
        <v>0</v>
      </c>
      <c r="H47" cm="1">
        <f t="array" ref="H47">IF(INDEX(Main!$Z$3:$AS$22,MIN(H$46,$A47),MAX(H$46,$A47))="",0,INDEX(Main!$Z$3:$AS$22,MIN(H$46,$A47),MAX(H$46,$A47)))</f>
        <v>0</v>
      </c>
      <c r="I47" cm="1">
        <f t="array" ref="I47">IF(INDEX(Main!$Z$3:$AS$22,MIN(I$46,$A47),MAX(I$46,$A47))="",0,INDEX(Main!$Z$3:$AS$22,MIN(I$46,$A47),MAX(I$46,$A47)))</f>
        <v>0</v>
      </c>
      <c r="J47" cm="1">
        <f t="array" ref="J47">IF(INDEX(Main!$Z$3:$AS$22,MIN(J$46,$A47),MAX(J$46,$A47))="",0,INDEX(Main!$Z$3:$AS$22,MIN(J$46,$A47),MAX(J$46,$A47)))</f>
        <v>0</v>
      </c>
      <c r="K47" cm="1">
        <f t="array" ref="K47">IF(INDEX(Main!$Z$3:$AS$22,MIN(K$46,$A47),MAX(K$46,$A47))="",0,INDEX(Main!$Z$3:$AS$22,MIN(K$46,$A47),MAX(K$46,$A47)))</f>
        <v>0</v>
      </c>
      <c r="L47" cm="1">
        <f t="array" ref="L47">IF(INDEX(Main!$Z$3:$AS$22,MIN(L$46,$A47),MAX(L$46,$A47))="",0,INDEX(Main!$Z$3:$AS$22,MIN(L$46,$A47),MAX(L$46,$A47)))</f>
        <v>0</v>
      </c>
      <c r="M47" cm="1">
        <f t="array" ref="M47">IF(INDEX(Main!$Z$3:$AS$22,MIN(M$46,$A47),MAX(M$46,$A47))="",0,INDEX(Main!$Z$3:$AS$22,MIN(M$46,$A47),MAX(M$46,$A47)))</f>
        <v>0</v>
      </c>
      <c r="N47" cm="1">
        <f t="array" ref="N47">IF(INDEX(Main!$Z$3:$AS$22,MIN(N$46,$A47),MAX(N$46,$A47))="",0,INDEX(Main!$Z$3:$AS$22,MIN(N$46,$A47),MAX(N$46,$A47)))</f>
        <v>0</v>
      </c>
      <c r="O47" cm="1">
        <f t="array" ref="O47">IF(INDEX(Main!$Z$3:$AS$22,MIN(O$46,$A47),MAX(O$46,$A47))="",0,INDEX(Main!$Z$3:$AS$22,MIN(O$46,$A47),MAX(O$46,$A47)))</f>
        <v>0</v>
      </c>
      <c r="P47" cm="1">
        <f t="array" ref="P47">IF(INDEX(Main!$Z$3:$AS$22,MIN(P$46,$A47),MAX(P$46,$A47))="",0,INDEX(Main!$Z$3:$AS$22,MIN(P$46,$A47),MAX(P$46,$A47)))</f>
        <v>0</v>
      </c>
      <c r="Q47" cm="1">
        <f t="array" ref="Q47">IF(INDEX(Main!$Z$3:$AS$22,MIN(Q$46,$A47),MAX(Q$46,$A47))="",0,INDEX(Main!$Z$3:$AS$22,MIN(Q$46,$A47),MAX(Q$46,$A47)))</f>
        <v>0</v>
      </c>
      <c r="R47" cm="1">
        <f t="array" ref="R47">IF(INDEX(Main!$Z$3:$AS$22,MIN(R$46,$A47),MAX(R$46,$A47))="",0,INDEX(Main!$Z$3:$AS$22,MIN(R$46,$A47),MAX(R$46,$A47)))</f>
        <v>0</v>
      </c>
      <c r="S47" cm="1">
        <f t="array" ref="S47">IF(INDEX(Main!$Z$3:$AS$22,MIN(S$46,$A47),MAX(S$46,$A47))="",0,INDEX(Main!$Z$3:$AS$22,MIN(S$46,$A47),MAX(S$46,$A47)))</f>
        <v>0</v>
      </c>
      <c r="T47" cm="1">
        <f t="array" ref="T47">IF(INDEX(Main!$Z$3:$AS$22,MIN(T$46,$A47),MAX(T$46,$A47))="",0,INDEX(Main!$Z$3:$AS$22,MIN(T$46,$A47),MAX(T$46,$A47)))</f>
        <v>0</v>
      </c>
      <c r="U47" cm="1">
        <f t="array" ref="U47">IF(INDEX(Main!$Z$3:$AS$22,MIN(U$46,$A47),MAX(U$46,$A47))="",0,INDEX(Main!$Z$3:$AS$22,MIN(U$46,$A47),MAX(U$46,$A47)))</f>
        <v>0</v>
      </c>
    </row>
    <row r="48" spans="1:21" x14ac:dyDescent="0.25">
      <c r="A48">
        <v>2</v>
      </c>
      <c r="B48" cm="1">
        <f t="array" ref="B48">IF(INDEX(Main!$Z$3:$AS$22,MIN(B$46,$A48),MAX(B$46,$A48))="",0,INDEX(Main!$Z$3:$AS$22,MIN(B$46,$A48),MAX(B$46,$A48)))</f>
        <v>0.84139726982955088</v>
      </c>
      <c r="C48" cm="1">
        <f t="array" ref="C48">IF(INDEX(Main!$Z$3:$AS$22,MIN(C$46,$A48),MAX(C$46,$A48))="",0,INDEX(Main!$Z$3:$AS$22,MIN(C$46,$A48),MAX(C$46,$A48)))</f>
        <v>1</v>
      </c>
      <c r="D48" cm="1">
        <f t="array" ref="D48">IF(INDEX(Main!$Z$3:$AS$22,MIN(D$46,$A48),MAX(D$46,$A48))="",0,INDEX(Main!$Z$3:$AS$22,MIN(D$46,$A48),MAX(D$46,$A48)))</f>
        <v>0.69917339019918845</v>
      </c>
      <c r="E48" cm="1">
        <f t="array" ref="E48">IF(INDEX(Main!$Z$3:$AS$22,MIN(E$46,$A48),MAX(E$46,$A48))="",0,INDEX(Main!$Z$3:$AS$22,MIN(E$46,$A48),MAX(E$46,$A48)))</f>
        <v>0.58314837114186813</v>
      </c>
      <c r="F48" cm="1">
        <f t="array" ref="F48">IF(INDEX(Main!$Z$3:$AS$22,MIN(F$46,$A48),MAX(F$46,$A48))="",0,INDEX(Main!$Z$3:$AS$22,MIN(F$46,$A48),MAX(F$46,$A48)))</f>
        <v>0.68628285339995554</v>
      </c>
      <c r="G48" cm="1">
        <f t="array" ref="G48">IF(INDEX(Main!$Z$3:$AS$22,MIN(G$46,$A48),MAX(G$46,$A48))="",0,INDEX(Main!$Z$3:$AS$22,MIN(G$46,$A48),MAX(G$46,$A48)))</f>
        <v>0</v>
      </c>
      <c r="H48" cm="1">
        <f t="array" ref="H48">IF(INDEX(Main!$Z$3:$AS$22,MIN(H$46,$A48),MAX(H$46,$A48))="",0,INDEX(Main!$Z$3:$AS$22,MIN(H$46,$A48),MAX(H$46,$A48)))</f>
        <v>0</v>
      </c>
      <c r="I48" cm="1">
        <f t="array" ref="I48">IF(INDEX(Main!$Z$3:$AS$22,MIN(I$46,$A48),MAX(I$46,$A48))="",0,INDEX(Main!$Z$3:$AS$22,MIN(I$46,$A48),MAX(I$46,$A48)))</f>
        <v>0</v>
      </c>
      <c r="J48" cm="1">
        <f t="array" ref="J48">IF(INDEX(Main!$Z$3:$AS$22,MIN(J$46,$A48),MAX(J$46,$A48))="",0,INDEX(Main!$Z$3:$AS$22,MIN(J$46,$A48),MAX(J$46,$A48)))</f>
        <v>0</v>
      </c>
      <c r="K48" cm="1">
        <f t="array" ref="K48">IF(INDEX(Main!$Z$3:$AS$22,MIN(K$46,$A48),MAX(K$46,$A48))="",0,INDEX(Main!$Z$3:$AS$22,MIN(K$46,$A48),MAX(K$46,$A48)))</f>
        <v>0</v>
      </c>
      <c r="L48" cm="1">
        <f t="array" ref="L48">IF(INDEX(Main!$Z$3:$AS$22,MIN(L$46,$A48),MAX(L$46,$A48))="",0,INDEX(Main!$Z$3:$AS$22,MIN(L$46,$A48),MAX(L$46,$A48)))</f>
        <v>0</v>
      </c>
      <c r="M48" cm="1">
        <f t="array" ref="M48">IF(INDEX(Main!$Z$3:$AS$22,MIN(M$46,$A48),MAX(M$46,$A48))="",0,INDEX(Main!$Z$3:$AS$22,MIN(M$46,$A48),MAX(M$46,$A48)))</f>
        <v>0</v>
      </c>
      <c r="N48" cm="1">
        <f t="array" ref="N48">IF(INDEX(Main!$Z$3:$AS$22,MIN(N$46,$A48),MAX(N$46,$A48))="",0,INDEX(Main!$Z$3:$AS$22,MIN(N$46,$A48),MAX(N$46,$A48)))</f>
        <v>0</v>
      </c>
      <c r="O48" cm="1">
        <f t="array" ref="O48">IF(INDEX(Main!$Z$3:$AS$22,MIN(O$46,$A48),MAX(O$46,$A48))="",0,INDEX(Main!$Z$3:$AS$22,MIN(O$46,$A48),MAX(O$46,$A48)))</f>
        <v>0</v>
      </c>
      <c r="P48" cm="1">
        <f t="array" ref="P48">IF(INDEX(Main!$Z$3:$AS$22,MIN(P$46,$A48),MAX(P$46,$A48))="",0,INDEX(Main!$Z$3:$AS$22,MIN(P$46,$A48),MAX(P$46,$A48)))</f>
        <v>0</v>
      </c>
      <c r="Q48" cm="1">
        <f t="array" ref="Q48">IF(INDEX(Main!$Z$3:$AS$22,MIN(Q$46,$A48),MAX(Q$46,$A48))="",0,INDEX(Main!$Z$3:$AS$22,MIN(Q$46,$A48),MAX(Q$46,$A48)))</f>
        <v>0</v>
      </c>
      <c r="R48" cm="1">
        <f t="array" ref="R48">IF(INDEX(Main!$Z$3:$AS$22,MIN(R$46,$A48),MAX(R$46,$A48))="",0,INDEX(Main!$Z$3:$AS$22,MIN(R$46,$A48),MAX(R$46,$A48)))</f>
        <v>0</v>
      </c>
      <c r="S48" cm="1">
        <f t="array" ref="S48">IF(INDEX(Main!$Z$3:$AS$22,MIN(S$46,$A48),MAX(S$46,$A48))="",0,INDEX(Main!$Z$3:$AS$22,MIN(S$46,$A48),MAX(S$46,$A48)))</f>
        <v>0</v>
      </c>
      <c r="T48" cm="1">
        <f t="array" ref="T48">IF(INDEX(Main!$Z$3:$AS$22,MIN(T$46,$A48),MAX(T$46,$A48))="",0,INDEX(Main!$Z$3:$AS$22,MIN(T$46,$A48),MAX(T$46,$A48)))</f>
        <v>0</v>
      </c>
      <c r="U48" cm="1">
        <f t="array" ref="U48">IF(INDEX(Main!$Z$3:$AS$22,MIN(U$46,$A48),MAX(U$46,$A48))="",0,INDEX(Main!$Z$3:$AS$22,MIN(U$46,$A48),MAX(U$46,$A48)))</f>
        <v>0</v>
      </c>
    </row>
    <row r="49" spans="1:21" x14ac:dyDescent="0.25">
      <c r="A49">
        <v>3</v>
      </c>
      <c r="B49" cm="1">
        <f t="array" ref="B49">IF(INDEX(Main!$Z$3:$AS$22,MIN(B$46,$A49),MAX(B$46,$A49))="",0,INDEX(Main!$Z$3:$AS$22,MIN(B$46,$A49),MAX(B$46,$A49)))</f>
        <v>0.6883962347830036</v>
      </c>
      <c r="C49" cm="1">
        <f t="array" ref="C49">IF(INDEX(Main!$Z$3:$AS$22,MIN(C$46,$A49),MAX(C$46,$A49))="",0,INDEX(Main!$Z$3:$AS$22,MIN(C$46,$A49),MAX(C$46,$A49)))</f>
        <v>0.69917339019918845</v>
      </c>
      <c r="D49" cm="1">
        <f t="array" ref="D49">IF(INDEX(Main!$Z$3:$AS$22,MIN(D$46,$A49),MAX(D$46,$A49))="",0,INDEX(Main!$Z$3:$AS$22,MIN(D$46,$A49),MAX(D$46,$A49)))</f>
        <v>1</v>
      </c>
      <c r="E49" cm="1">
        <f t="array" ref="E49">IF(INDEX(Main!$Z$3:$AS$22,MIN(E$46,$A49),MAX(E$46,$A49))="",0,INDEX(Main!$Z$3:$AS$22,MIN(E$46,$A49),MAX(E$46,$A49)))</f>
        <v>0.63567264052860828</v>
      </c>
      <c r="F49" cm="1">
        <f t="array" ref="F49">IF(INDEX(Main!$Z$3:$AS$22,MIN(F$46,$A49),MAX(F$46,$A49))="",0,INDEX(Main!$Z$3:$AS$22,MIN(F$46,$A49),MAX(F$46,$A49)))</f>
        <v>0.72776032724991013</v>
      </c>
      <c r="G49" cm="1">
        <f t="array" ref="G49">IF(INDEX(Main!$Z$3:$AS$22,MIN(G$46,$A49),MAX(G$46,$A49))="",0,INDEX(Main!$Z$3:$AS$22,MIN(G$46,$A49),MAX(G$46,$A49)))</f>
        <v>0</v>
      </c>
      <c r="H49" cm="1">
        <f t="array" ref="H49">IF(INDEX(Main!$Z$3:$AS$22,MIN(H$46,$A49),MAX(H$46,$A49))="",0,INDEX(Main!$Z$3:$AS$22,MIN(H$46,$A49),MAX(H$46,$A49)))</f>
        <v>0</v>
      </c>
      <c r="I49" cm="1">
        <f t="array" ref="I49">IF(INDEX(Main!$Z$3:$AS$22,MIN(I$46,$A49),MAX(I$46,$A49))="",0,INDEX(Main!$Z$3:$AS$22,MIN(I$46,$A49),MAX(I$46,$A49)))</f>
        <v>0</v>
      </c>
      <c r="J49" cm="1">
        <f t="array" ref="J49">IF(INDEX(Main!$Z$3:$AS$22,MIN(J$46,$A49),MAX(J$46,$A49))="",0,INDEX(Main!$Z$3:$AS$22,MIN(J$46,$A49),MAX(J$46,$A49)))</f>
        <v>0</v>
      </c>
      <c r="K49" cm="1">
        <f t="array" ref="K49">IF(INDEX(Main!$Z$3:$AS$22,MIN(K$46,$A49),MAX(K$46,$A49))="",0,INDEX(Main!$Z$3:$AS$22,MIN(K$46,$A49),MAX(K$46,$A49)))</f>
        <v>0</v>
      </c>
      <c r="L49" cm="1">
        <f t="array" ref="L49">IF(INDEX(Main!$Z$3:$AS$22,MIN(L$46,$A49),MAX(L$46,$A49))="",0,INDEX(Main!$Z$3:$AS$22,MIN(L$46,$A49),MAX(L$46,$A49)))</f>
        <v>0</v>
      </c>
      <c r="M49" cm="1">
        <f t="array" ref="M49">IF(INDEX(Main!$Z$3:$AS$22,MIN(M$46,$A49),MAX(M$46,$A49))="",0,INDEX(Main!$Z$3:$AS$22,MIN(M$46,$A49),MAX(M$46,$A49)))</f>
        <v>0</v>
      </c>
      <c r="N49" cm="1">
        <f t="array" ref="N49">IF(INDEX(Main!$Z$3:$AS$22,MIN(N$46,$A49),MAX(N$46,$A49))="",0,INDEX(Main!$Z$3:$AS$22,MIN(N$46,$A49),MAX(N$46,$A49)))</f>
        <v>0</v>
      </c>
      <c r="O49" cm="1">
        <f t="array" ref="O49">IF(INDEX(Main!$Z$3:$AS$22,MIN(O$46,$A49),MAX(O$46,$A49))="",0,INDEX(Main!$Z$3:$AS$22,MIN(O$46,$A49),MAX(O$46,$A49)))</f>
        <v>0</v>
      </c>
      <c r="P49" cm="1">
        <f t="array" ref="P49">IF(INDEX(Main!$Z$3:$AS$22,MIN(P$46,$A49),MAX(P$46,$A49))="",0,INDEX(Main!$Z$3:$AS$22,MIN(P$46,$A49),MAX(P$46,$A49)))</f>
        <v>0</v>
      </c>
      <c r="Q49" cm="1">
        <f t="array" ref="Q49">IF(INDEX(Main!$Z$3:$AS$22,MIN(Q$46,$A49),MAX(Q$46,$A49))="",0,INDEX(Main!$Z$3:$AS$22,MIN(Q$46,$A49),MAX(Q$46,$A49)))</f>
        <v>0</v>
      </c>
      <c r="R49" cm="1">
        <f t="array" ref="R49">IF(INDEX(Main!$Z$3:$AS$22,MIN(R$46,$A49),MAX(R$46,$A49))="",0,INDEX(Main!$Z$3:$AS$22,MIN(R$46,$A49),MAX(R$46,$A49)))</f>
        <v>0</v>
      </c>
      <c r="S49" cm="1">
        <f t="array" ref="S49">IF(INDEX(Main!$Z$3:$AS$22,MIN(S$46,$A49),MAX(S$46,$A49))="",0,INDEX(Main!$Z$3:$AS$22,MIN(S$46,$A49),MAX(S$46,$A49)))</f>
        <v>0</v>
      </c>
      <c r="T49" cm="1">
        <f t="array" ref="T49">IF(INDEX(Main!$Z$3:$AS$22,MIN(T$46,$A49),MAX(T$46,$A49))="",0,INDEX(Main!$Z$3:$AS$22,MIN(T$46,$A49),MAX(T$46,$A49)))</f>
        <v>0</v>
      </c>
      <c r="U49" cm="1">
        <f t="array" ref="U49">IF(INDEX(Main!$Z$3:$AS$22,MIN(U$46,$A49),MAX(U$46,$A49))="",0,INDEX(Main!$Z$3:$AS$22,MIN(U$46,$A49),MAX(U$46,$A49)))</f>
        <v>0</v>
      </c>
    </row>
    <row r="50" spans="1:21" x14ac:dyDescent="0.25">
      <c r="A50">
        <v>4</v>
      </c>
      <c r="B50" cm="1">
        <f t="array" ref="B50">IF(INDEX(Main!$Z$3:$AS$22,MIN(B$46,$A50),MAX(B$46,$A50))="",0,INDEX(Main!$Z$3:$AS$22,MIN(B$46,$A50),MAX(B$46,$A50)))</f>
        <v>0.57392125641395353</v>
      </c>
      <c r="C50" cm="1">
        <f t="array" ref="C50">IF(INDEX(Main!$Z$3:$AS$22,MIN(C$46,$A50),MAX(C$46,$A50))="",0,INDEX(Main!$Z$3:$AS$22,MIN(C$46,$A50),MAX(C$46,$A50)))</f>
        <v>0.58314837114186813</v>
      </c>
      <c r="D50" cm="1">
        <f t="array" ref="D50">IF(INDEX(Main!$Z$3:$AS$22,MIN(D$46,$A50),MAX(D$46,$A50))="",0,INDEX(Main!$Z$3:$AS$22,MIN(D$46,$A50),MAX(D$46,$A50)))</f>
        <v>0.63567264052860828</v>
      </c>
      <c r="E50" cm="1">
        <f t="array" ref="E50">IF(INDEX(Main!$Z$3:$AS$22,MIN(E$46,$A50),MAX(E$46,$A50))="",0,INDEX(Main!$Z$3:$AS$22,MIN(E$46,$A50),MAX(E$46,$A50)))</f>
        <v>1</v>
      </c>
      <c r="F50" cm="1">
        <f t="array" ref="F50">IF(INDEX(Main!$Z$3:$AS$22,MIN(F$46,$A50),MAX(F$46,$A50))="",0,INDEX(Main!$Z$3:$AS$22,MIN(F$46,$A50),MAX(F$46,$A50)))</f>
        <v>0.70699525843349376</v>
      </c>
      <c r="G50" cm="1">
        <f t="array" ref="G50">IF(INDEX(Main!$Z$3:$AS$22,MIN(G$46,$A50),MAX(G$46,$A50))="",0,INDEX(Main!$Z$3:$AS$22,MIN(G$46,$A50),MAX(G$46,$A50)))</f>
        <v>0</v>
      </c>
      <c r="H50" cm="1">
        <f t="array" ref="H50">IF(INDEX(Main!$Z$3:$AS$22,MIN(H$46,$A50),MAX(H$46,$A50))="",0,INDEX(Main!$Z$3:$AS$22,MIN(H$46,$A50),MAX(H$46,$A50)))</f>
        <v>0</v>
      </c>
      <c r="I50" cm="1">
        <f t="array" ref="I50">IF(INDEX(Main!$Z$3:$AS$22,MIN(I$46,$A50),MAX(I$46,$A50))="",0,INDEX(Main!$Z$3:$AS$22,MIN(I$46,$A50),MAX(I$46,$A50)))</f>
        <v>0</v>
      </c>
      <c r="J50" cm="1">
        <f t="array" ref="J50">IF(INDEX(Main!$Z$3:$AS$22,MIN(J$46,$A50),MAX(J$46,$A50))="",0,INDEX(Main!$Z$3:$AS$22,MIN(J$46,$A50),MAX(J$46,$A50)))</f>
        <v>0</v>
      </c>
      <c r="K50" cm="1">
        <f t="array" ref="K50">IF(INDEX(Main!$Z$3:$AS$22,MIN(K$46,$A50),MAX(K$46,$A50))="",0,INDEX(Main!$Z$3:$AS$22,MIN(K$46,$A50),MAX(K$46,$A50)))</f>
        <v>0</v>
      </c>
      <c r="L50" cm="1">
        <f t="array" ref="L50">IF(INDEX(Main!$Z$3:$AS$22,MIN(L$46,$A50),MAX(L$46,$A50))="",0,INDEX(Main!$Z$3:$AS$22,MIN(L$46,$A50),MAX(L$46,$A50)))</f>
        <v>0</v>
      </c>
      <c r="M50" cm="1">
        <f t="array" ref="M50">IF(INDEX(Main!$Z$3:$AS$22,MIN(M$46,$A50),MAX(M$46,$A50))="",0,INDEX(Main!$Z$3:$AS$22,MIN(M$46,$A50),MAX(M$46,$A50)))</f>
        <v>0</v>
      </c>
      <c r="N50" cm="1">
        <f t="array" ref="N50">IF(INDEX(Main!$Z$3:$AS$22,MIN(N$46,$A50),MAX(N$46,$A50))="",0,INDEX(Main!$Z$3:$AS$22,MIN(N$46,$A50),MAX(N$46,$A50)))</f>
        <v>0</v>
      </c>
      <c r="O50" cm="1">
        <f t="array" ref="O50">IF(INDEX(Main!$Z$3:$AS$22,MIN(O$46,$A50),MAX(O$46,$A50))="",0,INDEX(Main!$Z$3:$AS$22,MIN(O$46,$A50),MAX(O$46,$A50)))</f>
        <v>0</v>
      </c>
      <c r="P50" cm="1">
        <f t="array" ref="P50">IF(INDEX(Main!$Z$3:$AS$22,MIN(P$46,$A50),MAX(P$46,$A50))="",0,INDEX(Main!$Z$3:$AS$22,MIN(P$46,$A50),MAX(P$46,$A50)))</f>
        <v>0</v>
      </c>
      <c r="Q50" cm="1">
        <f t="array" ref="Q50">IF(INDEX(Main!$Z$3:$AS$22,MIN(Q$46,$A50),MAX(Q$46,$A50))="",0,INDEX(Main!$Z$3:$AS$22,MIN(Q$46,$A50),MAX(Q$46,$A50)))</f>
        <v>0</v>
      </c>
      <c r="R50" cm="1">
        <f t="array" ref="R50">IF(INDEX(Main!$Z$3:$AS$22,MIN(R$46,$A50),MAX(R$46,$A50))="",0,INDEX(Main!$Z$3:$AS$22,MIN(R$46,$A50),MAX(R$46,$A50)))</f>
        <v>0</v>
      </c>
      <c r="S50" cm="1">
        <f t="array" ref="S50">IF(INDEX(Main!$Z$3:$AS$22,MIN(S$46,$A50),MAX(S$46,$A50))="",0,INDEX(Main!$Z$3:$AS$22,MIN(S$46,$A50),MAX(S$46,$A50)))</f>
        <v>0</v>
      </c>
      <c r="T50" cm="1">
        <f t="array" ref="T50">IF(INDEX(Main!$Z$3:$AS$22,MIN(T$46,$A50),MAX(T$46,$A50))="",0,INDEX(Main!$Z$3:$AS$22,MIN(T$46,$A50),MAX(T$46,$A50)))</f>
        <v>0</v>
      </c>
      <c r="U50" cm="1">
        <f t="array" ref="U50">IF(INDEX(Main!$Z$3:$AS$22,MIN(U$46,$A50),MAX(U$46,$A50))="",0,INDEX(Main!$Z$3:$AS$22,MIN(U$46,$A50),MAX(U$46,$A50)))</f>
        <v>0</v>
      </c>
    </row>
    <row r="51" spans="1:21" x14ac:dyDescent="0.25">
      <c r="A51">
        <v>5</v>
      </c>
      <c r="B51" cm="1">
        <f t="array" ref="B51">IF(INDEX(Main!$Z$3:$AS$22,MIN(B$46,$A51),MAX(B$46,$A51))="",0,INDEX(Main!$Z$3:$AS$22,MIN(B$46,$A51),MAX(B$46,$A51)))</f>
        <v>0.67716730504129063</v>
      </c>
      <c r="C51" cm="1">
        <f t="array" ref="C51">IF(INDEX(Main!$Z$3:$AS$22,MIN(C$46,$A51),MAX(C$46,$A51))="",0,INDEX(Main!$Z$3:$AS$22,MIN(C$46,$A51),MAX(C$46,$A51)))</f>
        <v>0.68628285339995554</v>
      </c>
      <c r="D51" cm="1">
        <f t="array" ref="D51">IF(INDEX(Main!$Z$3:$AS$22,MIN(D$46,$A51),MAX(D$46,$A51))="",0,INDEX(Main!$Z$3:$AS$22,MIN(D$46,$A51),MAX(D$46,$A51)))</f>
        <v>0.72776032724991013</v>
      </c>
      <c r="E51" cm="1">
        <f t="array" ref="E51">IF(INDEX(Main!$Z$3:$AS$22,MIN(E$46,$A51),MAX(E$46,$A51))="",0,INDEX(Main!$Z$3:$AS$22,MIN(E$46,$A51),MAX(E$46,$A51)))</f>
        <v>0.70699525843349376</v>
      </c>
      <c r="F51" cm="1">
        <f t="array" ref="F51">IF(INDEX(Main!$Z$3:$AS$22,MIN(F$46,$A51),MAX(F$46,$A51))="",0,INDEX(Main!$Z$3:$AS$22,MIN(F$46,$A51),MAX(F$46,$A51)))</f>
        <v>1</v>
      </c>
      <c r="G51" cm="1">
        <f t="array" ref="G51">IF(INDEX(Main!$Z$3:$AS$22,MIN(G$46,$A51),MAX(G$46,$A51))="",0,INDEX(Main!$Z$3:$AS$22,MIN(G$46,$A51),MAX(G$46,$A51)))</f>
        <v>0</v>
      </c>
      <c r="H51" cm="1">
        <f t="array" ref="H51">IF(INDEX(Main!$Z$3:$AS$22,MIN(H$46,$A51),MAX(H$46,$A51))="",0,INDEX(Main!$Z$3:$AS$22,MIN(H$46,$A51),MAX(H$46,$A51)))</f>
        <v>0</v>
      </c>
      <c r="I51" cm="1">
        <f t="array" ref="I51">IF(INDEX(Main!$Z$3:$AS$22,MIN(I$46,$A51),MAX(I$46,$A51))="",0,INDEX(Main!$Z$3:$AS$22,MIN(I$46,$A51),MAX(I$46,$A51)))</f>
        <v>0</v>
      </c>
      <c r="J51" cm="1">
        <f t="array" ref="J51">IF(INDEX(Main!$Z$3:$AS$22,MIN(J$46,$A51),MAX(J$46,$A51))="",0,INDEX(Main!$Z$3:$AS$22,MIN(J$46,$A51),MAX(J$46,$A51)))</f>
        <v>0</v>
      </c>
      <c r="K51" cm="1">
        <f t="array" ref="K51">IF(INDEX(Main!$Z$3:$AS$22,MIN(K$46,$A51),MAX(K$46,$A51))="",0,INDEX(Main!$Z$3:$AS$22,MIN(K$46,$A51),MAX(K$46,$A51)))</f>
        <v>0</v>
      </c>
      <c r="L51" cm="1">
        <f t="array" ref="L51">IF(INDEX(Main!$Z$3:$AS$22,MIN(L$46,$A51),MAX(L$46,$A51))="",0,INDEX(Main!$Z$3:$AS$22,MIN(L$46,$A51),MAX(L$46,$A51)))</f>
        <v>0</v>
      </c>
      <c r="M51" cm="1">
        <f t="array" ref="M51">IF(INDEX(Main!$Z$3:$AS$22,MIN(M$46,$A51),MAX(M$46,$A51))="",0,INDEX(Main!$Z$3:$AS$22,MIN(M$46,$A51),MAX(M$46,$A51)))</f>
        <v>0</v>
      </c>
      <c r="N51" cm="1">
        <f t="array" ref="N51">IF(INDEX(Main!$Z$3:$AS$22,MIN(N$46,$A51),MAX(N$46,$A51))="",0,INDEX(Main!$Z$3:$AS$22,MIN(N$46,$A51),MAX(N$46,$A51)))</f>
        <v>0</v>
      </c>
      <c r="O51" cm="1">
        <f t="array" ref="O51">IF(INDEX(Main!$Z$3:$AS$22,MIN(O$46,$A51),MAX(O$46,$A51))="",0,INDEX(Main!$Z$3:$AS$22,MIN(O$46,$A51),MAX(O$46,$A51)))</f>
        <v>0</v>
      </c>
      <c r="P51" cm="1">
        <f t="array" ref="P51">IF(INDEX(Main!$Z$3:$AS$22,MIN(P$46,$A51),MAX(P$46,$A51))="",0,INDEX(Main!$Z$3:$AS$22,MIN(P$46,$A51),MAX(P$46,$A51)))</f>
        <v>0</v>
      </c>
      <c r="Q51" cm="1">
        <f t="array" ref="Q51">IF(INDEX(Main!$Z$3:$AS$22,MIN(Q$46,$A51),MAX(Q$46,$A51))="",0,INDEX(Main!$Z$3:$AS$22,MIN(Q$46,$A51),MAX(Q$46,$A51)))</f>
        <v>0</v>
      </c>
      <c r="R51" cm="1">
        <f t="array" ref="R51">IF(INDEX(Main!$Z$3:$AS$22,MIN(R$46,$A51),MAX(R$46,$A51))="",0,INDEX(Main!$Z$3:$AS$22,MIN(R$46,$A51),MAX(R$46,$A51)))</f>
        <v>0</v>
      </c>
      <c r="S51" cm="1">
        <f t="array" ref="S51">IF(INDEX(Main!$Z$3:$AS$22,MIN(S$46,$A51),MAX(S$46,$A51))="",0,INDEX(Main!$Z$3:$AS$22,MIN(S$46,$A51),MAX(S$46,$A51)))</f>
        <v>0</v>
      </c>
      <c r="T51" cm="1">
        <f t="array" ref="T51">IF(INDEX(Main!$Z$3:$AS$22,MIN(T$46,$A51),MAX(T$46,$A51))="",0,INDEX(Main!$Z$3:$AS$22,MIN(T$46,$A51),MAX(T$46,$A51)))</f>
        <v>0</v>
      </c>
      <c r="U51" cm="1">
        <f t="array" ref="U51">IF(INDEX(Main!$Z$3:$AS$22,MIN(U$46,$A51),MAX(U$46,$A51))="",0,INDEX(Main!$Z$3:$AS$22,MIN(U$46,$A51),MAX(U$46,$A51)))</f>
        <v>0</v>
      </c>
    </row>
    <row r="52" spans="1:21" x14ac:dyDescent="0.25">
      <c r="A52">
        <v>6</v>
      </c>
      <c r="B52" cm="1">
        <f t="array" ref="B52">IF(INDEX(Main!$Z$3:$AS$22,MIN(B$46,$A52),MAX(B$46,$A52))="",0,INDEX(Main!$Z$3:$AS$22,MIN(B$46,$A52),MAX(B$46,$A52)))</f>
        <v>0</v>
      </c>
      <c r="C52" cm="1">
        <f t="array" ref="C52">IF(INDEX(Main!$Z$3:$AS$22,MIN(C$46,$A52),MAX(C$46,$A52))="",0,INDEX(Main!$Z$3:$AS$22,MIN(C$46,$A52),MAX(C$46,$A52)))</f>
        <v>0</v>
      </c>
      <c r="D52" cm="1">
        <f t="array" ref="D52">IF(INDEX(Main!$Z$3:$AS$22,MIN(D$46,$A52),MAX(D$46,$A52))="",0,INDEX(Main!$Z$3:$AS$22,MIN(D$46,$A52),MAX(D$46,$A52)))</f>
        <v>0</v>
      </c>
      <c r="E52" cm="1">
        <f t="array" ref="E52">IF(INDEX(Main!$Z$3:$AS$22,MIN(E$46,$A52),MAX(E$46,$A52))="",0,INDEX(Main!$Z$3:$AS$22,MIN(E$46,$A52),MAX(E$46,$A52)))</f>
        <v>0</v>
      </c>
      <c r="F52" cm="1">
        <f t="array" ref="F52">IF(INDEX(Main!$Z$3:$AS$22,MIN(F$46,$A52),MAX(F$46,$A52))="",0,INDEX(Main!$Z$3:$AS$22,MIN(F$46,$A52),MAX(F$46,$A52)))</f>
        <v>0</v>
      </c>
      <c r="G52" cm="1">
        <f t="array" ref="G52">IF(INDEX(Main!$Z$3:$AS$22,MIN(G$46,$A52),MAX(G$46,$A52))="",0,INDEX(Main!$Z$3:$AS$22,MIN(G$46,$A52),MAX(G$46,$A52)))</f>
        <v>1</v>
      </c>
      <c r="H52" cm="1">
        <f t="array" ref="H52">IF(INDEX(Main!$Z$3:$AS$22,MIN(H$46,$A52),MAX(H$46,$A52))="",0,INDEX(Main!$Z$3:$AS$22,MIN(H$46,$A52),MAX(H$46,$A52)))</f>
        <v>0</v>
      </c>
      <c r="I52" cm="1">
        <f t="array" ref="I52">IF(INDEX(Main!$Z$3:$AS$22,MIN(I$46,$A52),MAX(I$46,$A52))="",0,INDEX(Main!$Z$3:$AS$22,MIN(I$46,$A52),MAX(I$46,$A52)))</f>
        <v>0</v>
      </c>
      <c r="J52" cm="1">
        <f t="array" ref="J52">IF(INDEX(Main!$Z$3:$AS$22,MIN(J$46,$A52),MAX(J$46,$A52))="",0,INDEX(Main!$Z$3:$AS$22,MIN(J$46,$A52),MAX(J$46,$A52)))</f>
        <v>0</v>
      </c>
      <c r="K52" cm="1">
        <f t="array" ref="K52">IF(INDEX(Main!$Z$3:$AS$22,MIN(K$46,$A52),MAX(K$46,$A52))="",0,INDEX(Main!$Z$3:$AS$22,MIN(K$46,$A52),MAX(K$46,$A52)))</f>
        <v>0</v>
      </c>
      <c r="L52" cm="1">
        <f t="array" ref="L52">IF(INDEX(Main!$Z$3:$AS$22,MIN(L$46,$A52),MAX(L$46,$A52))="",0,INDEX(Main!$Z$3:$AS$22,MIN(L$46,$A52),MAX(L$46,$A52)))</f>
        <v>0</v>
      </c>
      <c r="M52" cm="1">
        <f t="array" ref="M52">IF(INDEX(Main!$Z$3:$AS$22,MIN(M$46,$A52),MAX(M$46,$A52))="",0,INDEX(Main!$Z$3:$AS$22,MIN(M$46,$A52),MAX(M$46,$A52)))</f>
        <v>0</v>
      </c>
      <c r="N52" cm="1">
        <f t="array" ref="N52">IF(INDEX(Main!$Z$3:$AS$22,MIN(N$46,$A52),MAX(N$46,$A52))="",0,INDEX(Main!$Z$3:$AS$22,MIN(N$46,$A52),MAX(N$46,$A52)))</f>
        <v>0</v>
      </c>
      <c r="O52" cm="1">
        <f t="array" ref="O52">IF(INDEX(Main!$Z$3:$AS$22,MIN(O$46,$A52),MAX(O$46,$A52))="",0,INDEX(Main!$Z$3:$AS$22,MIN(O$46,$A52),MAX(O$46,$A52)))</f>
        <v>0</v>
      </c>
      <c r="P52" cm="1">
        <f t="array" ref="P52">IF(INDEX(Main!$Z$3:$AS$22,MIN(P$46,$A52),MAX(P$46,$A52))="",0,INDEX(Main!$Z$3:$AS$22,MIN(P$46,$A52),MAX(P$46,$A52)))</f>
        <v>0</v>
      </c>
      <c r="Q52" cm="1">
        <f t="array" ref="Q52">IF(INDEX(Main!$Z$3:$AS$22,MIN(Q$46,$A52),MAX(Q$46,$A52))="",0,INDEX(Main!$Z$3:$AS$22,MIN(Q$46,$A52),MAX(Q$46,$A52)))</f>
        <v>0</v>
      </c>
      <c r="R52" cm="1">
        <f t="array" ref="R52">IF(INDEX(Main!$Z$3:$AS$22,MIN(R$46,$A52),MAX(R$46,$A52))="",0,INDEX(Main!$Z$3:$AS$22,MIN(R$46,$A52),MAX(R$46,$A52)))</f>
        <v>0</v>
      </c>
      <c r="S52" cm="1">
        <f t="array" ref="S52">IF(INDEX(Main!$Z$3:$AS$22,MIN(S$46,$A52),MAX(S$46,$A52))="",0,INDEX(Main!$Z$3:$AS$22,MIN(S$46,$A52),MAX(S$46,$A52)))</f>
        <v>0</v>
      </c>
      <c r="T52" cm="1">
        <f t="array" ref="T52">IF(INDEX(Main!$Z$3:$AS$22,MIN(T$46,$A52),MAX(T$46,$A52))="",0,INDEX(Main!$Z$3:$AS$22,MIN(T$46,$A52),MAX(T$46,$A52)))</f>
        <v>0</v>
      </c>
      <c r="U52" cm="1">
        <f t="array" ref="U52">IF(INDEX(Main!$Z$3:$AS$22,MIN(U$46,$A52),MAX(U$46,$A52))="",0,INDEX(Main!$Z$3:$AS$22,MIN(U$46,$A52),MAX(U$46,$A52)))</f>
        <v>0</v>
      </c>
    </row>
    <row r="53" spans="1:21" x14ac:dyDescent="0.25">
      <c r="A53">
        <v>7</v>
      </c>
      <c r="B53" cm="1">
        <f t="array" ref="B53">IF(INDEX(Main!$Z$3:$AS$22,MIN(B$46,$A53),MAX(B$46,$A53))="",0,INDEX(Main!$Z$3:$AS$22,MIN(B$46,$A53),MAX(B$46,$A53)))</f>
        <v>0</v>
      </c>
      <c r="C53" cm="1">
        <f t="array" ref="C53">IF(INDEX(Main!$Z$3:$AS$22,MIN(C$46,$A53),MAX(C$46,$A53))="",0,INDEX(Main!$Z$3:$AS$22,MIN(C$46,$A53),MAX(C$46,$A53)))</f>
        <v>0</v>
      </c>
      <c r="D53" cm="1">
        <f t="array" ref="D53">IF(INDEX(Main!$Z$3:$AS$22,MIN(D$46,$A53),MAX(D$46,$A53))="",0,INDEX(Main!$Z$3:$AS$22,MIN(D$46,$A53),MAX(D$46,$A53)))</f>
        <v>0</v>
      </c>
      <c r="E53" cm="1">
        <f t="array" ref="E53">IF(INDEX(Main!$Z$3:$AS$22,MIN(E$46,$A53),MAX(E$46,$A53))="",0,INDEX(Main!$Z$3:$AS$22,MIN(E$46,$A53),MAX(E$46,$A53)))</f>
        <v>0</v>
      </c>
      <c r="F53" cm="1">
        <f t="array" ref="F53">IF(INDEX(Main!$Z$3:$AS$22,MIN(F$46,$A53),MAX(F$46,$A53))="",0,INDEX(Main!$Z$3:$AS$22,MIN(F$46,$A53),MAX(F$46,$A53)))</f>
        <v>0</v>
      </c>
      <c r="G53" cm="1">
        <f t="array" ref="G53">IF(INDEX(Main!$Z$3:$AS$22,MIN(G$46,$A53),MAX(G$46,$A53))="",0,INDEX(Main!$Z$3:$AS$22,MIN(G$46,$A53),MAX(G$46,$A53)))</f>
        <v>0</v>
      </c>
      <c r="H53" cm="1">
        <f t="array" ref="H53">IF(INDEX(Main!$Z$3:$AS$22,MIN(H$46,$A53),MAX(H$46,$A53))="",0,INDEX(Main!$Z$3:$AS$22,MIN(H$46,$A53),MAX(H$46,$A53)))</f>
        <v>1</v>
      </c>
      <c r="I53" cm="1">
        <f t="array" ref="I53">IF(INDEX(Main!$Z$3:$AS$22,MIN(I$46,$A53),MAX(I$46,$A53))="",0,INDEX(Main!$Z$3:$AS$22,MIN(I$46,$A53),MAX(I$46,$A53)))</f>
        <v>0</v>
      </c>
      <c r="J53" cm="1">
        <f t="array" ref="J53">IF(INDEX(Main!$Z$3:$AS$22,MIN(J$46,$A53),MAX(J$46,$A53))="",0,INDEX(Main!$Z$3:$AS$22,MIN(J$46,$A53),MAX(J$46,$A53)))</f>
        <v>0</v>
      </c>
      <c r="K53" cm="1">
        <f t="array" ref="K53">IF(INDEX(Main!$Z$3:$AS$22,MIN(K$46,$A53),MAX(K$46,$A53))="",0,INDEX(Main!$Z$3:$AS$22,MIN(K$46,$A53),MAX(K$46,$A53)))</f>
        <v>0</v>
      </c>
      <c r="L53" cm="1">
        <f t="array" ref="L53">IF(INDEX(Main!$Z$3:$AS$22,MIN(L$46,$A53),MAX(L$46,$A53))="",0,INDEX(Main!$Z$3:$AS$22,MIN(L$46,$A53),MAX(L$46,$A53)))</f>
        <v>0</v>
      </c>
      <c r="M53" cm="1">
        <f t="array" ref="M53">IF(INDEX(Main!$Z$3:$AS$22,MIN(M$46,$A53),MAX(M$46,$A53))="",0,INDEX(Main!$Z$3:$AS$22,MIN(M$46,$A53),MAX(M$46,$A53)))</f>
        <v>0</v>
      </c>
      <c r="N53" cm="1">
        <f t="array" ref="N53">IF(INDEX(Main!$Z$3:$AS$22,MIN(N$46,$A53),MAX(N$46,$A53))="",0,INDEX(Main!$Z$3:$AS$22,MIN(N$46,$A53),MAX(N$46,$A53)))</f>
        <v>0</v>
      </c>
      <c r="O53" cm="1">
        <f t="array" ref="O53">IF(INDEX(Main!$Z$3:$AS$22,MIN(O$46,$A53),MAX(O$46,$A53))="",0,INDEX(Main!$Z$3:$AS$22,MIN(O$46,$A53),MAX(O$46,$A53)))</f>
        <v>0</v>
      </c>
      <c r="P53" cm="1">
        <f t="array" ref="P53">IF(INDEX(Main!$Z$3:$AS$22,MIN(P$46,$A53),MAX(P$46,$A53))="",0,INDEX(Main!$Z$3:$AS$22,MIN(P$46,$A53),MAX(P$46,$A53)))</f>
        <v>0</v>
      </c>
      <c r="Q53" cm="1">
        <f t="array" ref="Q53">IF(INDEX(Main!$Z$3:$AS$22,MIN(Q$46,$A53),MAX(Q$46,$A53))="",0,INDEX(Main!$Z$3:$AS$22,MIN(Q$46,$A53),MAX(Q$46,$A53)))</f>
        <v>0</v>
      </c>
      <c r="R53" cm="1">
        <f t="array" ref="R53">IF(INDEX(Main!$Z$3:$AS$22,MIN(R$46,$A53),MAX(R$46,$A53))="",0,INDEX(Main!$Z$3:$AS$22,MIN(R$46,$A53),MAX(R$46,$A53)))</f>
        <v>0</v>
      </c>
      <c r="S53" cm="1">
        <f t="array" ref="S53">IF(INDEX(Main!$Z$3:$AS$22,MIN(S$46,$A53),MAX(S$46,$A53))="",0,INDEX(Main!$Z$3:$AS$22,MIN(S$46,$A53),MAX(S$46,$A53)))</f>
        <v>0</v>
      </c>
      <c r="T53" cm="1">
        <f t="array" ref="T53">IF(INDEX(Main!$Z$3:$AS$22,MIN(T$46,$A53),MAX(T$46,$A53))="",0,INDEX(Main!$Z$3:$AS$22,MIN(T$46,$A53),MAX(T$46,$A53)))</f>
        <v>0</v>
      </c>
      <c r="U53" cm="1">
        <f t="array" ref="U53">IF(INDEX(Main!$Z$3:$AS$22,MIN(U$46,$A53),MAX(U$46,$A53))="",0,INDEX(Main!$Z$3:$AS$22,MIN(U$46,$A53),MAX(U$46,$A53)))</f>
        <v>0</v>
      </c>
    </row>
    <row r="54" spans="1:21" x14ac:dyDescent="0.25">
      <c r="A54">
        <v>8</v>
      </c>
      <c r="B54" cm="1">
        <f t="array" ref="B54">IF(INDEX(Main!$Z$3:$AS$22,MIN(B$46,$A54),MAX(B$46,$A54))="",0,INDEX(Main!$Z$3:$AS$22,MIN(B$46,$A54),MAX(B$46,$A54)))</f>
        <v>0</v>
      </c>
      <c r="C54" cm="1">
        <f t="array" ref="C54">IF(INDEX(Main!$Z$3:$AS$22,MIN(C$46,$A54),MAX(C$46,$A54))="",0,INDEX(Main!$Z$3:$AS$22,MIN(C$46,$A54),MAX(C$46,$A54)))</f>
        <v>0</v>
      </c>
      <c r="D54" cm="1">
        <f t="array" ref="D54">IF(INDEX(Main!$Z$3:$AS$22,MIN(D$46,$A54),MAX(D$46,$A54))="",0,INDEX(Main!$Z$3:$AS$22,MIN(D$46,$A54),MAX(D$46,$A54)))</f>
        <v>0</v>
      </c>
      <c r="E54" cm="1">
        <f t="array" ref="E54">IF(INDEX(Main!$Z$3:$AS$22,MIN(E$46,$A54),MAX(E$46,$A54))="",0,INDEX(Main!$Z$3:$AS$22,MIN(E$46,$A54),MAX(E$46,$A54)))</f>
        <v>0</v>
      </c>
      <c r="F54" cm="1">
        <f t="array" ref="F54">IF(INDEX(Main!$Z$3:$AS$22,MIN(F$46,$A54),MAX(F$46,$A54))="",0,INDEX(Main!$Z$3:$AS$22,MIN(F$46,$A54),MAX(F$46,$A54)))</f>
        <v>0</v>
      </c>
      <c r="G54" cm="1">
        <f t="array" ref="G54">IF(INDEX(Main!$Z$3:$AS$22,MIN(G$46,$A54),MAX(G$46,$A54))="",0,INDEX(Main!$Z$3:$AS$22,MIN(G$46,$A54),MAX(G$46,$A54)))</f>
        <v>0</v>
      </c>
      <c r="H54" cm="1">
        <f t="array" ref="H54">IF(INDEX(Main!$Z$3:$AS$22,MIN(H$46,$A54),MAX(H$46,$A54))="",0,INDEX(Main!$Z$3:$AS$22,MIN(H$46,$A54),MAX(H$46,$A54)))</f>
        <v>0</v>
      </c>
      <c r="I54" cm="1">
        <f t="array" ref="I54">IF(INDEX(Main!$Z$3:$AS$22,MIN(I$46,$A54),MAX(I$46,$A54))="",0,INDEX(Main!$Z$3:$AS$22,MIN(I$46,$A54),MAX(I$46,$A54)))</f>
        <v>1</v>
      </c>
      <c r="J54" cm="1">
        <f t="array" ref="J54">IF(INDEX(Main!$Z$3:$AS$22,MIN(J$46,$A54),MAX(J$46,$A54))="",0,INDEX(Main!$Z$3:$AS$22,MIN(J$46,$A54),MAX(J$46,$A54)))</f>
        <v>0</v>
      </c>
      <c r="K54" cm="1">
        <f t="array" ref="K54">IF(INDEX(Main!$Z$3:$AS$22,MIN(K$46,$A54),MAX(K$46,$A54))="",0,INDEX(Main!$Z$3:$AS$22,MIN(K$46,$A54),MAX(K$46,$A54)))</f>
        <v>0</v>
      </c>
      <c r="L54" cm="1">
        <f t="array" ref="L54">IF(INDEX(Main!$Z$3:$AS$22,MIN(L$46,$A54),MAX(L$46,$A54))="",0,INDEX(Main!$Z$3:$AS$22,MIN(L$46,$A54),MAX(L$46,$A54)))</f>
        <v>0</v>
      </c>
      <c r="M54" cm="1">
        <f t="array" ref="M54">IF(INDEX(Main!$Z$3:$AS$22,MIN(M$46,$A54),MAX(M$46,$A54))="",0,INDEX(Main!$Z$3:$AS$22,MIN(M$46,$A54),MAX(M$46,$A54)))</f>
        <v>0</v>
      </c>
      <c r="N54" cm="1">
        <f t="array" ref="N54">IF(INDEX(Main!$Z$3:$AS$22,MIN(N$46,$A54),MAX(N$46,$A54))="",0,INDEX(Main!$Z$3:$AS$22,MIN(N$46,$A54),MAX(N$46,$A54)))</f>
        <v>0</v>
      </c>
      <c r="O54" cm="1">
        <f t="array" ref="O54">IF(INDEX(Main!$Z$3:$AS$22,MIN(O$46,$A54),MAX(O$46,$A54))="",0,INDEX(Main!$Z$3:$AS$22,MIN(O$46,$A54),MAX(O$46,$A54)))</f>
        <v>0</v>
      </c>
      <c r="P54" cm="1">
        <f t="array" ref="P54">IF(INDEX(Main!$Z$3:$AS$22,MIN(P$46,$A54),MAX(P$46,$A54))="",0,INDEX(Main!$Z$3:$AS$22,MIN(P$46,$A54),MAX(P$46,$A54)))</f>
        <v>0</v>
      </c>
      <c r="Q54" cm="1">
        <f t="array" ref="Q54">IF(INDEX(Main!$Z$3:$AS$22,MIN(Q$46,$A54),MAX(Q$46,$A54))="",0,INDEX(Main!$Z$3:$AS$22,MIN(Q$46,$A54),MAX(Q$46,$A54)))</f>
        <v>0</v>
      </c>
      <c r="R54" cm="1">
        <f t="array" ref="R54">IF(INDEX(Main!$Z$3:$AS$22,MIN(R$46,$A54),MAX(R$46,$A54))="",0,INDEX(Main!$Z$3:$AS$22,MIN(R$46,$A54),MAX(R$46,$A54)))</f>
        <v>0</v>
      </c>
      <c r="S54" cm="1">
        <f t="array" ref="S54">IF(INDEX(Main!$Z$3:$AS$22,MIN(S$46,$A54),MAX(S$46,$A54))="",0,INDEX(Main!$Z$3:$AS$22,MIN(S$46,$A54),MAX(S$46,$A54)))</f>
        <v>0</v>
      </c>
      <c r="T54" cm="1">
        <f t="array" ref="T54">IF(INDEX(Main!$Z$3:$AS$22,MIN(T$46,$A54),MAX(T$46,$A54))="",0,INDEX(Main!$Z$3:$AS$22,MIN(T$46,$A54),MAX(T$46,$A54)))</f>
        <v>0</v>
      </c>
      <c r="U54" cm="1">
        <f t="array" ref="U54">IF(INDEX(Main!$Z$3:$AS$22,MIN(U$46,$A54),MAX(U$46,$A54))="",0,INDEX(Main!$Z$3:$AS$22,MIN(U$46,$A54),MAX(U$46,$A54)))</f>
        <v>0</v>
      </c>
    </row>
    <row r="55" spans="1:21" x14ac:dyDescent="0.25">
      <c r="A55">
        <v>9</v>
      </c>
      <c r="B55" cm="1">
        <f t="array" ref="B55">IF(INDEX(Main!$Z$3:$AS$22,MIN(B$46,$A55),MAX(B$46,$A55))="",0,INDEX(Main!$Z$3:$AS$22,MIN(B$46,$A55),MAX(B$46,$A55)))</f>
        <v>0</v>
      </c>
      <c r="C55" cm="1">
        <f t="array" ref="C55">IF(INDEX(Main!$Z$3:$AS$22,MIN(C$46,$A55),MAX(C$46,$A55))="",0,INDEX(Main!$Z$3:$AS$22,MIN(C$46,$A55),MAX(C$46,$A55)))</f>
        <v>0</v>
      </c>
      <c r="D55" cm="1">
        <f t="array" ref="D55">IF(INDEX(Main!$Z$3:$AS$22,MIN(D$46,$A55),MAX(D$46,$A55))="",0,INDEX(Main!$Z$3:$AS$22,MIN(D$46,$A55),MAX(D$46,$A55)))</f>
        <v>0</v>
      </c>
      <c r="E55" cm="1">
        <f t="array" ref="E55">IF(INDEX(Main!$Z$3:$AS$22,MIN(E$46,$A55),MAX(E$46,$A55))="",0,INDEX(Main!$Z$3:$AS$22,MIN(E$46,$A55),MAX(E$46,$A55)))</f>
        <v>0</v>
      </c>
      <c r="F55" cm="1">
        <f t="array" ref="F55">IF(INDEX(Main!$Z$3:$AS$22,MIN(F$46,$A55),MAX(F$46,$A55))="",0,INDEX(Main!$Z$3:$AS$22,MIN(F$46,$A55),MAX(F$46,$A55)))</f>
        <v>0</v>
      </c>
      <c r="G55" cm="1">
        <f t="array" ref="G55">IF(INDEX(Main!$Z$3:$AS$22,MIN(G$46,$A55),MAX(G$46,$A55))="",0,INDEX(Main!$Z$3:$AS$22,MIN(G$46,$A55),MAX(G$46,$A55)))</f>
        <v>0</v>
      </c>
      <c r="H55" cm="1">
        <f t="array" ref="H55">IF(INDEX(Main!$Z$3:$AS$22,MIN(H$46,$A55),MAX(H$46,$A55))="",0,INDEX(Main!$Z$3:$AS$22,MIN(H$46,$A55),MAX(H$46,$A55)))</f>
        <v>0</v>
      </c>
      <c r="I55" cm="1">
        <f t="array" ref="I55">IF(INDEX(Main!$Z$3:$AS$22,MIN(I$46,$A55),MAX(I$46,$A55))="",0,INDEX(Main!$Z$3:$AS$22,MIN(I$46,$A55),MAX(I$46,$A55)))</f>
        <v>0</v>
      </c>
      <c r="J55" cm="1">
        <f t="array" ref="J55">IF(INDEX(Main!$Z$3:$AS$22,MIN(J$46,$A55),MAX(J$46,$A55))="",0,INDEX(Main!$Z$3:$AS$22,MIN(J$46,$A55),MAX(J$46,$A55)))</f>
        <v>1</v>
      </c>
      <c r="K55" cm="1">
        <f t="array" ref="K55">IF(INDEX(Main!$Z$3:$AS$22,MIN(K$46,$A55),MAX(K$46,$A55))="",0,INDEX(Main!$Z$3:$AS$22,MIN(K$46,$A55),MAX(K$46,$A55)))</f>
        <v>0</v>
      </c>
      <c r="L55" cm="1">
        <f t="array" ref="L55">IF(INDEX(Main!$Z$3:$AS$22,MIN(L$46,$A55),MAX(L$46,$A55))="",0,INDEX(Main!$Z$3:$AS$22,MIN(L$46,$A55),MAX(L$46,$A55)))</f>
        <v>0</v>
      </c>
      <c r="M55" cm="1">
        <f t="array" ref="M55">IF(INDEX(Main!$Z$3:$AS$22,MIN(M$46,$A55),MAX(M$46,$A55))="",0,INDEX(Main!$Z$3:$AS$22,MIN(M$46,$A55),MAX(M$46,$A55)))</f>
        <v>0</v>
      </c>
      <c r="N55" cm="1">
        <f t="array" ref="N55">IF(INDEX(Main!$Z$3:$AS$22,MIN(N$46,$A55),MAX(N$46,$A55))="",0,INDEX(Main!$Z$3:$AS$22,MIN(N$46,$A55),MAX(N$46,$A55)))</f>
        <v>0</v>
      </c>
      <c r="O55" cm="1">
        <f t="array" ref="O55">IF(INDEX(Main!$Z$3:$AS$22,MIN(O$46,$A55),MAX(O$46,$A55))="",0,INDEX(Main!$Z$3:$AS$22,MIN(O$46,$A55),MAX(O$46,$A55)))</f>
        <v>0</v>
      </c>
      <c r="P55" cm="1">
        <f t="array" ref="P55">IF(INDEX(Main!$Z$3:$AS$22,MIN(P$46,$A55),MAX(P$46,$A55))="",0,INDEX(Main!$Z$3:$AS$22,MIN(P$46,$A55),MAX(P$46,$A55)))</f>
        <v>0</v>
      </c>
      <c r="Q55" cm="1">
        <f t="array" ref="Q55">IF(INDEX(Main!$Z$3:$AS$22,MIN(Q$46,$A55),MAX(Q$46,$A55))="",0,INDEX(Main!$Z$3:$AS$22,MIN(Q$46,$A55),MAX(Q$46,$A55)))</f>
        <v>0</v>
      </c>
      <c r="R55" cm="1">
        <f t="array" ref="R55">IF(INDEX(Main!$Z$3:$AS$22,MIN(R$46,$A55),MAX(R$46,$A55))="",0,INDEX(Main!$Z$3:$AS$22,MIN(R$46,$A55),MAX(R$46,$A55)))</f>
        <v>0</v>
      </c>
      <c r="S55" cm="1">
        <f t="array" ref="S55">IF(INDEX(Main!$Z$3:$AS$22,MIN(S$46,$A55),MAX(S$46,$A55))="",0,INDEX(Main!$Z$3:$AS$22,MIN(S$46,$A55),MAX(S$46,$A55)))</f>
        <v>0</v>
      </c>
      <c r="T55" cm="1">
        <f t="array" ref="T55">IF(INDEX(Main!$Z$3:$AS$22,MIN(T$46,$A55),MAX(T$46,$A55))="",0,INDEX(Main!$Z$3:$AS$22,MIN(T$46,$A55),MAX(T$46,$A55)))</f>
        <v>0</v>
      </c>
      <c r="U55" cm="1">
        <f t="array" ref="U55">IF(INDEX(Main!$Z$3:$AS$22,MIN(U$46,$A55),MAX(U$46,$A55))="",0,INDEX(Main!$Z$3:$AS$22,MIN(U$46,$A55),MAX(U$46,$A55)))</f>
        <v>0</v>
      </c>
    </row>
    <row r="56" spans="1:21" x14ac:dyDescent="0.25">
      <c r="A56">
        <v>10</v>
      </c>
      <c r="B56" cm="1">
        <f t="array" ref="B56">IF(INDEX(Main!$Z$3:$AS$22,MIN(B$46,$A56),MAX(B$46,$A56))="",0,INDEX(Main!$Z$3:$AS$22,MIN(B$46,$A56),MAX(B$46,$A56)))</f>
        <v>0</v>
      </c>
      <c r="C56" cm="1">
        <f t="array" ref="C56">IF(INDEX(Main!$Z$3:$AS$22,MIN(C$46,$A56),MAX(C$46,$A56))="",0,INDEX(Main!$Z$3:$AS$22,MIN(C$46,$A56),MAX(C$46,$A56)))</f>
        <v>0</v>
      </c>
      <c r="D56" cm="1">
        <f t="array" ref="D56">IF(INDEX(Main!$Z$3:$AS$22,MIN(D$46,$A56),MAX(D$46,$A56))="",0,INDEX(Main!$Z$3:$AS$22,MIN(D$46,$A56),MAX(D$46,$A56)))</f>
        <v>0</v>
      </c>
      <c r="E56" cm="1">
        <f t="array" ref="E56">IF(INDEX(Main!$Z$3:$AS$22,MIN(E$46,$A56),MAX(E$46,$A56))="",0,INDEX(Main!$Z$3:$AS$22,MIN(E$46,$A56),MAX(E$46,$A56)))</f>
        <v>0</v>
      </c>
      <c r="F56" cm="1">
        <f t="array" ref="F56">IF(INDEX(Main!$Z$3:$AS$22,MIN(F$46,$A56),MAX(F$46,$A56))="",0,INDEX(Main!$Z$3:$AS$22,MIN(F$46,$A56),MAX(F$46,$A56)))</f>
        <v>0</v>
      </c>
      <c r="G56" cm="1">
        <f t="array" ref="G56">IF(INDEX(Main!$Z$3:$AS$22,MIN(G$46,$A56),MAX(G$46,$A56))="",0,INDEX(Main!$Z$3:$AS$22,MIN(G$46,$A56),MAX(G$46,$A56)))</f>
        <v>0</v>
      </c>
      <c r="H56" cm="1">
        <f t="array" ref="H56">IF(INDEX(Main!$Z$3:$AS$22,MIN(H$46,$A56),MAX(H$46,$A56))="",0,INDEX(Main!$Z$3:$AS$22,MIN(H$46,$A56),MAX(H$46,$A56)))</f>
        <v>0</v>
      </c>
      <c r="I56" cm="1">
        <f t="array" ref="I56">IF(INDEX(Main!$Z$3:$AS$22,MIN(I$46,$A56),MAX(I$46,$A56))="",0,INDEX(Main!$Z$3:$AS$22,MIN(I$46,$A56),MAX(I$46,$A56)))</f>
        <v>0</v>
      </c>
      <c r="J56" cm="1">
        <f t="array" ref="J56">IF(INDEX(Main!$Z$3:$AS$22,MIN(J$46,$A56),MAX(J$46,$A56))="",0,INDEX(Main!$Z$3:$AS$22,MIN(J$46,$A56),MAX(J$46,$A56)))</f>
        <v>0</v>
      </c>
      <c r="K56" cm="1">
        <f t="array" ref="K56">IF(INDEX(Main!$Z$3:$AS$22,MIN(K$46,$A56),MAX(K$46,$A56))="",0,INDEX(Main!$Z$3:$AS$22,MIN(K$46,$A56),MAX(K$46,$A56)))</f>
        <v>1</v>
      </c>
      <c r="L56" cm="1">
        <f t="array" ref="L56">IF(INDEX(Main!$Z$3:$AS$22,MIN(L$46,$A56),MAX(L$46,$A56))="",0,INDEX(Main!$Z$3:$AS$22,MIN(L$46,$A56),MAX(L$46,$A56)))</f>
        <v>0</v>
      </c>
      <c r="M56" cm="1">
        <f t="array" ref="M56">IF(INDEX(Main!$Z$3:$AS$22,MIN(M$46,$A56),MAX(M$46,$A56))="",0,INDEX(Main!$Z$3:$AS$22,MIN(M$46,$A56),MAX(M$46,$A56)))</f>
        <v>0</v>
      </c>
      <c r="N56" cm="1">
        <f t="array" ref="N56">IF(INDEX(Main!$Z$3:$AS$22,MIN(N$46,$A56),MAX(N$46,$A56))="",0,INDEX(Main!$Z$3:$AS$22,MIN(N$46,$A56),MAX(N$46,$A56)))</f>
        <v>0</v>
      </c>
      <c r="O56" cm="1">
        <f t="array" ref="O56">IF(INDEX(Main!$Z$3:$AS$22,MIN(O$46,$A56),MAX(O$46,$A56))="",0,INDEX(Main!$Z$3:$AS$22,MIN(O$46,$A56),MAX(O$46,$A56)))</f>
        <v>0</v>
      </c>
      <c r="P56" cm="1">
        <f t="array" ref="P56">IF(INDEX(Main!$Z$3:$AS$22,MIN(P$46,$A56),MAX(P$46,$A56))="",0,INDEX(Main!$Z$3:$AS$22,MIN(P$46,$A56),MAX(P$46,$A56)))</f>
        <v>0</v>
      </c>
      <c r="Q56" cm="1">
        <f t="array" ref="Q56">IF(INDEX(Main!$Z$3:$AS$22,MIN(Q$46,$A56),MAX(Q$46,$A56))="",0,INDEX(Main!$Z$3:$AS$22,MIN(Q$46,$A56),MAX(Q$46,$A56)))</f>
        <v>0</v>
      </c>
      <c r="R56" cm="1">
        <f t="array" ref="R56">IF(INDEX(Main!$Z$3:$AS$22,MIN(R$46,$A56),MAX(R$46,$A56))="",0,INDEX(Main!$Z$3:$AS$22,MIN(R$46,$A56),MAX(R$46,$A56)))</f>
        <v>0</v>
      </c>
      <c r="S56" cm="1">
        <f t="array" ref="S56">IF(INDEX(Main!$Z$3:$AS$22,MIN(S$46,$A56),MAX(S$46,$A56))="",0,INDEX(Main!$Z$3:$AS$22,MIN(S$46,$A56),MAX(S$46,$A56)))</f>
        <v>0</v>
      </c>
      <c r="T56" cm="1">
        <f t="array" ref="T56">IF(INDEX(Main!$Z$3:$AS$22,MIN(T$46,$A56),MAX(T$46,$A56))="",0,INDEX(Main!$Z$3:$AS$22,MIN(T$46,$A56),MAX(T$46,$A56)))</f>
        <v>0</v>
      </c>
      <c r="U56" cm="1">
        <f t="array" ref="U56">IF(INDEX(Main!$Z$3:$AS$22,MIN(U$46,$A56),MAX(U$46,$A56))="",0,INDEX(Main!$Z$3:$AS$22,MIN(U$46,$A56),MAX(U$46,$A56)))</f>
        <v>0</v>
      </c>
    </row>
    <row r="57" spans="1:21" x14ac:dyDescent="0.25">
      <c r="A57">
        <v>11</v>
      </c>
      <c r="B57" cm="1">
        <f t="array" ref="B57">IF(INDEX(Main!$Z$3:$AS$22,MIN(B$46,$A57),MAX(B$46,$A57))="",0,INDEX(Main!$Z$3:$AS$22,MIN(B$46,$A57),MAX(B$46,$A57)))</f>
        <v>0</v>
      </c>
      <c r="C57" cm="1">
        <f t="array" ref="C57">IF(INDEX(Main!$Z$3:$AS$22,MIN(C$46,$A57),MAX(C$46,$A57))="",0,INDEX(Main!$Z$3:$AS$22,MIN(C$46,$A57),MAX(C$46,$A57)))</f>
        <v>0</v>
      </c>
      <c r="D57" cm="1">
        <f t="array" ref="D57">IF(INDEX(Main!$Z$3:$AS$22,MIN(D$46,$A57),MAX(D$46,$A57))="",0,INDEX(Main!$Z$3:$AS$22,MIN(D$46,$A57),MAX(D$46,$A57)))</f>
        <v>0</v>
      </c>
      <c r="E57" cm="1">
        <f t="array" ref="E57">IF(INDEX(Main!$Z$3:$AS$22,MIN(E$46,$A57),MAX(E$46,$A57))="",0,INDEX(Main!$Z$3:$AS$22,MIN(E$46,$A57),MAX(E$46,$A57)))</f>
        <v>0</v>
      </c>
      <c r="F57" cm="1">
        <f t="array" ref="F57">IF(INDEX(Main!$Z$3:$AS$22,MIN(F$46,$A57),MAX(F$46,$A57))="",0,INDEX(Main!$Z$3:$AS$22,MIN(F$46,$A57),MAX(F$46,$A57)))</f>
        <v>0</v>
      </c>
      <c r="G57" cm="1">
        <f t="array" ref="G57">IF(INDEX(Main!$Z$3:$AS$22,MIN(G$46,$A57),MAX(G$46,$A57))="",0,INDEX(Main!$Z$3:$AS$22,MIN(G$46,$A57),MAX(G$46,$A57)))</f>
        <v>0</v>
      </c>
      <c r="H57" cm="1">
        <f t="array" ref="H57">IF(INDEX(Main!$Z$3:$AS$22,MIN(H$46,$A57),MAX(H$46,$A57))="",0,INDEX(Main!$Z$3:$AS$22,MIN(H$46,$A57),MAX(H$46,$A57)))</f>
        <v>0</v>
      </c>
      <c r="I57" cm="1">
        <f t="array" ref="I57">IF(INDEX(Main!$Z$3:$AS$22,MIN(I$46,$A57),MAX(I$46,$A57))="",0,INDEX(Main!$Z$3:$AS$22,MIN(I$46,$A57),MAX(I$46,$A57)))</f>
        <v>0</v>
      </c>
      <c r="J57" cm="1">
        <f t="array" ref="J57">IF(INDEX(Main!$Z$3:$AS$22,MIN(J$46,$A57),MAX(J$46,$A57))="",0,INDEX(Main!$Z$3:$AS$22,MIN(J$46,$A57),MAX(J$46,$A57)))</f>
        <v>0</v>
      </c>
      <c r="K57" cm="1">
        <f t="array" ref="K57">IF(INDEX(Main!$Z$3:$AS$22,MIN(K$46,$A57),MAX(K$46,$A57))="",0,INDEX(Main!$Z$3:$AS$22,MIN(K$46,$A57),MAX(K$46,$A57)))</f>
        <v>0</v>
      </c>
      <c r="L57" cm="1">
        <f t="array" ref="L57">IF(INDEX(Main!$Z$3:$AS$22,MIN(L$46,$A57),MAX(L$46,$A57))="",0,INDEX(Main!$Z$3:$AS$22,MIN(L$46,$A57),MAX(L$46,$A57)))</f>
        <v>1</v>
      </c>
      <c r="M57" cm="1">
        <f t="array" ref="M57">IF(INDEX(Main!$Z$3:$AS$22,MIN(M$46,$A57),MAX(M$46,$A57))="",0,INDEX(Main!$Z$3:$AS$22,MIN(M$46,$A57),MAX(M$46,$A57)))</f>
        <v>0</v>
      </c>
      <c r="N57" cm="1">
        <f t="array" ref="N57">IF(INDEX(Main!$Z$3:$AS$22,MIN(N$46,$A57),MAX(N$46,$A57))="",0,INDEX(Main!$Z$3:$AS$22,MIN(N$46,$A57),MAX(N$46,$A57)))</f>
        <v>0</v>
      </c>
      <c r="O57" cm="1">
        <f t="array" ref="O57">IF(INDEX(Main!$Z$3:$AS$22,MIN(O$46,$A57),MAX(O$46,$A57))="",0,INDEX(Main!$Z$3:$AS$22,MIN(O$46,$A57),MAX(O$46,$A57)))</f>
        <v>0</v>
      </c>
      <c r="P57" cm="1">
        <f t="array" ref="P57">IF(INDEX(Main!$Z$3:$AS$22,MIN(P$46,$A57),MAX(P$46,$A57))="",0,INDEX(Main!$Z$3:$AS$22,MIN(P$46,$A57),MAX(P$46,$A57)))</f>
        <v>0</v>
      </c>
      <c r="Q57" cm="1">
        <f t="array" ref="Q57">IF(INDEX(Main!$Z$3:$AS$22,MIN(Q$46,$A57),MAX(Q$46,$A57))="",0,INDEX(Main!$Z$3:$AS$22,MIN(Q$46,$A57),MAX(Q$46,$A57)))</f>
        <v>0</v>
      </c>
      <c r="R57" cm="1">
        <f t="array" ref="R57">IF(INDEX(Main!$Z$3:$AS$22,MIN(R$46,$A57),MAX(R$46,$A57))="",0,INDEX(Main!$Z$3:$AS$22,MIN(R$46,$A57),MAX(R$46,$A57)))</f>
        <v>0</v>
      </c>
      <c r="S57" cm="1">
        <f t="array" ref="S57">IF(INDEX(Main!$Z$3:$AS$22,MIN(S$46,$A57),MAX(S$46,$A57))="",0,INDEX(Main!$Z$3:$AS$22,MIN(S$46,$A57),MAX(S$46,$A57)))</f>
        <v>0</v>
      </c>
      <c r="T57" cm="1">
        <f t="array" ref="T57">IF(INDEX(Main!$Z$3:$AS$22,MIN(T$46,$A57),MAX(T$46,$A57))="",0,INDEX(Main!$Z$3:$AS$22,MIN(T$46,$A57),MAX(T$46,$A57)))</f>
        <v>0</v>
      </c>
      <c r="U57" cm="1">
        <f t="array" ref="U57">IF(INDEX(Main!$Z$3:$AS$22,MIN(U$46,$A57),MAX(U$46,$A57))="",0,INDEX(Main!$Z$3:$AS$22,MIN(U$46,$A57),MAX(U$46,$A57)))</f>
        <v>0</v>
      </c>
    </row>
    <row r="58" spans="1:21" x14ac:dyDescent="0.25">
      <c r="A58">
        <v>12</v>
      </c>
      <c r="B58" cm="1">
        <f t="array" ref="B58">IF(INDEX(Main!$Z$3:$AS$22,MIN(B$46,$A58),MAX(B$46,$A58))="",0,INDEX(Main!$Z$3:$AS$22,MIN(B$46,$A58),MAX(B$46,$A58)))</f>
        <v>0</v>
      </c>
      <c r="C58" cm="1">
        <f t="array" ref="C58">IF(INDEX(Main!$Z$3:$AS$22,MIN(C$46,$A58),MAX(C$46,$A58))="",0,INDEX(Main!$Z$3:$AS$22,MIN(C$46,$A58),MAX(C$46,$A58)))</f>
        <v>0</v>
      </c>
      <c r="D58" cm="1">
        <f t="array" ref="D58">IF(INDEX(Main!$Z$3:$AS$22,MIN(D$46,$A58),MAX(D$46,$A58))="",0,INDEX(Main!$Z$3:$AS$22,MIN(D$46,$A58),MAX(D$46,$A58)))</f>
        <v>0</v>
      </c>
      <c r="E58" cm="1">
        <f t="array" ref="E58">IF(INDEX(Main!$Z$3:$AS$22,MIN(E$46,$A58),MAX(E$46,$A58))="",0,INDEX(Main!$Z$3:$AS$22,MIN(E$46,$A58),MAX(E$46,$A58)))</f>
        <v>0</v>
      </c>
      <c r="F58" cm="1">
        <f t="array" ref="F58">IF(INDEX(Main!$Z$3:$AS$22,MIN(F$46,$A58),MAX(F$46,$A58))="",0,INDEX(Main!$Z$3:$AS$22,MIN(F$46,$A58),MAX(F$46,$A58)))</f>
        <v>0</v>
      </c>
      <c r="G58" cm="1">
        <f t="array" ref="G58">IF(INDEX(Main!$Z$3:$AS$22,MIN(G$46,$A58),MAX(G$46,$A58))="",0,INDEX(Main!$Z$3:$AS$22,MIN(G$46,$A58),MAX(G$46,$A58)))</f>
        <v>0</v>
      </c>
      <c r="H58" cm="1">
        <f t="array" ref="H58">IF(INDEX(Main!$Z$3:$AS$22,MIN(H$46,$A58),MAX(H$46,$A58))="",0,INDEX(Main!$Z$3:$AS$22,MIN(H$46,$A58),MAX(H$46,$A58)))</f>
        <v>0</v>
      </c>
      <c r="I58" cm="1">
        <f t="array" ref="I58">IF(INDEX(Main!$Z$3:$AS$22,MIN(I$46,$A58),MAX(I$46,$A58))="",0,INDEX(Main!$Z$3:$AS$22,MIN(I$46,$A58),MAX(I$46,$A58)))</f>
        <v>0</v>
      </c>
      <c r="J58" cm="1">
        <f t="array" ref="J58">IF(INDEX(Main!$Z$3:$AS$22,MIN(J$46,$A58),MAX(J$46,$A58))="",0,INDEX(Main!$Z$3:$AS$22,MIN(J$46,$A58),MAX(J$46,$A58)))</f>
        <v>0</v>
      </c>
      <c r="K58" cm="1">
        <f t="array" ref="K58">IF(INDEX(Main!$Z$3:$AS$22,MIN(K$46,$A58),MAX(K$46,$A58))="",0,INDEX(Main!$Z$3:$AS$22,MIN(K$46,$A58),MAX(K$46,$A58)))</f>
        <v>0</v>
      </c>
      <c r="L58" cm="1">
        <f t="array" ref="L58">IF(INDEX(Main!$Z$3:$AS$22,MIN(L$46,$A58),MAX(L$46,$A58))="",0,INDEX(Main!$Z$3:$AS$22,MIN(L$46,$A58),MAX(L$46,$A58)))</f>
        <v>0</v>
      </c>
      <c r="M58" cm="1">
        <f t="array" ref="M58">IF(INDEX(Main!$Z$3:$AS$22,MIN(M$46,$A58),MAX(M$46,$A58))="",0,INDEX(Main!$Z$3:$AS$22,MIN(M$46,$A58),MAX(M$46,$A58)))</f>
        <v>1</v>
      </c>
      <c r="N58" cm="1">
        <f t="array" ref="N58">IF(INDEX(Main!$Z$3:$AS$22,MIN(N$46,$A58),MAX(N$46,$A58))="",0,INDEX(Main!$Z$3:$AS$22,MIN(N$46,$A58),MAX(N$46,$A58)))</f>
        <v>0</v>
      </c>
      <c r="O58" cm="1">
        <f t="array" ref="O58">IF(INDEX(Main!$Z$3:$AS$22,MIN(O$46,$A58),MAX(O$46,$A58))="",0,INDEX(Main!$Z$3:$AS$22,MIN(O$46,$A58),MAX(O$46,$A58)))</f>
        <v>0</v>
      </c>
      <c r="P58" cm="1">
        <f t="array" ref="P58">IF(INDEX(Main!$Z$3:$AS$22,MIN(P$46,$A58),MAX(P$46,$A58))="",0,INDEX(Main!$Z$3:$AS$22,MIN(P$46,$A58),MAX(P$46,$A58)))</f>
        <v>0</v>
      </c>
      <c r="Q58" cm="1">
        <f t="array" ref="Q58">IF(INDEX(Main!$Z$3:$AS$22,MIN(Q$46,$A58),MAX(Q$46,$A58))="",0,INDEX(Main!$Z$3:$AS$22,MIN(Q$46,$A58),MAX(Q$46,$A58)))</f>
        <v>0</v>
      </c>
      <c r="R58" cm="1">
        <f t="array" ref="R58">IF(INDEX(Main!$Z$3:$AS$22,MIN(R$46,$A58),MAX(R$46,$A58))="",0,INDEX(Main!$Z$3:$AS$22,MIN(R$46,$A58),MAX(R$46,$A58)))</f>
        <v>0</v>
      </c>
      <c r="S58" cm="1">
        <f t="array" ref="S58">IF(INDEX(Main!$Z$3:$AS$22,MIN(S$46,$A58),MAX(S$46,$A58))="",0,INDEX(Main!$Z$3:$AS$22,MIN(S$46,$A58),MAX(S$46,$A58)))</f>
        <v>0</v>
      </c>
      <c r="T58" cm="1">
        <f t="array" ref="T58">IF(INDEX(Main!$Z$3:$AS$22,MIN(T$46,$A58),MAX(T$46,$A58))="",0,INDEX(Main!$Z$3:$AS$22,MIN(T$46,$A58),MAX(T$46,$A58)))</f>
        <v>0</v>
      </c>
      <c r="U58" cm="1">
        <f t="array" ref="U58">IF(INDEX(Main!$Z$3:$AS$22,MIN(U$46,$A58),MAX(U$46,$A58))="",0,INDEX(Main!$Z$3:$AS$22,MIN(U$46,$A58),MAX(U$46,$A58)))</f>
        <v>0</v>
      </c>
    </row>
    <row r="59" spans="1:21" x14ac:dyDescent="0.25">
      <c r="A59">
        <v>13</v>
      </c>
      <c r="B59" cm="1">
        <f t="array" ref="B59">IF(INDEX(Main!$Z$3:$AS$22,MIN(B$46,$A59),MAX(B$46,$A59))="",0,INDEX(Main!$Z$3:$AS$22,MIN(B$46,$A59),MAX(B$46,$A59)))</f>
        <v>0</v>
      </c>
      <c r="C59" cm="1">
        <f t="array" ref="C59">IF(INDEX(Main!$Z$3:$AS$22,MIN(C$46,$A59),MAX(C$46,$A59))="",0,INDEX(Main!$Z$3:$AS$22,MIN(C$46,$A59),MAX(C$46,$A59)))</f>
        <v>0</v>
      </c>
      <c r="D59" cm="1">
        <f t="array" ref="D59">IF(INDEX(Main!$Z$3:$AS$22,MIN(D$46,$A59),MAX(D$46,$A59))="",0,INDEX(Main!$Z$3:$AS$22,MIN(D$46,$A59),MAX(D$46,$A59)))</f>
        <v>0</v>
      </c>
      <c r="E59" cm="1">
        <f t="array" ref="E59">IF(INDEX(Main!$Z$3:$AS$22,MIN(E$46,$A59),MAX(E$46,$A59))="",0,INDEX(Main!$Z$3:$AS$22,MIN(E$46,$A59),MAX(E$46,$A59)))</f>
        <v>0</v>
      </c>
      <c r="F59" cm="1">
        <f t="array" ref="F59">IF(INDEX(Main!$Z$3:$AS$22,MIN(F$46,$A59),MAX(F$46,$A59))="",0,INDEX(Main!$Z$3:$AS$22,MIN(F$46,$A59),MAX(F$46,$A59)))</f>
        <v>0</v>
      </c>
      <c r="G59" cm="1">
        <f t="array" ref="G59">IF(INDEX(Main!$Z$3:$AS$22,MIN(G$46,$A59),MAX(G$46,$A59))="",0,INDEX(Main!$Z$3:$AS$22,MIN(G$46,$A59),MAX(G$46,$A59)))</f>
        <v>0</v>
      </c>
      <c r="H59" cm="1">
        <f t="array" ref="H59">IF(INDEX(Main!$Z$3:$AS$22,MIN(H$46,$A59),MAX(H$46,$A59))="",0,INDEX(Main!$Z$3:$AS$22,MIN(H$46,$A59),MAX(H$46,$A59)))</f>
        <v>0</v>
      </c>
      <c r="I59" cm="1">
        <f t="array" ref="I59">IF(INDEX(Main!$Z$3:$AS$22,MIN(I$46,$A59),MAX(I$46,$A59))="",0,INDEX(Main!$Z$3:$AS$22,MIN(I$46,$A59),MAX(I$46,$A59)))</f>
        <v>0</v>
      </c>
      <c r="J59" cm="1">
        <f t="array" ref="J59">IF(INDEX(Main!$Z$3:$AS$22,MIN(J$46,$A59),MAX(J$46,$A59))="",0,INDEX(Main!$Z$3:$AS$22,MIN(J$46,$A59),MAX(J$46,$A59)))</f>
        <v>0</v>
      </c>
      <c r="K59" cm="1">
        <f t="array" ref="K59">IF(INDEX(Main!$Z$3:$AS$22,MIN(K$46,$A59),MAX(K$46,$A59))="",0,INDEX(Main!$Z$3:$AS$22,MIN(K$46,$A59),MAX(K$46,$A59)))</f>
        <v>0</v>
      </c>
      <c r="L59" cm="1">
        <f t="array" ref="L59">IF(INDEX(Main!$Z$3:$AS$22,MIN(L$46,$A59),MAX(L$46,$A59))="",0,INDEX(Main!$Z$3:$AS$22,MIN(L$46,$A59),MAX(L$46,$A59)))</f>
        <v>0</v>
      </c>
      <c r="M59" cm="1">
        <f t="array" ref="M59">IF(INDEX(Main!$Z$3:$AS$22,MIN(M$46,$A59),MAX(M$46,$A59))="",0,INDEX(Main!$Z$3:$AS$22,MIN(M$46,$A59),MAX(M$46,$A59)))</f>
        <v>0</v>
      </c>
      <c r="N59" cm="1">
        <f t="array" ref="N59">IF(INDEX(Main!$Z$3:$AS$22,MIN(N$46,$A59),MAX(N$46,$A59))="",0,INDEX(Main!$Z$3:$AS$22,MIN(N$46,$A59),MAX(N$46,$A59)))</f>
        <v>1</v>
      </c>
      <c r="O59" cm="1">
        <f t="array" ref="O59">IF(INDEX(Main!$Z$3:$AS$22,MIN(O$46,$A59),MAX(O$46,$A59))="",0,INDEX(Main!$Z$3:$AS$22,MIN(O$46,$A59),MAX(O$46,$A59)))</f>
        <v>0</v>
      </c>
      <c r="P59" cm="1">
        <f t="array" ref="P59">IF(INDEX(Main!$Z$3:$AS$22,MIN(P$46,$A59),MAX(P$46,$A59))="",0,INDEX(Main!$Z$3:$AS$22,MIN(P$46,$A59),MAX(P$46,$A59)))</f>
        <v>0</v>
      </c>
      <c r="Q59" cm="1">
        <f t="array" ref="Q59">IF(INDEX(Main!$Z$3:$AS$22,MIN(Q$46,$A59),MAX(Q$46,$A59))="",0,INDEX(Main!$Z$3:$AS$22,MIN(Q$46,$A59),MAX(Q$46,$A59)))</f>
        <v>0</v>
      </c>
      <c r="R59" cm="1">
        <f t="array" ref="R59">IF(INDEX(Main!$Z$3:$AS$22,MIN(R$46,$A59),MAX(R$46,$A59))="",0,INDEX(Main!$Z$3:$AS$22,MIN(R$46,$A59),MAX(R$46,$A59)))</f>
        <v>0</v>
      </c>
      <c r="S59" cm="1">
        <f t="array" ref="S59">IF(INDEX(Main!$Z$3:$AS$22,MIN(S$46,$A59),MAX(S$46,$A59))="",0,INDEX(Main!$Z$3:$AS$22,MIN(S$46,$A59),MAX(S$46,$A59)))</f>
        <v>0</v>
      </c>
      <c r="T59" cm="1">
        <f t="array" ref="T59">IF(INDEX(Main!$Z$3:$AS$22,MIN(T$46,$A59),MAX(T$46,$A59))="",0,INDEX(Main!$Z$3:$AS$22,MIN(T$46,$A59),MAX(T$46,$A59)))</f>
        <v>0</v>
      </c>
      <c r="U59" cm="1">
        <f t="array" ref="U59">IF(INDEX(Main!$Z$3:$AS$22,MIN(U$46,$A59),MAX(U$46,$A59))="",0,INDEX(Main!$Z$3:$AS$22,MIN(U$46,$A59),MAX(U$46,$A59)))</f>
        <v>0</v>
      </c>
    </row>
    <row r="60" spans="1:21" x14ac:dyDescent="0.25">
      <c r="A60">
        <v>14</v>
      </c>
      <c r="B60" cm="1">
        <f t="array" ref="B60">IF(INDEX(Main!$Z$3:$AS$22,MIN(B$46,$A60),MAX(B$46,$A60))="",0,INDEX(Main!$Z$3:$AS$22,MIN(B$46,$A60),MAX(B$46,$A60)))</f>
        <v>0</v>
      </c>
      <c r="C60" cm="1">
        <f t="array" ref="C60">IF(INDEX(Main!$Z$3:$AS$22,MIN(C$46,$A60),MAX(C$46,$A60))="",0,INDEX(Main!$Z$3:$AS$22,MIN(C$46,$A60),MAX(C$46,$A60)))</f>
        <v>0</v>
      </c>
      <c r="D60" cm="1">
        <f t="array" ref="D60">IF(INDEX(Main!$Z$3:$AS$22,MIN(D$46,$A60),MAX(D$46,$A60))="",0,INDEX(Main!$Z$3:$AS$22,MIN(D$46,$A60),MAX(D$46,$A60)))</f>
        <v>0</v>
      </c>
      <c r="E60" cm="1">
        <f t="array" ref="E60">IF(INDEX(Main!$Z$3:$AS$22,MIN(E$46,$A60),MAX(E$46,$A60))="",0,INDEX(Main!$Z$3:$AS$22,MIN(E$46,$A60),MAX(E$46,$A60)))</f>
        <v>0</v>
      </c>
      <c r="F60" cm="1">
        <f t="array" ref="F60">IF(INDEX(Main!$Z$3:$AS$22,MIN(F$46,$A60),MAX(F$46,$A60))="",0,INDEX(Main!$Z$3:$AS$22,MIN(F$46,$A60),MAX(F$46,$A60)))</f>
        <v>0</v>
      </c>
      <c r="G60" cm="1">
        <f t="array" ref="G60">IF(INDEX(Main!$Z$3:$AS$22,MIN(G$46,$A60),MAX(G$46,$A60))="",0,INDEX(Main!$Z$3:$AS$22,MIN(G$46,$A60),MAX(G$46,$A60)))</f>
        <v>0</v>
      </c>
      <c r="H60" cm="1">
        <f t="array" ref="H60">IF(INDEX(Main!$Z$3:$AS$22,MIN(H$46,$A60),MAX(H$46,$A60))="",0,INDEX(Main!$Z$3:$AS$22,MIN(H$46,$A60),MAX(H$46,$A60)))</f>
        <v>0</v>
      </c>
      <c r="I60" cm="1">
        <f t="array" ref="I60">IF(INDEX(Main!$Z$3:$AS$22,MIN(I$46,$A60),MAX(I$46,$A60))="",0,INDEX(Main!$Z$3:$AS$22,MIN(I$46,$A60),MAX(I$46,$A60)))</f>
        <v>0</v>
      </c>
      <c r="J60" cm="1">
        <f t="array" ref="J60">IF(INDEX(Main!$Z$3:$AS$22,MIN(J$46,$A60),MAX(J$46,$A60))="",0,INDEX(Main!$Z$3:$AS$22,MIN(J$46,$A60),MAX(J$46,$A60)))</f>
        <v>0</v>
      </c>
      <c r="K60" cm="1">
        <f t="array" ref="K60">IF(INDEX(Main!$Z$3:$AS$22,MIN(K$46,$A60),MAX(K$46,$A60))="",0,INDEX(Main!$Z$3:$AS$22,MIN(K$46,$A60),MAX(K$46,$A60)))</f>
        <v>0</v>
      </c>
      <c r="L60" cm="1">
        <f t="array" ref="L60">IF(INDEX(Main!$Z$3:$AS$22,MIN(L$46,$A60),MAX(L$46,$A60))="",0,INDEX(Main!$Z$3:$AS$22,MIN(L$46,$A60),MAX(L$46,$A60)))</f>
        <v>0</v>
      </c>
      <c r="M60" cm="1">
        <f t="array" ref="M60">IF(INDEX(Main!$Z$3:$AS$22,MIN(M$46,$A60),MAX(M$46,$A60))="",0,INDEX(Main!$Z$3:$AS$22,MIN(M$46,$A60),MAX(M$46,$A60)))</f>
        <v>0</v>
      </c>
      <c r="N60" cm="1">
        <f t="array" ref="N60">IF(INDEX(Main!$Z$3:$AS$22,MIN(N$46,$A60),MAX(N$46,$A60))="",0,INDEX(Main!$Z$3:$AS$22,MIN(N$46,$A60),MAX(N$46,$A60)))</f>
        <v>0</v>
      </c>
      <c r="O60" cm="1">
        <f t="array" ref="O60">IF(INDEX(Main!$Z$3:$AS$22,MIN(O$46,$A60),MAX(O$46,$A60))="",0,INDEX(Main!$Z$3:$AS$22,MIN(O$46,$A60),MAX(O$46,$A60)))</f>
        <v>1</v>
      </c>
      <c r="P60" cm="1">
        <f t="array" ref="P60">IF(INDEX(Main!$Z$3:$AS$22,MIN(P$46,$A60),MAX(P$46,$A60))="",0,INDEX(Main!$Z$3:$AS$22,MIN(P$46,$A60),MAX(P$46,$A60)))</f>
        <v>0</v>
      </c>
      <c r="Q60" cm="1">
        <f t="array" ref="Q60">IF(INDEX(Main!$Z$3:$AS$22,MIN(Q$46,$A60),MAX(Q$46,$A60))="",0,INDEX(Main!$Z$3:$AS$22,MIN(Q$46,$A60),MAX(Q$46,$A60)))</f>
        <v>0</v>
      </c>
      <c r="R60" cm="1">
        <f t="array" ref="R60">IF(INDEX(Main!$Z$3:$AS$22,MIN(R$46,$A60),MAX(R$46,$A60))="",0,INDEX(Main!$Z$3:$AS$22,MIN(R$46,$A60),MAX(R$46,$A60)))</f>
        <v>0</v>
      </c>
      <c r="S60" cm="1">
        <f t="array" ref="S60">IF(INDEX(Main!$Z$3:$AS$22,MIN(S$46,$A60),MAX(S$46,$A60))="",0,INDEX(Main!$Z$3:$AS$22,MIN(S$46,$A60),MAX(S$46,$A60)))</f>
        <v>0</v>
      </c>
      <c r="T60" cm="1">
        <f t="array" ref="T60">IF(INDEX(Main!$Z$3:$AS$22,MIN(T$46,$A60),MAX(T$46,$A60))="",0,INDEX(Main!$Z$3:$AS$22,MIN(T$46,$A60),MAX(T$46,$A60)))</f>
        <v>0</v>
      </c>
      <c r="U60" cm="1">
        <f t="array" ref="U60">IF(INDEX(Main!$Z$3:$AS$22,MIN(U$46,$A60),MAX(U$46,$A60))="",0,INDEX(Main!$Z$3:$AS$22,MIN(U$46,$A60),MAX(U$46,$A60)))</f>
        <v>0</v>
      </c>
    </row>
    <row r="61" spans="1:21" x14ac:dyDescent="0.25">
      <c r="A61">
        <v>15</v>
      </c>
      <c r="B61" cm="1">
        <f t="array" ref="B61">IF(INDEX(Main!$Z$3:$AS$22,MIN(B$46,$A61),MAX(B$46,$A61))="",0,INDEX(Main!$Z$3:$AS$22,MIN(B$46,$A61),MAX(B$46,$A61)))</f>
        <v>0</v>
      </c>
      <c r="C61" cm="1">
        <f t="array" ref="C61">IF(INDEX(Main!$Z$3:$AS$22,MIN(C$46,$A61),MAX(C$46,$A61))="",0,INDEX(Main!$Z$3:$AS$22,MIN(C$46,$A61),MAX(C$46,$A61)))</f>
        <v>0</v>
      </c>
      <c r="D61" cm="1">
        <f t="array" ref="D61">IF(INDEX(Main!$Z$3:$AS$22,MIN(D$46,$A61),MAX(D$46,$A61))="",0,INDEX(Main!$Z$3:$AS$22,MIN(D$46,$A61),MAX(D$46,$A61)))</f>
        <v>0</v>
      </c>
      <c r="E61" cm="1">
        <f t="array" ref="E61">IF(INDEX(Main!$Z$3:$AS$22,MIN(E$46,$A61),MAX(E$46,$A61))="",0,INDEX(Main!$Z$3:$AS$22,MIN(E$46,$A61),MAX(E$46,$A61)))</f>
        <v>0</v>
      </c>
      <c r="F61" cm="1">
        <f t="array" ref="F61">IF(INDEX(Main!$Z$3:$AS$22,MIN(F$46,$A61),MAX(F$46,$A61))="",0,INDEX(Main!$Z$3:$AS$22,MIN(F$46,$A61),MAX(F$46,$A61)))</f>
        <v>0</v>
      </c>
      <c r="G61" cm="1">
        <f t="array" ref="G61">IF(INDEX(Main!$Z$3:$AS$22,MIN(G$46,$A61),MAX(G$46,$A61))="",0,INDEX(Main!$Z$3:$AS$22,MIN(G$46,$A61),MAX(G$46,$A61)))</f>
        <v>0</v>
      </c>
      <c r="H61" cm="1">
        <f t="array" ref="H61">IF(INDEX(Main!$Z$3:$AS$22,MIN(H$46,$A61),MAX(H$46,$A61))="",0,INDEX(Main!$Z$3:$AS$22,MIN(H$46,$A61),MAX(H$46,$A61)))</f>
        <v>0</v>
      </c>
      <c r="I61" cm="1">
        <f t="array" ref="I61">IF(INDEX(Main!$Z$3:$AS$22,MIN(I$46,$A61),MAX(I$46,$A61))="",0,INDEX(Main!$Z$3:$AS$22,MIN(I$46,$A61),MAX(I$46,$A61)))</f>
        <v>0</v>
      </c>
      <c r="J61" cm="1">
        <f t="array" ref="J61">IF(INDEX(Main!$Z$3:$AS$22,MIN(J$46,$A61),MAX(J$46,$A61))="",0,INDEX(Main!$Z$3:$AS$22,MIN(J$46,$A61),MAX(J$46,$A61)))</f>
        <v>0</v>
      </c>
      <c r="K61" cm="1">
        <f t="array" ref="K61">IF(INDEX(Main!$Z$3:$AS$22,MIN(K$46,$A61),MAX(K$46,$A61))="",0,INDEX(Main!$Z$3:$AS$22,MIN(K$46,$A61),MAX(K$46,$A61)))</f>
        <v>0</v>
      </c>
      <c r="L61" cm="1">
        <f t="array" ref="L61">IF(INDEX(Main!$Z$3:$AS$22,MIN(L$46,$A61),MAX(L$46,$A61))="",0,INDEX(Main!$Z$3:$AS$22,MIN(L$46,$A61),MAX(L$46,$A61)))</f>
        <v>0</v>
      </c>
      <c r="M61" cm="1">
        <f t="array" ref="M61">IF(INDEX(Main!$Z$3:$AS$22,MIN(M$46,$A61),MAX(M$46,$A61))="",0,INDEX(Main!$Z$3:$AS$22,MIN(M$46,$A61),MAX(M$46,$A61)))</f>
        <v>0</v>
      </c>
      <c r="N61" cm="1">
        <f t="array" ref="N61">IF(INDEX(Main!$Z$3:$AS$22,MIN(N$46,$A61),MAX(N$46,$A61))="",0,INDEX(Main!$Z$3:$AS$22,MIN(N$46,$A61),MAX(N$46,$A61)))</f>
        <v>0</v>
      </c>
      <c r="O61" cm="1">
        <f t="array" ref="O61">IF(INDEX(Main!$Z$3:$AS$22,MIN(O$46,$A61),MAX(O$46,$A61))="",0,INDEX(Main!$Z$3:$AS$22,MIN(O$46,$A61),MAX(O$46,$A61)))</f>
        <v>0</v>
      </c>
      <c r="P61" cm="1">
        <f t="array" ref="P61">IF(INDEX(Main!$Z$3:$AS$22,MIN(P$46,$A61),MAX(P$46,$A61))="",0,INDEX(Main!$Z$3:$AS$22,MIN(P$46,$A61),MAX(P$46,$A61)))</f>
        <v>1</v>
      </c>
      <c r="Q61" cm="1">
        <f t="array" ref="Q61">IF(INDEX(Main!$Z$3:$AS$22,MIN(Q$46,$A61),MAX(Q$46,$A61))="",0,INDEX(Main!$Z$3:$AS$22,MIN(Q$46,$A61),MAX(Q$46,$A61)))</f>
        <v>0</v>
      </c>
      <c r="R61" cm="1">
        <f t="array" ref="R61">IF(INDEX(Main!$Z$3:$AS$22,MIN(R$46,$A61),MAX(R$46,$A61))="",0,INDEX(Main!$Z$3:$AS$22,MIN(R$46,$A61),MAX(R$46,$A61)))</f>
        <v>0</v>
      </c>
      <c r="S61" cm="1">
        <f t="array" ref="S61">IF(INDEX(Main!$Z$3:$AS$22,MIN(S$46,$A61),MAX(S$46,$A61))="",0,INDEX(Main!$Z$3:$AS$22,MIN(S$46,$A61),MAX(S$46,$A61)))</f>
        <v>0</v>
      </c>
      <c r="T61" cm="1">
        <f t="array" ref="T61">IF(INDEX(Main!$Z$3:$AS$22,MIN(T$46,$A61),MAX(T$46,$A61))="",0,INDEX(Main!$Z$3:$AS$22,MIN(T$46,$A61),MAX(T$46,$A61)))</f>
        <v>0</v>
      </c>
      <c r="U61" cm="1">
        <f t="array" ref="U61">IF(INDEX(Main!$Z$3:$AS$22,MIN(U$46,$A61),MAX(U$46,$A61))="",0,INDEX(Main!$Z$3:$AS$22,MIN(U$46,$A61),MAX(U$46,$A61)))</f>
        <v>0</v>
      </c>
    </row>
    <row r="62" spans="1:21" x14ac:dyDescent="0.25">
      <c r="A62">
        <v>16</v>
      </c>
      <c r="B62" cm="1">
        <f t="array" ref="B62">IF(INDEX(Main!$Z$3:$AS$22,MIN(B$46,$A62),MAX(B$46,$A62))="",0,INDEX(Main!$Z$3:$AS$22,MIN(B$46,$A62),MAX(B$46,$A62)))</f>
        <v>0</v>
      </c>
      <c r="C62" cm="1">
        <f t="array" ref="C62">IF(INDEX(Main!$Z$3:$AS$22,MIN(C$46,$A62),MAX(C$46,$A62))="",0,INDEX(Main!$Z$3:$AS$22,MIN(C$46,$A62),MAX(C$46,$A62)))</f>
        <v>0</v>
      </c>
      <c r="D62" cm="1">
        <f t="array" ref="D62">IF(INDEX(Main!$Z$3:$AS$22,MIN(D$46,$A62),MAX(D$46,$A62))="",0,INDEX(Main!$Z$3:$AS$22,MIN(D$46,$A62),MAX(D$46,$A62)))</f>
        <v>0</v>
      </c>
      <c r="E62" cm="1">
        <f t="array" ref="E62">IF(INDEX(Main!$Z$3:$AS$22,MIN(E$46,$A62),MAX(E$46,$A62))="",0,INDEX(Main!$Z$3:$AS$22,MIN(E$46,$A62),MAX(E$46,$A62)))</f>
        <v>0</v>
      </c>
      <c r="F62" cm="1">
        <f t="array" ref="F62">IF(INDEX(Main!$Z$3:$AS$22,MIN(F$46,$A62),MAX(F$46,$A62))="",0,INDEX(Main!$Z$3:$AS$22,MIN(F$46,$A62),MAX(F$46,$A62)))</f>
        <v>0</v>
      </c>
      <c r="G62" cm="1">
        <f t="array" ref="G62">IF(INDEX(Main!$Z$3:$AS$22,MIN(G$46,$A62),MAX(G$46,$A62))="",0,INDEX(Main!$Z$3:$AS$22,MIN(G$46,$A62),MAX(G$46,$A62)))</f>
        <v>0</v>
      </c>
      <c r="H62" cm="1">
        <f t="array" ref="H62">IF(INDEX(Main!$Z$3:$AS$22,MIN(H$46,$A62),MAX(H$46,$A62))="",0,INDEX(Main!$Z$3:$AS$22,MIN(H$46,$A62),MAX(H$46,$A62)))</f>
        <v>0</v>
      </c>
      <c r="I62" cm="1">
        <f t="array" ref="I62">IF(INDEX(Main!$Z$3:$AS$22,MIN(I$46,$A62),MAX(I$46,$A62))="",0,INDEX(Main!$Z$3:$AS$22,MIN(I$46,$A62),MAX(I$46,$A62)))</f>
        <v>0</v>
      </c>
      <c r="J62" cm="1">
        <f t="array" ref="J62">IF(INDEX(Main!$Z$3:$AS$22,MIN(J$46,$A62),MAX(J$46,$A62))="",0,INDEX(Main!$Z$3:$AS$22,MIN(J$46,$A62),MAX(J$46,$A62)))</f>
        <v>0</v>
      </c>
      <c r="K62" cm="1">
        <f t="array" ref="K62">IF(INDEX(Main!$Z$3:$AS$22,MIN(K$46,$A62),MAX(K$46,$A62))="",0,INDEX(Main!$Z$3:$AS$22,MIN(K$46,$A62),MAX(K$46,$A62)))</f>
        <v>0</v>
      </c>
      <c r="L62" cm="1">
        <f t="array" ref="L62">IF(INDEX(Main!$Z$3:$AS$22,MIN(L$46,$A62),MAX(L$46,$A62))="",0,INDEX(Main!$Z$3:$AS$22,MIN(L$46,$A62),MAX(L$46,$A62)))</f>
        <v>0</v>
      </c>
      <c r="M62" cm="1">
        <f t="array" ref="M62">IF(INDEX(Main!$Z$3:$AS$22,MIN(M$46,$A62),MAX(M$46,$A62))="",0,INDEX(Main!$Z$3:$AS$22,MIN(M$46,$A62),MAX(M$46,$A62)))</f>
        <v>0</v>
      </c>
      <c r="N62" cm="1">
        <f t="array" ref="N62">IF(INDEX(Main!$Z$3:$AS$22,MIN(N$46,$A62),MAX(N$46,$A62))="",0,INDEX(Main!$Z$3:$AS$22,MIN(N$46,$A62),MAX(N$46,$A62)))</f>
        <v>0</v>
      </c>
      <c r="O62" cm="1">
        <f t="array" ref="O62">IF(INDEX(Main!$Z$3:$AS$22,MIN(O$46,$A62),MAX(O$46,$A62))="",0,INDEX(Main!$Z$3:$AS$22,MIN(O$46,$A62),MAX(O$46,$A62)))</f>
        <v>0</v>
      </c>
      <c r="P62" cm="1">
        <f t="array" ref="P62">IF(INDEX(Main!$Z$3:$AS$22,MIN(P$46,$A62),MAX(P$46,$A62))="",0,INDEX(Main!$Z$3:$AS$22,MIN(P$46,$A62),MAX(P$46,$A62)))</f>
        <v>0</v>
      </c>
      <c r="Q62" cm="1">
        <f t="array" ref="Q62">IF(INDEX(Main!$Z$3:$AS$22,MIN(Q$46,$A62),MAX(Q$46,$A62))="",0,INDEX(Main!$Z$3:$AS$22,MIN(Q$46,$A62),MAX(Q$46,$A62)))</f>
        <v>1</v>
      </c>
      <c r="R62" cm="1">
        <f t="array" ref="R62">IF(INDEX(Main!$Z$3:$AS$22,MIN(R$46,$A62),MAX(R$46,$A62))="",0,INDEX(Main!$Z$3:$AS$22,MIN(R$46,$A62),MAX(R$46,$A62)))</f>
        <v>0</v>
      </c>
      <c r="S62" cm="1">
        <f t="array" ref="S62">IF(INDEX(Main!$Z$3:$AS$22,MIN(S$46,$A62),MAX(S$46,$A62))="",0,INDEX(Main!$Z$3:$AS$22,MIN(S$46,$A62),MAX(S$46,$A62)))</f>
        <v>0</v>
      </c>
      <c r="T62" cm="1">
        <f t="array" ref="T62">IF(INDEX(Main!$Z$3:$AS$22,MIN(T$46,$A62),MAX(T$46,$A62))="",0,INDEX(Main!$Z$3:$AS$22,MIN(T$46,$A62),MAX(T$46,$A62)))</f>
        <v>0</v>
      </c>
      <c r="U62" cm="1">
        <f t="array" ref="U62">IF(INDEX(Main!$Z$3:$AS$22,MIN(U$46,$A62),MAX(U$46,$A62))="",0,INDEX(Main!$Z$3:$AS$22,MIN(U$46,$A62),MAX(U$46,$A62)))</f>
        <v>0</v>
      </c>
    </row>
    <row r="63" spans="1:21" x14ac:dyDescent="0.25">
      <c r="A63">
        <v>17</v>
      </c>
      <c r="B63" cm="1">
        <f t="array" ref="B63">IF(INDEX(Main!$Z$3:$AS$22,MIN(B$46,$A63),MAX(B$46,$A63))="",0,INDEX(Main!$Z$3:$AS$22,MIN(B$46,$A63),MAX(B$46,$A63)))</f>
        <v>0</v>
      </c>
      <c r="C63" cm="1">
        <f t="array" ref="C63">IF(INDEX(Main!$Z$3:$AS$22,MIN(C$46,$A63),MAX(C$46,$A63))="",0,INDEX(Main!$Z$3:$AS$22,MIN(C$46,$A63),MAX(C$46,$A63)))</f>
        <v>0</v>
      </c>
      <c r="D63" cm="1">
        <f t="array" ref="D63">IF(INDEX(Main!$Z$3:$AS$22,MIN(D$46,$A63),MAX(D$46,$A63))="",0,INDEX(Main!$Z$3:$AS$22,MIN(D$46,$A63),MAX(D$46,$A63)))</f>
        <v>0</v>
      </c>
      <c r="E63" cm="1">
        <f t="array" ref="E63">IF(INDEX(Main!$Z$3:$AS$22,MIN(E$46,$A63),MAX(E$46,$A63))="",0,INDEX(Main!$Z$3:$AS$22,MIN(E$46,$A63),MAX(E$46,$A63)))</f>
        <v>0</v>
      </c>
      <c r="F63" cm="1">
        <f t="array" ref="F63">IF(INDEX(Main!$Z$3:$AS$22,MIN(F$46,$A63),MAX(F$46,$A63))="",0,INDEX(Main!$Z$3:$AS$22,MIN(F$46,$A63),MAX(F$46,$A63)))</f>
        <v>0</v>
      </c>
      <c r="G63" cm="1">
        <f t="array" ref="G63">IF(INDEX(Main!$Z$3:$AS$22,MIN(G$46,$A63),MAX(G$46,$A63))="",0,INDEX(Main!$Z$3:$AS$22,MIN(G$46,$A63),MAX(G$46,$A63)))</f>
        <v>0</v>
      </c>
      <c r="H63" cm="1">
        <f t="array" ref="H63">IF(INDEX(Main!$Z$3:$AS$22,MIN(H$46,$A63),MAX(H$46,$A63))="",0,INDEX(Main!$Z$3:$AS$22,MIN(H$46,$A63),MAX(H$46,$A63)))</f>
        <v>0</v>
      </c>
      <c r="I63" cm="1">
        <f t="array" ref="I63">IF(INDEX(Main!$Z$3:$AS$22,MIN(I$46,$A63),MAX(I$46,$A63))="",0,INDEX(Main!$Z$3:$AS$22,MIN(I$46,$A63),MAX(I$46,$A63)))</f>
        <v>0</v>
      </c>
      <c r="J63" cm="1">
        <f t="array" ref="J63">IF(INDEX(Main!$Z$3:$AS$22,MIN(J$46,$A63),MAX(J$46,$A63))="",0,INDEX(Main!$Z$3:$AS$22,MIN(J$46,$A63),MAX(J$46,$A63)))</f>
        <v>0</v>
      </c>
      <c r="K63" cm="1">
        <f t="array" ref="K63">IF(INDEX(Main!$Z$3:$AS$22,MIN(K$46,$A63),MAX(K$46,$A63))="",0,INDEX(Main!$Z$3:$AS$22,MIN(K$46,$A63),MAX(K$46,$A63)))</f>
        <v>0</v>
      </c>
      <c r="L63" cm="1">
        <f t="array" ref="L63">IF(INDEX(Main!$Z$3:$AS$22,MIN(L$46,$A63),MAX(L$46,$A63))="",0,INDEX(Main!$Z$3:$AS$22,MIN(L$46,$A63),MAX(L$46,$A63)))</f>
        <v>0</v>
      </c>
      <c r="M63" cm="1">
        <f t="array" ref="M63">IF(INDEX(Main!$Z$3:$AS$22,MIN(M$46,$A63),MAX(M$46,$A63))="",0,INDEX(Main!$Z$3:$AS$22,MIN(M$46,$A63),MAX(M$46,$A63)))</f>
        <v>0</v>
      </c>
      <c r="N63" cm="1">
        <f t="array" ref="N63">IF(INDEX(Main!$Z$3:$AS$22,MIN(N$46,$A63),MAX(N$46,$A63))="",0,INDEX(Main!$Z$3:$AS$22,MIN(N$46,$A63),MAX(N$46,$A63)))</f>
        <v>0</v>
      </c>
      <c r="O63" cm="1">
        <f t="array" ref="O63">IF(INDEX(Main!$Z$3:$AS$22,MIN(O$46,$A63),MAX(O$46,$A63))="",0,INDEX(Main!$Z$3:$AS$22,MIN(O$46,$A63),MAX(O$46,$A63)))</f>
        <v>0</v>
      </c>
      <c r="P63" cm="1">
        <f t="array" ref="P63">IF(INDEX(Main!$Z$3:$AS$22,MIN(P$46,$A63),MAX(P$46,$A63))="",0,INDEX(Main!$Z$3:$AS$22,MIN(P$46,$A63),MAX(P$46,$A63)))</f>
        <v>0</v>
      </c>
      <c r="Q63" cm="1">
        <f t="array" ref="Q63">IF(INDEX(Main!$Z$3:$AS$22,MIN(Q$46,$A63),MAX(Q$46,$A63))="",0,INDEX(Main!$Z$3:$AS$22,MIN(Q$46,$A63),MAX(Q$46,$A63)))</f>
        <v>0</v>
      </c>
      <c r="R63" cm="1">
        <f t="array" ref="R63">IF(INDEX(Main!$Z$3:$AS$22,MIN(R$46,$A63),MAX(R$46,$A63))="",0,INDEX(Main!$Z$3:$AS$22,MIN(R$46,$A63),MAX(R$46,$A63)))</f>
        <v>1</v>
      </c>
      <c r="S63" cm="1">
        <f t="array" ref="S63">IF(INDEX(Main!$Z$3:$AS$22,MIN(S$46,$A63),MAX(S$46,$A63))="",0,INDEX(Main!$Z$3:$AS$22,MIN(S$46,$A63),MAX(S$46,$A63)))</f>
        <v>0</v>
      </c>
      <c r="T63" cm="1">
        <f t="array" ref="T63">IF(INDEX(Main!$Z$3:$AS$22,MIN(T$46,$A63),MAX(T$46,$A63))="",0,INDEX(Main!$Z$3:$AS$22,MIN(T$46,$A63),MAX(T$46,$A63)))</f>
        <v>0</v>
      </c>
      <c r="U63" cm="1">
        <f t="array" ref="U63">IF(INDEX(Main!$Z$3:$AS$22,MIN(U$46,$A63),MAX(U$46,$A63))="",0,INDEX(Main!$Z$3:$AS$22,MIN(U$46,$A63),MAX(U$46,$A63)))</f>
        <v>0</v>
      </c>
    </row>
    <row r="64" spans="1:21" x14ac:dyDescent="0.25">
      <c r="A64">
        <v>18</v>
      </c>
      <c r="B64" cm="1">
        <f t="array" ref="B64">IF(INDEX(Main!$Z$3:$AS$22,MIN(B$46,$A64),MAX(B$46,$A64))="",0,INDEX(Main!$Z$3:$AS$22,MIN(B$46,$A64),MAX(B$46,$A64)))</f>
        <v>0</v>
      </c>
      <c r="C64" cm="1">
        <f t="array" ref="C64">IF(INDEX(Main!$Z$3:$AS$22,MIN(C$46,$A64),MAX(C$46,$A64))="",0,INDEX(Main!$Z$3:$AS$22,MIN(C$46,$A64),MAX(C$46,$A64)))</f>
        <v>0</v>
      </c>
      <c r="D64" cm="1">
        <f t="array" ref="D64">IF(INDEX(Main!$Z$3:$AS$22,MIN(D$46,$A64),MAX(D$46,$A64))="",0,INDEX(Main!$Z$3:$AS$22,MIN(D$46,$A64),MAX(D$46,$A64)))</f>
        <v>0</v>
      </c>
      <c r="E64" cm="1">
        <f t="array" ref="E64">IF(INDEX(Main!$Z$3:$AS$22,MIN(E$46,$A64),MAX(E$46,$A64))="",0,INDEX(Main!$Z$3:$AS$22,MIN(E$46,$A64),MAX(E$46,$A64)))</f>
        <v>0</v>
      </c>
      <c r="F64" cm="1">
        <f t="array" ref="F64">IF(INDEX(Main!$Z$3:$AS$22,MIN(F$46,$A64),MAX(F$46,$A64))="",0,INDEX(Main!$Z$3:$AS$22,MIN(F$46,$A64),MAX(F$46,$A64)))</f>
        <v>0</v>
      </c>
      <c r="G64" cm="1">
        <f t="array" ref="G64">IF(INDEX(Main!$Z$3:$AS$22,MIN(G$46,$A64),MAX(G$46,$A64))="",0,INDEX(Main!$Z$3:$AS$22,MIN(G$46,$A64),MAX(G$46,$A64)))</f>
        <v>0</v>
      </c>
      <c r="H64" cm="1">
        <f t="array" ref="H64">IF(INDEX(Main!$Z$3:$AS$22,MIN(H$46,$A64),MAX(H$46,$A64))="",0,INDEX(Main!$Z$3:$AS$22,MIN(H$46,$A64),MAX(H$46,$A64)))</f>
        <v>0</v>
      </c>
      <c r="I64" cm="1">
        <f t="array" ref="I64">IF(INDEX(Main!$Z$3:$AS$22,MIN(I$46,$A64),MAX(I$46,$A64))="",0,INDEX(Main!$Z$3:$AS$22,MIN(I$46,$A64),MAX(I$46,$A64)))</f>
        <v>0</v>
      </c>
      <c r="J64" cm="1">
        <f t="array" ref="J64">IF(INDEX(Main!$Z$3:$AS$22,MIN(J$46,$A64),MAX(J$46,$A64))="",0,INDEX(Main!$Z$3:$AS$22,MIN(J$46,$A64),MAX(J$46,$A64)))</f>
        <v>0</v>
      </c>
      <c r="K64" cm="1">
        <f t="array" ref="K64">IF(INDEX(Main!$Z$3:$AS$22,MIN(K$46,$A64),MAX(K$46,$A64))="",0,INDEX(Main!$Z$3:$AS$22,MIN(K$46,$A64),MAX(K$46,$A64)))</f>
        <v>0</v>
      </c>
      <c r="L64" cm="1">
        <f t="array" ref="L64">IF(INDEX(Main!$Z$3:$AS$22,MIN(L$46,$A64),MAX(L$46,$A64))="",0,INDEX(Main!$Z$3:$AS$22,MIN(L$46,$A64),MAX(L$46,$A64)))</f>
        <v>0</v>
      </c>
      <c r="M64" cm="1">
        <f t="array" ref="M64">IF(INDEX(Main!$Z$3:$AS$22,MIN(M$46,$A64),MAX(M$46,$A64))="",0,INDEX(Main!$Z$3:$AS$22,MIN(M$46,$A64),MAX(M$46,$A64)))</f>
        <v>0</v>
      </c>
      <c r="N64" cm="1">
        <f t="array" ref="N64">IF(INDEX(Main!$Z$3:$AS$22,MIN(N$46,$A64),MAX(N$46,$A64))="",0,INDEX(Main!$Z$3:$AS$22,MIN(N$46,$A64),MAX(N$46,$A64)))</f>
        <v>0</v>
      </c>
      <c r="O64" cm="1">
        <f t="array" ref="O64">IF(INDEX(Main!$Z$3:$AS$22,MIN(O$46,$A64),MAX(O$46,$A64))="",0,INDEX(Main!$Z$3:$AS$22,MIN(O$46,$A64),MAX(O$46,$A64)))</f>
        <v>0</v>
      </c>
      <c r="P64" cm="1">
        <f t="array" ref="P64">IF(INDEX(Main!$Z$3:$AS$22,MIN(P$46,$A64),MAX(P$46,$A64))="",0,INDEX(Main!$Z$3:$AS$22,MIN(P$46,$A64),MAX(P$46,$A64)))</f>
        <v>0</v>
      </c>
      <c r="Q64" cm="1">
        <f t="array" ref="Q64">IF(INDEX(Main!$Z$3:$AS$22,MIN(Q$46,$A64),MAX(Q$46,$A64))="",0,INDEX(Main!$Z$3:$AS$22,MIN(Q$46,$A64),MAX(Q$46,$A64)))</f>
        <v>0</v>
      </c>
      <c r="R64" cm="1">
        <f t="array" ref="R64">IF(INDEX(Main!$Z$3:$AS$22,MIN(R$46,$A64),MAX(R$46,$A64))="",0,INDEX(Main!$Z$3:$AS$22,MIN(R$46,$A64),MAX(R$46,$A64)))</f>
        <v>0</v>
      </c>
      <c r="S64" cm="1">
        <f t="array" ref="S64">IF(INDEX(Main!$Z$3:$AS$22,MIN(S$46,$A64),MAX(S$46,$A64))="",0,INDEX(Main!$Z$3:$AS$22,MIN(S$46,$A64),MAX(S$46,$A64)))</f>
        <v>1</v>
      </c>
      <c r="T64" cm="1">
        <f t="array" ref="T64">IF(INDEX(Main!$Z$3:$AS$22,MIN(T$46,$A64),MAX(T$46,$A64))="",0,INDEX(Main!$Z$3:$AS$22,MIN(T$46,$A64),MAX(T$46,$A64)))</f>
        <v>0</v>
      </c>
      <c r="U64" cm="1">
        <f t="array" ref="U64">IF(INDEX(Main!$Z$3:$AS$22,MIN(U$46,$A64),MAX(U$46,$A64))="",0,INDEX(Main!$Z$3:$AS$22,MIN(U$46,$A64),MAX(U$46,$A64)))</f>
        <v>0</v>
      </c>
    </row>
    <row r="65" spans="1:21" x14ac:dyDescent="0.25">
      <c r="A65">
        <v>19</v>
      </c>
      <c r="B65" cm="1">
        <f t="array" ref="B65">IF(INDEX(Main!$Z$3:$AS$22,MIN(B$46,$A65),MAX(B$46,$A65))="",0,INDEX(Main!$Z$3:$AS$22,MIN(B$46,$A65),MAX(B$46,$A65)))</f>
        <v>0</v>
      </c>
      <c r="C65" cm="1">
        <f t="array" ref="C65">IF(INDEX(Main!$Z$3:$AS$22,MIN(C$46,$A65),MAX(C$46,$A65))="",0,INDEX(Main!$Z$3:$AS$22,MIN(C$46,$A65),MAX(C$46,$A65)))</f>
        <v>0</v>
      </c>
      <c r="D65" cm="1">
        <f t="array" ref="D65">IF(INDEX(Main!$Z$3:$AS$22,MIN(D$46,$A65),MAX(D$46,$A65))="",0,INDEX(Main!$Z$3:$AS$22,MIN(D$46,$A65),MAX(D$46,$A65)))</f>
        <v>0</v>
      </c>
      <c r="E65" cm="1">
        <f t="array" ref="E65">IF(INDEX(Main!$Z$3:$AS$22,MIN(E$46,$A65),MAX(E$46,$A65))="",0,INDEX(Main!$Z$3:$AS$22,MIN(E$46,$A65),MAX(E$46,$A65)))</f>
        <v>0</v>
      </c>
      <c r="F65" cm="1">
        <f t="array" ref="F65">IF(INDEX(Main!$Z$3:$AS$22,MIN(F$46,$A65),MAX(F$46,$A65))="",0,INDEX(Main!$Z$3:$AS$22,MIN(F$46,$A65),MAX(F$46,$A65)))</f>
        <v>0</v>
      </c>
      <c r="G65" cm="1">
        <f t="array" ref="G65">IF(INDEX(Main!$Z$3:$AS$22,MIN(G$46,$A65),MAX(G$46,$A65))="",0,INDEX(Main!$Z$3:$AS$22,MIN(G$46,$A65),MAX(G$46,$A65)))</f>
        <v>0</v>
      </c>
      <c r="H65" cm="1">
        <f t="array" ref="H65">IF(INDEX(Main!$Z$3:$AS$22,MIN(H$46,$A65),MAX(H$46,$A65))="",0,INDEX(Main!$Z$3:$AS$22,MIN(H$46,$A65),MAX(H$46,$A65)))</f>
        <v>0</v>
      </c>
      <c r="I65" cm="1">
        <f t="array" ref="I65">IF(INDEX(Main!$Z$3:$AS$22,MIN(I$46,$A65),MAX(I$46,$A65))="",0,INDEX(Main!$Z$3:$AS$22,MIN(I$46,$A65),MAX(I$46,$A65)))</f>
        <v>0</v>
      </c>
      <c r="J65" cm="1">
        <f t="array" ref="J65">IF(INDEX(Main!$Z$3:$AS$22,MIN(J$46,$A65),MAX(J$46,$A65))="",0,INDEX(Main!$Z$3:$AS$22,MIN(J$46,$A65),MAX(J$46,$A65)))</f>
        <v>0</v>
      </c>
      <c r="K65" cm="1">
        <f t="array" ref="K65">IF(INDEX(Main!$Z$3:$AS$22,MIN(K$46,$A65),MAX(K$46,$A65))="",0,INDEX(Main!$Z$3:$AS$22,MIN(K$46,$A65),MAX(K$46,$A65)))</f>
        <v>0</v>
      </c>
      <c r="L65" cm="1">
        <f t="array" ref="L65">IF(INDEX(Main!$Z$3:$AS$22,MIN(L$46,$A65),MAX(L$46,$A65))="",0,INDEX(Main!$Z$3:$AS$22,MIN(L$46,$A65),MAX(L$46,$A65)))</f>
        <v>0</v>
      </c>
      <c r="M65" cm="1">
        <f t="array" ref="M65">IF(INDEX(Main!$Z$3:$AS$22,MIN(M$46,$A65),MAX(M$46,$A65))="",0,INDEX(Main!$Z$3:$AS$22,MIN(M$46,$A65),MAX(M$46,$A65)))</f>
        <v>0</v>
      </c>
      <c r="N65" cm="1">
        <f t="array" ref="N65">IF(INDEX(Main!$Z$3:$AS$22,MIN(N$46,$A65),MAX(N$46,$A65))="",0,INDEX(Main!$Z$3:$AS$22,MIN(N$46,$A65),MAX(N$46,$A65)))</f>
        <v>0</v>
      </c>
      <c r="O65" cm="1">
        <f t="array" ref="O65">IF(INDEX(Main!$Z$3:$AS$22,MIN(O$46,$A65),MAX(O$46,$A65))="",0,INDEX(Main!$Z$3:$AS$22,MIN(O$46,$A65),MAX(O$46,$A65)))</f>
        <v>0</v>
      </c>
      <c r="P65" cm="1">
        <f t="array" ref="P65">IF(INDEX(Main!$Z$3:$AS$22,MIN(P$46,$A65),MAX(P$46,$A65))="",0,INDEX(Main!$Z$3:$AS$22,MIN(P$46,$A65),MAX(P$46,$A65)))</f>
        <v>0</v>
      </c>
      <c r="Q65" cm="1">
        <f t="array" ref="Q65">IF(INDEX(Main!$Z$3:$AS$22,MIN(Q$46,$A65),MAX(Q$46,$A65))="",0,INDEX(Main!$Z$3:$AS$22,MIN(Q$46,$A65),MAX(Q$46,$A65)))</f>
        <v>0</v>
      </c>
      <c r="R65" cm="1">
        <f t="array" ref="R65">IF(INDEX(Main!$Z$3:$AS$22,MIN(R$46,$A65),MAX(R$46,$A65))="",0,INDEX(Main!$Z$3:$AS$22,MIN(R$46,$A65),MAX(R$46,$A65)))</f>
        <v>0</v>
      </c>
      <c r="S65" cm="1">
        <f t="array" ref="S65">IF(INDEX(Main!$Z$3:$AS$22,MIN(S$46,$A65),MAX(S$46,$A65))="",0,INDEX(Main!$Z$3:$AS$22,MIN(S$46,$A65),MAX(S$46,$A65)))</f>
        <v>0</v>
      </c>
      <c r="T65" cm="1">
        <f t="array" ref="T65">IF(INDEX(Main!$Z$3:$AS$22,MIN(T$46,$A65),MAX(T$46,$A65))="",0,INDEX(Main!$Z$3:$AS$22,MIN(T$46,$A65),MAX(T$46,$A65)))</f>
        <v>1</v>
      </c>
      <c r="U65" cm="1">
        <f t="array" ref="U65">IF(INDEX(Main!$Z$3:$AS$22,MIN(U$46,$A65),MAX(U$46,$A65))="",0,INDEX(Main!$Z$3:$AS$22,MIN(U$46,$A65),MAX(U$46,$A65)))</f>
        <v>0</v>
      </c>
    </row>
    <row r="66" spans="1:21" x14ac:dyDescent="0.25">
      <c r="A66">
        <v>20</v>
      </c>
      <c r="B66" cm="1">
        <f t="array" ref="B66">IF(INDEX(Main!$Z$3:$AS$22,MIN(B$46,$A66),MAX(B$46,$A66))="",0,INDEX(Main!$Z$3:$AS$22,MIN(B$46,$A66),MAX(B$46,$A66)))</f>
        <v>0</v>
      </c>
      <c r="C66" cm="1">
        <f t="array" ref="C66">IF(INDEX(Main!$Z$3:$AS$22,MIN(C$46,$A66),MAX(C$46,$A66))="",0,INDEX(Main!$Z$3:$AS$22,MIN(C$46,$A66),MAX(C$46,$A66)))</f>
        <v>0</v>
      </c>
      <c r="D66" cm="1">
        <f t="array" ref="D66">IF(INDEX(Main!$Z$3:$AS$22,MIN(D$46,$A66),MAX(D$46,$A66))="",0,INDEX(Main!$Z$3:$AS$22,MIN(D$46,$A66),MAX(D$46,$A66)))</f>
        <v>0</v>
      </c>
      <c r="E66" cm="1">
        <f t="array" ref="E66">IF(INDEX(Main!$Z$3:$AS$22,MIN(E$46,$A66),MAX(E$46,$A66))="",0,INDEX(Main!$Z$3:$AS$22,MIN(E$46,$A66),MAX(E$46,$A66)))</f>
        <v>0</v>
      </c>
      <c r="F66" cm="1">
        <f t="array" ref="F66">IF(INDEX(Main!$Z$3:$AS$22,MIN(F$46,$A66),MAX(F$46,$A66))="",0,INDEX(Main!$Z$3:$AS$22,MIN(F$46,$A66),MAX(F$46,$A66)))</f>
        <v>0</v>
      </c>
      <c r="G66" cm="1">
        <f t="array" ref="G66">IF(INDEX(Main!$Z$3:$AS$22,MIN(G$46,$A66),MAX(G$46,$A66))="",0,INDEX(Main!$Z$3:$AS$22,MIN(G$46,$A66),MAX(G$46,$A66)))</f>
        <v>0</v>
      </c>
      <c r="H66" cm="1">
        <f t="array" ref="H66">IF(INDEX(Main!$Z$3:$AS$22,MIN(H$46,$A66),MAX(H$46,$A66))="",0,INDEX(Main!$Z$3:$AS$22,MIN(H$46,$A66),MAX(H$46,$A66)))</f>
        <v>0</v>
      </c>
      <c r="I66" cm="1">
        <f t="array" ref="I66">IF(INDEX(Main!$Z$3:$AS$22,MIN(I$46,$A66),MAX(I$46,$A66))="",0,INDEX(Main!$Z$3:$AS$22,MIN(I$46,$A66),MAX(I$46,$A66)))</f>
        <v>0</v>
      </c>
      <c r="J66" cm="1">
        <f t="array" ref="J66">IF(INDEX(Main!$Z$3:$AS$22,MIN(J$46,$A66),MAX(J$46,$A66))="",0,INDEX(Main!$Z$3:$AS$22,MIN(J$46,$A66),MAX(J$46,$A66)))</f>
        <v>0</v>
      </c>
      <c r="K66" cm="1">
        <f t="array" ref="K66">IF(INDEX(Main!$Z$3:$AS$22,MIN(K$46,$A66),MAX(K$46,$A66))="",0,INDEX(Main!$Z$3:$AS$22,MIN(K$46,$A66),MAX(K$46,$A66)))</f>
        <v>0</v>
      </c>
      <c r="L66" cm="1">
        <f t="array" ref="L66">IF(INDEX(Main!$Z$3:$AS$22,MIN(L$46,$A66),MAX(L$46,$A66))="",0,INDEX(Main!$Z$3:$AS$22,MIN(L$46,$A66),MAX(L$46,$A66)))</f>
        <v>0</v>
      </c>
      <c r="M66" cm="1">
        <f t="array" ref="M66">IF(INDEX(Main!$Z$3:$AS$22,MIN(M$46,$A66),MAX(M$46,$A66))="",0,INDEX(Main!$Z$3:$AS$22,MIN(M$46,$A66),MAX(M$46,$A66)))</f>
        <v>0</v>
      </c>
      <c r="N66" cm="1">
        <f t="array" ref="N66">IF(INDEX(Main!$Z$3:$AS$22,MIN(N$46,$A66),MAX(N$46,$A66))="",0,INDEX(Main!$Z$3:$AS$22,MIN(N$46,$A66),MAX(N$46,$A66)))</f>
        <v>0</v>
      </c>
      <c r="O66" cm="1">
        <f t="array" ref="O66">IF(INDEX(Main!$Z$3:$AS$22,MIN(O$46,$A66),MAX(O$46,$A66))="",0,INDEX(Main!$Z$3:$AS$22,MIN(O$46,$A66),MAX(O$46,$A66)))</f>
        <v>0</v>
      </c>
      <c r="P66" cm="1">
        <f t="array" ref="P66">IF(INDEX(Main!$Z$3:$AS$22,MIN(P$46,$A66),MAX(P$46,$A66))="",0,INDEX(Main!$Z$3:$AS$22,MIN(P$46,$A66),MAX(P$46,$A66)))</f>
        <v>0</v>
      </c>
      <c r="Q66" cm="1">
        <f t="array" ref="Q66">IF(INDEX(Main!$Z$3:$AS$22,MIN(Q$46,$A66),MAX(Q$46,$A66))="",0,INDEX(Main!$Z$3:$AS$22,MIN(Q$46,$A66),MAX(Q$46,$A66)))</f>
        <v>0</v>
      </c>
      <c r="R66" cm="1">
        <f t="array" ref="R66">IF(INDEX(Main!$Z$3:$AS$22,MIN(R$46,$A66),MAX(R$46,$A66))="",0,INDEX(Main!$Z$3:$AS$22,MIN(R$46,$A66),MAX(R$46,$A66)))</f>
        <v>0</v>
      </c>
      <c r="S66" cm="1">
        <f t="array" ref="S66">IF(INDEX(Main!$Z$3:$AS$22,MIN(S$46,$A66),MAX(S$46,$A66))="",0,INDEX(Main!$Z$3:$AS$22,MIN(S$46,$A66),MAX(S$46,$A66)))</f>
        <v>0</v>
      </c>
      <c r="T66" cm="1">
        <f t="array" ref="T66">IF(INDEX(Main!$Z$3:$AS$22,MIN(T$46,$A66),MAX(T$46,$A66))="",0,INDEX(Main!$Z$3:$AS$22,MIN(T$46,$A66),MAX(T$46,$A66)))</f>
        <v>0</v>
      </c>
      <c r="U66" cm="1">
        <f t="array" ref="U66">IF(INDEX(Main!$Z$3:$AS$22,MIN(U$46,$A66),MAX(U$46,$A66))="",0,INDEX(Main!$Z$3:$AS$22,MIN(U$46,$A66),MAX(U$46,$A66)))</f>
        <v>1</v>
      </c>
    </row>
    <row r="68" spans="1:21" x14ac:dyDescent="0.25">
      <c r="A68" t="s">
        <v>207</v>
      </c>
    </row>
    <row r="69" spans="1:21" x14ac:dyDescent="0.25">
      <c r="A69">
        <f t="array" ref="A69">SUM(B2:U21*NOT(B25:U44))</f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87D8-B12A-4245-ADD1-275F09F6CFF8}">
  <dimension ref="B2:J502"/>
  <sheetViews>
    <sheetView topLeftCell="A418" workbookViewId="0">
      <selection activeCell="B3" sqref="B3:I502"/>
    </sheetView>
  </sheetViews>
  <sheetFormatPr defaultColWidth="9.140625" defaultRowHeight="15" x14ac:dyDescent="0.25"/>
  <cols>
    <col min="1" max="1" width="2.5703125" style="10" customWidth="1"/>
    <col min="2" max="2" width="48.28515625" style="10" customWidth="1"/>
    <col min="3" max="3" width="28" style="10" customWidth="1"/>
    <col min="4" max="5" width="16" style="10" customWidth="1"/>
    <col min="6" max="7" width="9.140625" style="10"/>
    <col min="8" max="8" width="10" style="10" bestFit="1" customWidth="1"/>
    <col min="9" max="9" width="25.140625" style="10" bestFit="1" customWidth="1"/>
    <col min="10" max="17" width="9.140625" style="10"/>
    <col min="18" max="18" width="45.42578125" style="10" bestFit="1" customWidth="1"/>
    <col min="19" max="16384" width="9.140625" style="10"/>
  </cols>
  <sheetData>
    <row r="2" spans="2:10" x14ac:dyDescent="0.25">
      <c r="B2" s="13" t="s">
        <v>166</v>
      </c>
      <c r="C2" s="13" t="s">
        <v>221</v>
      </c>
      <c r="D2" s="13" t="s">
        <v>165</v>
      </c>
      <c r="E2" s="13" t="s">
        <v>161</v>
      </c>
      <c r="F2" s="13" t="s">
        <v>209</v>
      </c>
      <c r="G2" s="13" t="s">
        <v>0</v>
      </c>
      <c r="H2" s="13" t="s">
        <v>1</v>
      </c>
      <c r="I2" s="13" t="s">
        <v>191</v>
      </c>
      <c r="J2" s="10" t="s">
        <v>162</v>
      </c>
    </row>
    <row r="3" spans="2:10" x14ac:dyDescent="0.25">
      <c r="B3" s="30" t="s">
        <v>115</v>
      </c>
      <c r="C3" s="30" t="s">
        <v>222</v>
      </c>
      <c r="D3" s="30" t="s">
        <v>119</v>
      </c>
      <c r="E3" s="30">
        <v>1969</v>
      </c>
      <c r="F3" s="30"/>
      <c r="G3" s="30">
        <v>100</v>
      </c>
      <c r="H3" s="30">
        <v>15</v>
      </c>
      <c r="I3" s="30"/>
      <c r="J3" s="10" t="str">
        <f t="shared" ref="J3:J66" si="0">IF(AND(D3="",B3=""),"",IF(D3="",B3,D3)&amp;" ("&amp;E3&amp;")")</f>
        <v>BSID (1969)</v>
      </c>
    </row>
    <row r="4" spans="2:10" x14ac:dyDescent="0.25">
      <c r="B4" s="30" t="s">
        <v>115</v>
      </c>
      <c r="C4" s="30" t="s">
        <v>222</v>
      </c>
      <c r="D4" s="30" t="s">
        <v>118</v>
      </c>
      <c r="E4" s="30">
        <v>1993</v>
      </c>
      <c r="F4" s="30"/>
      <c r="G4" s="30">
        <v>100</v>
      </c>
      <c r="H4" s="30">
        <v>15</v>
      </c>
      <c r="I4" s="30"/>
      <c r="J4" s="10" t="str">
        <f t="shared" si="0"/>
        <v>BSID-II (1993)</v>
      </c>
    </row>
    <row r="5" spans="2:10" x14ac:dyDescent="0.25">
      <c r="B5" s="30" t="s">
        <v>115</v>
      </c>
      <c r="C5" s="30" t="s">
        <v>222</v>
      </c>
      <c r="D5" s="30" t="s">
        <v>116</v>
      </c>
      <c r="E5" s="30">
        <v>2005</v>
      </c>
      <c r="F5" s="30"/>
      <c r="G5" s="30">
        <v>100</v>
      </c>
      <c r="H5" s="30">
        <v>15</v>
      </c>
      <c r="I5" s="30"/>
      <c r="J5" s="10" t="str">
        <f t="shared" si="0"/>
        <v>Bayley III (2005)</v>
      </c>
    </row>
    <row r="6" spans="2:10" x14ac:dyDescent="0.25">
      <c r="B6" s="30" t="s">
        <v>111</v>
      </c>
      <c r="C6" s="30" t="s">
        <v>112</v>
      </c>
      <c r="D6" s="30" t="s">
        <v>112</v>
      </c>
      <c r="E6" s="30">
        <v>1997</v>
      </c>
      <c r="F6" s="30"/>
      <c r="G6" s="30">
        <v>100</v>
      </c>
      <c r="H6" s="30">
        <v>15</v>
      </c>
      <c r="I6" s="30">
        <v>0.97</v>
      </c>
      <c r="J6" s="10" t="str">
        <f t="shared" si="0"/>
        <v>CTONI (1997)</v>
      </c>
    </row>
    <row r="7" spans="2:10" x14ac:dyDescent="0.25">
      <c r="B7" s="30" t="s">
        <v>111</v>
      </c>
      <c r="C7" s="30" t="s">
        <v>112</v>
      </c>
      <c r="D7" s="30" t="s">
        <v>113</v>
      </c>
      <c r="E7" s="30">
        <v>2009</v>
      </c>
      <c r="F7" s="30"/>
      <c r="G7" s="30">
        <v>100</v>
      </c>
      <c r="H7" s="30">
        <v>15</v>
      </c>
      <c r="I7" s="30">
        <v>0.95</v>
      </c>
      <c r="J7" s="10" t="str">
        <f t="shared" si="0"/>
        <v>CTONI-II (2009)</v>
      </c>
    </row>
    <row r="8" spans="2:10" x14ac:dyDescent="0.25">
      <c r="B8" s="30" t="s">
        <v>117</v>
      </c>
      <c r="C8" s="30" t="s">
        <v>108</v>
      </c>
      <c r="D8" s="30" t="s">
        <v>108</v>
      </c>
      <c r="E8" s="30">
        <v>1997</v>
      </c>
      <c r="F8" s="30"/>
      <c r="G8" s="30">
        <v>100</v>
      </c>
      <c r="H8" s="30">
        <v>15</v>
      </c>
      <c r="I8" s="30"/>
      <c r="J8" s="10" t="str">
        <f t="shared" si="0"/>
        <v>CAS (1997)</v>
      </c>
    </row>
    <row r="9" spans="2:10" x14ac:dyDescent="0.25">
      <c r="B9" s="30" t="s">
        <v>117</v>
      </c>
      <c r="C9" s="30" t="s">
        <v>108</v>
      </c>
      <c r="D9" s="30" t="s">
        <v>109</v>
      </c>
      <c r="E9" s="30">
        <v>2014</v>
      </c>
      <c r="F9" s="30"/>
      <c r="G9" s="30">
        <v>100</v>
      </c>
      <c r="H9" s="30">
        <v>15</v>
      </c>
      <c r="I9" s="30"/>
      <c r="J9" s="10" t="str">
        <f t="shared" si="0"/>
        <v>CAS-II (2014)</v>
      </c>
    </row>
    <row r="10" spans="2:10" x14ac:dyDescent="0.25">
      <c r="B10" s="30" t="s">
        <v>91</v>
      </c>
      <c r="C10" s="30" t="s">
        <v>92</v>
      </c>
      <c r="D10" s="30" t="s">
        <v>92</v>
      </c>
      <c r="E10" s="30">
        <v>1990</v>
      </c>
      <c r="F10" s="30"/>
      <c r="G10" s="30">
        <v>100</v>
      </c>
      <c r="H10" s="30">
        <v>15</v>
      </c>
      <c r="I10" s="30"/>
      <c r="J10" s="10" t="str">
        <f t="shared" si="0"/>
        <v>DAS (1990)</v>
      </c>
    </row>
    <row r="11" spans="2:10" x14ac:dyDescent="0.25">
      <c r="B11" s="30" t="s">
        <v>91</v>
      </c>
      <c r="C11" s="30" t="s">
        <v>92</v>
      </c>
      <c r="D11" s="30" t="s">
        <v>93</v>
      </c>
      <c r="E11" s="30">
        <v>2007</v>
      </c>
      <c r="F11" s="30"/>
      <c r="G11" s="30">
        <v>100</v>
      </c>
      <c r="H11" s="30">
        <v>15</v>
      </c>
      <c r="I11" s="30">
        <v>0.97</v>
      </c>
      <c r="J11" s="10" t="str">
        <f t="shared" si="0"/>
        <v>DAS-II (2007)</v>
      </c>
    </row>
    <row r="12" spans="2:10" x14ac:dyDescent="0.25">
      <c r="B12" s="30" t="s">
        <v>107</v>
      </c>
      <c r="C12" s="30" t="s">
        <v>151</v>
      </c>
      <c r="D12" s="30" t="s">
        <v>151</v>
      </c>
      <c r="E12" s="30">
        <v>1997</v>
      </c>
      <c r="F12" s="30"/>
      <c r="G12" s="30">
        <v>100</v>
      </c>
      <c r="H12" s="30">
        <v>15</v>
      </c>
      <c r="I12" s="30"/>
      <c r="J12" s="10" t="str">
        <f t="shared" si="0"/>
        <v>GAMA (1997)</v>
      </c>
    </row>
    <row r="13" spans="2:10" x14ac:dyDescent="0.25">
      <c r="B13" s="30" t="s">
        <v>147</v>
      </c>
      <c r="C13" s="30" t="s">
        <v>223</v>
      </c>
      <c r="D13" s="30" t="s">
        <v>148</v>
      </c>
      <c r="E13" s="30">
        <v>1993</v>
      </c>
      <c r="F13" s="30"/>
      <c r="G13" s="30">
        <v>100</v>
      </c>
      <c r="H13" s="30">
        <v>15</v>
      </c>
      <c r="I13" s="30">
        <v>0.97</v>
      </c>
      <c r="J13" s="10" t="str">
        <f t="shared" si="0"/>
        <v>KAIT (1993)</v>
      </c>
    </row>
    <row r="14" spans="2:10" x14ac:dyDescent="0.25">
      <c r="B14" s="30" t="s">
        <v>98</v>
      </c>
      <c r="C14" s="30" t="s">
        <v>223</v>
      </c>
      <c r="D14" s="30" t="s">
        <v>99</v>
      </c>
      <c r="E14" s="30">
        <v>1983</v>
      </c>
      <c r="F14" s="30"/>
      <c r="G14" s="30">
        <v>100</v>
      </c>
      <c r="H14" s="30">
        <v>15</v>
      </c>
      <c r="I14" s="30"/>
      <c r="J14" s="10" t="str">
        <f t="shared" si="0"/>
        <v>KABC (1983)</v>
      </c>
    </row>
    <row r="15" spans="2:10" x14ac:dyDescent="0.25">
      <c r="B15" s="30" t="s">
        <v>98</v>
      </c>
      <c r="C15" s="30" t="s">
        <v>223</v>
      </c>
      <c r="D15" s="30" t="s">
        <v>100</v>
      </c>
      <c r="E15" s="30">
        <v>2004</v>
      </c>
      <c r="F15" s="30"/>
      <c r="G15" s="30">
        <v>100</v>
      </c>
      <c r="H15" s="30">
        <v>15</v>
      </c>
      <c r="I15" s="30">
        <v>0.97</v>
      </c>
      <c r="J15" s="10" t="str">
        <f t="shared" si="0"/>
        <v>KABC-II (2004)</v>
      </c>
    </row>
    <row r="16" spans="2:10" x14ac:dyDescent="0.25">
      <c r="B16" s="30" t="s">
        <v>98</v>
      </c>
      <c r="C16" s="30" t="s">
        <v>223</v>
      </c>
      <c r="D16" s="30" t="s">
        <v>101</v>
      </c>
      <c r="E16" s="30">
        <v>2018</v>
      </c>
      <c r="F16" s="30"/>
      <c r="G16" s="30">
        <v>100</v>
      </c>
      <c r="H16" s="30">
        <v>15</v>
      </c>
      <c r="I16" s="30">
        <v>0.97</v>
      </c>
      <c r="J16" s="10" t="str">
        <f t="shared" si="0"/>
        <v>KABC-II NU (2018)</v>
      </c>
    </row>
    <row r="17" spans="2:10" x14ac:dyDescent="0.25">
      <c r="B17" s="30" t="s">
        <v>103</v>
      </c>
      <c r="C17" s="30" t="s">
        <v>223</v>
      </c>
      <c r="D17" s="30" t="s">
        <v>104</v>
      </c>
      <c r="E17" s="30">
        <v>1990</v>
      </c>
      <c r="F17" s="30"/>
      <c r="G17" s="30">
        <v>100</v>
      </c>
      <c r="H17" s="30">
        <v>15</v>
      </c>
      <c r="I17" s="30"/>
      <c r="J17" s="10" t="str">
        <f t="shared" si="0"/>
        <v>KBIT (1990)</v>
      </c>
    </row>
    <row r="18" spans="2:10" x14ac:dyDescent="0.25">
      <c r="B18" s="30" t="s">
        <v>103</v>
      </c>
      <c r="C18" s="30" t="s">
        <v>223</v>
      </c>
      <c r="D18" s="30" t="s">
        <v>105</v>
      </c>
      <c r="E18" s="30">
        <v>2004</v>
      </c>
      <c r="F18" s="30"/>
      <c r="G18" s="30">
        <v>100</v>
      </c>
      <c r="H18" s="30">
        <v>15</v>
      </c>
      <c r="I18" s="30"/>
      <c r="J18" s="10" t="str">
        <f t="shared" si="0"/>
        <v>KBIT-2 (2004)</v>
      </c>
    </row>
    <row r="19" spans="2:10" x14ac:dyDescent="0.25">
      <c r="B19" s="30" t="s">
        <v>123</v>
      </c>
      <c r="C19" s="30" t="s">
        <v>124</v>
      </c>
      <c r="D19" s="30" t="s">
        <v>124</v>
      </c>
      <c r="E19" s="30">
        <v>1979</v>
      </c>
      <c r="F19" s="30"/>
      <c r="G19" s="30">
        <v>100</v>
      </c>
      <c r="H19" s="30">
        <v>15</v>
      </c>
      <c r="I19" s="30"/>
      <c r="J19" s="10" t="str">
        <f t="shared" si="0"/>
        <v>Leiter (1979)</v>
      </c>
    </row>
    <row r="20" spans="2:10" x14ac:dyDescent="0.25">
      <c r="B20" s="30" t="s">
        <v>123</v>
      </c>
      <c r="C20" s="30" t="s">
        <v>124</v>
      </c>
      <c r="D20" s="30" t="s">
        <v>125</v>
      </c>
      <c r="E20" s="30">
        <v>1997</v>
      </c>
      <c r="F20" s="30"/>
      <c r="G20" s="30">
        <v>100</v>
      </c>
      <c r="H20" s="30">
        <v>15</v>
      </c>
      <c r="I20" s="30"/>
      <c r="J20" s="10" t="str">
        <f t="shared" si="0"/>
        <v>Leiter-R (1997)</v>
      </c>
    </row>
    <row r="21" spans="2:10" x14ac:dyDescent="0.25">
      <c r="B21" s="30" t="s">
        <v>123</v>
      </c>
      <c r="C21" s="30" t="s">
        <v>124</v>
      </c>
      <c r="D21" s="30" t="s">
        <v>126</v>
      </c>
      <c r="E21" s="30">
        <v>2013</v>
      </c>
      <c r="F21" s="30"/>
      <c r="G21" s="30">
        <v>100</v>
      </c>
      <c r="H21" s="30">
        <v>15</v>
      </c>
      <c r="I21" s="30"/>
      <c r="J21" s="10" t="str">
        <f t="shared" si="0"/>
        <v>Leiter-3 (2013)</v>
      </c>
    </row>
    <row r="22" spans="2:10" x14ac:dyDescent="0.25">
      <c r="B22" s="30" t="s">
        <v>110</v>
      </c>
      <c r="C22" s="30" t="s">
        <v>149</v>
      </c>
      <c r="D22" s="30" t="s">
        <v>149</v>
      </c>
      <c r="E22" s="30">
        <v>2004</v>
      </c>
      <c r="F22" s="30"/>
      <c r="G22" s="30">
        <v>100</v>
      </c>
      <c r="H22" s="30">
        <v>15</v>
      </c>
      <c r="I22" s="30"/>
      <c r="J22" s="10" t="str">
        <f t="shared" si="0"/>
        <v>NNAT (2004)</v>
      </c>
    </row>
    <row r="23" spans="2:10" x14ac:dyDescent="0.25">
      <c r="B23" s="30" t="s">
        <v>110</v>
      </c>
      <c r="C23" s="30" t="s">
        <v>149</v>
      </c>
      <c r="D23" s="30" t="s">
        <v>150</v>
      </c>
      <c r="E23" s="30">
        <v>2007</v>
      </c>
      <c r="F23" s="30"/>
      <c r="G23" s="30">
        <v>100</v>
      </c>
      <c r="H23" s="30">
        <v>15</v>
      </c>
      <c r="I23" s="30"/>
      <c r="J23" s="10" t="str">
        <f t="shared" si="0"/>
        <v>NNAT-2 (2007)</v>
      </c>
    </row>
    <row r="24" spans="2:10" x14ac:dyDescent="0.25">
      <c r="B24" s="30" t="s">
        <v>146</v>
      </c>
      <c r="C24" s="30" t="s">
        <v>135</v>
      </c>
      <c r="D24" s="30" t="s">
        <v>135</v>
      </c>
      <c r="E24" s="30">
        <v>2003</v>
      </c>
      <c r="F24" s="30">
        <v>2000</v>
      </c>
      <c r="G24" s="30">
        <v>100</v>
      </c>
      <c r="H24" s="30">
        <v>15</v>
      </c>
      <c r="I24" s="30"/>
      <c r="J24" s="10" t="str">
        <f t="shared" si="0"/>
        <v>RIAS (2003)</v>
      </c>
    </row>
    <row r="25" spans="2:10" x14ac:dyDescent="0.25">
      <c r="B25" s="30" t="s">
        <v>146</v>
      </c>
      <c r="C25" s="30" t="s">
        <v>135</v>
      </c>
      <c r="D25" s="30" t="s">
        <v>136</v>
      </c>
      <c r="E25" s="30">
        <v>2015</v>
      </c>
      <c r="F25" s="30"/>
      <c r="G25" s="30">
        <v>100</v>
      </c>
      <c r="H25" s="30">
        <v>15</v>
      </c>
      <c r="I25" s="30">
        <v>0.93</v>
      </c>
      <c r="J25" s="10" t="str">
        <f t="shared" si="0"/>
        <v>RIAS-II (2015)</v>
      </c>
    </row>
    <row r="26" spans="2:10" x14ac:dyDescent="0.25">
      <c r="B26" s="30" t="s">
        <v>141</v>
      </c>
      <c r="C26" s="30" t="s">
        <v>224</v>
      </c>
      <c r="D26" s="30" t="s">
        <v>140</v>
      </c>
      <c r="E26" s="30">
        <v>1946</v>
      </c>
      <c r="F26" s="30"/>
      <c r="G26" s="30">
        <v>100</v>
      </c>
      <c r="H26" s="30">
        <v>15</v>
      </c>
      <c r="I26" s="30"/>
      <c r="J26" s="10" t="str">
        <f t="shared" si="0"/>
        <v>SILS (1946)</v>
      </c>
    </row>
    <row r="27" spans="2:10" x14ac:dyDescent="0.25">
      <c r="B27" s="30" t="s">
        <v>141</v>
      </c>
      <c r="C27" s="30" t="s">
        <v>224</v>
      </c>
      <c r="D27" s="30" t="s">
        <v>139</v>
      </c>
      <c r="E27" s="30">
        <v>2009</v>
      </c>
      <c r="F27" s="30"/>
      <c r="G27" s="30">
        <v>100</v>
      </c>
      <c r="H27" s="30">
        <v>15</v>
      </c>
      <c r="I27" s="30"/>
      <c r="J27" s="10" t="str">
        <f t="shared" si="0"/>
        <v>Shipley-2 (2009)</v>
      </c>
    </row>
    <row r="28" spans="2:10" x14ac:dyDescent="0.25">
      <c r="B28" s="30" t="s">
        <v>132</v>
      </c>
      <c r="C28" s="30" t="s">
        <v>225</v>
      </c>
      <c r="D28" s="30" t="s">
        <v>133</v>
      </c>
      <c r="E28" s="30">
        <v>1963</v>
      </c>
      <c r="F28" s="30"/>
      <c r="G28" s="30">
        <v>100</v>
      </c>
      <c r="H28" s="30">
        <v>15</v>
      </c>
      <c r="I28" s="30"/>
      <c r="J28" s="10" t="str">
        <f t="shared" si="0"/>
        <v>SIT (1963)</v>
      </c>
    </row>
    <row r="29" spans="2:10" x14ac:dyDescent="0.25">
      <c r="B29" s="30" t="s">
        <v>132</v>
      </c>
      <c r="C29" s="30" t="s">
        <v>225</v>
      </c>
      <c r="D29" s="30" t="s">
        <v>163</v>
      </c>
      <c r="E29" s="30">
        <v>1981</v>
      </c>
      <c r="F29" s="30"/>
      <c r="G29" s="30">
        <v>100</v>
      </c>
      <c r="H29" s="30">
        <v>15</v>
      </c>
      <c r="I29" s="30"/>
      <c r="J29" s="10" t="str">
        <f t="shared" si="0"/>
        <v>SIT expanded norms (1981)</v>
      </c>
    </row>
    <row r="30" spans="2:10" x14ac:dyDescent="0.25">
      <c r="B30" s="30" t="s">
        <v>132</v>
      </c>
      <c r="C30" s="30" t="s">
        <v>225</v>
      </c>
      <c r="D30" s="30" t="s">
        <v>137</v>
      </c>
      <c r="E30" s="30">
        <v>1991</v>
      </c>
      <c r="F30" s="30"/>
      <c r="G30" s="30">
        <v>100</v>
      </c>
      <c r="H30" s="30">
        <v>15</v>
      </c>
      <c r="I30" s="30"/>
      <c r="J30" s="10" t="str">
        <f t="shared" si="0"/>
        <v>SIT-R (1991)</v>
      </c>
    </row>
    <row r="31" spans="2:10" x14ac:dyDescent="0.25">
      <c r="B31" s="30" t="s">
        <v>132</v>
      </c>
      <c r="C31" s="30" t="s">
        <v>225</v>
      </c>
      <c r="D31" s="30" t="s">
        <v>138</v>
      </c>
      <c r="E31" s="30">
        <v>2002</v>
      </c>
      <c r="F31" s="30"/>
      <c r="G31" s="30">
        <v>100</v>
      </c>
      <c r="H31" s="30">
        <v>15</v>
      </c>
      <c r="I31" s="30"/>
      <c r="J31" s="10" t="str">
        <f t="shared" si="0"/>
        <v>SIT-R3 (2002)</v>
      </c>
    </row>
    <row r="32" spans="2:10" x14ac:dyDescent="0.25">
      <c r="B32" s="30" t="s">
        <v>132</v>
      </c>
      <c r="C32" s="30" t="s">
        <v>225</v>
      </c>
      <c r="D32" s="30" t="s">
        <v>134</v>
      </c>
      <c r="E32" s="30">
        <v>2018</v>
      </c>
      <c r="F32" s="30"/>
      <c r="G32" s="30">
        <v>100</v>
      </c>
      <c r="H32" s="30">
        <v>15</v>
      </c>
      <c r="I32" s="30"/>
      <c r="J32" s="10" t="str">
        <f t="shared" si="0"/>
        <v>SIT-4 (2018)</v>
      </c>
    </row>
    <row r="33" spans="2:10" x14ac:dyDescent="0.25">
      <c r="B33" s="30" t="s">
        <v>76</v>
      </c>
      <c r="C33" s="30" t="s">
        <v>76</v>
      </c>
      <c r="D33" s="30" t="s">
        <v>212</v>
      </c>
      <c r="E33" s="30">
        <v>1962</v>
      </c>
      <c r="F33" s="30">
        <v>1960</v>
      </c>
      <c r="G33" s="30">
        <v>100</v>
      </c>
      <c r="H33" s="30">
        <v>16</v>
      </c>
      <c r="I33" s="30"/>
      <c r="J33" s="10" t="str">
        <f t="shared" si="0"/>
        <v>SBLM (1962)</v>
      </c>
    </row>
    <row r="34" spans="2:10" x14ac:dyDescent="0.25">
      <c r="B34" s="30" t="s">
        <v>76</v>
      </c>
      <c r="C34" s="30" t="s">
        <v>76</v>
      </c>
      <c r="D34" s="30" t="s">
        <v>213</v>
      </c>
      <c r="E34" s="30">
        <v>1973</v>
      </c>
      <c r="F34" s="30">
        <v>1972</v>
      </c>
      <c r="G34" s="30">
        <v>100</v>
      </c>
      <c r="H34" s="30">
        <v>16</v>
      </c>
      <c r="I34" s="30"/>
      <c r="J34" s="10" t="str">
        <f t="shared" si="0"/>
        <v>SBLM Updated (1973)</v>
      </c>
    </row>
    <row r="35" spans="2:10" x14ac:dyDescent="0.25">
      <c r="B35" s="30" t="s">
        <v>76</v>
      </c>
      <c r="C35" s="30" t="s">
        <v>76</v>
      </c>
      <c r="D35" s="30" t="s">
        <v>152</v>
      </c>
      <c r="E35" s="30">
        <v>1986</v>
      </c>
      <c r="F35" s="30">
        <v>1985</v>
      </c>
      <c r="G35" s="30">
        <v>100</v>
      </c>
      <c r="H35" s="30">
        <v>16</v>
      </c>
      <c r="I35" s="30"/>
      <c r="J35" s="10" t="str">
        <f t="shared" si="0"/>
        <v>SBIV (1986)</v>
      </c>
    </row>
    <row r="36" spans="2:10" x14ac:dyDescent="0.25">
      <c r="B36" s="30" t="s">
        <v>76</v>
      </c>
      <c r="C36" s="30" t="s">
        <v>76</v>
      </c>
      <c r="D36" s="30" t="s">
        <v>153</v>
      </c>
      <c r="E36" s="30">
        <v>2003</v>
      </c>
      <c r="F36" s="30">
        <v>2001</v>
      </c>
      <c r="G36" s="30">
        <v>100</v>
      </c>
      <c r="H36" s="30">
        <v>15</v>
      </c>
      <c r="I36" s="30">
        <v>0.98</v>
      </c>
      <c r="J36" s="10" t="str">
        <f t="shared" si="0"/>
        <v>SB5 (2003)</v>
      </c>
    </row>
    <row r="37" spans="2:10" x14ac:dyDescent="0.25">
      <c r="B37" s="30" t="s">
        <v>142</v>
      </c>
      <c r="C37" s="30" t="s">
        <v>143</v>
      </c>
      <c r="D37" s="30" t="s">
        <v>143</v>
      </c>
      <c r="E37" s="30">
        <v>2014</v>
      </c>
      <c r="F37" s="30"/>
      <c r="G37" s="30">
        <v>100</v>
      </c>
      <c r="H37" s="30">
        <v>15</v>
      </c>
      <c r="I37" s="30"/>
      <c r="J37" s="10" t="str">
        <f t="shared" si="0"/>
        <v>TOGRA (2014)</v>
      </c>
    </row>
    <row r="38" spans="2:10" x14ac:dyDescent="0.25">
      <c r="B38" s="30" t="s">
        <v>127</v>
      </c>
      <c r="C38" s="30" t="s">
        <v>128</v>
      </c>
      <c r="D38" s="30" t="s">
        <v>128</v>
      </c>
      <c r="E38" s="30">
        <v>1982</v>
      </c>
      <c r="F38" s="30"/>
      <c r="G38" s="30">
        <v>100</v>
      </c>
      <c r="H38" s="30">
        <v>15</v>
      </c>
      <c r="I38" s="30"/>
      <c r="J38" s="10" t="str">
        <f t="shared" si="0"/>
        <v>TONI (1982)</v>
      </c>
    </row>
    <row r="39" spans="2:10" x14ac:dyDescent="0.25">
      <c r="B39" s="30" t="s">
        <v>127</v>
      </c>
      <c r="C39" s="30" t="s">
        <v>128</v>
      </c>
      <c r="D39" s="30" t="s">
        <v>129</v>
      </c>
      <c r="E39" s="30">
        <v>1990</v>
      </c>
      <c r="F39" s="30"/>
      <c r="G39" s="30">
        <v>100</v>
      </c>
      <c r="H39" s="30">
        <v>15</v>
      </c>
      <c r="I39" s="30"/>
      <c r="J39" s="10" t="str">
        <f t="shared" si="0"/>
        <v>TONI-2 (1990)</v>
      </c>
    </row>
    <row r="40" spans="2:10" x14ac:dyDescent="0.25">
      <c r="B40" s="30" t="s">
        <v>127</v>
      </c>
      <c r="C40" s="30" t="s">
        <v>128</v>
      </c>
      <c r="D40" s="30" t="s">
        <v>130</v>
      </c>
      <c r="E40" s="30">
        <v>1997</v>
      </c>
      <c r="F40" s="30"/>
      <c r="G40" s="30">
        <v>100</v>
      </c>
      <c r="H40" s="30">
        <v>15</v>
      </c>
      <c r="I40" s="30"/>
      <c r="J40" s="10" t="str">
        <f t="shared" si="0"/>
        <v>TONI-3 (1997)</v>
      </c>
    </row>
    <row r="41" spans="2:10" x14ac:dyDescent="0.25">
      <c r="B41" s="30" t="s">
        <v>127</v>
      </c>
      <c r="C41" s="30" t="s">
        <v>128</v>
      </c>
      <c r="D41" s="30" t="s">
        <v>131</v>
      </c>
      <c r="E41" s="30">
        <v>2010</v>
      </c>
      <c r="F41" s="30"/>
      <c r="G41" s="30">
        <v>100</v>
      </c>
      <c r="H41" s="30">
        <v>15</v>
      </c>
      <c r="I41" s="30"/>
      <c r="J41" s="10" t="str">
        <f t="shared" si="0"/>
        <v>TONI-4 (2010)</v>
      </c>
    </row>
    <row r="42" spans="2:10" x14ac:dyDescent="0.25">
      <c r="B42" s="30" t="s">
        <v>120</v>
      </c>
      <c r="C42" s="30" t="s">
        <v>121</v>
      </c>
      <c r="D42" s="30" t="s">
        <v>121</v>
      </c>
      <c r="E42" s="30">
        <v>1998</v>
      </c>
      <c r="F42" s="30"/>
      <c r="G42" s="30">
        <v>100</v>
      </c>
      <c r="H42" s="30">
        <v>15</v>
      </c>
      <c r="I42" s="30">
        <v>0.93</v>
      </c>
      <c r="J42" s="10" t="str">
        <f t="shared" si="0"/>
        <v>UNIT (1998)</v>
      </c>
    </row>
    <row r="43" spans="2:10" x14ac:dyDescent="0.25">
      <c r="B43" s="30" t="s">
        <v>120</v>
      </c>
      <c r="C43" s="30" t="s">
        <v>121</v>
      </c>
      <c r="D43" s="30" t="s">
        <v>122</v>
      </c>
      <c r="E43" s="30">
        <v>2016</v>
      </c>
      <c r="F43" s="30"/>
      <c r="G43" s="30">
        <v>100</v>
      </c>
      <c r="H43" s="30">
        <v>15</v>
      </c>
      <c r="I43" s="30"/>
      <c r="J43" s="10" t="str">
        <f t="shared" si="0"/>
        <v>UNIT-2 (2016)</v>
      </c>
    </row>
    <row r="44" spans="2:10" x14ac:dyDescent="0.25">
      <c r="B44" s="30" t="s">
        <v>83</v>
      </c>
      <c r="C44" s="30" t="s">
        <v>226</v>
      </c>
      <c r="D44" s="30" t="s">
        <v>84</v>
      </c>
      <c r="E44" s="30">
        <v>1955</v>
      </c>
      <c r="F44" s="30">
        <v>1954</v>
      </c>
      <c r="G44" s="30">
        <v>100</v>
      </c>
      <c r="H44" s="30">
        <v>15</v>
      </c>
      <c r="I44" s="30">
        <v>0.97</v>
      </c>
      <c r="J44" s="10" t="str">
        <f t="shared" si="0"/>
        <v>WAIS (1955)</v>
      </c>
    </row>
    <row r="45" spans="2:10" x14ac:dyDescent="0.25">
      <c r="B45" s="30" t="s">
        <v>83</v>
      </c>
      <c r="C45" s="30" t="s">
        <v>226</v>
      </c>
      <c r="D45" s="30" t="s">
        <v>85</v>
      </c>
      <c r="E45" s="30">
        <v>1981</v>
      </c>
      <c r="F45" s="30">
        <v>1978</v>
      </c>
      <c r="G45" s="30">
        <v>100</v>
      </c>
      <c r="H45" s="30">
        <v>15</v>
      </c>
      <c r="I45" s="30">
        <v>0.97</v>
      </c>
      <c r="J45" s="10" t="str">
        <f t="shared" si="0"/>
        <v>WAIS-R (1981)</v>
      </c>
    </row>
    <row r="46" spans="2:10" x14ac:dyDescent="0.25">
      <c r="B46" s="30" t="s">
        <v>83</v>
      </c>
      <c r="C46" s="30" t="s">
        <v>226</v>
      </c>
      <c r="D46" s="30" t="s">
        <v>86</v>
      </c>
      <c r="E46" s="30">
        <v>1997</v>
      </c>
      <c r="F46" s="30">
        <v>1995</v>
      </c>
      <c r="G46" s="30">
        <v>100</v>
      </c>
      <c r="H46" s="30">
        <v>15</v>
      </c>
      <c r="I46" s="30">
        <v>0.98</v>
      </c>
      <c r="J46" s="10" t="str">
        <f t="shared" si="0"/>
        <v>WAIS-III (1997)</v>
      </c>
    </row>
    <row r="47" spans="2:10" x14ac:dyDescent="0.25">
      <c r="B47" s="30" t="s">
        <v>83</v>
      </c>
      <c r="C47" s="30" t="s">
        <v>226</v>
      </c>
      <c r="D47" s="30" t="s">
        <v>87</v>
      </c>
      <c r="E47" s="30">
        <v>2008</v>
      </c>
      <c r="F47" s="30">
        <v>2007</v>
      </c>
      <c r="G47" s="30">
        <v>100</v>
      </c>
      <c r="H47" s="30">
        <v>15</v>
      </c>
      <c r="I47" s="30">
        <v>0.98</v>
      </c>
      <c r="J47" s="10" t="str">
        <f t="shared" si="0"/>
        <v>WAIS-IV (2008)</v>
      </c>
    </row>
    <row r="48" spans="2:10" x14ac:dyDescent="0.25">
      <c r="B48" s="30" t="s">
        <v>83</v>
      </c>
      <c r="C48" s="30" t="s">
        <v>226</v>
      </c>
      <c r="D48" s="30" t="s">
        <v>208</v>
      </c>
      <c r="E48" s="30">
        <v>2024</v>
      </c>
      <c r="F48" s="30">
        <v>2023</v>
      </c>
      <c r="G48" s="30">
        <v>100</v>
      </c>
      <c r="H48" s="30">
        <v>15</v>
      </c>
      <c r="I48" s="30">
        <v>0.98</v>
      </c>
      <c r="J48" s="10" t="str">
        <f t="shared" si="0"/>
        <v>WAIS-5 (2024)</v>
      </c>
    </row>
    <row r="49" spans="2:10" x14ac:dyDescent="0.25">
      <c r="B49" s="30" t="s">
        <v>77</v>
      </c>
      <c r="C49" s="30" t="s">
        <v>226</v>
      </c>
      <c r="D49" s="30" t="s">
        <v>78</v>
      </c>
      <c r="E49" s="30">
        <v>1949</v>
      </c>
      <c r="F49" s="30">
        <v>1948</v>
      </c>
      <c r="G49" s="30">
        <v>100</v>
      </c>
      <c r="H49" s="30">
        <v>15</v>
      </c>
      <c r="I49" s="30">
        <v>0.94</v>
      </c>
      <c r="J49" s="10" t="str">
        <f t="shared" si="0"/>
        <v>WISC (1949)</v>
      </c>
    </row>
    <row r="50" spans="2:10" x14ac:dyDescent="0.25">
      <c r="B50" s="30" t="s">
        <v>77</v>
      </c>
      <c r="C50" s="30" t="s">
        <v>226</v>
      </c>
      <c r="D50" s="30" t="s">
        <v>79</v>
      </c>
      <c r="E50" s="30">
        <v>1974</v>
      </c>
      <c r="F50" s="30">
        <v>1972</v>
      </c>
      <c r="G50" s="30">
        <v>100</v>
      </c>
      <c r="H50" s="30">
        <v>15</v>
      </c>
      <c r="I50" s="30">
        <v>0.96</v>
      </c>
      <c r="J50" s="10" t="str">
        <f t="shared" si="0"/>
        <v>WISC-R (1974)</v>
      </c>
    </row>
    <row r="51" spans="2:10" x14ac:dyDescent="0.25">
      <c r="B51" s="30" t="s">
        <v>77</v>
      </c>
      <c r="C51" s="30" t="s">
        <v>226</v>
      </c>
      <c r="D51" s="30" t="s">
        <v>80</v>
      </c>
      <c r="E51" s="30">
        <v>1991</v>
      </c>
      <c r="F51" s="30">
        <v>1989</v>
      </c>
      <c r="G51" s="30">
        <v>100</v>
      </c>
      <c r="H51" s="30">
        <v>15</v>
      </c>
      <c r="I51" s="30">
        <v>0.96</v>
      </c>
      <c r="J51" s="10" t="str">
        <f t="shared" si="0"/>
        <v>WISC-III (1991)</v>
      </c>
    </row>
    <row r="52" spans="2:10" x14ac:dyDescent="0.25">
      <c r="B52" s="30" t="s">
        <v>77</v>
      </c>
      <c r="C52" s="30" t="s">
        <v>226</v>
      </c>
      <c r="D52" s="30" t="s">
        <v>81</v>
      </c>
      <c r="E52" s="30">
        <v>2003</v>
      </c>
      <c r="F52" s="30">
        <v>2001</v>
      </c>
      <c r="G52" s="30">
        <v>100</v>
      </c>
      <c r="H52" s="30">
        <v>15</v>
      </c>
      <c r="I52" s="30">
        <v>0.97</v>
      </c>
      <c r="J52" s="10" t="str">
        <f t="shared" si="0"/>
        <v>WISC-IV (2003)</v>
      </c>
    </row>
    <row r="53" spans="2:10" x14ac:dyDescent="0.25">
      <c r="B53" s="30" t="s">
        <v>77</v>
      </c>
      <c r="C53" s="30" t="s">
        <v>226</v>
      </c>
      <c r="D53" s="30" t="s">
        <v>82</v>
      </c>
      <c r="E53" s="30">
        <v>2014</v>
      </c>
      <c r="F53" s="30">
        <v>2013</v>
      </c>
      <c r="G53" s="30">
        <v>100</v>
      </c>
      <c r="H53" s="30">
        <v>15</v>
      </c>
      <c r="I53" s="30">
        <v>0.96</v>
      </c>
      <c r="J53" s="10" t="str">
        <f t="shared" si="0"/>
        <v>WISC-V (2014)</v>
      </c>
    </row>
    <row r="54" spans="2:10" x14ac:dyDescent="0.25">
      <c r="B54" s="30" t="s">
        <v>77</v>
      </c>
      <c r="C54" s="30" t="s">
        <v>226</v>
      </c>
      <c r="D54" s="30" t="s">
        <v>175</v>
      </c>
      <c r="E54" s="30">
        <v>1991</v>
      </c>
      <c r="F54" s="30"/>
      <c r="G54" s="30">
        <v>100</v>
      </c>
      <c r="H54" s="30">
        <v>15</v>
      </c>
      <c r="I54" s="30">
        <v>0.91</v>
      </c>
      <c r="J54" s="10" t="str">
        <f t="shared" si="0"/>
        <v>WISC-III PIQ (1991)</v>
      </c>
    </row>
    <row r="55" spans="2:10" x14ac:dyDescent="0.25">
      <c r="B55" s="30" t="s">
        <v>114</v>
      </c>
      <c r="C55" s="30" t="s">
        <v>226</v>
      </c>
      <c r="D55" s="30" t="s">
        <v>144</v>
      </c>
      <c r="E55" s="30">
        <v>2006</v>
      </c>
      <c r="F55" s="30"/>
      <c r="G55" s="30">
        <v>100</v>
      </c>
      <c r="H55" s="30">
        <v>15</v>
      </c>
      <c r="I55" s="30">
        <v>0.9</v>
      </c>
      <c r="J55" s="10" t="str">
        <f t="shared" si="0"/>
        <v>WNA (2006)</v>
      </c>
    </row>
    <row r="56" spans="2:10" x14ac:dyDescent="0.25">
      <c r="B56" s="30" t="s">
        <v>88</v>
      </c>
      <c r="C56" s="30" t="s">
        <v>226</v>
      </c>
      <c r="D56" s="30" t="s">
        <v>89</v>
      </c>
      <c r="E56" s="30">
        <v>1999</v>
      </c>
      <c r="F56" s="30"/>
      <c r="G56" s="30">
        <v>100</v>
      </c>
      <c r="H56" s="30">
        <v>15</v>
      </c>
      <c r="I56" s="30"/>
      <c r="J56" s="10" t="str">
        <f t="shared" si="0"/>
        <v>WASI (1999)</v>
      </c>
    </row>
    <row r="57" spans="2:10" x14ac:dyDescent="0.25">
      <c r="B57" s="30" t="s">
        <v>88</v>
      </c>
      <c r="C57" s="30" t="s">
        <v>226</v>
      </c>
      <c r="D57" s="30" t="s">
        <v>90</v>
      </c>
      <c r="E57" s="30">
        <v>2011</v>
      </c>
      <c r="F57" s="30"/>
      <c r="G57" s="30">
        <v>100</v>
      </c>
      <c r="H57" s="30">
        <v>15</v>
      </c>
      <c r="I57" s="30"/>
      <c r="J57" s="10" t="str">
        <f t="shared" si="0"/>
        <v>WASI-II (2011)</v>
      </c>
    </row>
    <row r="58" spans="2:10" x14ac:dyDescent="0.25">
      <c r="B58" s="30" t="s">
        <v>106</v>
      </c>
      <c r="C58" s="30" t="s">
        <v>145</v>
      </c>
      <c r="D58" s="30" t="s">
        <v>145</v>
      </c>
      <c r="E58" s="30">
        <v>1999</v>
      </c>
      <c r="F58" s="30"/>
      <c r="G58" s="30">
        <v>100</v>
      </c>
      <c r="H58" s="30">
        <v>15</v>
      </c>
      <c r="I58" s="30"/>
      <c r="J58" s="10" t="str">
        <f t="shared" si="0"/>
        <v>WRIT (1999)</v>
      </c>
    </row>
    <row r="59" spans="2:10" x14ac:dyDescent="0.25">
      <c r="B59" s="30" t="s">
        <v>94</v>
      </c>
      <c r="C59" s="30" t="s">
        <v>227</v>
      </c>
      <c r="D59" s="30" t="s">
        <v>95</v>
      </c>
      <c r="E59" s="30">
        <v>1977</v>
      </c>
      <c r="F59" s="30"/>
      <c r="G59" s="30">
        <v>100</v>
      </c>
      <c r="H59" s="30">
        <v>15</v>
      </c>
      <c r="I59" s="30"/>
      <c r="J59" s="10" t="str">
        <f t="shared" si="0"/>
        <v>WJ77 (1977)</v>
      </c>
    </row>
    <row r="60" spans="2:10" x14ac:dyDescent="0.25">
      <c r="B60" s="30" t="s">
        <v>94</v>
      </c>
      <c r="C60" s="30" t="s">
        <v>227</v>
      </c>
      <c r="D60" s="30" t="s">
        <v>215</v>
      </c>
      <c r="E60" s="30">
        <v>1989</v>
      </c>
      <c r="F60" s="30">
        <v>1987</v>
      </c>
      <c r="G60" s="30">
        <v>100</v>
      </c>
      <c r="H60" s="30">
        <v>15</v>
      </c>
      <c r="I60" s="30">
        <v>0.94799999999999995</v>
      </c>
      <c r="J60" s="10" t="str">
        <f t="shared" si="0"/>
        <v>WJ R Standard Scale (1989)</v>
      </c>
    </row>
    <row r="61" spans="2:10" x14ac:dyDescent="0.25">
      <c r="B61" s="30" t="s">
        <v>94</v>
      </c>
      <c r="C61" s="30" t="s">
        <v>227</v>
      </c>
      <c r="D61" s="30" t="s">
        <v>214</v>
      </c>
      <c r="E61" s="30">
        <v>1989</v>
      </c>
      <c r="F61" s="30">
        <v>1987</v>
      </c>
      <c r="G61" s="30">
        <v>100</v>
      </c>
      <c r="H61" s="30">
        <v>15</v>
      </c>
      <c r="I61" s="30">
        <v>0.97199999999999998</v>
      </c>
      <c r="J61" s="10" t="str">
        <f t="shared" si="0"/>
        <v>WJ R Extended Scale (1989)</v>
      </c>
    </row>
    <row r="62" spans="2:10" x14ac:dyDescent="0.25">
      <c r="B62" s="30" t="s">
        <v>94</v>
      </c>
      <c r="C62" s="30" t="s">
        <v>227</v>
      </c>
      <c r="D62" s="30" t="s">
        <v>96</v>
      </c>
      <c r="E62" s="30">
        <v>2001</v>
      </c>
      <c r="F62" s="30">
        <v>1998</v>
      </c>
      <c r="G62" s="30">
        <v>100</v>
      </c>
      <c r="H62" s="30">
        <v>15</v>
      </c>
      <c r="I62" s="30">
        <v>0.97</v>
      </c>
      <c r="J62" s="10" t="str">
        <f t="shared" si="0"/>
        <v>WJ III (2001)</v>
      </c>
    </row>
    <row r="63" spans="2:10" x14ac:dyDescent="0.25">
      <c r="B63" s="30" t="s">
        <v>94</v>
      </c>
      <c r="C63" s="30" t="s">
        <v>227</v>
      </c>
      <c r="D63" s="30" t="s">
        <v>102</v>
      </c>
      <c r="E63" s="30">
        <v>2007</v>
      </c>
      <c r="F63" s="30">
        <v>2007</v>
      </c>
      <c r="G63" s="30">
        <v>100</v>
      </c>
      <c r="H63" s="30">
        <v>15</v>
      </c>
      <c r="I63" s="30">
        <v>0.97</v>
      </c>
      <c r="J63" s="10" t="str">
        <f t="shared" si="0"/>
        <v>WJ III NU (2007)</v>
      </c>
    </row>
    <row r="64" spans="2:10" x14ac:dyDescent="0.25">
      <c r="B64" s="30" t="s">
        <v>94</v>
      </c>
      <c r="C64" s="30" t="s">
        <v>227</v>
      </c>
      <c r="D64" s="30" t="s">
        <v>97</v>
      </c>
      <c r="E64" s="30">
        <v>2014</v>
      </c>
      <c r="F64" s="30">
        <v>2011</v>
      </c>
      <c r="G64" s="30">
        <v>100</v>
      </c>
      <c r="H64" s="30">
        <v>15</v>
      </c>
      <c r="I64" s="30">
        <v>0.97</v>
      </c>
      <c r="J64" s="10" t="str">
        <f t="shared" si="0"/>
        <v>WJ IV (2014)</v>
      </c>
    </row>
    <row r="65" spans="2:10" x14ac:dyDescent="0.25">
      <c r="B65" s="30" t="s">
        <v>94</v>
      </c>
      <c r="C65" s="30" t="s">
        <v>227</v>
      </c>
      <c r="D65" s="30" t="s">
        <v>211</v>
      </c>
      <c r="E65" s="30">
        <v>2025</v>
      </c>
      <c r="F65" s="30">
        <v>2024</v>
      </c>
      <c r="G65" s="30">
        <v>100</v>
      </c>
      <c r="H65" s="30">
        <v>15</v>
      </c>
      <c r="I65" s="30">
        <v>0.97</v>
      </c>
      <c r="J65" s="10" t="str">
        <f t="shared" si="0"/>
        <v>WJ V (2025)</v>
      </c>
    </row>
    <row r="66" spans="2:10" x14ac:dyDescent="0.25">
      <c r="B66" s="30"/>
      <c r="C66" s="30"/>
      <c r="D66" s="30"/>
      <c r="E66" s="30"/>
      <c r="F66" s="30"/>
      <c r="G66" s="30"/>
      <c r="H66" s="30"/>
      <c r="I66" s="30"/>
      <c r="J66" s="10" t="str">
        <f t="shared" si="0"/>
        <v/>
      </c>
    </row>
    <row r="67" spans="2:10" x14ac:dyDescent="0.25">
      <c r="B67" s="30"/>
      <c r="C67" s="30"/>
      <c r="D67" s="30"/>
      <c r="E67" s="30"/>
      <c r="F67" s="30"/>
      <c r="G67" s="30"/>
      <c r="H67" s="30"/>
      <c r="I67" s="30"/>
      <c r="J67" s="10" t="str">
        <f t="shared" ref="J67:J130" si="1">IF(AND(D67="",B67=""),"",IF(D67="",B67,D67)&amp;" ("&amp;E67&amp;")")</f>
        <v/>
      </c>
    </row>
    <row r="68" spans="2:10" x14ac:dyDescent="0.25">
      <c r="B68" s="30"/>
      <c r="C68" s="30"/>
      <c r="D68" s="30"/>
      <c r="E68" s="30"/>
      <c r="F68" s="30"/>
      <c r="G68" s="30"/>
      <c r="H68" s="30"/>
      <c r="I68" s="30"/>
      <c r="J68" s="10" t="str">
        <f t="shared" si="1"/>
        <v/>
      </c>
    </row>
    <row r="69" spans="2:10" x14ac:dyDescent="0.25">
      <c r="B69" s="30"/>
      <c r="C69" s="30"/>
      <c r="D69" s="30"/>
      <c r="E69" s="30"/>
      <c r="F69" s="30"/>
      <c r="G69" s="30"/>
      <c r="H69" s="30"/>
      <c r="I69" s="30"/>
      <c r="J69" s="10" t="str">
        <f t="shared" si="1"/>
        <v/>
      </c>
    </row>
    <row r="70" spans="2:10" x14ac:dyDescent="0.25">
      <c r="B70" s="30"/>
      <c r="C70" s="30"/>
      <c r="D70" s="30"/>
      <c r="E70" s="30"/>
      <c r="F70" s="30"/>
      <c r="G70" s="30"/>
      <c r="H70" s="30"/>
      <c r="I70" s="30"/>
      <c r="J70" s="10" t="str">
        <f t="shared" si="1"/>
        <v/>
      </c>
    </row>
    <row r="71" spans="2:10" x14ac:dyDescent="0.25">
      <c r="B71" s="30"/>
      <c r="C71" s="30"/>
      <c r="D71" s="30"/>
      <c r="E71" s="30"/>
      <c r="F71" s="30"/>
      <c r="G71" s="30"/>
      <c r="H71" s="30"/>
      <c r="I71" s="30"/>
      <c r="J71" s="10" t="str">
        <f t="shared" si="1"/>
        <v/>
      </c>
    </row>
    <row r="72" spans="2:10" x14ac:dyDescent="0.25">
      <c r="B72" s="30"/>
      <c r="C72" s="30"/>
      <c r="D72" s="30"/>
      <c r="E72" s="30"/>
      <c r="F72" s="30"/>
      <c r="G72" s="30"/>
      <c r="H72" s="30"/>
      <c r="I72" s="30"/>
      <c r="J72" s="10" t="str">
        <f t="shared" si="1"/>
        <v/>
      </c>
    </row>
    <row r="73" spans="2:10" x14ac:dyDescent="0.25">
      <c r="B73" s="30"/>
      <c r="C73" s="30"/>
      <c r="D73" s="30"/>
      <c r="E73" s="30"/>
      <c r="F73" s="30"/>
      <c r="G73" s="30"/>
      <c r="H73" s="30"/>
      <c r="I73" s="30"/>
      <c r="J73" s="10" t="str">
        <f t="shared" si="1"/>
        <v/>
      </c>
    </row>
    <row r="74" spans="2:10" x14ac:dyDescent="0.25">
      <c r="B74" s="30"/>
      <c r="C74" s="30"/>
      <c r="D74" s="30"/>
      <c r="E74" s="30"/>
      <c r="F74" s="30"/>
      <c r="G74" s="30"/>
      <c r="H74" s="30"/>
      <c r="I74" s="30"/>
      <c r="J74" s="10" t="str">
        <f t="shared" si="1"/>
        <v/>
      </c>
    </row>
    <row r="75" spans="2:10" x14ac:dyDescent="0.25">
      <c r="B75" s="30"/>
      <c r="C75" s="30"/>
      <c r="D75" s="30"/>
      <c r="E75" s="30"/>
      <c r="F75" s="30"/>
      <c r="G75" s="30"/>
      <c r="H75" s="30"/>
      <c r="I75" s="30"/>
      <c r="J75" s="10" t="str">
        <f t="shared" si="1"/>
        <v/>
      </c>
    </row>
    <row r="76" spans="2:10" x14ac:dyDescent="0.25">
      <c r="B76" s="30"/>
      <c r="C76" s="30"/>
      <c r="D76" s="30"/>
      <c r="E76" s="30"/>
      <c r="F76" s="30"/>
      <c r="G76" s="30"/>
      <c r="H76" s="30"/>
      <c r="I76" s="30"/>
      <c r="J76" s="10" t="str">
        <f t="shared" si="1"/>
        <v/>
      </c>
    </row>
    <row r="77" spans="2:10" x14ac:dyDescent="0.25">
      <c r="B77" s="30"/>
      <c r="C77" s="30"/>
      <c r="D77" s="30"/>
      <c r="E77" s="30"/>
      <c r="F77" s="30"/>
      <c r="G77" s="30"/>
      <c r="H77" s="30"/>
      <c r="I77" s="30"/>
      <c r="J77" s="10" t="str">
        <f t="shared" si="1"/>
        <v/>
      </c>
    </row>
    <row r="78" spans="2:10" x14ac:dyDescent="0.25">
      <c r="B78" s="30"/>
      <c r="C78" s="30"/>
      <c r="D78" s="30"/>
      <c r="E78" s="30"/>
      <c r="F78" s="30"/>
      <c r="G78" s="30"/>
      <c r="H78" s="30"/>
      <c r="I78" s="30"/>
      <c r="J78" s="10" t="str">
        <f t="shared" si="1"/>
        <v/>
      </c>
    </row>
    <row r="79" spans="2:10" x14ac:dyDescent="0.25">
      <c r="B79" s="30"/>
      <c r="C79" s="30"/>
      <c r="D79" s="30"/>
      <c r="E79" s="30"/>
      <c r="F79" s="30"/>
      <c r="G79" s="30"/>
      <c r="H79" s="30"/>
      <c r="I79" s="30"/>
      <c r="J79" s="10" t="str">
        <f t="shared" si="1"/>
        <v/>
      </c>
    </row>
    <row r="80" spans="2:10" x14ac:dyDescent="0.25">
      <c r="B80" s="30"/>
      <c r="C80" s="30"/>
      <c r="D80" s="30"/>
      <c r="E80" s="30"/>
      <c r="F80" s="30"/>
      <c r="G80" s="30"/>
      <c r="H80" s="30"/>
      <c r="I80" s="30"/>
      <c r="J80" s="10" t="str">
        <f t="shared" si="1"/>
        <v/>
      </c>
    </row>
    <row r="81" spans="2:10" x14ac:dyDescent="0.25">
      <c r="B81" s="30"/>
      <c r="C81" s="30"/>
      <c r="D81" s="30"/>
      <c r="E81" s="30"/>
      <c r="F81" s="30"/>
      <c r="G81" s="30"/>
      <c r="H81" s="30"/>
      <c r="I81" s="30"/>
      <c r="J81" s="10" t="str">
        <f t="shared" si="1"/>
        <v/>
      </c>
    </row>
    <row r="82" spans="2:10" x14ac:dyDescent="0.25">
      <c r="B82" s="30"/>
      <c r="C82" s="30"/>
      <c r="D82" s="30"/>
      <c r="E82" s="30"/>
      <c r="F82" s="30"/>
      <c r="G82" s="30"/>
      <c r="H82" s="30"/>
      <c r="I82" s="30"/>
      <c r="J82" s="10" t="str">
        <f t="shared" si="1"/>
        <v/>
      </c>
    </row>
    <row r="83" spans="2:10" x14ac:dyDescent="0.25">
      <c r="B83" s="30"/>
      <c r="C83" s="30"/>
      <c r="D83" s="30"/>
      <c r="E83" s="30"/>
      <c r="F83" s="30"/>
      <c r="G83" s="30"/>
      <c r="H83" s="30"/>
      <c r="I83" s="30"/>
      <c r="J83" s="10" t="str">
        <f t="shared" si="1"/>
        <v/>
      </c>
    </row>
    <row r="84" spans="2:10" x14ac:dyDescent="0.25">
      <c r="B84" s="30"/>
      <c r="C84" s="30"/>
      <c r="D84" s="30"/>
      <c r="E84" s="30"/>
      <c r="F84" s="30"/>
      <c r="G84" s="30"/>
      <c r="H84" s="30"/>
      <c r="I84" s="30"/>
      <c r="J84" s="10" t="str">
        <f t="shared" si="1"/>
        <v/>
      </c>
    </row>
    <row r="85" spans="2:10" x14ac:dyDescent="0.25">
      <c r="B85" s="30"/>
      <c r="C85" s="30"/>
      <c r="D85" s="30"/>
      <c r="E85" s="30"/>
      <c r="F85" s="30"/>
      <c r="G85" s="30"/>
      <c r="H85" s="30"/>
      <c r="I85" s="30"/>
      <c r="J85" s="10" t="str">
        <f t="shared" si="1"/>
        <v/>
      </c>
    </row>
    <row r="86" spans="2:10" x14ac:dyDescent="0.25">
      <c r="B86" s="30"/>
      <c r="C86" s="30"/>
      <c r="D86" s="30"/>
      <c r="E86" s="30"/>
      <c r="F86" s="30"/>
      <c r="G86" s="30"/>
      <c r="H86" s="30"/>
      <c r="I86" s="30"/>
      <c r="J86" s="10" t="str">
        <f t="shared" si="1"/>
        <v/>
      </c>
    </row>
    <row r="87" spans="2:10" x14ac:dyDescent="0.25">
      <c r="B87" s="30"/>
      <c r="C87" s="30"/>
      <c r="D87" s="30"/>
      <c r="E87" s="30"/>
      <c r="F87" s="30"/>
      <c r="G87" s="30"/>
      <c r="H87" s="30"/>
      <c r="I87" s="30"/>
      <c r="J87" s="10" t="str">
        <f t="shared" si="1"/>
        <v/>
      </c>
    </row>
    <row r="88" spans="2:10" x14ac:dyDescent="0.25">
      <c r="B88" s="30"/>
      <c r="C88" s="30"/>
      <c r="D88" s="30"/>
      <c r="E88" s="30"/>
      <c r="F88" s="30"/>
      <c r="G88" s="30"/>
      <c r="H88" s="30"/>
      <c r="I88" s="30"/>
      <c r="J88" s="10" t="str">
        <f t="shared" si="1"/>
        <v/>
      </c>
    </row>
    <row r="89" spans="2:10" x14ac:dyDescent="0.25">
      <c r="B89" s="30"/>
      <c r="C89" s="30"/>
      <c r="D89" s="30"/>
      <c r="E89" s="30"/>
      <c r="F89" s="30"/>
      <c r="G89" s="30"/>
      <c r="H89" s="30"/>
      <c r="I89" s="30"/>
      <c r="J89" s="10" t="str">
        <f t="shared" si="1"/>
        <v/>
      </c>
    </row>
    <row r="90" spans="2:10" x14ac:dyDescent="0.25">
      <c r="B90" s="30"/>
      <c r="C90" s="30"/>
      <c r="D90" s="30"/>
      <c r="E90" s="30"/>
      <c r="F90" s="30"/>
      <c r="G90" s="30"/>
      <c r="H90" s="30"/>
      <c r="I90" s="30"/>
      <c r="J90" s="10" t="str">
        <f t="shared" si="1"/>
        <v/>
      </c>
    </row>
    <row r="91" spans="2:10" x14ac:dyDescent="0.25">
      <c r="B91" s="30"/>
      <c r="C91" s="30"/>
      <c r="D91" s="30"/>
      <c r="E91" s="30"/>
      <c r="F91" s="30"/>
      <c r="G91" s="30"/>
      <c r="H91" s="30"/>
      <c r="I91" s="30"/>
      <c r="J91" s="10" t="str">
        <f t="shared" si="1"/>
        <v/>
      </c>
    </row>
    <row r="92" spans="2:10" x14ac:dyDescent="0.25">
      <c r="B92" s="30"/>
      <c r="C92" s="30"/>
      <c r="D92" s="30"/>
      <c r="E92" s="30"/>
      <c r="F92" s="30"/>
      <c r="G92" s="30"/>
      <c r="H92" s="30"/>
      <c r="I92" s="30"/>
      <c r="J92" s="10" t="str">
        <f t="shared" si="1"/>
        <v/>
      </c>
    </row>
    <row r="93" spans="2:10" x14ac:dyDescent="0.25">
      <c r="B93" s="30"/>
      <c r="C93" s="30"/>
      <c r="D93" s="30"/>
      <c r="E93" s="30"/>
      <c r="F93" s="30"/>
      <c r="G93" s="30"/>
      <c r="H93" s="30"/>
      <c r="I93" s="30"/>
      <c r="J93" s="10" t="str">
        <f t="shared" si="1"/>
        <v/>
      </c>
    </row>
    <row r="94" spans="2:10" x14ac:dyDescent="0.25">
      <c r="B94" s="30"/>
      <c r="C94" s="30"/>
      <c r="D94" s="30"/>
      <c r="E94" s="30"/>
      <c r="F94" s="30"/>
      <c r="G94" s="30"/>
      <c r="H94" s="30"/>
      <c r="I94" s="30"/>
      <c r="J94" s="10" t="str">
        <f t="shared" si="1"/>
        <v/>
      </c>
    </row>
    <row r="95" spans="2:10" x14ac:dyDescent="0.25">
      <c r="B95" s="30"/>
      <c r="C95" s="30"/>
      <c r="D95" s="30"/>
      <c r="E95" s="30"/>
      <c r="F95" s="30"/>
      <c r="G95" s="30"/>
      <c r="H95" s="30"/>
      <c r="I95" s="30"/>
      <c r="J95" s="10" t="str">
        <f t="shared" si="1"/>
        <v/>
      </c>
    </row>
    <row r="96" spans="2:10" x14ac:dyDescent="0.25">
      <c r="B96" s="30"/>
      <c r="C96" s="30"/>
      <c r="D96" s="30"/>
      <c r="E96" s="30"/>
      <c r="F96" s="30"/>
      <c r="G96" s="30"/>
      <c r="H96" s="30"/>
      <c r="I96" s="30"/>
      <c r="J96" s="10" t="str">
        <f t="shared" si="1"/>
        <v/>
      </c>
    </row>
    <row r="97" spans="2:10" x14ac:dyDescent="0.25">
      <c r="B97" s="30"/>
      <c r="C97" s="30"/>
      <c r="D97" s="30"/>
      <c r="E97" s="30"/>
      <c r="F97" s="30"/>
      <c r="G97" s="30"/>
      <c r="H97" s="30"/>
      <c r="I97" s="30"/>
      <c r="J97" s="10" t="str">
        <f t="shared" si="1"/>
        <v/>
      </c>
    </row>
    <row r="98" spans="2:10" x14ac:dyDescent="0.25">
      <c r="B98" s="30"/>
      <c r="C98" s="30"/>
      <c r="D98" s="30"/>
      <c r="E98" s="30"/>
      <c r="F98" s="30"/>
      <c r="G98" s="30"/>
      <c r="H98" s="30"/>
      <c r="I98" s="30"/>
      <c r="J98" s="10" t="str">
        <f t="shared" si="1"/>
        <v/>
      </c>
    </row>
    <row r="99" spans="2:10" x14ac:dyDescent="0.25">
      <c r="B99" s="30"/>
      <c r="C99" s="30"/>
      <c r="D99" s="30"/>
      <c r="E99" s="30"/>
      <c r="F99" s="30"/>
      <c r="G99" s="30"/>
      <c r="H99" s="30"/>
      <c r="I99" s="30"/>
      <c r="J99" s="10" t="str">
        <f t="shared" si="1"/>
        <v/>
      </c>
    </row>
    <row r="100" spans="2:10" x14ac:dyDescent="0.25">
      <c r="B100" s="30"/>
      <c r="C100" s="30"/>
      <c r="D100" s="30"/>
      <c r="E100" s="30"/>
      <c r="F100" s="30"/>
      <c r="G100" s="30"/>
      <c r="H100" s="30"/>
      <c r="I100" s="30"/>
      <c r="J100" s="10" t="str">
        <f t="shared" si="1"/>
        <v/>
      </c>
    </row>
    <row r="101" spans="2:10" x14ac:dyDescent="0.25">
      <c r="B101" s="30"/>
      <c r="C101" s="30"/>
      <c r="D101" s="30"/>
      <c r="E101" s="30"/>
      <c r="F101" s="30"/>
      <c r="G101" s="30"/>
      <c r="H101" s="30"/>
      <c r="I101" s="30"/>
      <c r="J101" s="10" t="str">
        <f t="shared" si="1"/>
        <v/>
      </c>
    </row>
    <row r="102" spans="2:10" x14ac:dyDescent="0.25">
      <c r="B102" s="30"/>
      <c r="C102" s="30"/>
      <c r="D102" s="30"/>
      <c r="E102" s="30"/>
      <c r="F102" s="30"/>
      <c r="G102" s="30"/>
      <c r="H102" s="30"/>
      <c r="I102" s="30"/>
      <c r="J102" s="10" t="str">
        <f t="shared" si="1"/>
        <v/>
      </c>
    </row>
    <row r="103" spans="2:10" x14ac:dyDescent="0.25">
      <c r="B103" s="30"/>
      <c r="C103" s="30"/>
      <c r="D103" s="30"/>
      <c r="E103" s="30"/>
      <c r="F103" s="30"/>
      <c r="G103" s="30"/>
      <c r="H103" s="30"/>
      <c r="I103" s="30"/>
      <c r="J103" s="10" t="str">
        <f t="shared" si="1"/>
        <v/>
      </c>
    </row>
    <row r="104" spans="2:10" x14ac:dyDescent="0.25">
      <c r="B104" s="30"/>
      <c r="C104" s="30"/>
      <c r="D104" s="30"/>
      <c r="E104" s="30"/>
      <c r="F104" s="30"/>
      <c r="G104" s="30"/>
      <c r="H104" s="30"/>
      <c r="I104" s="30"/>
      <c r="J104" s="10" t="str">
        <f t="shared" si="1"/>
        <v/>
      </c>
    </row>
    <row r="105" spans="2:10" x14ac:dyDescent="0.25">
      <c r="B105" s="30"/>
      <c r="C105" s="30"/>
      <c r="D105" s="30"/>
      <c r="E105" s="30"/>
      <c r="F105" s="30"/>
      <c r="G105" s="30"/>
      <c r="H105" s="30"/>
      <c r="I105" s="30"/>
      <c r="J105" s="10" t="str">
        <f t="shared" si="1"/>
        <v/>
      </c>
    </row>
    <row r="106" spans="2:10" x14ac:dyDescent="0.25">
      <c r="B106" s="30"/>
      <c r="C106" s="30"/>
      <c r="D106" s="30"/>
      <c r="E106" s="30"/>
      <c r="F106" s="30"/>
      <c r="G106" s="30"/>
      <c r="H106" s="30"/>
      <c r="I106" s="30"/>
      <c r="J106" s="10" t="str">
        <f t="shared" si="1"/>
        <v/>
      </c>
    </row>
    <row r="107" spans="2:10" x14ac:dyDescent="0.25">
      <c r="B107" s="30"/>
      <c r="C107" s="30"/>
      <c r="D107" s="30"/>
      <c r="E107" s="30"/>
      <c r="F107" s="30"/>
      <c r="G107" s="30"/>
      <c r="H107" s="30"/>
      <c r="I107" s="30"/>
      <c r="J107" s="10" t="str">
        <f t="shared" si="1"/>
        <v/>
      </c>
    </row>
    <row r="108" spans="2:10" x14ac:dyDescent="0.25">
      <c r="B108" s="30"/>
      <c r="C108" s="30"/>
      <c r="D108" s="30"/>
      <c r="E108" s="30"/>
      <c r="F108" s="30"/>
      <c r="G108" s="30"/>
      <c r="H108" s="30"/>
      <c r="I108" s="30"/>
      <c r="J108" s="10" t="str">
        <f t="shared" si="1"/>
        <v/>
      </c>
    </row>
    <row r="109" spans="2:10" x14ac:dyDescent="0.25">
      <c r="B109" s="30"/>
      <c r="C109" s="30"/>
      <c r="D109" s="30"/>
      <c r="E109" s="30"/>
      <c r="F109" s="30"/>
      <c r="G109" s="30"/>
      <c r="H109" s="30"/>
      <c r="I109" s="30"/>
      <c r="J109" s="10" t="str">
        <f t="shared" si="1"/>
        <v/>
      </c>
    </row>
    <row r="110" spans="2:10" x14ac:dyDescent="0.25">
      <c r="B110" s="30"/>
      <c r="C110" s="30"/>
      <c r="D110" s="30"/>
      <c r="E110" s="30"/>
      <c r="F110" s="30"/>
      <c r="G110" s="30"/>
      <c r="H110" s="30"/>
      <c r="I110" s="30"/>
      <c r="J110" s="10" t="str">
        <f t="shared" si="1"/>
        <v/>
      </c>
    </row>
    <row r="111" spans="2:10" x14ac:dyDescent="0.25">
      <c r="B111" s="30"/>
      <c r="C111" s="30"/>
      <c r="D111" s="30"/>
      <c r="E111" s="30"/>
      <c r="F111" s="30"/>
      <c r="G111" s="30"/>
      <c r="H111" s="30"/>
      <c r="I111" s="30"/>
      <c r="J111" s="10" t="str">
        <f t="shared" si="1"/>
        <v/>
      </c>
    </row>
    <row r="112" spans="2:10" x14ac:dyDescent="0.25">
      <c r="B112" s="30"/>
      <c r="C112" s="30"/>
      <c r="D112" s="30"/>
      <c r="E112" s="30"/>
      <c r="F112" s="30"/>
      <c r="G112" s="30"/>
      <c r="H112" s="30"/>
      <c r="I112" s="30"/>
      <c r="J112" s="10" t="str">
        <f t="shared" si="1"/>
        <v/>
      </c>
    </row>
    <row r="113" spans="2:10" x14ac:dyDescent="0.25">
      <c r="B113" s="30"/>
      <c r="C113" s="30"/>
      <c r="D113" s="30"/>
      <c r="E113" s="30"/>
      <c r="F113" s="30"/>
      <c r="G113" s="30"/>
      <c r="H113" s="30"/>
      <c r="I113" s="30"/>
      <c r="J113" s="10" t="str">
        <f t="shared" si="1"/>
        <v/>
      </c>
    </row>
    <row r="114" spans="2:10" x14ac:dyDescent="0.25">
      <c r="B114" s="30"/>
      <c r="C114" s="30"/>
      <c r="D114" s="30"/>
      <c r="E114" s="30"/>
      <c r="F114" s="30"/>
      <c r="G114" s="30"/>
      <c r="H114" s="30"/>
      <c r="I114" s="30"/>
      <c r="J114" s="10" t="str">
        <f t="shared" si="1"/>
        <v/>
      </c>
    </row>
    <row r="115" spans="2:10" x14ac:dyDescent="0.25">
      <c r="B115" s="30"/>
      <c r="C115" s="30"/>
      <c r="D115" s="30"/>
      <c r="E115" s="30"/>
      <c r="F115" s="30"/>
      <c r="G115" s="30"/>
      <c r="H115" s="30"/>
      <c r="I115" s="30"/>
      <c r="J115" s="10" t="str">
        <f t="shared" si="1"/>
        <v/>
      </c>
    </row>
    <row r="116" spans="2:10" x14ac:dyDescent="0.25">
      <c r="B116" s="30"/>
      <c r="C116" s="30"/>
      <c r="D116" s="30"/>
      <c r="E116" s="30"/>
      <c r="F116" s="30"/>
      <c r="G116" s="30"/>
      <c r="H116" s="30"/>
      <c r="I116" s="30"/>
      <c r="J116" s="10" t="str">
        <f t="shared" si="1"/>
        <v/>
      </c>
    </row>
    <row r="117" spans="2:10" x14ac:dyDescent="0.25">
      <c r="B117" s="30"/>
      <c r="C117" s="30"/>
      <c r="D117" s="30"/>
      <c r="E117" s="30"/>
      <c r="F117" s="30"/>
      <c r="G117" s="30"/>
      <c r="H117" s="30"/>
      <c r="I117" s="30"/>
      <c r="J117" s="10" t="str">
        <f t="shared" si="1"/>
        <v/>
      </c>
    </row>
    <row r="118" spans="2:10" x14ac:dyDescent="0.25">
      <c r="B118" s="30"/>
      <c r="C118" s="30"/>
      <c r="D118" s="30"/>
      <c r="E118" s="30"/>
      <c r="F118" s="30"/>
      <c r="G118" s="30"/>
      <c r="H118" s="30"/>
      <c r="I118" s="30"/>
      <c r="J118" s="10" t="str">
        <f t="shared" si="1"/>
        <v/>
      </c>
    </row>
    <row r="119" spans="2:10" x14ac:dyDescent="0.25">
      <c r="B119" s="30"/>
      <c r="C119" s="30"/>
      <c r="D119" s="30"/>
      <c r="E119" s="30"/>
      <c r="F119" s="30"/>
      <c r="G119" s="30"/>
      <c r="H119" s="30"/>
      <c r="I119" s="30"/>
      <c r="J119" s="10" t="str">
        <f t="shared" si="1"/>
        <v/>
      </c>
    </row>
    <row r="120" spans="2:10" x14ac:dyDescent="0.25">
      <c r="B120" s="30"/>
      <c r="C120" s="30"/>
      <c r="D120" s="30"/>
      <c r="E120" s="30"/>
      <c r="F120" s="30"/>
      <c r="G120" s="30"/>
      <c r="H120" s="30"/>
      <c r="I120" s="30"/>
      <c r="J120" s="10" t="str">
        <f t="shared" si="1"/>
        <v/>
      </c>
    </row>
    <row r="121" spans="2:10" x14ac:dyDescent="0.25">
      <c r="B121" s="30"/>
      <c r="C121" s="30"/>
      <c r="D121" s="30"/>
      <c r="E121" s="30"/>
      <c r="F121" s="30"/>
      <c r="G121" s="30"/>
      <c r="H121" s="30"/>
      <c r="I121" s="30"/>
      <c r="J121" s="10" t="str">
        <f t="shared" si="1"/>
        <v/>
      </c>
    </row>
    <row r="122" spans="2:10" x14ac:dyDescent="0.25">
      <c r="B122" s="30"/>
      <c r="C122" s="30"/>
      <c r="D122" s="30"/>
      <c r="E122" s="30"/>
      <c r="F122" s="30"/>
      <c r="G122" s="30"/>
      <c r="H122" s="30"/>
      <c r="I122" s="30"/>
      <c r="J122" s="10" t="str">
        <f t="shared" si="1"/>
        <v/>
      </c>
    </row>
    <row r="123" spans="2:10" x14ac:dyDescent="0.25">
      <c r="B123" s="30"/>
      <c r="C123" s="30"/>
      <c r="D123" s="30"/>
      <c r="E123" s="30"/>
      <c r="F123" s="30"/>
      <c r="G123" s="30"/>
      <c r="H123" s="30"/>
      <c r="I123" s="30"/>
      <c r="J123" s="10" t="str">
        <f t="shared" si="1"/>
        <v/>
      </c>
    </row>
    <row r="124" spans="2:10" x14ac:dyDescent="0.25">
      <c r="B124" s="30"/>
      <c r="C124" s="30"/>
      <c r="D124" s="30"/>
      <c r="E124" s="30"/>
      <c r="F124" s="30"/>
      <c r="G124" s="30"/>
      <c r="H124" s="30"/>
      <c r="I124" s="30"/>
      <c r="J124" s="10" t="str">
        <f t="shared" si="1"/>
        <v/>
      </c>
    </row>
    <row r="125" spans="2:10" x14ac:dyDescent="0.25">
      <c r="B125" s="30"/>
      <c r="C125" s="30"/>
      <c r="D125" s="30"/>
      <c r="E125" s="30"/>
      <c r="F125" s="30"/>
      <c r="G125" s="30"/>
      <c r="H125" s="30"/>
      <c r="I125" s="30"/>
      <c r="J125" s="10" t="str">
        <f t="shared" si="1"/>
        <v/>
      </c>
    </row>
    <row r="126" spans="2:10" x14ac:dyDescent="0.25">
      <c r="B126" s="30"/>
      <c r="C126" s="30"/>
      <c r="D126" s="30"/>
      <c r="E126" s="30"/>
      <c r="F126" s="30"/>
      <c r="G126" s="30"/>
      <c r="H126" s="30"/>
      <c r="I126" s="30"/>
      <c r="J126" s="10" t="str">
        <f t="shared" si="1"/>
        <v/>
      </c>
    </row>
    <row r="127" spans="2:10" x14ac:dyDescent="0.25">
      <c r="B127" s="30"/>
      <c r="C127" s="30"/>
      <c r="D127" s="30"/>
      <c r="E127" s="30"/>
      <c r="F127" s="30"/>
      <c r="G127" s="30"/>
      <c r="H127" s="30"/>
      <c r="I127" s="30"/>
      <c r="J127" s="10" t="str">
        <f t="shared" si="1"/>
        <v/>
      </c>
    </row>
    <row r="128" spans="2:10" x14ac:dyDescent="0.25">
      <c r="B128" s="30"/>
      <c r="C128" s="30"/>
      <c r="D128" s="30"/>
      <c r="E128" s="30"/>
      <c r="F128" s="30"/>
      <c r="G128" s="30"/>
      <c r="H128" s="30"/>
      <c r="I128" s="30"/>
      <c r="J128" s="10" t="str">
        <f t="shared" si="1"/>
        <v/>
      </c>
    </row>
    <row r="129" spans="2:10" x14ac:dyDescent="0.25">
      <c r="B129" s="30"/>
      <c r="C129" s="30"/>
      <c r="D129" s="30"/>
      <c r="E129" s="30"/>
      <c r="F129" s="30"/>
      <c r="G129" s="30"/>
      <c r="H129" s="30"/>
      <c r="I129" s="30"/>
      <c r="J129" s="10" t="str">
        <f t="shared" si="1"/>
        <v/>
      </c>
    </row>
    <row r="130" spans="2:10" x14ac:dyDescent="0.25">
      <c r="B130" s="30"/>
      <c r="C130" s="30"/>
      <c r="D130" s="30"/>
      <c r="E130" s="30"/>
      <c r="F130" s="30"/>
      <c r="G130" s="30"/>
      <c r="H130" s="30"/>
      <c r="I130" s="30"/>
      <c r="J130" s="10" t="str">
        <f t="shared" si="1"/>
        <v/>
      </c>
    </row>
    <row r="131" spans="2:10" x14ac:dyDescent="0.25">
      <c r="B131" s="30"/>
      <c r="C131" s="30"/>
      <c r="D131" s="30"/>
      <c r="E131" s="30"/>
      <c r="F131" s="30"/>
      <c r="G131" s="30"/>
      <c r="H131" s="30"/>
      <c r="I131" s="30"/>
      <c r="J131" s="10" t="str">
        <f t="shared" ref="J131:J194" si="2">IF(AND(D131="",B131=""),"",IF(D131="",B131,D131)&amp;" ("&amp;E131&amp;")")</f>
        <v/>
      </c>
    </row>
    <row r="132" spans="2:10" x14ac:dyDescent="0.25">
      <c r="B132" s="30"/>
      <c r="C132" s="30"/>
      <c r="D132" s="30"/>
      <c r="E132" s="30"/>
      <c r="F132" s="30"/>
      <c r="G132" s="30"/>
      <c r="H132" s="30"/>
      <c r="I132" s="30"/>
      <c r="J132" s="10" t="str">
        <f t="shared" si="2"/>
        <v/>
      </c>
    </row>
    <row r="133" spans="2:10" x14ac:dyDescent="0.25">
      <c r="B133" s="30"/>
      <c r="C133" s="30"/>
      <c r="D133" s="30"/>
      <c r="E133" s="30"/>
      <c r="F133" s="30"/>
      <c r="G133" s="30"/>
      <c r="H133" s="30"/>
      <c r="I133" s="30"/>
      <c r="J133" s="10" t="str">
        <f t="shared" si="2"/>
        <v/>
      </c>
    </row>
    <row r="134" spans="2:10" x14ac:dyDescent="0.25">
      <c r="B134" s="30"/>
      <c r="C134" s="30"/>
      <c r="D134" s="30"/>
      <c r="E134" s="30"/>
      <c r="F134" s="30"/>
      <c r="G134" s="30"/>
      <c r="H134" s="30"/>
      <c r="I134" s="30"/>
      <c r="J134" s="10" t="str">
        <f t="shared" si="2"/>
        <v/>
      </c>
    </row>
    <row r="135" spans="2:10" x14ac:dyDescent="0.25">
      <c r="B135" s="30"/>
      <c r="C135" s="30"/>
      <c r="D135" s="30"/>
      <c r="E135" s="30"/>
      <c r="F135" s="30"/>
      <c r="G135" s="30"/>
      <c r="H135" s="30"/>
      <c r="I135" s="30"/>
      <c r="J135" s="10" t="str">
        <f t="shared" si="2"/>
        <v/>
      </c>
    </row>
    <row r="136" spans="2:10" x14ac:dyDescent="0.25">
      <c r="B136" s="30"/>
      <c r="C136" s="30"/>
      <c r="D136" s="30"/>
      <c r="E136" s="30"/>
      <c r="F136" s="30"/>
      <c r="G136" s="30"/>
      <c r="H136" s="30"/>
      <c r="I136" s="30"/>
      <c r="J136" s="10" t="str">
        <f t="shared" si="2"/>
        <v/>
      </c>
    </row>
    <row r="137" spans="2:10" x14ac:dyDescent="0.25">
      <c r="B137" s="30"/>
      <c r="C137" s="30"/>
      <c r="D137" s="30"/>
      <c r="E137" s="30"/>
      <c r="F137" s="30"/>
      <c r="G137" s="30"/>
      <c r="H137" s="30"/>
      <c r="I137" s="30"/>
      <c r="J137" s="10" t="str">
        <f t="shared" si="2"/>
        <v/>
      </c>
    </row>
    <row r="138" spans="2:10" x14ac:dyDescent="0.25">
      <c r="B138" s="30"/>
      <c r="C138" s="30"/>
      <c r="D138" s="30"/>
      <c r="E138" s="30"/>
      <c r="F138" s="30"/>
      <c r="G138" s="30"/>
      <c r="H138" s="30"/>
      <c r="I138" s="30"/>
      <c r="J138" s="10" t="str">
        <f t="shared" si="2"/>
        <v/>
      </c>
    </row>
    <row r="139" spans="2:10" x14ac:dyDescent="0.25">
      <c r="B139" s="30"/>
      <c r="C139" s="30"/>
      <c r="D139" s="30"/>
      <c r="E139" s="30"/>
      <c r="F139" s="30"/>
      <c r="G139" s="30"/>
      <c r="H139" s="30"/>
      <c r="I139" s="30"/>
      <c r="J139" s="10" t="str">
        <f t="shared" si="2"/>
        <v/>
      </c>
    </row>
    <row r="140" spans="2:10" x14ac:dyDescent="0.25">
      <c r="B140" s="30"/>
      <c r="C140" s="30"/>
      <c r="D140" s="30"/>
      <c r="E140" s="30"/>
      <c r="F140" s="30"/>
      <c r="G140" s="30"/>
      <c r="H140" s="30"/>
      <c r="I140" s="30"/>
      <c r="J140" s="10" t="str">
        <f t="shared" si="2"/>
        <v/>
      </c>
    </row>
    <row r="141" spans="2:10" x14ac:dyDescent="0.25">
      <c r="B141" s="30"/>
      <c r="C141" s="30"/>
      <c r="D141" s="30"/>
      <c r="E141" s="30"/>
      <c r="F141" s="30"/>
      <c r="G141" s="30"/>
      <c r="H141" s="30"/>
      <c r="I141" s="30"/>
      <c r="J141" s="10" t="str">
        <f t="shared" si="2"/>
        <v/>
      </c>
    </row>
    <row r="142" spans="2:10" x14ac:dyDescent="0.25">
      <c r="B142" s="30"/>
      <c r="C142" s="30"/>
      <c r="D142" s="30"/>
      <c r="E142" s="30"/>
      <c r="F142" s="30"/>
      <c r="G142" s="30"/>
      <c r="H142" s="30"/>
      <c r="I142" s="30"/>
      <c r="J142" s="10" t="str">
        <f t="shared" si="2"/>
        <v/>
      </c>
    </row>
    <row r="143" spans="2:10" x14ac:dyDescent="0.25">
      <c r="B143" s="30"/>
      <c r="C143" s="30"/>
      <c r="D143" s="30"/>
      <c r="E143" s="30"/>
      <c r="F143" s="30"/>
      <c r="G143" s="30"/>
      <c r="H143" s="30"/>
      <c r="I143" s="30"/>
      <c r="J143" s="10" t="str">
        <f t="shared" si="2"/>
        <v/>
      </c>
    </row>
    <row r="144" spans="2:10" x14ac:dyDescent="0.25">
      <c r="B144" s="30"/>
      <c r="C144" s="30"/>
      <c r="D144" s="30"/>
      <c r="E144" s="30"/>
      <c r="F144" s="30"/>
      <c r="G144" s="30"/>
      <c r="H144" s="30"/>
      <c r="I144" s="30"/>
      <c r="J144" s="10" t="str">
        <f t="shared" si="2"/>
        <v/>
      </c>
    </row>
    <row r="145" spans="2:10" x14ac:dyDescent="0.25">
      <c r="B145" s="30"/>
      <c r="C145" s="30"/>
      <c r="D145" s="30"/>
      <c r="E145" s="30"/>
      <c r="F145" s="30"/>
      <c r="G145" s="30"/>
      <c r="H145" s="30"/>
      <c r="I145" s="30"/>
      <c r="J145" s="10" t="str">
        <f t="shared" si="2"/>
        <v/>
      </c>
    </row>
    <row r="146" spans="2:10" x14ac:dyDescent="0.25">
      <c r="B146" s="30"/>
      <c r="C146" s="30"/>
      <c r="D146" s="30"/>
      <c r="E146" s="30"/>
      <c r="F146" s="30"/>
      <c r="G146" s="30"/>
      <c r="H146" s="30"/>
      <c r="I146" s="30"/>
      <c r="J146" s="10" t="str">
        <f t="shared" si="2"/>
        <v/>
      </c>
    </row>
    <row r="147" spans="2:10" x14ac:dyDescent="0.25">
      <c r="B147" s="30"/>
      <c r="C147" s="30"/>
      <c r="D147" s="30"/>
      <c r="E147" s="30"/>
      <c r="F147" s="30"/>
      <c r="G147" s="30"/>
      <c r="H147" s="30"/>
      <c r="I147" s="30"/>
      <c r="J147" s="10" t="str">
        <f t="shared" si="2"/>
        <v/>
      </c>
    </row>
    <row r="148" spans="2:10" x14ac:dyDescent="0.25">
      <c r="B148" s="30"/>
      <c r="C148" s="30"/>
      <c r="D148" s="30"/>
      <c r="E148" s="30"/>
      <c r="F148" s="30"/>
      <c r="G148" s="30"/>
      <c r="H148" s="30"/>
      <c r="I148" s="30"/>
      <c r="J148" s="10" t="str">
        <f t="shared" si="2"/>
        <v/>
      </c>
    </row>
    <row r="149" spans="2:10" x14ac:dyDescent="0.25">
      <c r="B149" s="30"/>
      <c r="C149" s="30"/>
      <c r="D149" s="30"/>
      <c r="E149" s="30"/>
      <c r="F149" s="30"/>
      <c r="G149" s="30"/>
      <c r="H149" s="30"/>
      <c r="I149" s="30"/>
      <c r="J149" s="10" t="str">
        <f t="shared" si="2"/>
        <v/>
      </c>
    </row>
    <row r="150" spans="2:10" x14ac:dyDescent="0.25">
      <c r="B150" s="30"/>
      <c r="C150" s="30"/>
      <c r="D150" s="30"/>
      <c r="E150" s="30"/>
      <c r="F150" s="30"/>
      <c r="G150" s="30"/>
      <c r="H150" s="30"/>
      <c r="I150" s="30"/>
      <c r="J150" s="10" t="str">
        <f t="shared" si="2"/>
        <v/>
      </c>
    </row>
    <row r="151" spans="2:10" x14ac:dyDescent="0.25">
      <c r="B151" s="30"/>
      <c r="C151" s="30"/>
      <c r="D151" s="30"/>
      <c r="E151" s="30"/>
      <c r="F151" s="30"/>
      <c r="G151" s="30"/>
      <c r="H151" s="30"/>
      <c r="I151" s="30"/>
      <c r="J151" s="10" t="str">
        <f t="shared" si="2"/>
        <v/>
      </c>
    </row>
    <row r="152" spans="2:10" x14ac:dyDescent="0.25">
      <c r="B152" s="30"/>
      <c r="C152" s="30"/>
      <c r="D152" s="30"/>
      <c r="E152" s="30"/>
      <c r="F152" s="30"/>
      <c r="G152" s="30"/>
      <c r="H152" s="30"/>
      <c r="I152" s="30"/>
      <c r="J152" s="10" t="str">
        <f t="shared" si="2"/>
        <v/>
      </c>
    </row>
    <row r="153" spans="2:10" x14ac:dyDescent="0.25">
      <c r="B153" s="30"/>
      <c r="C153" s="30"/>
      <c r="D153" s="30"/>
      <c r="E153" s="30"/>
      <c r="F153" s="30"/>
      <c r="G153" s="30"/>
      <c r="H153" s="30"/>
      <c r="I153" s="30"/>
      <c r="J153" s="10" t="str">
        <f t="shared" si="2"/>
        <v/>
      </c>
    </row>
    <row r="154" spans="2:10" x14ac:dyDescent="0.25">
      <c r="B154" s="30"/>
      <c r="C154" s="30"/>
      <c r="D154" s="30"/>
      <c r="E154" s="30"/>
      <c r="F154" s="30"/>
      <c r="G154" s="30"/>
      <c r="H154" s="30"/>
      <c r="I154" s="30"/>
      <c r="J154" s="10" t="str">
        <f t="shared" si="2"/>
        <v/>
      </c>
    </row>
    <row r="155" spans="2:10" x14ac:dyDescent="0.25">
      <c r="B155" s="30"/>
      <c r="C155" s="30"/>
      <c r="D155" s="30"/>
      <c r="E155" s="30"/>
      <c r="F155" s="30"/>
      <c r="G155" s="30"/>
      <c r="H155" s="30"/>
      <c r="I155" s="30"/>
      <c r="J155" s="10" t="str">
        <f t="shared" si="2"/>
        <v/>
      </c>
    </row>
    <row r="156" spans="2:10" x14ac:dyDescent="0.25">
      <c r="B156" s="30"/>
      <c r="C156" s="30"/>
      <c r="D156" s="30"/>
      <c r="E156" s="30"/>
      <c r="F156" s="30"/>
      <c r="G156" s="30"/>
      <c r="H156" s="30"/>
      <c r="I156" s="30"/>
      <c r="J156" s="10" t="str">
        <f t="shared" si="2"/>
        <v/>
      </c>
    </row>
    <row r="157" spans="2:10" x14ac:dyDescent="0.25">
      <c r="B157" s="30"/>
      <c r="C157" s="30"/>
      <c r="D157" s="30"/>
      <c r="E157" s="30"/>
      <c r="F157" s="30"/>
      <c r="G157" s="30"/>
      <c r="H157" s="30"/>
      <c r="I157" s="30"/>
      <c r="J157" s="10" t="str">
        <f t="shared" si="2"/>
        <v/>
      </c>
    </row>
    <row r="158" spans="2:10" x14ac:dyDescent="0.25">
      <c r="B158" s="30"/>
      <c r="C158" s="30"/>
      <c r="D158" s="30"/>
      <c r="E158" s="30"/>
      <c r="F158" s="30"/>
      <c r="G158" s="30"/>
      <c r="H158" s="30"/>
      <c r="I158" s="30"/>
      <c r="J158" s="10" t="str">
        <f t="shared" si="2"/>
        <v/>
      </c>
    </row>
    <row r="159" spans="2:10" x14ac:dyDescent="0.25">
      <c r="B159" s="30"/>
      <c r="C159" s="30"/>
      <c r="D159" s="30"/>
      <c r="E159" s="30"/>
      <c r="F159" s="30"/>
      <c r="G159" s="30"/>
      <c r="H159" s="30"/>
      <c r="I159" s="30"/>
      <c r="J159" s="10" t="str">
        <f t="shared" si="2"/>
        <v/>
      </c>
    </row>
    <row r="160" spans="2:10" x14ac:dyDescent="0.25">
      <c r="B160" s="30"/>
      <c r="C160" s="30"/>
      <c r="D160" s="30"/>
      <c r="E160" s="30"/>
      <c r="F160" s="30"/>
      <c r="G160" s="30"/>
      <c r="H160" s="30"/>
      <c r="I160" s="30"/>
      <c r="J160" s="10" t="str">
        <f t="shared" si="2"/>
        <v/>
      </c>
    </row>
    <row r="161" spans="2:10" x14ac:dyDescent="0.25">
      <c r="B161" s="30"/>
      <c r="C161" s="30"/>
      <c r="D161" s="30"/>
      <c r="E161" s="30"/>
      <c r="F161" s="30"/>
      <c r="G161" s="30"/>
      <c r="H161" s="30"/>
      <c r="I161" s="30"/>
      <c r="J161" s="10" t="str">
        <f t="shared" si="2"/>
        <v/>
      </c>
    </row>
    <row r="162" spans="2:10" x14ac:dyDescent="0.25">
      <c r="B162" s="30"/>
      <c r="C162" s="30"/>
      <c r="D162" s="30"/>
      <c r="E162" s="30"/>
      <c r="F162" s="30"/>
      <c r="G162" s="30"/>
      <c r="H162" s="30"/>
      <c r="I162" s="30"/>
      <c r="J162" s="10" t="str">
        <f t="shared" si="2"/>
        <v/>
      </c>
    </row>
    <row r="163" spans="2:10" x14ac:dyDescent="0.25">
      <c r="B163" s="30"/>
      <c r="C163" s="30"/>
      <c r="D163" s="30"/>
      <c r="E163" s="30"/>
      <c r="F163" s="30"/>
      <c r="G163" s="30"/>
      <c r="H163" s="30"/>
      <c r="I163" s="30"/>
      <c r="J163" s="10" t="str">
        <f t="shared" si="2"/>
        <v/>
      </c>
    </row>
    <row r="164" spans="2:10" x14ac:dyDescent="0.25">
      <c r="B164" s="30"/>
      <c r="C164" s="30"/>
      <c r="D164" s="30"/>
      <c r="E164" s="30"/>
      <c r="F164" s="30"/>
      <c r="G164" s="30"/>
      <c r="H164" s="30"/>
      <c r="I164" s="30"/>
      <c r="J164" s="10" t="str">
        <f t="shared" si="2"/>
        <v/>
      </c>
    </row>
    <row r="165" spans="2:10" x14ac:dyDescent="0.25">
      <c r="B165" s="30"/>
      <c r="C165" s="30"/>
      <c r="D165" s="30"/>
      <c r="E165" s="30"/>
      <c r="F165" s="30"/>
      <c r="G165" s="30"/>
      <c r="H165" s="30"/>
      <c r="I165" s="30"/>
      <c r="J165" s="10" t="str">
        <f t="shared" si="2"/>
        <v/>
      </c>
    </row>
    <row r="166" spans="2:10" x14ac:dyDescent="0.25">
      <c r="B166" s="30"/>
      <c r="C166" s="30"/>
      <c r="D166" s="30"/>
      <c r="E166" s="30"/>
      <c r="F166" s="30"/>
      <c r="G166" s="30"/>
      <c r="H166" s="30"/>
      <c r="I166" s="30"/>
      <c r="J166" s="10" t="str">
        <f t="shared" si="2"/>
        <v/>
      </c>
    </row>
    <row r="167" spans="2:10" x14ac:dyDescent="0.25">
      <c r="B167" s="30"/>
      <c r="C167" s="30"/>
      <c r="D167" s="30"/>
      <c r="E167" s="30"/>
      <c r="F167" s="30"/>
      <c r="G167" s="30"/>
      <c r="H167" s="30"/>
      <c r="I167" s="30"/>
      <c r="J167" s="10" t="str">
        <f t="shared" si="2"/>
        <v/>
      </c>
    </row>
    <row r="168" spans="2:10" x14ac:dyDescent="0.25">
      <c r="B168" s="30"/>
      <c r="C168" s="30"/>
      <c r="D168" s="30"/>
      <c r="E168" s="30"/>
      <c r="F168" s="30"/>
      <c r="G168" s="30"/>
      <c r="H168" s="30"/>
      <c r="I168" s="30"/>
      <c r="J168" s="10" t="str">
        <f t="shared" si="2"/>
        <v/>
      </c>
    </row>
    <row r="169" spans="2:10" x14ac:dyDescent="0.25">
      <c r="B169" s="30"/>
      <c r="C169" s="30"/>
      <c r="D169" s="30"/>
      <c r="E169" s="30"/>
      <c r="F169" s="30"/>
      <c r="G169" s="30"/>
      <c r="H169" s="30"/>
      <c r="I169" s="30"/>
      <c r="J169" s="10" t="str">
        <f t="shared" si="2"/>
        <v/>
      </c>
    </row>
    <row r="170" spans="2:10" x14ac:dyDescent="0.25">
      <c r="B170" s="30"/>
      <c r="C170" s="30"/>
      <c r="D170" s="30"/>
      <c r="E170" s="30"/>
      <c r="F170" s="30"/>
      <c r="G170" s="30"/>
      <c r="H170" s="30"/>
      <c r="I170" s="30"/>
      <c r="J170" s="10" t="str">
        <f t="shared" si="2"/>
        <v/>
      </c>
    </row>
    <row r="171" spans="2:10" x14ac:dyDescent="0.25">
      <c r="B171" s="30"/>
      <c r="C171" s="30"/>
      <c r="D171" s="30"/>
      <c r="E171" s="30"/>
      <c r="F171" s="30"/>
      <c r="G171" s="30"/>
      <c r="H171" s="30"/>
      <c r="I171" s="30"/>
      <c r="J171" s="10" t="str">
        <f t="shared" si="2"/>
        <v/>
      </c>
    </row>
    <row r="172" spans="2:10" x14ac:dyDescent="0.25">
      <c r="B172" s="30"/>
      <c r="C172" s="30"/>
      <c r="D172" s="30"/>
      <c r="E172" s="30"/>
      <c r="F172" s="30"/>
      <c r="G172" s="30"/>
      <c r="H172" s="30"/>
      <c r="I172" s="30"/>
      <c r="J172" s="10" t="str">
        <f t="shared" si="2"/>
        <v/>
      </c>
    </row>
    <row r="173" spans="2:10" x14ac:dyDescent="0.25">
      <c r="B173" s="30"/>
      <c r="C173" s="30"/>
      <c r="D173" s="30"/>
      <c r="E173" s="30"/>
      <c r="F173" s="30"/>
      <c r="G173" s="30"/>
      <c r="H173" s="30"/>
      <c r="I173" s="30"/>
      <c r="J173" s="10" t="str">
        <f t="shared" si="2"/>
        <v/>
      </c>
    </row>
    <row r="174" spans="2:10" x14ac:dyDescent="0.25">
      <c r="B174" s="30"/>
      <c r="C174" s="30"/>
      <c r="D174" s="30"/>
      <c r="E174" s="30"/>
      <c r="F174" s="30"/>
      <c r="G174" s="30"/>
      <c r="H174" s="30"/>
      <c r="I174" s="30"/>
      <c r="J174" s="10" t="str">
        <f t="shared" si="2"/>
        <v/>
      </c>
    </row>
    <row r="175" spans="2:10" x14ac:dyDescent="0.25">
      <c r="B175" s="30"/>
      <c r="C175" s="30"/>
      <c r="D175" s="30"/>
      <c r="E175" s="30"/>
      <c r="F175" s="30"/>
      <c r="G175" s="30"/>
      <c r="H175" s="30"/>
      <c r="I175" s="30"/>
      <c r="J175" s="10" t="str">
        <f t="shared" si="2"/>
        <v/>
      </c>
    </row>
    <row r="176" spans="2:10" x14ac:dyDescent="0.25">
      <c r="B176" s="30"/>
      <c r="C176" s="30"/>
      <c r="D176" s="30"/>
      <c r="E176" s="30"/>
      <c r="F176" s="30"/>
      <c r="G176" s="30"/>
      <c r="H176" s="30"/>
      <c r="I176" s="30"/>
      <c r="J176" s="10" t="str">
        <f t="shared" si="2"/>
        <v/>
      </c>
    </row>
    <row r="177" spans="2:10" x14ac:dyDescent="0.25">
      <c r="B177" s="30"/>
      <c r="C177" s="30"/>
      <c r="D177" s="30"/>
      <c r="E177" s="30"/>
      <c r="F177" s="30"/>
      <c r="G177" s="30"/>
      <c r="H177" s="30"/>
      <c r="I177" s="30"/>
      <c r="J177" s="10" t="str">
        <f t="shared" si="2"/>
        <v/>
      </c>
    </row>
    <row r="178" spans="2:10" x14ac:dyDescent="0.25">
      <c r="B178" s="30"/>
      <c r="C178" s="30"/>
      <c r="D178" s="30"/>
      <c r="E178" s="30"/>
      <c r="F178" s="30"/>
      <c r="G178" s="30"/>
      <c r="H178" s="30"/>
      <c r="I178" s="30"/>
      <c r="J178" s="10" t="str">
        <f t="shared" si="2"/>
        <v/>
      </c>
    </row>
    <row r="179" spans="2:10" x14ac:dyDescent="0.25">
      <c r="B179" s="30"/>
      <c r="C179" s="30"/>
      <c r="D179" s="30"/>
      <c r="E179" s="30"/>
      <c r="F179" s="30"/>
      <c r="G179" s="30"/>
      <c r="H179" s="30"/>
      <c r="I179" s="30"/>
      <c r="J179" s="10" t="str">
        <f t="shared" si="2"/>
        <v/>
      </c>
    </row>
    <row r="180" spans="2:10" x14ac:dyDescent="0.25">
      <c r="B180" s="30"/>
      <c r="C180" s="30"/>
      <c r="D180" s="30"/>
      <c r="E180" s="30"/>
      <c r="F180" s="30"/>
      <c r="G180" s="30"/>
      <c r="H180" s="30"/>
      <c r="I180" s="30"/>
      <c r="J180" s="10" t="str">
        <f t="shared" si="2"/>
        <v/>
      </c>
    </row>
    <row r="181" spans="2:10" x14ac:dyDescent="0.25">
      <c r="B181" s="30"/>
      <c r="C181" s="30"/>
      <c r="D181" s="30"/>
      <c r="E181" s="30"/>
      <c r="F181" s="30"/>
      <c r="G181" s="30"/>
      <c r="H181" s="30"/>
      <c r="I181" s="30"/>
      <c r="J181" s="10" t="str">
        <f t="shared" si="2"/>
        <v/>
      </c>
    </row>
    <row r="182" spans="2:10" x14ac:dyDescent="0.25">
      <c r="B182" s="30"/>
      <c r="C182" s="30"/>
      <c r="D182" s="30"/>
      <c r="E182" s="30"/>
      <c r="F182" s="30"/>
      <c r="G182" s="30"/>
      <c r="H182" s="30"/>
      <c r="I182" s="30"/>
      <c r="J182" s="10" t="str">
        <f t="shared" si="2"/>
        <v/>
      </c>
    </row>
    <row r="183" spans="2:10" x14ac:dyDescent="0.25">
      <c r="B183" s="30"/>
      <c r="C183" s="30"/>
      <c r="D183" s="30"/>
      <c r="E183" s="30"/>
      <c r="F183" s="30"/>
      <c r="G183" s="30"/>
      <c r="H183" s="30"/>
      <c r="I183" s="30"/>
      <c r="J183" s="10" t="str">
        <f t="shared" si="2"/>
        <v/>
      </c>
    </row>
    <row r="184" spans="2:10" x14ac:dyDescent="0.25">
      <c r="B184" s="30"/>
      <c r="C184" s="30"/>
      <c r="D184" s="30"/>
      <c r="E184" s="30"/>
      <c r="F184" s="30"/>
      <c r="G184" s="30"/>
      <c r="H184" s="30"/>
      <c r="I184" s="30"/>
      <c r="J184" s="10" t="str">
        <f t="shared" si="2"/>
        <v/>
      </c>
    </row>
    <row r="185" spans="2:10" x14ac:dyDescent="0.25">
      <c r="B185" s="30"/>
      <c r="C185" s="30"/>
      <c r="D185" s="30"/>
      <c r="E185" s="30"/>
      <c r="F185" s="30"/>
      <c r="G185" s="30"/>
      <c r="H185" s="30"/>
      <c r="I185" s="30"/>
      <c r="J185" s="10" t="str">
        <f t="shared" si="2"/>
        <v/>
      </c>
    </row>
    <row r="186" spans="2:10" x14ac:dyDescent="0.25">
      <c r="B186" s="30"/>
      <c r="C186" s="30"/>
      <c r="D186" s="30"/>
      <c r="E186" s="30"/>
      <c r="F186" s="30"/>
      <c r="G186" s="30"/>
      <c r="H186" s="30"/>
      <c r="I186" s="30"/>
      <c r="J186" s="10" t="str">
        <f t="shared" si="2"/>
        <v/>
      </c>
    </row>
    <row r="187" spans="2:10" x14ac:dyDescent="0.25">
      <c r="B187" s="30"/>
      <c r="C187" s="30"/>
      <c r="D187" s="30"/>
      <c r="E187" s="30"/>
      <c r="F187" s="30"/>
      <c r="G187" s="30"/>
      <c r="H187" s="30"/>
      <c r="I187" s="30"/>
      <c r="J187" s="10" t="str">
        <f t="shared" si="2"/>
        <v/>
      </c>
    </row>
    <row r="188" spans="2:10" x14ac:dyDescent="0.25">
      <c r="B188" s="30"/>
      <c r="C188" s="30"/>
      <c r="D188" s="30"/>
      <c r="E188" s="30"/>
      <c r="F188" s="30"/>
      <c r="G188" s="30"/>
      <c r="H188" s="30"/>
      <c r="I188" s="30"/>
      <c r="J188" s="10" t="str">
        <f t="shared" si="2"/>
        <v/>
      </c>
    </row>
    <row r="189" spans="2:10" x14ac:dyDescent="0.25">
      <c r="B189" s="30"/>
      <c r="C189" s="30"/>
      <c r="D189" s="30"/>
      <c r="E189" s="30"/>
      <c r="F189" s="30"/>
      <c r="G189" s="30"/>
      <c r="H189" s="30"/>
      <c r="I189" s="30"/>
      <c r="J189" s="10" t="str">
        <f t="shared" si="2"/>
        <v/>
      </c>
    </row>
    <row r="190" spans="2:10" x14ac:dyDescent="0.25">
      <c r="B190" s="30"/>
      <c r="C190" s="30"/>
      <c r="D190" s="30"/>
      <c r="E190" s="30"/>
      <c r="F190" s="30"/>
      <c r="G190" s="30"/>
      <c r="H190" s="30"/>
      <c r="I190" s="30"/>
      <c r="J190" s="10" t="str">
        <f t="shared" si="2"/>
        <v/>
      </c>
    </row>
    <row r="191" spans="2:10" x14ac:dyDescent="0.25">
      <c r="B191" s="30"/>
      <c r="C191" s="30"/>
      <c r="D191" s="30"/>
      <c r="E191" s="30"/>
      <c r="F191" s="30"/>
      <c r="G191" s="30"/>
      <c r="H191" s="30"/>
      <c r="I191" s="30"/>
      <c r="J191" s="10" t="str">
        <f t="shared" si="2"/>
        <v/>
      </c>
    </row>
    <row r="192" spans="2:10" x14ac:dyDescent="0.25">
      <c r="B192" s="30"/>
      <c r="C192" s="30"/>
      <c r="D192" s="30"/>
      <c r="E192" s="30"/>
      <c r="F192" s="30"/>
      <c r="G192" s="30"/>
      <c r="H192" s="30"/>
      <c r="I192" s="30"/>
      <c r="J192" s="10" t="str">
        <f t="shared" si="2"/>
        <v/>
      </c>
    </row>
    <row r="193" spans="2:10" x14ac:dyDescent="0.25">
      <c r="B193" s="30"/>
      <c r="C193" s="30"/>
      <c r="D193" s="30"/>
      <c r="E193" s="30"/>
      <c r="F193" s="30"/>
      <c r="G193" s="30"/>
      <c r="H193" s="30"/>
      <c r="I193" s="30"/>
      <c r="J193" s="10" t="str">
        <f t="shared" si="2"/>
        <v/>
      </c>
    </row>
    <row r="194" spans="2:10" x14ac:dyDescent="0.25">
      <c r="B194" s="30"/>
      <c r="C194" s="30"/>
      <c r="D194" s="30"/>
      <c r="E194" s="30"/>
      <c r="F194" s="30"/>
      <c r="G194" s="30"/>
      <c r="H194" s="30"/>
      <c r="I194" s="30"/>
      <c r="J194" s="10" t="str">
        <f t="shared" si="2"/>
        <v/>
      </c>
    </row>
    <row r="195" spans="2:10" x14ac:dyDescent="0.25">
      <c r="B195" s="30"/>
      <c r="C195" s="30"/>
      <c r="D195" s="30"/>
      <c r="E195" s="30"/>
      <c r="F195" s="30"/>
      <c r="G195" s="30"/>
      <c r="H195" s="30"/>
      <c r="I195" s="30"/>
      <c r="J195" s="10" t="str">
        <f t="shared" ref="J195:J258" si="3">IF(AND(D195="",B195=""),"",IF(D195="",B195,D195)&amp;" ("&amp;E195&amp;")")</f>
        <v/>
      </c>
    </row>
    <row r="196" spans="2:10" x14ac:dyDescent="0.25">
      <c r="B196" s="30"/>
      <c r="C196" s="30"/>
      <c r="D196" s="30"/>
      <c r="E196" s="30"/>
      <c r="F196" s="30"/>
      <c r="G196" s="30"/>
      <c r="H196" s="30"/>
      <c r="I196" s="30"/>
      <c r="J196" s="10" t="str">
        <f t="shared" si="3"/>
        <v/>
      </c>
    </row>
    <row r="197" spans="2:10" x14ac:dyDescent="0.25">
      <c r="B197" s="30"/>
      <c r="C197" s="30"/>
      <c r="D197" s="30"/>
      <c r="E197" s="30"/>
      <c r="F197" s="30"/>
      <c r="G197" s="30"/>
      <c r="H197" s="30"/>
      <c r="I197" s="30"/>
      <c r="J197" s="10" t="str">
        <f t="shared" si="3"/>
        <v/>
      </c>
    </row>
    <row r="198" spans="2:10" x14ac:dyDescent="0.25">
      <c r="B198" s="30"/>
      <c r="C198" s="30"/>
      <c r="D198" s="30"/>
      <c r="E198" s="30"/>
      <c r="F198" s="30"/>
      <c r="G198" s="30"/>
      <c r="H198" s="30"/>
      <c r="I198" s="30"/>
      <c r="J198" s="10" t="str">
        <f t="shared" si="3"/>
        <v/>
      </c>
    </row>
    <row r="199" spans="2:10" x14ac:dyDescent="0.25">
      <c r="B199" s="30"/>
      <c r="C199" s="30"/>
      <c r="D199" s="30"/>
      <c r="E199" s="30"/>
      <c r="F199" s="30"/>
      <c r="G199" s="30"/>
      <c r="H199" s="30"/>
      <c r="I199" s="30"/>
      <c r="J199" s="10" t="str">
        <f t="shared" si="3"/>
        <v/>
      </c>
    </row>
    <row r="200" spans="2:10" x14ac:dyDescent="0.25">
      <c r="B200" s="30"/>
      <c r="C200" s="30"/>
      <c r="D200" s="30"/>
      <c r="E200" s="30"/>
      <c r="F200" s="30"/>
      <c r="G200" s="30"/>
      <c r="H200" s="30"/>
      <c r="I200" s="30"/>
      <c r="J200" s="10" t="str">
        <f t="shared" si="3"/>
        <v/>
      </c>
    </row>
    <row r="201" spans="2:10" x14ac:dyDescent="0.25">
      <c r="B201" s="30"/>
      <c r="C201" s="30"/>
      <c r="D201" s="30"/>
      <c r="E201" s="30"/>
      <c r="F201" s="30"/>
      <c r="G201" s="30"/>
      <c r="H201" s="30"/>
      <c r="I201" s="30"/>
      <c r="J201" s="10" t="str">
        <f t="shared" si="3"/>
        <v/>
      </c>
    </row>
    <row r="202" spans="2:10" x14ac:dyDescent="0.25">
      <c r="B202" s="30"/>
      <c r="C202" s="30"/>
      <c r="D202" s="30"/>
      <c r="E202" s="30"/>
      <c r="F202" s="30"/>
      <c r="G202" s="30"/>
      <c r="H202" s="30"/>
      <c r="I202" s="30"/>
      <c r="J202" s="10" t="str">
        <f t="shared" si="3"/>
        <v/>
      </c>
    </row>
    <row r="203" spans="2:10" x14ac:dyDescent="0.25">
      <c r="B203" s="30"/>
      <c r="C203" s="30"/>
      <c r="D203" s="30"/>
      <c r="E203" s="30"/>
      <c r="F203" s="30"/>
      <c r="G203" s="30"/>
      <c r="H203" s="30"/>
      <c r="I203" s="30"/>
      <c r="J203" s="10" t="str">
        <f t="shared" si="3"/>
        <v/>
      </c>
    </row>
    <row r="204" spans="2:10" x14ac:dyDescent="0.25">
      <c r="B204" s="30"/>
      <c r="C204" s="30"/>
      <c r="D204" s="30"/>
      <c r="E204" s="30"/>
      <c r="F204" s="30"/>
      <c r="G204" s="30"/>
      <c r="H204" s="30"/>
      <c r="I204" s="30"/>
      <c r="J204" s="10" t="str">
        <f t="shared" si="3"/>
        <v/>
      </c>
    </row>
    <row r="205" spans="2:10" x14ac:dyDescent="0.25">
      <c r="B205" s="30"/>
      <c r="C205" s="30"/>
      <c r="D205" s="30"/>
      <c r="E205" s="30"/>
      <c r="F205" s="30"/>
      <c r="G205" s="30"/>
      <c r="H205" s="30"/>
      <c r="I205" s="30"/>
      <c r="J205" s="10" t="str">
        <f t="shared" si="3"/>
        <v/>
      </c>
    </row>
    <row r="206" spans="2:10" x14ac:dyDescent="0.25">
      <c r="B206" s="30"/>
      <c r="C206" s="30"/>
      <c r="D206" s="30"/>
      <c r="E206" s="30"/>
      <c r="F206" s="30"/>
      <c r="G206" s="30"/>
      <c r="H206" s="30"/>
      <c r="I206" s="30"/>
      <c r="J206" s="10" t="str">
        <f t="shared" si="3"/>
        <v/>
      </c>
    </row>
    <row r="207" spans="2:10" x14ac:dyDescent="0.25">
      <c r="B207" s="30"/>
      <c r="C207" s="30"/>
      <c r="D207" s="30"/>
      <c r="E207" s="30"/>
      <c r="F207" s="30"/>
      <c r="G207" s="30"/>
      <c r="H207" s="30"/>
      <c r="I207" s="30"/>
      <c r="J207" s="10" t="str">
        <f t="shared" si="3"/>
        <v/>
      </c>
    </row>
    <row r="208" spans="2:10" x14ac:dyDescent="0.25">
      <c r="B208" s="30"/>
      <c r="C208" s="30"/>
      <c r="D208" s="30"/>
      <c r="E208" s="30"/>
      <c r="F208" s="30"/>
      <c r="G208" s="30"/>
      <c r="H208" s="30"/>
      <c r="I208" s="30"/>
      <c r="J208" s="10" t="str">
        <f t="shared" si="3"/>
        <v/>
      </c>
    </row>
    <row r="209" spans="2:10" x14ac:dyDescent="0.25">
      <c r="B209" s="30"/>
      <c r="C209" s="30"/>
      <c r="D209" s="30"/>
      <c r="E209" s="30"/>
      <c r="F209" s="30"/>
      <c r="G209" s="30"/>
      <c r="H209" s="30"/>
      <c r="I209" s="30"/>
      <c r="J209" s="10" t="str">
        <f t="shared" si="3"/>
        <v/>
      </c>
    </row>
    <row r="210" spans="2:10" x14ac:dyDescent="0.25">
      <c r="B210" s="30"/>
      <c r="C210" s="30"/>
      <c r="D210" s="30"/>
      <c r="E210" s="30"/>
      <c r="F210" s="30"/>
      <c r="G210" s="30"/>
      <c r="H210" s="30"/>
      <c r="I210" s="30"/>
      <c r="J210" s="10" t="str">
        <f t="shared" si="3"/>
        <v/>
      </c>
    </row>
    <row r="211" spans="2:10" x14ac:dyDescent="0.25">
      <c r="B211" s="30"/>
      <c r="C211" s="30"/>
      <c r="D211" s="30"/>
      <c r="E211" s="30"/>
      <c r="F211" s="30"/>
      <c r="G211" s="30"/>
      <c r="H211" s="30"/>
      <c r="I211" s="30"/>
      <c r="J211" s="10" t="str">
        <f t="shared" si="3"/>
        <v/>
      </c>
    </row>
    <row r="212" spans="2:10" x14ac:dyDescent="0.25">
      <c r="B212" s="30"/>
      <c r="C212" s="30"/>
      <c r="D212" s="30"/>
      <c r="E212" s="30"/>
      <c r="F212" s="30"/>
      <c r="G212" s="30"/>
      <c r="H212" s="30"/>
      <c r="I212" s="30"/>
      <c r="J212" s="10" t="str">
        <f t="shared" si="3"/>
        <v/>
      </c>
    </row>
    <row r="213" spans="2:10" x14ac:dyDescent="0.25">
      <c r="B213" s="30"/>
      <c r="C213" s="30"/>
      <c r="D213" s="30"/>
      <c r="E213" s="30"/>
      <c r="F213" s="30"/>
      <c r="G213" s="30"/>
      <c r="H213" s="30"/>
      <c r="I213" s="30"/>
      <c r="J213" s="10" t="str">
        <f t="shared" si="3"/>
        <v/>
      </c>
    </row>
    <row r="214" spans="2:10" x14ac:dyDescent="0.25">
      <c r="B214" s="30"/>
      <c r="C214" s="30"/>
      <c r="D214" s="30"/>
      <c r="E214" s="30"/>
      <c r="F214" s="30"/>
      <c r="G214" s="30"/>
      <c r="H214" s="30"/>
      <c r="I214" s="30"/>
      <c r="J214" s="10" t="str">
        <f t="shared" si="3"/>
        <v/>
      </c>
    </row>
    <row r="215" spans="2:10" x14ac:dyDescent="0.25">
      <c r="B215" s="30"/>
      <c r="C215" s="30"/>
      <c r="D215" s="30"/>
      <c r="E215" s="30"/>
      <c r="F215" s="30"/>
      <c r="G215" s="30"/>
      <c r="H215" s="30"/>
      <c r="I215" s="30"/>
      <c r="J215" s="10" t="str">
        <f t="shared" si="3"/>
        <v/>
      </c>
    </row>
    <row r="216" spans="2:10" x14ac:dyDescent="0.25">
      <c r="B216" s="30"/>
      <c r="C216" s="30"/>
      <c r="D216" s="30"/>
      <c r="E216" s="30"/>
      <c r="F216" s="30"/>
      <c r="G216" s="30"/>
      <c r="H216" s="30"/>
      <c r="I216" s="30"/>
      <c r="J216" s="10" t="str">
        <f t="shared" si="3"/>
        <v/>
      </c>
    </row>
    <row r="217" spans="2:10" x14ac:dyDescent="0.25">
      <c r="B217" s="30"/>
      <c r="C217" s="30"/>
      <c r="D217" s="30"/>
      <c r="E217" s="30"/>
      <c r="F217" s="30"/>
      <c r="G217" s="30"/>
      <c r="H217" s="30"/>
      <c r="I217" s="30"/>
      <c r="J217" s="10" t="str">
        <f t="shared" si="3"/>
        <v/>
      </c>
    </row>
    <row r="218" spans="2:10" x14ac:dyDescent="0.25">
      <c r="B218" s="30"/>
      <c r="C218" s="30"/>
      <c r="D218" s="30"/>
      <c r="E218" s="30"/>
      <c r="F218" s="30"/>
      <c r="G218" s="30"/>
      <c r="H218" s="30"/>
      <c r="I218" s="30"/>
      <c r="J218" s="10" t="str">
        <f t="shared" si="3"/>
        <v/>
      </c>
    </row>
    <row r="219" spans="2:10" x14ac:dyDescent="0.25">
      <c r="B219" s="30"/>
      <c r="C219" s="30"/>
      <c r="D219" s="30"/>
      <c r="E219" s="30"/>
      <c r="F219" s="30"/>
      <c r="G219" s="30"/>
      <c r="H219" s="30"/>
      <c r="I219" s="30"/>
      <c r="J219" s="10" t="str">
        <f t="shared" si="3"/>
        <v/>
      </c>
    </row>
    <row r="220" spans="2:10" x14ac:dyDescent="0.25">
      <c r="B220" s="30"/>
      <c r="C220" s="30"/>
      <c r="D220" s="30"/>
      <c r="E220" s="30"/>
      <c r="F220" s="30"/>
      <c r="G220" s="30"/>
      <c r="H220" s="30"/>
      <c r="I220" s="30"/>
      <c r="J220" s="10" t="str">
        <f t="shared" si="3"/>
        <v/>
      </c>
    </row>
    <row r="221" spans="2:10" x14ac:dyDescent="0.25">
      <c r="B221" s="30"/>
      <c r="C221" s="30"/>
      <c r="D221" s="30"/>
      <c r="E221" s="30"/>
      <c r="F221" s="30"/>
      <c r="G221" s="30"/>
      <c r="H221" s="30"/>
      <c r="I221" s="30"/>
      <c r="J221" s="10" t="str">
        <f t="shared" si="3"/>
        <v/>
      </c>
    </row>
    <row r="222" spans="2:10" x14ac:dyDescent="0.25">
      <c r="B222" s="30"/>
      <c r="C222" s="30"/>
      <c r="D222" s="30"/>
      <c r="E222" s="30"/>
      <c r="F222" s="30"/>
      <c r="G222" s="30"/>
      <c r="H222" s="30"/>
      <c r="I222" s="30"/>
      <c r="J222" s="10" t="str">
        <f t="shared" si="3"/>
        <v/>
      </c>
    </row>
    <row r="223" spans="2:10" x14ac:dyDescent="0.25">
      <c r="B223" s="30"/>
      <c r="C223" s="30"/>
      <c r="D223" s="30"/>
      <c r="E223" s="30"/>
      <c r="F223" s="30"/>
      <c r="G223" s="30"/>
      <c r="H223" s="30"/>
      <c r="I223" s="30"/>
      <c r="J223" s="10" t="str">
        <f t="shared" si="3"/>
        <v/>
      </c>
    </row>
    <row r="224" spans="2:10" x14ac:dyDescent="0.25">
      <c r="B224" s="30"/>
      <c r="C224" s="30"/>
      <c r="D224" s="30"/>
      <c r="E224" s="30"/>
      <c r="F224" s="30"/>
      <c r="G224" s="30"/>
      <c r="H224" s="30"/>
      <c r="I224" s="30"/>
      <c r="J224" s="10" t="str">
        <f t="shared" si="3"/>
        <v/>
      </c>
    </row>
    <row r="225" spans="2:10" x14ac:dyDescent="0.25">
      <c r="B225" s="30"/>
      <c r="C225" s="30"/>
      <c r="D225" s="30"/>
      <c r="E225" s="30"/>
      <c r="F225" s="30"/>
      <c r="G225" s="30"/>
      <c r="H225" s="30"/>
      <c r="I225" s="30"/>
      <c r="J225" s="10" t="str">
        <f t="shared" si="3"/>
        <v/>
      </c>
    </row>
    <row r="226" spans="2:10" x14ac:dyDescent="0.25">
      <c r="B226" s="30"/>
      <c r="C226" s="30"/>
      <c r="D226" s="30"/>
      <c r="E226" s="30"/>
      <c r="F226" s="30"/>
      <c r="G226" s="30"/>
      <c r="H226" s="30"/>
      <c r="I226" s="30"/>
      <c r="J226" s="10" t="str">
        <f t="shared" si="3"/>
        <v/>
      </c>
    </row>
    <row r="227" spans="2:10" x14ac:dyDescent="0.25">
      <c r="B227" s="30"/>
      <c r="C227" s="30"/>
      <c r="D227" s="30"/>
      <c r="E227" s="30"/>
      <c r="F227" s="30"/>
      <c r="G227" s="30"/>
      <c r="H227" s="30"/>
      <c r="I227" s="30"/>
      <c r="J227" s="10" t="str">
        <f t="shared" si="3"/>
        <v/>
      </c>
    </row>
    <row r="228" spans="2:10" x14ac:dyDescent="0.25">
      <c r="B228" s="30"/>
      <c r="C228" s="30"/>
      <c r="D228" s="30"/>
      <c r="E228" s="30"/>
      <c r="F228" s="30"/>
      <c r="G228" s="30"/>
      <c r="H228" s="30"/>
      <c r="I228" s="30"/>
      <c r="J228" s="10" t="str">
        <f t="shared" si="3"/>
        <v/>
      </c>
    </row>
    <row r="229" spans="2:10" x14ac:dyDescent="0.25">
      <c r="B229" s="30"/>
      <c r="C229" s="30"/>
      <c r="D229" s="30"/>
      <c r="E229" s="30"/>
      <c r="F229" s="30"/>
      <c r="G229" s="30"/>
      <c r="H229" s="30"/>
      <c r="I229" s="30"/>
      <c r="J229" s="10" t="str">
        <f t="shared" si="3"/>
        <v/>
      </c>
    </row>
    <row r="230" spans="2:10" x14ac:dyDescent="0.25">
      <c r="B230" s="30"/>
      <c r="C230" s="30"/>
      <c r="D230" s="30"/>
      <c r="E230" s="30"/>
      <c r="F230" s="30"/>
      <c r="G230" s="30"/>
      <c r="H230" s="30"/>
      <c r="I230" s="30"/>
      <c r="J230" s="10" t="str">
        <f t="shared" si="3"/>
        <v/>
      </c>
    </row>
    <row r="231" spans="2:10" x14ac:dyDescent="0.25">
      <c r="B231" s="30"/>
      <c r="C231" s="30"/>
      <c r="D231" s="30"/>
      <c r="E231" s="30"/>
      <c r="F231" s="30"/>
      <c r="G231" s="30"/>
      <c r="H231" s="30"/>
      <c r="I231" s="30"/>
      <c r="J231" s="10" t="str">
        <f t="shared" si="3"/>
        <v/>
      </c>
    </row>
    <row r="232" spans="2:10" x14ac:dyDescent="0.25">
      <c r="B232" s="30"/>
      <c r="C232" s="30"/>
      <c r="D232" s="30"/>
      <c r="E232" s="30"/>
      <c r="F232" s="30"/>
      <c r="G232" s="30"/>
      <c r="H232" s="30"/>
      <c r="I232" s="30"/>
      <c r="J232" s="10" t="str">
        <f t="shared" si="3"/>
        <v/>
      </c>
    </row>
    <row r="233" spans="2:10" x14ac:dyDescent="0.25">
      <c r="B233" s="30"/>
      <c r="C233" s="30"/>
      <c r="D233" s="30"/>
      <c r="E233" s="30"/>
      <c r="F233" s="30"/>
      <c r="G233" s="30"/>
      <c r="H233" s="30"/>
      <c r="I233" s="30"/>
      <c r="J233" s="10" t="str">
        <f t="shared" si="3"/>
        <v/>
      </c>
    </row>
    <row r="234" spans="2:10" x14ac:dyDescent="0.25">
      <c r="B234" s="30"/>
      <c r="C234" s="30"/>
      <c r="D234" s="30"/>
      <c r="E234" s="30"/>
      <c r="F234" s="30"/>
      <c r="G234" s="30"/>
      <c r="H234" s="30"/>
      <c r="I234" s="30"/>
      <c r="J234" s="10" t="str">
        <f t="shared" si="3"/>
        <v/>
      </c>
    </row>
    <row r="235" spans="2:10" x14ac:dyDescent="0.25">
      <c r="B235" s="30"/>
      <c r="C235" s="30"/>
      <c r="D235" s="30"/>
      <c r="E235" s="30"/>
      <c r="F235" s="30"/>
      <c r="G235" s="30"/>
      <c r="H235" s="30"/>
      <c r="I235" s="30"/>
      <c r="J235" s="10" t="str">
        <f t="shared" si="3"/>
        <v/>
      </c>
    </row>
    <row r="236" spans="2:10" x14ac:dyDescent="0.25">
      <c r="B236" s="30"/>
      <c r="C236" s="30"/>
      <c r="D236" s="30"/>
      <c r="E236" s="30"/>
      <c r="F236" s="30"/>
      <c r="G236" s="30"/>
      <c r="H236" s="30"/>
      <c r="I236" s="30"/>
      <c r="J236" s="10" t="str">
        <f t="shared" si="3"/>
        <v/>
      </c>
    </row>
    <row r="237" spans="2:10" x14ac:dyDescent="0.25">
      <c r="B237" s="30"/>
      <c r="C237" s="30"/>
      <c r="D237" s="30"/>
      <c r="E237" s="30"/>
      <c r="F237" s="30"/>
      <c r="G237" s="30"/>
      <c r="H237" s="30"/>
      <c r="I237" s="30"/>
      <c r="J237" s="10" t="str">
        <f t="shared" si="3"/>
        <v/>
      </c>
    </row>
    <row r="238" spans="2:10" x14ac:dyDescent="0.25">
      <c r="B238" s="30"/>
      <c r="C238" s="30"/>
      <c r="D238" s="30"/>
      <c r="E238" s="30"/>
      <c r="F238" s="30"/>
      <c r="G238" s="30"/>
      <c r="H238" s="30"/>
      <c r="I238" s="30"/>
      <c r="J238" s="10" t="str">
        <f t="shared" si="3"/>
        <v/>
      </c>
    </row>
    <row r="239" spans="2:10" x14ac:dyDescent="0.25">
      <c r="B239" s="30"/>
      <c r="C239" s="30"/>
      <c r="D239" s="30"/>
      <c r="E239" s="30"/>
      <c r="F239" s="30"/>
      <c r="G239" s="30"/>
      <c r="H239" s="30"/>
      <c r="I239" s="30"/>
      <c r="J239" s="10" t="str">
        <f t="shared" si="3"/>
        <v/>
      </c>
    </row>
    <row r="240" spans="2:10" x14ac:dyDescent="0.25">
      <c r="B240" s="30"/>
      <c r="C240" s="30"/>
      <c r="D240" s="30"/>
      <c r="E240" s="30"/>
      <c r="F240" s="30"/>
      <c r="G240" s="30"/>
      <c r="H240" s="30"/>
      <c r="I240" s="30"/>
      <c r="J240" s="10" t="str">
        <f t="shared" si="3"/>
        <v/>
      </c>
    </row>
    <row r="241" spans="2:10" x14ac:dyDescent="0.25">
      <c r="B241" s="30"/>
      <c r="C241" s="30"/>
      <c r="D241" s="30"/>
      <c r="E241" s="30"/>
      <c r="F241" s="30"/>
      <c r="G241" s="30"/>
      <c r="H241" s="30"/>
      <c r="I241" s="30"/>
      <c r="J241" s="10" t="str">
        <f t="shared" si="3"/>
        <v/>
      </c>
    </row>
    <row r="242" spans="2:10" x14ac:dyDescent="0.25">
      <c r="B242" s="30"/>
      <c r="C242" s="30"/>
      <c r="D242" s="30"/>
      <c r="E242" s="30"/>
      <c r="F242" s="30"/>
      <c r="G242" s="30"/>
      <c r="H242" s="30"/>
      <c r="I242" s="30"/>
      <c r="J242" s="10" t="str">
        <f t="shared" si="3"/>
        <v/>
      </c>
    </row>
    <row r="243" spans="2:10" x14ac:dyDescent="0.25">
      <c r="B243" s="30"/>
      <c r="C243" s="30"/>
      <c r="D243" s="30"/>
      <c r="E243" s="30"/>
      <c r="F243" s="30"/>
      <c r="G243" s="30"/>
      <c r="H243" s="30"/>
      <c r="I243" s="30"/>
      <c r="J243" s="10" t="str">
        <f t="shared" si="3"/>
        <v/>
      </c>
    </row>
    <row r="244" spans="2:10" x14ac:dyDescent="0.25">
      <c r="B244" s="30"/>
      <c r="C244" s="30"/>
      <c r="D244" s="30"/>
      <c r="E244" s="30"/>
      <c r="F244" s="30"/>
      <c r="G244" s="30"/>
      <c r="H244" s="30"/>
      <c r="I244" s="30"/>
      <c r="J244" s="10" t="str">
        <f t="shared" si="3"/>
        <v/>
      </c>
    </row>
    <row r="245" spans="2:10" x14ac:dyDescent="0.25">
      <c r="B245" s="30"/>
      <c r="C245" s="30"/>
      <c r="D245" s="30"/>
      <c r="E245" s="30"/>
      <c r="F245" s="30"/>
      <c r="G245" s="30"/>
      <c r="H245" s="30"/>
      <c r="I245" s="30"/>
      <c r="J245" s="10" t="str">
        <f t="shared" si="3"/>
        <v/>
      </c>
    </row>
    <row r="246" spans="2:10" x14ac:dyDescent="0.25">
      <c r="B246" s="30"/>
      <c r="C246" s="30"/>
      <c r="D246" s="30"/>
      <c r="E246" s="30"/>
      <c r="F246" s="30"/>
      <c r="G246" s="30"/>
      <c r="H246" s="30"/>
      <c r="I246" s="30"/>
      <c r="J246" s="10" t="str">
        <f t="shared" si="3"/>
        <v/>
      </c>
    </row>
    <row r="247" spans="2:10" x14ac:dyDescent="0.25">
      <c r="B247" s="30"/>
      <c r="C247" s="30"/>
      <c r="D247" s="30"/>
      <c r="E247" s="30"/>
      <c r="F247" s="30"/>
      <c r="G247" s="30"/>
      <c r="H247" s="30"/>
      <c r="I247" s="30"/>
      <c r="J247" s="10" t="str">
        <f t="shared" si="3"/>
        <v/>
      </c>
    </row>
    <row r="248" spans="2:10" x14ac:dyDescent="0.25">
      <c r="B248" s="30"/>
      <c r="C248" s="30"/>
      <c r="D248" s="30"/>
      <c r="E248" s="30"/>
      <c r="F248" s="30"/>
      <c r="G248" s="30"/>
      <c r="H248" s="30"/>
      <c r="I248" s="30"/>
      <c r="J248" s="10" t="str">
        <f t="shared" si="3"/>
        <v/>
      </c>
    </row>
    <row r="249" spans="2:10" x14ac:dyDescent="0.25">
      <c r="B249" s="30"/>
      <c r="C249" s="30"/>
      <c r="D249" s="30"/>
      <c r="E249" s="30"/>
      <c r="F249" s="30"/>
      <c r="G249" s="30"/>
      <c r="H249" s="30"/>
      <c r="I249" s="30"/>
      <c r="J249" s="10" t="str">
        <f t="shared" si="3"/>
        <v/>
      </c>
    </row>
    <row r="250" spans="2:10" x14ac:dyDescent="0.25">
      <c r="B250" s="30"/>
      <c r="C250" s="30"/>
      <c r="D250" s="30"/>
      <c r="E250" s="30"/>
      <c r="F250" s="30"/>
      <c r="G250" s="30"/>
      <c r="H250" s="30"/>
      <c r="I250" s="30"/>
      <c r="J250" s="10" t="str">
        <f t="shared" si="3"/>
        <v/>
      </c>
    </row>
    <row r="251" spans="2:10" x14ac:dyDescent="0.25">
      <c r="B251" s="30"/>
      <c r="C251" s="30"/>
      <c r="D251" s="30"/>
      <c r="E251" s="30"/>
      <c r="F251" s="30"/>
      <c r="G251" s="30"/>
      <c r="H251" s="30"/>
      <c r="I251" s="30"/>
      <c r="J251" s="10" t="str">
        <f t="shared" si="3"/>
        <v/>
      </c>
    </row>
    <row r="252" spans="2:10" x14ac:dyDescent="0.25">
      <c r="B252" s="30"/>
      <c r="C252" s="30"/>
      <c r="D252" s="30"/>
      <c r="E252" s="30"/>
      <c r="F252" s="30"/>
      <c r="G252" s="30"/>
      <c r="H252" s="30"/>
      <c r="I252" s="30"/>
      <c r="J252" s="10" t="str">
        <f t="shared" si="3"/>
        <v/>
      </c>
    </row>
    <row r="253" spans="2:10" x14ac:dyDescent="0.25">
      <c r="B253" s="30"/>
      <c r="C253" s="30"/>
      <c r="D253" s="30"/>
      <c r="E253" s="30"/>
      <c r="F253" s="30"/>
      <c r="G253" s="30"/>
      <c r="H253" s="30"/>
      <c r="I253" s="30"/>
      <c r="J253" s="10" t="str">
        <f t="shared" si="3"/>
        <v/>
      </c>
    </row>
    <row r="254" spans="2:10" x14ac:dyDescent="0.25">
      <c r="B254" s="30"/>
      <c r="C254" s="30"/>
      <c r="D254" s="30"/>
      <c r="E254" s="30"/>
      <c r="F254" s="30"/>
      <c r="G254" s="30"/>
      <c r="H254" s="30"/>
      <c r="I254" s="30"/>
      <c r="J254" s="10" t="str">
        <f t="shared" si="3"/>
        <v/>
      </c>
    </row>
    <row r="255" spans="2:10" x14ac:dyDescent="0.25">
      <c r="B255" s="30"/>
      <c r="C255" s="30"/>
      <c r="D255" s="30"/>
      <c r="E255" s="30"/>
      <c r="F255" s="30"/>
      <c r="G255" s="30"/>
      <c r="H255" s="30"/>
      <c r="I255" s="30"/>
      <c r="J255" s="10" t="str">
        <f t="shared" si="3"/>
        <v/>
      </c>
    </row>
    <row r="256" spans="2:10" x14ac:dyDescent="0.25">
      <c r="B256" s="30"/>
      <c r="C256" s="30"/>
      <c r="D256" s="30"/>
      <c r="E256" s="30"/>
      <c r="F256" s="30"/>
      <c r="G256" s="30"/>
      <c r="H256" s="30"/>
      <c r="I256" s="30"/>
      <c r="J256" s="10" t="str">
        <f t="shared" si="3"/>
        <v/>
      </c>
    </row>
    <row r="257" spans="2:10" x14ac:dyDescent="0.25">
      <c r="B257" s="30"/>
      <c r="C257" s="30"/>
      <c r="D257" s="30"/>
      <c r="E257" s="30"/>
      <c r="F257" s="30"/>
      <c r="G257" s="30"/>
      <c r="H257" s="30"/>
      <c r="I257" s="30"/>
      <c r="J257" s="10" t="str">
        <f t="shared" si="3"/>
        <v/>
      </c>
    </row>
    <row r="258" spans="2:10" x14ac:dyDescent="0.25">
      <c r="B258" s="30"/>
      <c r="C258" s="30"/>
      <c r="D258" s="30"/>
      <c r="E258" s="30"/>
      <c r="F258" s="30"/>
      <c r="G258" s="30"/>
      <c r="H258" s="30"/>
      <c r="I258" s="30"/>
      <c r="J258" s="10" t="str">
        <f t="shared" si="3"/>
        <v/>
      </c>
    </row>
    <row r="259" spans="2:10" x14ac:dyDescent="0.25">
      <c r="B259" s="30"/>
      <c r="C259" s="30"/>
      <c r="D259" s="30"/>
      <c r="E259" s="30"/>
      <c r="F259" s="30"/>
      <c r="G259" s="30"/>
      <c r="H259" s="30"/>
      <c r="I259" s="30"/>
      <c r="J259" s="10" t="str">
        <f t="shared" ref="J259:J322" si="4">IF(AND(D259="",B259=""),"",IF(D259="",B259,D259)&amp;" ("&amp;E259&amp;")")</f>
        <v/>
      </c>
    </row>
    <row r="260" spans="2:10" x14ac:dyDescent="0.25">
      <c r="B260" s="30"/>
      <c r="C260" s="30"/>
      <c r="D260" s="30"/>
      <c r="E260" s="30"/>
      <c r="F260" s="30"/>
      <c r="G260" s="30"/>
      <c r="H260" s="30"/>
      <c r="I260" s="30"/>
      <c r="J260" s="10" t="str">
        <f t="shared" si="4"/>
        <v/>
      </c>
    </row>
    <row r="261" spans="2:10" x14ac:dyDescent="0.25">
      <c r="B261" s="30"/>
      <c r="C261" s="30"/>
      <c r="D261" s="30"/>
      <c r="E261" s="30"/>
      <c r="F261" s="30"/>
      <c r="G261" s="30"/>
      <c r="H261" s="30"/>
      <c r="I261" s="30"/>
      <c r="J261" s="10" t="str">
        <f t="shared" si="4"/>
        <v/>
      </c>
    </row>
    <row r="262" spans="2:10" x14ac:dyDescent="0.25">
      <c r="B262" s="30"/>
      <c r="C262" s="30"/>
      <c r="D262" s="30"/>
      <c r="E262" s="30"/>
      <c r="F262" s="30"/>
      <c r="G262" s="30"/>
      <c r="H262" s="30"/>
      <c r="I262" s="30"/>
      <c r="J262" s="10" t="str">
        <f t="shared" si="4"/>
        <v/>
      </c>
    </row>
    <row r="263" spans="2:10" x14ac:dyDescent="0.25">
      <c r="B263" s="30"/>
      <c r="C263" s="30"/>
      <c r="D263" s="30"/>
      <c r="E263" s="30"/>
      <c r="F263" s="30"/>
      <c r="G263" s="30"/>
      <c r="H263" s="30"/>
      <c r="I263" s="30"/>
      <c r="J263" s="10" t="str">
        <f t="shared" si="4"/>
        <v/>
      </c>
    </row>
    <row r="264" spans="2:10" x14ac:dyDescent="0.25">
      <c r="B264" s="30"/>
      <c r="C264" s="30"/>
      <c r="D264" s="30"/>
      <c r="E264" s="30"/>
      <c r="F264" s="30"/>
      <c r="G264" s="30"/>
      <c r="H264" s="30"/>
      <c r="I264" s="30"/>
      <c r="J264" s="10" t="str">
        <f t="shared" si="4"/>
        <v/>
      </c>
    </row>
    <row r="265" spans="2:10" x14ac:dyDescent="0.25">
      <c r="B265" s="30"/>
      <c r="C265" s="30"/>
      <c r="D265" s="30"/>
      <c r="E265" s="30"/>
      <c r="F265" s="30"/>
      <c r="G265" s="30"/>
      <c r="H265" s="30"/>
      <c r="I265" s="30"/>
      <c r="J265" s="10" t="str">
        <f t="shared" si="4"/>
        <v/>
      </c>
    </row>
    <row r="266" spans="2:10" x14ac:dyDescent="0.25">
      <c r="B266" s="30"/>
      <c r="C266" s="30"/>
      <c r="D266" s="30"/>
      <c r="E266" s="30"/>
      <c r="F266" s="30"/>
      <c r="G266" s="30"/>
      <c r="H266" s="30"/>
      <c r="I266" s="30"/>
      <c r="J266" s="10" t="str">
        <f t="shared" si="4"/>
        <v/>
      </c>
    </row>
    <row r="267" spans="2:10" x14ac:dyDescent="0.25">
      <c r="B267" s="30"/>
      <c r="C267" s="30"/>
      <c r="D267" s="30"/>
      <c r="E267" s="30"/>
      <c r="F267" s="30"/>
      <c r="G267" s="30"/>
      <c r="H267" s="30"/>
      <c r="I267" s="30"/>
      <c r="J267" s="10" t="str">
        <f t="shared" si="4"/>
        <v/>
      </c>
    </row>
    <row r="268" spans="2:10" x14ac:dyDescent="0.25">
      <c r="B268" s="30"/>
      <c r="C268" s="30"/>
      <c r="D268" s="30"/>
      <c r="E268" s="30"/>
      <c r="F268" s="30"/>
      <c r="G268" s="30"/>
      <c r="H268" s="30"/>
      <c r="I268" s="30"/>
      <c r="J268" s="10" t="str">
        <f t="shared" si="4"/>
        <v/>
      </c>
    </row>
    <row r="269" spans="2:10" x14ac:dyDescent="0.25">
      <c r="B269" s="30"/>
      <c r="C269" s="30"/>
      <c r="D269" s="30"/>
      <c r="E269" s="30"/>
      <c r="F269" s="30"/>
      <c r="G269" s="30"/>
      <c r="H269" s="30"/>
      <c r="I269" s="30"/>
      <c r="J269" s="10" t="str">
        <f t="shared" si="4"/>
        <v/>
      </c>
    </row>
    <row r="270" spans="2:10" x14ac:dyDescent="0.25">
      <c r="B270" s="30"/>
      <c r="C270" s="30"/>
      <c r="D270" s="30"/>
      <c r="E270" s="30"/>
      <c r="F270" s="30"/>
      <c r="G270" s="30"/>
      <c r="H270" s="30"/>
      <c r="I270" s="30"/>
      <c r="J270" s="10" t="str">
        <f t="shared" si="4"/>
        <v/>
      </c>
    </row>
    <row r="271" spans="2:10" x14ac:dyDescent="0.25">
      <c r="B271" s="30"/>
      <c r="C271" s="30"/>
      <c r="D271" s="30"/>
      <c r="E271" s="30"/>
      <c r="F271" s="30"/>
      <c r="G271" s="30"/>
      <c r="H271" s="30"/>
      <c r="I271" s="30"/>
      <c r="J271" s="10" t="str">
        <f t="shared" si="4"/>
        <v/>
      </c>
    </row>
    <row r="272" spans="2:10" x14ac:dyDescent="0.25">
      <c r="B272" s="30"/>
      <c r="C272" s="30"/>
      <c r="D272" s="30"/>
      <c r="E272" s="30"/>
      <c r="F272" s="30"/>
      <c r="G272" s="30"/>
      <c r="H272" s="30"/>
      <c r="I272" s="30"/>
      <c r="J272" s="10" t="str">
        <f t="shared" si="4"/>
        <v/>
      </c>
    </row>
    <row r="273" spans="2:10" x14ac:dyDescent="0.25">
      <c r="B273" s="30"/>
      <c r="C273" s="30"/>
      <c r="D273" s="30"/>
      <c r="E273" s="30"/>
      <c r="F273" s="30"/>
      <c r="G273" s="30"/>
      <c r="H273" s="30"/>
      <c r="I273" s="30"/>
      <c r="J273" s="10" t="str">
        <f t="shared" si="4"/>
        <v/>
      </c>
    </row>
    <row r="274" spans="2:10" x14ac:dyDescent="0.25">
      <c r="B274" s="30"/>
      <c r="C274" s="30"/>
      <c r="D274" s="30"/>
      <c r="E274" s="30"/>
      <c r="F274" s="30"/>
      <c r="G274" s="30"/>
      <c r="H274" s="30"/>
      <c r="I274" s="30"/>
      <c r="J274" s="10" t="str">
        <f t="shared" si="4"/>
        <v/>
      </c>
    </row>
    <row r="275" spans="2:10" x14ac:dyDescent="0.25">
      <c r="B275" s="30"/>
      <c r="C275" s="30"/>
      <c r="D275" s="30"/>
      <c r="E275" s="30"/>
      <c r="F275" s="30"/>
      <c r="G275" s="30"/>
      <c r="H275" s="30"/>
      <c r="I275" s="30"/>
      <c r="J275" s="10" t="str">
        <f t="shared" si="4"/>
        <v/>
      </c>
    </row>
    <row r="276" spans="2:10" x14ac:dyDescent="0.25">
      <c r="B276" s="30"/>
      <c r="C276" s="30"/>
      <c r="D276" s="30"/>
      <c r="E276" s="30"/>
      <c r="F276" s="30"/>
      <c r="G276" s="30"/>
      <c r="H276" s="30"/>
      <c r="I276" s="30"/>
      <c r="J276" s="10" t="str">
        <f t="shared" si="4"/>
        <v/>
      </c>
    </row>
    <row r="277" spans="2:10" x14ac:dyDescent="0.25">
      <c r="B277" s="30"/>
      <c r="C277" s="30"/>
      <c r="D277" s="30"/>
      <c r="E277" s="30"/>
      <c r="F277" s="30"/>
      <c r="G277" s="30"/>
      <c r="H277" s="30"/>
      <c r="I277" s="30"/>
      <c r="J277" s="10" t="str">
        <f t="shared" si="4"/>
        <v/>
      </c>
    </row>
    <row r="278" spans="2:10" x14ac:dyDescent="0.25">
      <c r="B278" s="30"/>
      <c r="C278" s="30"/>
      <c r="D278" s="30"/>
      <c r="E278" s="30"/>
      <c r="F278" s="30"/>
      <c r="G278" s="30"/>
      <c r="H278" s="30"/>
      <c r="I278" s="30"/>
      <c r="J278" s="10" t="str">
        <f t="shared" si="4"/>
        <v/>
      </c>
    </row>
    <row r="279" spans="2:10" x14ac:dyDescent="0.25">
      <c r="B279" s="30"/>
      <c r="C279" s="30"/>
      <c r="D279" s="30"/>
      <c r="E279" s="30"/>
      <c r="F279" s="30"/>
      <c r="G279" s="30"/>
      <c r="H279" s="30"/>
      <c r="I279" s="30"/>
      <c r="J279" s="10" t="str">
        <f t="shared" si="4"/>
        <v/>
      </c>
    </row>
    <row r="280" spans="2:10" x14ac:dyDescent="0.25">
      <c r="B280" s="30"/>
      <c r="C280" s="30"/>
      <c r="D280" s="30"/>
      <c r="E280" s="30"/>
      <c r="F280" s="30"/>
      <c r="G280" s="30"/>
      <c r="H280" s="30"/>
      <c r="I280" s="30"/>
      <c r="J280" s="10" t="str">
        <f t="shared" si="4"/>
        <v/>
      </c>
    </row>
    <row r="281" spans="2:10" x14ac:dyDescent="0.25">
      <c r="B281" s="30"/>
      <c r="C281" s="30"/>
      <c r="D281" s="30"/>
      <c r="E281" s="30"/>
      <c r="F281" s="30"/>
      <c r="G281" s="30"/>
      <c r="H281" s="30"/>
      <c r="I281" s="30"/>
      <c r="J281" s="10" t="str">
        <f t="shared" si="4"/>
        <v/>
      </c>
    </row>
    <row r="282" spans="2:10" x14ac:dyDescent="0.25">
      <c r="B282" s="30"/>
      <c r="C282" s="30"/>
      <c r="D282" s="30"/>
      <c r="E282" s="30"/>
      <c r="F282" s="30"/>
      <c r="G282" s="30"/>
      <c r="H282" s="30"/>
      <c r="I282" s="30"/>
      <c r="J282" s="10" t="str">
        <f t="shared" si="4"/>
        <v/>
      </c>
    </row>
    <row r="283" spans="2:10" x14ac:dyDescent="0.25">
      <c r="B283" s="30"/>
      <c r="C283" s="30"/>
      <c r="D283" s="30"/>
      <c r="E283" s="30"/>
      <c r="F283" s="30"/>
      <c r="G283" s="30"/>
      <c r="H283" s="30"/>
      <c r="I283" s="30"/>
      <c r="J283" s="10" t="str">
        <f t="shared" si="4"/>
        <v/>
      </c>
    </row>
    <row r="284" spans="2:10" x14ac:dyDescent="0.25">
      <c r="B284" s="30"/>
      <c r="C284" s="30"/>
      <c r="D284" s="30"/>
      <c r="E284" s="30"/>
      <c r="F284" s="30"/>
      <c r="G284" s="30"/>
      <c r="H284" s="30"/>
      <c r="I284" s="30"/>
      <c r="J284" s="10" t="str">
        <f t="shared" si="4"/>
        <v/>
      </c>
    </row>
    <row r="285" spans="2:10" x14ac:dyDescent="0.25">
      <c r="B285" s="30"/>
      <c r="C285" s="30"/>
      <c r="D285" s="30"/>
      <c r="E285" s="30"/>
      <c r="F285" s="30"/>
      <c r="G285" s="30"/>
      <c r="H285" s="30"/>
      <c r="I285" s="30"/>
      <c r="J285" s="10" t="str">
        <f t="shared" si="4"/>
        <v/>
      </c>
    </row>
    <row r="286" spans="2:10" x14ac:dyDescent="0.25">
      <c r="B286" s="30"/>
      <c r="C286" s="30"/>
      <c r="D286" s="30"/>
      <c r="E286" s="30"/>
      <c r="F286" s="30"/>
      <c r="G286" s="30"/>
      <c r="H286" s="30"/>
      <c r="I286" s="30"/>
      <c r="J286" s="10" t="str">
        <f t="shared" si="4"/>
        <v/>
      </c>
    </row>
    <row r="287" spans="2:10" x14ac:dyDescent="0.25">
      <c r="B287" s="30"/>
      <c r="C287" s="30"/>
      <c r="D287" s="30"/>
      <c r="E287" s="30"/>
      <c r="F287" s="30"/>
      <c r="G287" s="30"/>
      <c r="H287" s="30"/>
      <c r="I287" s="30"/>
      <c r="J287" s="10" t="str">
        <f t="shared" si="4"/>
        <v/>
      </c>
    </row>
    <row r="288" spans="2:10" x14ac:dyDescent="0.25">
      <c r="B288" s="30"/>
      <c r="C288" s="30"/>
      <c r="D288" s="30"/>
      <c r="E288" s="30"/>
      <c r="F288" s="30"/>
      <c r="G288" s="30"/>
      <c r="H288" s="30"/>
      <c r="I288" s="30"/>
      <c r="J288" s="10" t="str">
        <f t="shared" si="4"/>
        <v/>
      </c>
    </row>
    <row r="289" spans="2:10" x14ac:dyDescent="0.25">
      <c r="B289" s="30"/>
      <c r="C289" s="30"/>
      <c r="D289" s="30"/>
      <c r="E289" s="30"/>
      <c r="F289" s="30"/>
      <c r="G289" s="30"/>
      <c r="H289" s="30"/>
      <c r="I289" s="30"/>
      <c r="J289" s="10" t="str">
        <f t="shared" si="4"/>
        <v/>
      </c>
    </row>
    <row r="290" spans="2:10" x14ac:dyDescent="0.25">
      <c r="B290" s="30"/>
      <c r="C290" s="30"/>
      <c r="D290" s="30"/>
      <c r="E290" s="30"/>
      <c r="F290" s="30"/>
      <c r="G290" s="30"/>
      <c r="H290" s="30"/>
      <c r="I290" s="30"/>
      <c r="J290" s="10" t="str">
        <f t="shared" si="4"/>
        <v/>
      </c>
    </row>
    <row r="291" spans="2:10" x14ac:dyDescent="0.25">
      <c r="B291" s="30"/>
      <c r="C291" s="30"/>
      <c r="D291" s="30"/>
      <c r="E291" s="30"/>
      <c r="F291" s="30"/>
      <c r="G291" s="30"/>
      <c r="H291" s="30"/>
      <c r="I291" s="30"/>
      <c r="J291" s="10" t="str">
        <f t="shared" si="4"/>
        <v/>
      </c>
    </row>
    <row r="292" spans="2:10" x14ac:dyDescent="0.25">
      <c r="B292" s="30"/>
      <c r="C292" s="30"/>
      <c r="D292" s="30"/>
      <c r="E292" s="30"/>
      <c r="F292" s="30"/>
      <c r="G292" s="30"/>
      <c r="H292" s="30"/>
      <c r="I292" s="30"/>
      <c r="J292" s="10" t="str">
        <f t="shared" si="4"/>
        <v/>
      </c>
    </row>
    <row r="293" spans="2:10" x14ac:dyDescent="0.25">
      <c r="B293" s="30"/>
      <c r="C293" s="30"/>
      <c r="D293" s="30"/>
      <c r="E293" s="30"/>
      <c r="F293" s="30"/>
      <c r="G293" s="30"/>
      <c r="H293" s="30"/>
      <c r="I293" s="30"/>
      <c r="J293" s="10" t="str">
        <f t="shared" si="4"/>
        <v/>
      </c>
    </row>
    <row r="294" spans="2:10" x14ac:dyDescent="0.25">
      <c r="B294" s="30"/>
      <c r="C294" s="30"/>
      <c r="D294" s="30"/>
      <c r="E294" s="30"/>
      <c r="F294" s="30"/>
      <c r="G294" s="30"/>
      <c r="H294" s="30"/>
      <c r="I294" s="30"/>
      <c r="J294" s="10" t="str">
        <f t="shared" si="4"/>
        <v/>
      </c>
    </row>
    <row r="295" spans="2:10" x14ac:dyDescent="0.25">
      <c r="B295" s="30"/>
      <c r="C295" s="30"/>
      <c r="D295" s="30"/>
      <c r="E295" s="30"/>
      <c r="F295" s="30"/>
      <c r="G295" s="30"/>
      <c r="H295" s="30"/>
      <c r="I295" s="30"/>
      <c r="J295" s="10" t="str">
        <f t="shared" si="4"/>
        <v/>
      </c>
    </row>
    <row r="296" spans="2:10" x14ac:dyDescent="0.25">
      <c r="B296" s="30"/>
      <c r="C296" s="30"/>
      <c r="D296" s="30"/>
      <c r="E296" s="30"/>
      <c r="F296" s="30"/>
      <c r="G296" s="30"/>
      <c r="H296" s="30"/>
      <c r="I296" s="30"/>
      <c r="J296" s="10" t="str">
        <f t="shared" si="4"/>
        <v/>
      </c>
    </row>
    <row r="297" spans="2:10" x14ac:dyDescent="0.25">
      <c r="B297" s="30"/>
      <c r="C297" s="30"/>
      <c r="D297" s="30"/>
      <c r="E297" s="30"/>
      <c r="F297" s="30"/>
      <c r="G297" s="30"/>
      <c r="H297" s="30"/>
      <c r="I297" s="30"/>
      <c r="J297" s="10" t="str">
        <f t="shared" si="4"/>
        <v/>
      </c>
    </row>
    <row r="298" spans="2:10" x14ac:dyDescent="0.25">
      <c r="B298" s="30"/>
      <c r="C298" s="30"/>
      <c r="D298" s="30"/>
      <c r="E298" s="30"/>
      <c r="F298" s="30"/>
      <c r="G298" s="30"/>
      <c r="H298" s="30"/>
      <c r="I298" s="30"/>
      <c r="J298" s="10" t="str">
        <f t="shared" si="4"/>
        <v/>
      </c>
    </row>
    <row r="299" spans="2:10" x14ac:dyDescent="0.25">
      <c r="B299" s="30"/>
      <c r="C299" s="30"/>
      <c r="D299" s="30"/>
      <c r="E299" s="30"/>
      <c r="F299" s="30"/>
      <c r="G299" s="30"/>
      <c r="H299" s="30"/>
      <c r="I299" s="30"/>
      <c r="J299" s="10" t="str">
        <f t="shared" si="4"/>
        <v/>
      </c>
    </row>
    <row r="300" spans="2:10" x14ac:dyDescent="0.25">
      <c r="B300" s="30"/>
      <c r="C300" s="30"/>
      <c r="D300" s="30"/>
      <c r="E300" s="30"/>
      <c r="F300" s="30"/>
      <c r="G300" s="30"/>
      <c r="H300" s="30"/>
      <c r="I300" s="30"/>
      <c r="J300" s="10" t="str">
        <f t="shared" si="4"/>
        <v/>
      </c>
    </row>
    <row r="301" spans="2:10" x14ac:dyDescent="0.25">
      <c r="B301" s="30"/>
      <c r="C301" s="30"/>
      <c r="D301" s="30"/>
      <c r="E301" s="30"/>
      <c r="F301" s="30"/>
      <c r="G301" s="30"/>
      <c r="H301" s="30"/>
      <c r="I301" s="30"/>
      <c r="J301" s="10" t="str">
        <f t="shared" si="4"/>
        <v/>
      </c>
    </row>
    <row r="302" spans="2:10" x14ac:dyDescent="0.25">
      <c r="B302" s="30"/>
      <c r="C302" s="30"/>
      <c r="D302" s="30"/>
      <c r="E302" s="30"/>
      <c r="F302" s="30"/>
      <c r="G302" s="30"/>
      <c r="H302" s="30"/>
      <c r="I302" s="30"/>
      <c r="J302" s="10" t="str">
        <f t="shared" si="4"/>
        <v/>
      </c>
    </row>
    <row r="303" spans="2:10" x14ac:dyDescent="0.25">
      <c r="B303" s="30"/>
      <c r="C303" s="30"/>
      <c r="D303" s="30"/>
      <c r="E303" s="30"/>
      <c r="F303" s="30"/>
      <c r="G303" s="30"/>
      <c r="H303" s="30"/>
      <c r="I303" s="30"/>
      <c r="J303" s="10" t="str">
        <f t="shared" si="4"/>
        <v/>
      </c>
    </row>
    <row r="304" spans="2:10" x14ac:dyDescent="0.25">
      <c r="B304" s="30"/>
      <c r="C304" s="30"/>
      <c r="D304" s="30"/>
      <c r="E304" s="30"/>
      <c r="F304" s="30"/>
      <c r="G304" s="30"/>
      <c r="H304" s="30"/>
      <c r="I304" s="30"/>
      <c r="J304" s="10" t="str">
        <f t="shared" si="4"/>
        <v/>
      </c>
    </row>
    <row r="305" spans="2:10" x14ac:dyDescent="0.25">
      <c r="B305" s="30"/>
      <c r="C305" s="30"/>
      <c r="D305" s="30"/>
      <c r="E305" s="30"/>
      <c r="F305" s="30"/>
      <c r="G305" s="30"/>
      <c r="H305" s="30"/>
      <c r="I305" s="30"/>
      <c r="J305" s="10" t="str">
        <f t="shared" si="4"/>
        <v/>
      </c>
    </row>
    <row r="306" spans="2:10" x14ac:dyDescent="0.25">
      <c r="B306" s="30"/>
      <c r="C306" s="30"/>
      <c r="D306" s="30"/>
      <c r="E306" s="30"/>
      <c r="F306" s="30"/>
      <c r="G306" s="30"/>
      <c r="H306" s="30"/>
      <c r="I306" s="30"/>
      <c r="J306" s="10" t="str">
        <f t="shared" si="4"/>
        <v/>
      </c>
    </row>
    <row r="307" spans="2:10" x14ac:dyDescent="0.25">
      <c r="B307" s="30"/>
      <c r="C307" s="30"/>
      <c r="D307" s="30"/>
      <c r="E307" s="30"/>
      <c r="F307" s="30"/>
      <c r="G307" s="30"/>
      <c r="H307" s="30"/>
      <c r="I307" s="30"/>
      <c r="J307" s="10" t="str">
        <f t="shared" si="4"/>
        <v/>
      </c>
    </row>
    <row r="308" spans="2:10" x14ac:dyDescent="0.25">
      <c r="B308" s="30"/>
      <c r="C308" s="30"/>
      <c r="D308" s="30"/>
      <c r="E308" s="30"/>
      <c r="F308" s="30"/>
      <c r="G308" s="30"/>
      <c r="H308" s="30"/>
      <c r="I308" s="30"/>
      <c r="J308" s="10" t="str">
        <f t="shared" si="4"/>
        <v/>
      </c>
    </row>
    <row r="309" spans="2:10" x14ac:dyDescent="0.25">
      <c r="B309" s="30"/>
      <c r="C309" s="30"/>
      <c r="D309" s="30"/>
      <c r="E309" s="30"/>
      <c r="F309" s="30"/>
      <c r="G309" s="30"/>
      <c r="H309" s="30"/>
      <c r="I309" s="30"/>
      <c r="J309" s="10" t="str">
        <f t="shared" si="4"/>
        <v/>
      </c>
    </row>
    <row r="310" spans="2:10" x14ac:dyDescent="0.25">
      <c r="B310" s="30"/>
      <c r="C310" s="30"/>
      <c r="D310" s="30"/>
      <c r="E310" s="30"/>
      <c r="F310" s="30"/>
      <c r="G310" s="30"/>
      <c r="H310" s="30"/>
      <c r="I310" s="30"/>
      <c r="J310" s="10" t="str">
        <f t="shared" si="4"/>
        <v/>
      </c>
    </row>
    <row r="311" spans="2:10" x14ac:dyDescent="0.25">
      <c r="B311" s="30"/>
      <c r="C311" s="30"/>
      <c r="D311" s="30"/>
      <c r="E311" s="30"/>
      <c r="F311" s="30"/>
      <c r="G311" s="30"/>
      <c r="H311" s="30"/>
      <c r="I311" s="30"/>
      <c r="J311" s="10" t="str">
        <f t="shared" si="4"/>
        <v/>
      </c>
    </row>
    <row r="312" spans="2:10" x14ac:dyDescent="0.25">
      <c r="B312" s="30"/>
      <c r="C312" s="30"/>
      <c r="D312" s="30"/>
      <c r="E312" s="30"/>
      <c r="F312" s="30"/>
      <c r="G312" s="30"/>
      <c r="H312" s="30"/>
      <c r="I312" s="30"/>
      <c r="J312" s="10" t="str">
        <f t="shared" si="4"/>
        <v/>
      </c>
    </row>
    <row r="313" spans="2:10" x14ac:dyDescent="0.25">
      <c r="B313" s="30"/>
      <c r="C313" s="30"/>
      <c r="D313" s="30"/>
      <c r="E313" s="30"/>
      <c r="F313" s="30"/>
      <c r="G313" s="30"/>
      <c r="H313" s="30"/>
      <c r="I313" s="30"/>
      <c r="J313" s="10" t="str">
        <f t="shared" si="4"/>
        <v/>
      </c>
    </row>
    <row r="314" spans="2:10" x14ac:dyDescent="0.25">
      <c r="B314" s="30"/>
      <c r="C314" s="30"/>
      <c r="D314" s="30"/>
      <c r="E314" s="30"/>
      <c r="F314" s="30"/>
      <c r="G314" s="30"/>
      <c r="H314" s="30"/>
      <c r="I314" s="30"/>
      <c r="J314" s="10" t="str">
        <f t="shared" si="4"/>
        <v/>
      </c>
    </row>
    <row r="315" spans="2:10" x14ac:dyDescent="0.25">
      <c r="B315" s="30"/>
      <c r="C315" s="30"/>
      <c r="D315" s="30"/>
      <c r="E315" s="30"/>
      <c r="F315" s="30"/>
      <c r="G315" s="30"/>
      <c r="H315" s="30"/>
      <c r="I315" s="30"/>
      <c r="J315" s="10" t="str">
        <f t="shared" si="4"/>
        <v/>
      </c>
    </row>
    <row r="316" spans="2:10" x14ac:dyDescent="0.25">
      <c r="B316" s="30"/>
      <c r="C316" s="30"/>
      <c r="D316" s="30"/>
      <c r="E316" s="30"/>
      <c r="F316" s="30"/>
      <c r="G316" s="30"/>
      <c r="H316" s="30"/>
      <c r="I316" s="30"/>
      <c r="J316" s="10" t="str">
        <f t="shared" si="4"/>
        <v/>
      </c>
    </row>
    <row r="317" spans="2:10" x14ac:dyDescent="0.25">
      <c r="B317" s="30"/>
      <c r="C317" s="30"/>
      <c r="D317" s="30"/>
      <c r="E317" s="30"/>
      <c r="F317" s="30"/>
      <c r="G317" s="30"/>
      <c r="H317" s="30"/>
      <c r="I317" s="30"/>
      <c r="J317" s="10" t="str">
        <f t="shared" si="4"/>
        <v/>
      </c>
    </row>
    <row r="318" spans="2:10" x14ac:dyDescent="0.25">
      <c r="B318" s="30"/>
      <c r="C318" s="30"/>
      <c r="D318" s="30"/>
      <c r="E318" s="30"/>
      <c r="F318" s="30"/>
      <c r="G318" s="30"/>
      <c r="H318" s="30"/>
      <c r="I318" s="30"/>
      <c r="J318" s="10" t="str">
        <f t="shared" si="4"/>
        <v/>
      </c>
    </row>
    <row r="319" spans="2:10" x14ac:dyDescent="0.25">
      <c r="B319" s="30"/>
      <c r="C319" s="30"/>
      <c r="D319" s="30"/>
      <c r="E319" s="30"/>
      <c r="F319" s="30"/>
      <c r="G319" s="30"/>
      <c r="H319" s="30"/>
      <c r="I319" s="30"/>
      <c r="J319" s="10" t="str">
        <f t="shared" si="4"/>
        <v/>
      </c>
    </row>
    <row r="320" spans="2:10" x14ac:dyDescent="0.25">
      <c r="B320" s="30"/>
      <c r="C320" s="30"/>
      <c r="D320" s="30"/>
      <c r="E320" s="30"/>
      <c r="F320" s="30"/>
      <c r="G320" s="30"/>
      <c r="H320" s="30"/>
      <c r="I320" s="30"/>
      <c r="J320" s="10" t="str">
        <f t="shared" si="4"/>
        <v/>
      </c>
    </row>
    <row r="321" spans="2:10" x14ac:dyDescent="0.25">
      <c r="B321" s="30"/>
      <c r="C321" s="30"/>
      <c r="D321" s="30"/>
      <c r="E321" s="30"/>
      <c r="F321" s="30"/>
      <c r="G321" s="30"/>
      <c r="H321" s="30"/>
      <c r="I321" s="30"/>
      <c r="J321" s="10" t="str">
        <f t="shared" si="4"/>
        <v/>
      </c>
    </row>
    <row r="322" spans="2:10" x14ac:dyDescent="0.25">
      <c r="B322" s="30"/>
      <c r="C322" s="30"/>
      <c r="D322" s="30"/>
      <c r="E322" s="30"/>
      <c r="F322" s="30"/>
      <c r="G322" s="30"/>
      <c r="H322" s="30"/>
      <c r="I322" s="30"/>
      <c r="J322" s="10" t="str">
        <f t="shared" si="4"/>
        <v/>
      </c>
    </row>
    <row r="323" spans="2:10" x14ac:dyDescent="0.25">
      <c r="B323" s="30"/>
      <c r="C323" s="30"/>
      <c r="D323" s="30"/>
      <c r="E323" s="30"/>
      <c r="F323" s="30"/>
      <c r="G323" s="30"/>
      <c r="H323" s="30"/>
      <c r="I323" s="30"/>
      <c r="J323" s="10" t="str">
        <f t="shared" ref="J323:J386" si="5">IF(AND(D323="",B323=""),"",IF(D323="",B323,D323)&amp;" ("&amp;E323&amp;")")</f>
        <v/>
      </c>
    </row>
    <row r="324" spans="2:10" x14ac:dyDescent="0.25">
      <c r="B324" s="30"/>
      <c r="C324" s="30"/>
      <c r="D324" s="30"/>
      <c r="E324" s="30"/>
      <c r="F324" s="30"/>
      <c r="G324" s="30"/>
      <c r="H324" s="30"/>
      <c r="I324" s="30"/>
      <c r="J324" s="10" t="str">
        <f t="shared" si="5"/>
        <v/>
      </c>
    </row>
    <row r="325" spans="2:10" x14ac:dyDescent="0.25">
      <c r="B325" s="30"/>
      <c r="C325" s="30"/>
      <c r="D325" s="30"/>
      <c r="E325" s="30"/>
      <c r="F325" s="30"/>
      <c r="G325" s="30"/>
      <c r="H325" s="30"/>
      <c r="I325" s="30"/>
      <c r="J325" s="10" t="str">
        <f t="shared" si="5"/>
        <v/>
      </c>
    </row>
    <row r="326" spans="2:10" x14ac:dyDescent="0.25">
      <c r="B326" s="30"/>
      <c r="C326" s="30"/>
      <c r="D326" s="30"/>
      <c r="E326" s="30"/>
      <c r="F326" s="30"/>
      <c r="G326" s="30"/>
      <c r="H326" s="30"/>
      <c r="I326" s="30"/>
      <c r="J326" s="10" t="str">
        <f t="shared" si="5"/>
        <v/>
      </c>
    </row>
    <row r="327" spans="2:10" x14ac:dyDescent="0.25">
      <c r="B327" s="30"/>
      <c r="C327" s="30"/>
      <c r="D327" s="30"/>
      <c r="E327" s="30"/>
      <c r="F327" s="30"/>
      <c r="G327" s="30"/>
      <c r="H327" s="30"/>
      <c r="I327" s="30"/>
      <c r="J327" s="10" t="str">
        <f t="shared" si="5"/>
        <v/>
      </c>
    </row>
    <row r="328" spans="2:10" x14ac:dyDescent="0.25">
      <c r="B328" s="30"/>
      <c r="C328" s="30"/>
      <c r="D328" s="30"/>
      <c r="E328" s="30"/>
      <c r="F328" s="30"/>
      <c r="G328" s="30"/>
      <c r="H328" s="30"/>
      <c r="I328" s="30"/>
      <c r="J328" s="10" t="str">
        <f t="shared" si="5"/>
        <v/>
      </c>
    </row>
    <row r="329" spans="2:10" x14ac:dyDescent="0.25">
      <c r="B329" s="30"/>
      <c r="C329" s="30"/>
      <c r="D329" s="30"/>
      <c r="E329" s="30"/>
      <c r="F329" s="30"/>
      <c r="G329" s="30"/>
      <c r="H329" s="30"/>
      <c r="I329" s="30"/>
      <c r="J329" s="10" t="str">
        <f t="shared" si="5"/>
        <v/>
      </c>
    </row>
    <row r="330" spans="2:10" x14ac:dyDescent="0.25">
      <c r="B330" s="30"/>
      <c r="C330" s="30"/>
      <c r="D330" s="30"/>
      <c r="E330" s="30"/>
      <c r="F330" s="30"/>
      <c r="G330" s="30"/>
      <c r="H330" s="30"/>
      <c r="I330" s="30"/>
      <c r="J330" s="10" t="str">
        <f t="shared" si="5"/>
        <v/>
      </c>
    </row>
    <row r="331" spans="2:10" x14ac:dyDescent="0.25">
      <c r="B331" s="30"/>
      <c r="C331" s="30"/>
      <c r="D331" s="30"/>
      <c r="E331" s="30"/>
      <c r="F331" s="30"/>
      <c r="G331" s="30"/>
      <c r="H331" s="30"/>
      <c r="I331" s="30"/>
      <c r="J331" s="10" t="str">
        <f t="shared" si="5"/>
        <v/>
      </c>
    </row>
    <row r="332" spans="2:10" x14ac:dyDescent="0.25">
      <c r="B332" s="30"/>
      <c r="C332" s="30"/>
      <c r="D332" s="30"/>
      <c r="E332" s="30"/>
      <c r="F332" s="30"/>
      <c r="G332" s="30"/>
      <c r="H332" s="30"/>
      <c r="I332" s="30"/>
      <c r="J332" s="10" t="str">
        <f t="shared" si="5"/>
        <v/>
      </c>
    </row>
    <row r="333" spans="2:10" x14ac:dyDescent="0.25">
      <c r="B333" s="30"/>
      <c r="C333" s="30"/>
      <c r="D333" s="30"/>
      <c r="E333" s="30"/>
      <c r="F333" s="30"/>
      <c r="G333" s="30"/>
      <c r="H333" s="30"/>
      <c r="I333" s="30"/>
      <c r="J333" s="10" t="str">
        <f t="shared" si="5"/>
        <v/>
      </c>
    </row>
    <row r="334" spans="2:10" x14ac:dyDescent="0.25">
      <c r="B334" s="30"/>
      <c r="C334" s="30"/>
      <c r="D334" s="30"/>
      <c r="E334" s="30"/>
      <c r="F334" s="30"/>
      <c r="G334" s="30"/>
      <c r="H334" s="30"/>
      <c r="I334" s="30"/>
      <c r="J334" s="10" t="str">
        <f t="shared" si="5"/>
        <v/>
      </c>
    </row>
    <row r="335" spans="2:10" x14ac:dyDescent="0.25">
      <c r="B335" s="30"/>
      <c r="C335" s="30"/>
      <c r="D335" s="30"/>
      <c r="E335" s="30"/>
      <c r="F335" s="30"/>
      <c r="G335" s="30"/>
      <c r="H335" s="30"/>
      <c r="I335" s="30"/>
      <c r="J335" s="10" t="str">
        <f t="shared" si="5"/>
        <v/>
      </c>
    </row>
    <row r="336" spans="2:10" x14ac:dyDescent="0.25">
      <c r="B336" s="30"/>
      <c r="C336" s="30"/>
      <c r="D336" s="30"/>
      <c r="E336" s="30"/>
      <c r="F336" s="30"/>
      <c r="G336" s="30"/>
      <c r="H336" s="30"/>
      <c r="I336" s="30"/>
      <c r="J336" s="10" t="str">
        <f t="shared" si="5"/>
        <v/>
      </c>
    </row>
    <row r="337" spans="2:10" x14ac:dyDescent="0.25">
      <c r="B337" s="30"/>
      <c r="C337" s="30"/>
      <c r="D337" s="30"/>
      <c r="E337" s="30"/>
      <c r="F337" s="30"/>
      <c r="G337" s="30"/>
      <c r="H337" s="30"/>
      <c r="I337" s="30"/>
      <c r="J337" s="10" t="str">
        <f t="shared" si="5"/>
        <v/>
      </c>
    </row>
    <row r="338" spans="2:10" x14ac:dyDescent="0.25">
      <c r="B338" s="30"/>
      <c r="C338" s="30"/>
      <c r="D338" s="30"/>
      <c r="E338" s="30"/>
      <c r="F338" s="30"/>
      <c r="G338" s="30"/>
      <c r="H338" s="30"/>
      <c r="I338" s="30"/>
      <c r="J338" s="10" t="str">
        <f t="shared" si="5"/>
        <v/>
      </c>
    </row>
    <row r="339" spans="2:10" x14ac:dyDescent="0.25">
      <c r="B339" s="30"/>
      <c r="C339" s="30"/>
      <c r="D339" s="30"/>
      <c r="E339" s="30"/>
      <c r="F339" s="30"/>
      <c r="G339" s="30"/>
      <c r="H339" s="30"/>
      <c r="I339" s="30"/>
      <c r="J339" s="10" t="str">
        <f t="shared" si="5"/>
        <v/>
      </c>
    </row>
    <row r="340" spans="2:10" x14ac:dyDescent="0.25">
      <c r="B340" s="30"/>
      <c r="C340" s="30"/>
      <c r="D340" s="30"/>
      <c r="E340" s="30"/>
      <c r="F340" s="30"/>
      <c r="G340" s="30"/>
      <c r="H340" s="30"/>
      <c r="I340" s="30"/>
      <c r="J340" s="10" t="str">
        <f t="shared" si="5"/>
        <v/>
      </c>
    </row>
    <row r="341" spans="2:10" x14ac:dyDescent="0.25">
      <c r="B341" s="30"/>
      <c r="C341" s="30"/>
      <c r="D341" s="30"/>
      <c r="E341" s="30"/>
      <c r="F341" s="30"/>
      <c r="G341" s="30"/>
      <c r="H341" s="30"/>
      <c r="I341" s="30"/>
      <c r="J341" s="10" t="str">
        <f t="shared" si="5"/>
        <v/>
      </c>
    </row>
    <row r="342" spans="2:10" x14ac:dyDescent="0.25">
      <c r="B342" s="30"/>
      <c r="C342" s="30"/>
      <c r="D342" s="30"/>
      <c r="E342" s="30"/>
      <c r="F342" s="30"/>
      <c r="G342" s="30"/>
      <c r="H342" s="30"/>
      <c r="I342" s="30"/>
      <c r="J342" s="10" t="str">
        <f t="shared" si="5"/>
        <v/>
      </c>
    </row>
    <row r="343" spans="2:10" x14ac:dyDescent="0.25">
      <c r="B343" s="30"/>
      <c r="C343" s="30"/>
      <c r="D343" s="30"/>
      <c r="E343" s="30"/>
      <c r="F343" s="30"/>
      <c r="G343" s="30"/>
      <c r="H343" s="30"/>
      <c r="I343" s="30"/>
      <c r="J343" s="10" t="str">
        <f t="shared" si="5"/>
        <v/>
      </c>
    </row>
    <row r="344" spans="2:10" x14ac:dyDescent="0.25">
      <c r="B344" s="30"/>
      <c r="C344" s="30"/>
      <c r="D344" s="30"/>
      <c r="E344" s="30"/>
      <c r="F344" s="30"/>
      <c r="G344" s="30"/>
      <c r="H344" s="30"/>
      <c r="I344" s="30"/>
      <c r="J344" s="10" t="str">
        <f t="shared" si="5"/>
        <v/>
      </c>
    </row>
    <row r="345" spans="2:10" x14ac:dyDescent="0.25">
      <c r="B345" s="30"/>
      <c r="C345" s="30"/>
      <c r="D345" s="30"/>
      <c r="E345" s="30"/>
      <c r="F345" s="30"/>
      <c r="G345" s="30"/>
      <c r="H345" s="30"/>
      <c r="I345" s="30"/>
      <c r="J345" s="10" t="str">
        <f t="shared" si="5"/>
        <v/>
      </c>
    </row>
    <row r="346" spans="2:10" x14ac:dyDescent="0.25">
      <c r="B346" s="30"/>
      <c r="C346" s="30"/>
      <c r="D346" s="30"/>
      <c r="E346" s="30"/>
      <c r="F346" s="30"/>
      <c r="G346" s="30"/>
      <c r="H346" s="30"/>
      <c r="I346" s="30"/>
      <c r="J346" s="10" t="str">
        <f t="shared" si="5"/>
        <v/>
      </c>
    </row>
    <row r="347" spans="2:10" x14ac:dyDescent="0.25">
      <c r="B347" s="30"/>
      <c r="C347" s="30"/>
      <c r="D347" s="30"/>
      <c r="E347" s="30"/>
      <c r="F347" s="30"/>
      <c r="G347" s="30"/>
      <c r="H347" s="30"/>
      <c r="I347" s="30"/>
      <c r="J347" s="10" t="str">
        <f t="shared" si="5"/>
        <v/>
      </c>
    </row>
    <row r="348" spans="2:10" x14ac:dyDescent="0.25">
      <c r="B348" s="30"/>
      <c r="C348" s="30"/>
      <c r="D348" s="30"/>
      <c r="E348" s="30"/>
      <c r="F348" s="30"/>
      <c r="G348" s="30"/>
      <c r="H348" s="30"/>
      <c r="I348" s="30"/>
      <c r="J348" s="10" t="str">
        <f t="shared" si="5"/>
        <v/>
      </c>
    </row>
    <row r="349" spans="2:10" x14ac:dyDescent="0.25">
      <c r="B349" s="30"/>
      <c r="C349" s="30"/>
      <c r="D349" s="30"/>
      <c r="E349" s="30"/>
      <c r="F349" s="30"/>
      <c r="G349" s="30"/>
      <c r="H349" s="30"/>
      <c r="I349" s="30"/>
      <c r="J349" s="10" t="str">
        <f t="shared" si="5"/>
        <v/>
      </c>
    </row>
    <row r="350" spans="2:10" x14ac:dyDescent="0.25">
      <c r="B350" s="30"/>
      <c r="C350" s="30"/>
      <c r="D350" s="30"/>
      <c r="E350" s="30"/>
      <c r="F350" s="30"/>
      <c r="G350" s="30"/>
      <c r="H350" s="30"/>
      <c r="I350" s="30"/>
      <c r="J350" s="10" t="str">
        <f t="shared" si="5"/>
        <v/>
      </c>
    </row>
    <row r="351" spans="2:10" x14ac:dyDescent="0.25">
      <c r="B351" s="30"/>
      <c r="C351" s="30"/>
      <c r="D351" s="30"/>
      <c r="E351" s="30"/>
      <c r="F351" s="30"/>
      <c r="G351" s="30"/>
      <c r="H351" s="30"/>
      <c r="I351" s="30"/>
      <c r="J351" s="10" t="str">
        <f t="shared" si="5"/>
        <v/>
      </c>
    </row>
    <row r="352" spans="2:10" x14ac:dyDescent="0.25">
      <c r="B352" s="30"/>
      <c r="C352" s="30"/>
      <c r="D352" s="30"/>
      <c r="E352" s="30"/>
      <c r="F352" s="30"/>
      <c r="G352" s="30"/>
      <c r="H352" s="30"/>
      <c r="I352" s="30"/>
      <c r="J352" s="10" t="str">
        <f t="shared" si="5"/>
        <v/>
      </c>
    </row>
    <row r="353" spans="2:10" x14ac:dyDescent="0.25">
      <c r="B353" s="30"/>
      <c r="C353" s="30"/>
      <c r="D353" s="30"/>
      <c r="E353" s="30"/>
      <c r="F353" s="30"/>
      <c r="G353" s="30"/>
      <c r="H353" s="30"/>
      <c r="I353" s="30"/>
      <c r="J353" s="10" t="str">
        <f t="shared" si="5"/>
        <v/>
      </c>
    </row>
    <row r="354" spans="2:10" x14ac:dyDescent="0.25">
      <c r="B354" s="30"/>
      <c r="C354" s="30"/>
      <c r="D354" s="30"/>
      <c r="E354" s="30"/>
      <c r="F354" s="30"/>
      <c r="G354" s="30"/>
      <c r="H354" s="30"/>
      <c r="I354" s="30"/>
      <c r="J354" s="10" t="str">
        <f t="shared" si="5"/>
        <v/>
      </c>
    </row>
    <row r="355" spans="2:10" x14ac:dyDescent="0.25">
      <c r="B355" s="30"/>
      <c r="C355" s="30"/>
      <c r="D355" s="30"/>
      <c r="E355" s="30"/>
      <c r="F355" s="30"/>
      <c r="G355" s="30"/>
      <c r="H355" s="30"/>
      <c r="I355" s="30"/>
      <c r="J355" s="10" t="str">
        <f t="shared" si="5"/>
        <v/>
      </c>
    </row>
    <row r="356" spans="2:10" x14ac:dyDescent="0.25">
      <c r="B356" s="30"/>
      <c r="C356" s="30"/>
      <c r="D356" s="30"/>
      <c r="E356" s="30"/>
      <c r="F356" s="30"/>
      <c r="G356" s="30"/>
      <c r="H356" s="30"/>
      <c r="I356" s="30"/>
      <c r="J356" s="10" t="str">
        <f t="shared" si="5"/>
        <v/>
      </c>
    </row>
    <row r="357" spans="2:10" x14ac:dyDescent="0.25">
      <c r="B357" s="30"/>
      <c r="C357" s="30"/>
      <c r="D357" s="30"/>
      <c r="E357" s="30"/>
      <c r="F357" s="30"/>
      <c r="G357" s="30"/>
      <c r="H357" s="30"/>
      <c r="I357" s="30"/>
      <c r="J357" s="10" t="str">
        <f t="shared" si="5"/>
        <v/>
      </c>
    </row>
    <row r="358" spans="2:10" x14ac:dyDescent="0.25">
      <c r="B358" s="30"/>
      <c r="C358" s="30"/>
      <c r="D358" s="30"/>
      <c r="E358" s="30"/>
      <c r="F358" s="30"/>
      <c r="G358" s="30"/>
      <c r="H358" s="30"/>
      <c r="I358" s="30"/>
      <c r="J358" s="10" t="str">
        <f t="shared" si="5"/>
        <v/>
      </c>
    </row>
    <row r="359" spans="2:10" x14ac:dyDescent="0.25">
      <c r="B359" s="30"/>
      <c r="C359" s="30"/>
      <c r="D359" s="30"/>
      <c r="E359" s="30"/>
      <c r="F359" s="30"/>
      <c r="G359" s="30"/>
      <c r="H359" s="30"/>
      <c r="I359" s="30"/>
      <c r="J359" s="10" t="str">
        <f t="shared" si="5"/>
        <v/>
      </c>
    </row>
    <row r="360" spans="2:10" x14ac:dyDescent="0.25">
      <c r="B360" s="30"/>
      <c r="C360" s="30"/>
      <c r="D360" s="30"/>
      <c r="E360" s="30"/>
      <c r="F360" s="30"/>
      <c r="G360" s="30"/>
      <c r="H360" s="30"/>
      <c r="I360" s="30"/>
      <c r="J360" s="10" t="str">
        <f t="shared" si="5"/>
        <v/>
      </c>
    </row>
    <row r="361" spans="2:10" x14ac:dyDescent="0.25">
      <c r="B361" s="30"/>
      <c r="C361" s="30"/>
      <c r="D361" s="30"/>
      <c r="E361" s="30"/>
      <c r="F361" s="30"/>
      <c r="G361" s="30"/>
      <c r="H361" s="30"/>
      <c r="I361" s="30"/>
      <c r="J361" s="10" t="str">
        <f t="shared" si="5"/>
        <v/>
      </c>
    </row>
    <row r="362" spans="2:10" x14ac:dyDescent="0.25">
      <c r="B362" s="30"/>
      <c r="C362" s="30"/>
      <c r="D362" s="30"/>
      <c r="E362" s="30"/>
      <c r="F362" s="30"/>
      <c r="G362" s="30"/>
      <c r="H362" s="30"/>
      <c r="I362" s="30"/>
      <c r="J362" s="10" t="str">
        <f t="shared" si="5"/>
        <v/>
      </c>
    </row>
    <row r="363" spans="2:10" x14ac:dyDescent="0.25">
      <c r="B363" s="30"/>
      <c r="C363" s="30"/>
      <c r="D363" s="30"/>
      <c r="E363" s="30"/>
      <c r="F363" s="30"/>
      <c r="G363" s="30"/>
      <c r="H363" s="30"/>
      <c r="I363" s="30"/>
      <c r="J363" s="10" t="str">
        <f t="shared" si="5"/>
        <v/>
      </c>
    </row>
    <row r="364" spans="2:10" x14ac:dyDescent="0.25">
      <c r="B364" s="30"/>
      <c r="C364" s="30"/>
      <c r="D364" s="30"/>
      <c r="E364" s="30"/>
      <c r="F364" s="30"/>
      <c r="G364" s="30"/>
      <c r="H364" s="30"/>
      <c r="I364" s="30"/>
      <c r="J364" s="10" t="str">
        <f t="shared" si="5"/>
        <v/>
      </c>
    </row>
    <row r="365" spans="2:10" x14ac:dyDescent="0.25">
      <c r="B365" s="30"/>
      <c r="C365" s="30"/>
      <c r="D365" s="30"/>
      <c r="E365" s="30"/>
      <c r="F365" s="30"/>
      <c r="G365" s="30"/>
      <c r="H365" s="30"/>
      <c r="I365" s="30"/>
      <c r="J365" s="10" t="str">
        <f t="shared" si="5"/>
        <v/>
      </c>
    </row>
    <row r="366" spans="2:10" x14ac:dyDescent="0.25">
      <c r="B366" s="30"/>
      <c r="C366" s="30"/>
      <c r="D366" s="30"/>
      <c r="E366" s="30"/>
      <c r="F366" s="30"/>
      <c r="G366" s="30"/>
      <c r="H366" s="30"/>
      <c r="I366" s="30"/>
      <c r="J366" s="10" t="str">
        <f t="shared" si="5"/>
        <v/>
      </c>
    </row>
    <row r="367" spans="2:10" x14ac:dyDescent="0.25">
      <c r="B367" s="30"/>
      <c r="C367" s="30"/>
      <c r="D367" s="30"/>
      <c r="E367" s="30"/>
      <c r="F367" s="30"/>
      <c r="G367" s="30"/>
      <c r="H367" s="30"/>
      <c r="I367" s="30"/>
      <c r="J367" s="10" t="str">
        <f t="shared" si="5"/>
        <v/>
      </c>
    </row>
    <row r="368" spans="2:10" x14ac:dyDescent="0.25">
      <c r="B368" s="30"/>
      <c r="C368" s="30"/>
      <c r="D368" s="30"/>
      <c r="E368" s="30"/>
      <c r="F368" s="30"/>
      <c r="G368" s="30"/>
      <c r="H368" s="30"/>
      <c r="I368" s="30"/>
      <c r="J368" s="10" t="str">
        <f t="shared" si="5"/>
        <v/>
      </c>
    </row>
    <row r="369" spans="2:10" x14ac:dyDescent="0.25">
      <c r="B369" s="30"/>
      <c r="C369" s="30"/>
      <c r="D369" s="30"/>
      <c r="E369" s="30"/>
      <c r="F369" s="30"/>
      <c r="G369" s="30"/>
      <c r="H369" s="30"/>
      <c r="I369" s="30"/>
      <c r="J369" s="10" t="str">
        <f t="shared" si="5"/>
        <v/>
      </c>
    </row>
    <row r="370" spans="2:10" x14ac:dyDescent="0.25">
      <c r="B370" s="30"/>
      <c r="C370" s="30"/>
      <c r="D370" s="30"/>
      <c r="E370" s="30"/>
      <c r="F370" s="30"/>
      <c r="G370" s="30"/>
      <c r="H370" s="30"/>
      <c r="I370" s="30"/>
      <c r="J370" s="10" t="str">
        <f t="shared" si="5"/>
        <v/>
      </c>
    </row>
    <row r="371" spans="2:10" x14ac:dyDescent="0.25">
      <c r="B371" s="30"/>
      <c r="C371" s="30"/>
      <c r="D371" s="30"/>
      <c r="E371" s="30"/>
      <c r="F371" s="30"/>
      <c r="G371" s="30"/>
      <c r="H371" s="30"/>
      <c r="I371" s="30"/>
      <c r="J371" s="10" t="str">
        <f t="shared" si="5"/>
        <v/>
      </c>
    </row>
    <row r="372" spans="2:10" x14ac:dyDescent="0.25">
      <c r="B372" s="30"/>
      <c r="C372" s="30"/>
      <c r="D372" s="30"/>
      <c r="E372" s="30"/>
      <c r="F372" s="30"/>
      <c r="G372" s="30"/>
      <c r="H372" s="30"/>
      <c r="I372" s="30"/>
      <c r="J372" s="10" t="str">
        <f t="shared" si="5"/>
        <v/>
      </c>
    </row>
    <row r="373" spans="2:10" x14ac:dyDescent="0.25">
      <c r="B373" s="30"/>
      <c r="C373" s="30"/>
      <c r="D373" s="30"/>
      <c r="E373" s="30"/>
      <c r="F373" s="30"/>
      <c r="G373" s="30"/>
      <c r="H373" s="30"/>
      <c r="I373" s="30"/>
      <c r="J373" s="10" t="str">
        <f t="shared" si="5"/>
        <v/>
      </c>
    </row>
    <row r="374" spans="2:10" x14ac:dyDescent="0.25">
      <c r="B374" s="30"/>
      <c r="C374" s="30"/>
      <c r="D374" s="30"/>
      <c r="E374" s="30"/>
      <c r="F374" s="30"/>
      <c r="G374" s="30"/>
      <c r="H374" s="30"/>
      <c r="I374" s="30"/>
      <c r="J374" s="10" t="str">
        <f t="shared" si="5"/>
        <v/>
      </c>
    </row>
    <row r="375" spans="2:10" x14ac:dyDescent="0.25">
      <c r="B375" s="30"/>
      <c r="C375" s="30"/>
      <c r="D375" s="30"/>
      <c r="E375" s="30"/>
      <c r="F375" s="30"/>
      <c r="G375" s="30"/>
      <c r="H375" s="30"/>
      <c r="I375" s="30"/>
      <c r="J375" s="10" t="str">
        <f t="shared" si="5"/>
        <v/>
      </c>
    </row>
    <row r="376" spans="2:10" x14ac:dyDescent="0.25">
      <c r="B376" s="30"/>
      <c r="C376" s="30"/>
      <c r="D376" s="30"/>
      <c r="E376" s="30"/>
      <c r="F376" s="30"/>
      <c r="G376" s="30"/>
      <c r="H376" s="30"/>
      <c r="I376" s="30"/>
      <c r="J376" s="10" t="str">
        <f t="shared" si="5"/>
        <v/>
      </c>
    </row>
    <row r="377" spans="2:10" x14ac:dyDescent="0.25">
      <c r="B377" s="30"/>
      <c r="C377" s="30"/>
      <c r="D377" s="30"/>
      <c r="E377" s="30"/>
      <c r="F377" s="30"/>
      <c r="G377" s="30"/>
      <c r="H377" s="30"/>
      <c r="I377" s="30"/>
      <c r="J377" s="10" t="str">
        <f t="shared" si="5"/>
        <v/>
      </c>
    </row>
    <row r="378" spans="2:10" x14ac:dyDescent="0.25">
      <c r="B378" s="30"/>
      <c r="C378" s="30"/>
      <c r="D378" s="30"/>
      <c r="E378" s="30"/>
      <c r="F378" s="30"/>
      <c r="G378" s="30"/>
      <c r="H378" s="30"/>
      <c r="I378" s="30"/>
      <c r="J378" s="10" t="str">
        <f t="shared" si="5"/>
        <v/>
      </c>
    </row>
    <row r="379" spans="2:10" x14ac:dyDescent="0.25">
      <c r="B379" s="30"/>
      <c r="C379" s="30"/>
      <c r="D379" s="30"/>
      <c r="E379" s="30"/>
      <c r="F379" s="30"/>
      <c r="G379" s="30"/>
      <c r="H379" s="30"/>
      <c r="I379" s="30"/>
      <c r="J379" s="10" t="str">
        <f t="shared" si="5"/>
        <v/>
      </c>
    </row>
    <row r="380" spans="2:10" x14ac:dyDescent="0.25">
      <c r="B380" s="30"/>
      <c r="C380" s="30"/>
      <c r="D380" s="30"/>
      <c r="E380" s="30"/>
      <c r="F380" s="30"/>
      <c r="G380" s="30"/>
      <c r="H380" s="30"/>
      <c r="I380" s="30"/>
      <c r="J380" s="10" t="str">
        <f t="shared" si="5"/>
        <v/>
      </c>
    </row>
    <row r="381" spans="2:10" x14ac:dyDescent="0.25">
      <c r="B381" s="30"/>
      <c r="C381" s="30"/>
      <c r="D381" s="30"/>
      <c r="E381" s="30"/>
      <c r="F381" s="30"/>
      <c r="G381" s="30"/>
      <c r="H381" s="30"/>
      <c r="I381" s="30"/>
      <c r="J381" s="10" t="str">
        <f t="shared" si="5"/>
        <v/>
      </c>
    </row>
    <row r="382" spans="2:10" x14ac:dyDescent="0.25">
      <c r="B382" s="30"/>
      <c r="C382" s="30"/>
      <c r="D382" s="30"/>
      <c r="E382" s="30"/>
      <c r="F382" s="30"/>
      <c r="G382" s="30"/>
      <c r="H382" s="30"/>
      <c r="I382" s="30"/>
      <c r="J382" s="10" t="str">
        <f t="shared" si="5"/>
        <v/>
      </c>
    </row>
    <row r="383" spans="2:10" x14ac:dyDescent="0.25">
      <c r="B383" s="30"/>
      <c r="C383" s="30"/>
      <c r="D383" s="30"/>
      <c r="E383" s="30"/>
      <c r="F383" s="30"/>
      <c r="G383" s="30"/>
      <c r="H383" s="30"/>
      <c r="I383" s="30"/>
      <c r="J383" s="10" t="str">
        <f t="shared" si="5"/>
        <v/>
      </c>
    </row>
    <row r="384" spans="2:10" x14ac:dyDescent="0.25">
      <c r="B384" s="30"/>
      <c r="C384" s="30"/>
      <c r="D384" s="30"/>
      <c r="E384" s="30"/>
      <c r="F384" s="30"/>
      <c r="G384" s="30"/>
      <c r="H384" s="30"/>
      <c r="I384" s="30"/>
      <c r="J384" s="10" t="str">
        <f t="shared" si="5"/>
        <v/>
      </c>
    </row>
    <row r="385" spans="2:10" x14ac:dyDescent="0.25">
      <c r="B385" s="30"/>
      <c r="C385" s="30"/>
      <c r="D385" s="30"/>
      <c r="E385" s="30"/>
      <c r="F385" s="30"/>
      <c r="G385" s="30"/>
      <c r="H385" s="30"/>
      <c r="I385" s="30"/>
      <c r="J385" s="10" t="str">
        <f t="shared" si="5"/>
        <v/>
      </c>
    </row>
    <row r="386" spans="2:10" x14ac:dyDescent="0.25">
      <c r="B386" s="30"/>
      <c r="C386" s="30"/>
      <c r="D386" s="30"/>
      <c r="E386" s="30"/>
      <c r="F386" s="30"/>
      <c r="G386" s="30"/>
      <c r="H386" s="30"/>
      <c r="I386" s="30"/>
      <c r="J386" s="10" t="str">
        <f t="shared" si="5"/>
        <v/>
      </c>
    </row>
    <row r="387" spans="2:10" x14ac:dyDescent="0.25">
      <c r="B387" s="30"/>
      <c r="C387" s="30"/>
      <c r="D387" s="30"/>
      <c r="E387" s="30"/>
      <c r="F387" s="30"/>
      <c r="G387" s="30"/>
      <c r="H387" s="30"/>
      <c r="I387" s="30"/>
      <c r="J387" s="10" t="str">
        <f t="shared" ref="J387:J450" si="6">IF(AND(D387="",B387=""),"",IF(D387="",B387,D387)&amp;" ("&amp;E387&amp;")")</f>
        <v/>
      </c>
    </row>
    <row r="388" spans="2:10" x14ac:dyDescent="0.25">
      <c r="B388" s="30"/>
      <c r="C388" s="30"/>
      <c r="D388" s="30"/>
      <c r="E388" s="30"/>
      <c r="F388" s="30"/>
      <c r="G388" s="30"/>
      <c r="H388" s="30"/>
      <c r="I388" s="30"/>
      <c r="J388" s="10" t="str">
        <f t="shared" si="6"/>
        <v/>
      </c>
    </row>
    <row r="389" spans="2:10" x14ac:dyDescent="0.25">
      <c r="B389" s="30"/>
      <c r="C389" s="30"/>
      <c r="D389" s="30"/>
      <c r="E389" s="30"/>
      <c r="F389" s="30"/>
      <c r="G389" s="30"/>
      <c r="H389" s="30"/>
      <c r="I389" s="30"/>
      <c r="J389" s="10" t="str">
        <f t="shared" si="6"/>
        <v/>
      </c>
    </row>
    <row r="390" spans="2:10" x14ac:dyDescent="0.25">
      <c r="B390" s="30"/>
      <c r="C390" s="30"/>
      <c r="D390" s="30"/>
      <c r="E390" s="30"/>
      <c r="F390" s="30"/>
      <c r="G390" s="30"/>
      <c r="H390" s="30"/>
      <c r="I390" s="30"/>
      <c r="J390" s="10" t="str">
        <f t="shared" si="6"/>
        <v/>
      </c>
    </row>
    <row r="391" spans="2:10" x14ac:dyDescent="0.25">
      <c r="B391" s="30"/>
      <c r="C391" s="30"/>
      <c r="D391" s="30"/>
      <c r="E391" s="30"/>
      <c r="F391" s="30"/>
      <c r="G391" s="30"/>
      <c r="H391" s="30"/>
      <c r="I391" s="30"/>
      <c r="J391" s="10" t="str">
        <f t="shared" si="6"/>
        <v/>
      </c>
    </row>
    <row r="392" spans="2:10" x14ac:dyDescent="0.25">
      <c r="B392" s="30"/>
      <c r="C392" s="30"/>
      <c r="D392" s="30"/>
      <c r="E392" s="30"/>
      <c r="F392" s="30"/>
      <c r="G392" s="30"/>
      <c r="H392" s="30"/>
      <c r="I392" s="30"/>
      <c r="J392" s="10" t="str">
        <f t="shared" si="6"/>
        <v/>
      </c>
    </row>
    <row r="393" spans="2:10" x14ac:dyDescent="0.25">
      <c r="B393" s="30"/>
      <c r="C393" s="30"/>
      <c r="D393" s="30"/>
      <c r="E393" s="30"/>
      <c r="F393" s="30"/>
      <c r="G393" s="30"/>
      <c r="H393" s="30"/>
      <c r="I393" s="30"/>
      <c r="J393" s="10" t="str">
        <f t="shared" si="6"/>
        <v/>
      </c>
    </row>
    <row r="394" spans="2:10" x14ac:dyDescent="0.25">
      <c r="B394" s="30"/>
      <c r="C394" s="30"/>
      <c r="D394" s="30"/>
      <c r="E394" s="30"/>
      <c r="F394" s="30"/>
      <c r="G394" s="30"/>
      <c r="H394" s="30"/>
      <c r="I394" s="30"/>
      <c r="J394" s="10" t="str">
        <f t="shared" si="6"/>
        <v/>
      </c>
    </row>
    <row r="395" spans="2:10" x14ac:dyDescent="0.25">
      <c r="B395" s="30"/>
      <c r="C395" s="30"/>
      <c r="D395" s="30"/>
      <c r="E395" s="30"/>
      <c r="F395" s="30"/>
      <c r="G395" s="30"/>
      <c r="H395" s="30"/>
      <c r="I395" s="30"/>
      <c r="J395" s="10" t="str">
        <f t="shared" si="6"/>
        <v/>
      </c>
    </row>
    <row r="396" spans="2:10" x14ac:dyDescent="0.25">
      <c r="B396" s="30"/>
      <c r="C396" s="30"/>
      <c r="D396" s="30"/>
      <c r="E396" s="30"/>
      <c r="F396" s="30"/>
      <c r="G396" s="30"/>
      <c r="H396" s="30"/>
      <c r="I396" s="30"/>
      <c r="J396" s="10" t="str">
        <f t="shared" si="6"/>
        <v/>
      </c>
    </row>
    <row r="397" spans="2:10" x14ac:dyDescent="0.25">
      <c r="B397" s="30"/>
      <c r="C397" s="30"/>
      <c r="D397" s="30"/>
      <c r="E397" s="30"/>
      <c r="F397" s="30"/>
      <c r="G397" s="30"/>
      <c r="H397" s="30"/>
      <c r="I397" s="30"/>
      <c r="J397" s="10" t="str">
        <f t="shared" si="6"/>
        <v/>
      </c>
    </row>
    <row r="398" spans="2:10" x14ac:dyDescent="0.25">
      <c r="B398" s="30"/>
      <c r="C398" s="30"/>
      <c r="D398" s="30"/>
      <c r="E398" s="30"/>
      <c r="F398" s="30"/>
      <c r="G398" s="30"/>
      <c r="H398" s="30"/>
      <c r="I398" s="30"/>
      <c r="J398" s="10" t="str">
        <f t="shared" si="6"/>
        <v/>
      </c>
    </row>
    <row r="399" spans="2:10" x14ac:dyDescent="0.25">
      <c r="B399" s="30"/>
      <c r="C399" s="30"/>
      <c r="D399" s="30"/>
      <c r="E399" s="30"/>
      <c r="F399" s="30"/>
      <c r="G399" s="30"/>
      <c r="H399" s="30"/>
      <c r="I399" s="30"/>
      <c r="J399" s="10" t="str">
        <f t="shared" si="6"/>
        <v/>
      </c>
    </row>
    <row r="400" spans="2:10" x14ac:dyDescent="0.25">
      <c r="B400" s="30"/>
      <c r="C400" s="30"/>
      <c r="D400" s="30"/>
      <c r="E400" s="30"/>
      <c r="F400" s="30"/>
      <c r="G400" s="30"/>
      <c r="H400" s="30"/>
      <c r="I400" s="30"/>
      <c r="J400" s="10" t="str">
        <f t="shared" si="6"/>
        <v/>
      </c>
    </row>
    <row r="401" spans="2:10" x14ac:dyDescent="0.25">
      <c r="B401" s="30"/>
      <c r="C401" s="30"/>
      <c r="D401" s="30"/>
      <c r="E401" s="30"/>
      <c r="F401" s="30"/>
      <c r="G401" s="30"/>
      <c r="H401" s="30"/>
      <c r="I401" s="30"/>
      <c r="J401" s="10" t="str">
        <f t="shared" si="6"/>
        <v/>
      </c>
    </row>
    <row r="402" spans="2:10" x14ac:dyDescent="0.25">
      <c r="B402" s="30"/>
      <c r="C402" s="30"/>
      <c r="D402" s="30"/>
      <c r="E402" s="30"/>
      <c r="F402" s="30"/>
      <c r="G402" s="30"/>
      <c r="H402" s="30"/>
      <c r="I402" s="30"/>
      <c r="J402" s="10" t="str">
        <f t="shared" si="6"/>
        <v/>
      </c>
    </row>
    <row r="403" spans="2:10" x14ac:dyDescent="0.25">
      <c r="B403" s="30"/>
      <c r="C403" s="30"/>
      <c r="D403" s="30"/>
      <c r="E403" s="30"/>
      <c r="F403" s="30"/>
      <c r="G403" s="30"/>
      <c r="H403" s="30"/>
      <c r="I403" s="30"/>
      <c r="J403" s="10" t="str">
        <f t="shared" si="6"/>
        <v/>
      </c>
    </row>
    <row r="404" spans="2:10" x14ac:dyDescent="0.25">
      <c r="B404" s="30"/>
      <c r="C404" s="30"/>
      <c r="D404" s="30"/>
      <c r="E404" s="30"/>
      <c r="F404" s="30"/>
      <c r="G404" s="30"/>
      <c r="H404" s="30"/>
      <c r="I404" s="30"/>
      <c r="J404" s="10" t="str">
        <f t="shared" si="6"/>
        <v/>
      </c>
    </row>
    <row r="405" spans="2:10" x14ac:dyDescent="0.25">
      <c r="B405" s="30"/>
      <c r="C405" s="30"/>
      <c r="D405" s="30"/>
      <c r="E405" s="30"/>
      <c r="F405" s="30"/>
      <c r="G405" s="30"/>
      <c r="H405" s="30"/>
      <c r="I405" s="30"/>
      <c r="J405" s="10" t="str">
        <f t="shared" si="6"/>
        <v/>
      </c>
    </row>
    <row r="406" spans="2:10" x14ac:dyDescent="0.25">
      <c r="B406" s="30"/>
      <c r="C406" s="30"/>
      <c r="D406" s="30"/>
      <c r="E406" s="30"/>
      <c r="F406" s="30"/>
      <c r="G406" s="30"/>
      <c r="H406" s="30"/>
      <c r="I406" s="30"/>
      <c r="J406" s="10" t="str">
        <f t="shared" si="6"/>
        <v/>
      </c>
    </row>
    <row r="407" spans="2:10" x14ac:dyDescent="0.25">
      <c r="B407" s="30"/>
      <c r="C407" s="30"/>
      <c r="D407" s="30"/>
      <c r="E407" s="30"/>
      <c r="F407" s="30"/>
      <c r="G407" s="30"/>
      <c r="H407" s="30"/>
      <c r="I407" s="30"/>
      <c r="J407" s="10" t="str">
        <f t="shared" si="6"/>
        <v/>
      </c>
    </row>
    <row r="408" spans="2:10" x14ac:dyDescent="0.25">
      <c r="B408" s="30"/>
      <c r="C408" s="30"/>
      <c r="D408" s="30"/>
      <c r="E408" s="30"/>
      <c r="F408" s="30"/>
      <c r="G408" s="30"/>
      <c r="H408" s="30"/>
      <c r="I408" s="30"/>
      <c r="J408" s="10" t="str">
        <f t="shared" si="6"/>
        <v/>
      </c>
    </row>
    <row r="409" spans="2:10" x14ac:dyDescent="0.25">
      <c r="B409" s="30"/>
      <c r="C409" s="30"/>
      <c r="D409" s="30"/>
      <c r="E409" s="30"/>
      <c r="F409" s="30"/>
      <c r="G409" s="30"/>
      <c r="H409" s="30"/>
      <c r="I409" s="30"/>
      <c r="J409" s="10" t="str">
        <f t="shared" si="6"/>
        <v/>
      </c>
    </row>
    <row r="410" spans="2:10" x14ac:dyDescent="0.25">
      <c r="B410" s="30"/>
      <c r="C410" s="30"/>
      <c r="D410" s="30"/>
      <c r="E410" s="30"/>
      <c r="F410" s="30"/>
      <c r="G410" s="30"/>
      <c r="H410" s="30"/>
      <c r="I410" s="30"/>
      <c r="J410" s="10" t="str">
        <f t="shared" si="6"/>
        <v/>
      </c>
    </row>
    <row r="411" spans="2:10" x14ac:dyDescent="0.25">
      <c r="B411" s="30"/>
      <c r="C411" s="30"/>
      <c r="D411" s="30"/>
      <c r="E411" s="30"/>
      <c r="F411" s="30"/>
      <c r="G411" s="30"/>
      <c r="H411" s="30"/>
      <c r="I411" s="30"/>
      <c r="J411" s="10" t="str">
        <f t="shared" si="6"/>
        <v/>
      </c>
    </row>
    <row r="412" spans="2:10" x14ac:dyDescent="0.25">
      <c r="B412" s="30"/>
      <c r="C412" s="30"/>
      <c r="D412" s="30"/>
      <c r="E412" s="30"/>
      <c r="F412" s="30"/>
      <c r="G412" s="30"/>
      <c r="H412" s="30"/>
      <c r="I412" s="30"/>
      <c r="J412" s="10" t="str">
        <f t="shared" si="6"/>
        <v/>
      </c>
    </row>
    <row r="413" spans="2:10" x14ac:dyDescent="0.25">
      <c r="B413" s="30"/>
      <c r="C413" s="30"/>
      <c r="D413" s="30"/>
      <c r="E413" s="30"/>
      <c r="F413" s="30"/>
      <c r="G413" s="30"/>
      <c r="H413" s="30"/>
      <c r="I413" s="30"/>
      <c r="J413" s="10" t="str">
        <f t="shared" si="6"/>
        <v/>
      </c>
    </row>
    <row r="414" spans="2:10" x14ac:dyDescent="0.25">
      <c r="B414" s="30"/>
      <c r="C414" s="30"/>
      <c r="D414" s="30"/>
      <c r="E414" s="30"/>
      <c r="F414" s="30"/>
      <c r="G414" s="30"/>
      <c r="H414" s="30"/>
      <c r="I414" s="30"/>
      <c r="J414" s="10" t="str">
        <f t="shared" si="6"/>
        <v/>
      </c>
    </row>
    <row r="415" spans="2:10" x14ac:dyDescent="0.25">
      <c r="B415" s="30"/>
      <c r="C415" s="30"/>
      <c r="D415" s="30"/>
      <c r="E415" s="30"/>
      <c r="F415" s="30"/>
      <c r="G415" s="30"/>
      <c r="H415" s="30"/>
      <c r="I415" s="30"/>
      <c r="J415" s="10" t="str">
        <f t="shared" si="6"/>
        <v/>
      </c>
    </row>
    <row r="416" spans="2:10" x14ac:dyDescent="0.25">
      <c r="B416" s="30"/>
      <c r="C416" s="30"/>
      <c r="D416" s="30"/>
      <c r="E416" s="30"/>
      <c r="F416" s="30"/>
      <c r="G416" s="30"/>
      <c r="H416" s="30"/>
      <c r="I416" s="30"/>
      <c r="J416" s="10" t="str">
        <f t="shared" si="6"/>
        <v/>
      </c>
    </row>
    <row r="417" spans="2:10" x14ac:dyDescent="0.25">
      <c r="B417" s="30"/>
      <c r="C417" s="30"/>
      <c r="D417" s="30"/>
      <c r="E417" s="30"/>
      <c r="F417" s="30"/>
      <c r="G417" s="30"/>
      <c r="H417" s="30"/>
      <c r="I417" s="30"/>
      <c r="J417" s="10" t="str">
        <f t="shared" si="6"/>
        <v/>
      </c>
    </row>
    <row r="418" spans="2:10" x14ac:dyDescent="0.25">
      <c r="B418" s="30"/>
      <c r="C418" s="30"/>
      <c r="D418" s="30"/>
      <c r="E418" s="30"/>
      <c r="F418" s="30"/>
      <c r="G418" s="30"/>
      <c r="H418" s="30"/>
      <c r="I418" s="30"/>
      <c r="J418" s="10" t="str">
        <f t="shared" si="6"/>
        <v/>
      </c>
    </row>
    <row r="419" spans="2:10" x14ac:dyDescent="0.25">
      <c r="B419" s="30"/>
      <c r="C419" s="30"/>
      <c r="D419" s="30"/>
      <c r="E419" s="30"/>
      <c r="F419" s="30"/>
      <c r="G419" s="30"/>
      <c r="H419" s="30"/>
      <c r="I419" s="30"/>
      <c r="J419" s="10" t="str">
        <f t="shared" si="6"/>
        <v/>
      </c>
    </row>
    <row r="420" spans="2:10" x14ac:dyDescent="0.25">
      <c r="B420" s="30"/>
      <c r="C420" s="30"/>
      <c r="D420" s="30"/>
      <c r="E420" s="30"/>
      <c r="F420" s="30"/>
      <c r="G420" s="30"/>
      <c r="H420" s="30"/>
      <c r="I420" s="30"/>
      <c r="J420" s="10" t="str">
        <f t="shared" si="6"/>
        <v/>
      </c>
    </row>
    <row r="421" spans="2:10" x14ac:dyDescent="0.25">
      <c r="B421" s="30"/>
      <c r="C421" s="30"/>
      <c r="D421" s="30"/>
      <c r="E421" s="30"/>
      <c r="F421" s="30"/>
      <c r="G421" s="30"/>
      <c r="H421" s="30"/>
      <c r="I421" s="30"/>
      <c r="J421" s="10" t="str">
        <f t="shared" si="6"/>
        <v/>
      </c>
    </row>
    <row r="422" spans="2:10" x14ac:dyDescent="0.25">
      <c r="B422" s="30"/>
      <c r="C422" s="30"/>
      <c r="D422" s="30"/>
      <c r="E422" s="30"/>
      <c r="F422" s="30"/>
      <c r="G422" s="30"/>
      <c r="H422" s="30"/>
      <c r="I422" s="30"/>
      <c r="J422" s="10" t="str">
        <f t="shared" si="6"/>
        <v/>
      </c>
    </row>
    <row r="423" spans="2:10" x14ac:dyDescent="0.25">
      <c r="B423" s="30"/>
      <c r="C423" s="30"/>
      <c r="D423" s="30"/>
      <c r="E423" s="30"/>
      <c r="F423" s="30"/>
      <c r="G423" s="30"/>
      <c r="H423" s="30"/>
      <c r="I423" s="30"/>
      <c r="J423" s="10" t="str">
        <f t="shared" si="6"/>
        <v/>
      </c>
    </row>
    <row r="424" spans="2:10" x14ac:dyDescent="0.25">
      <c r="B424" s="30"/>
      <c r="C424" s="30"/>
      <c r="D424" s="30"/>
      <c r="E424" s="30"/>
      <c r="F424" s="30"/>
      <c r="G424" s="30"/>
      <c r="H424" s="30"/>
      <c r="I424" s="30"/>
      <c r="J424" s="10" t="str">
        <f t="shared" si="6"/>
        <v/>
      </c>
    </row>
    <row r="425" spans="2:10" x14ac:dyDescent="0.25">
      <c r="B425" s="30"/>
      <c r="C425" s="30"/>
      <c r="D425" s="30"/>
      <c r="E425" s="30"/>
      <c r="F425" s="30"/>
      <c r="G425" s="30"/>
      <c r="H425" s="30"/>
      <c r="I425" s="30"/>
      <c r="J425" s="10" t="str">
        <f t="shared" si="6"/>
        <v/>
      </c>
    </row>
    <row r="426" spans="2:10" x14ac:dyDescent="0.25">
      <c r="B426" s="30"/>
      <c r="C426" s="30"/>
      <c r="D426" s="30"/>
      <c r="E426" s="30"/>
      <c r="F426" s="30"/>
      <c r="G426" s="30"/>
      <c r="H426" s="30"/>
      <c r="I426" s="30"/>
      <c r="J426" s="10" t="str">
        <f t="shared" si="6"/>
        <v/>
      </c>
    </row>
    <row r="427" spans="2:10" x14ac:dyDescent="0.25">
      <c r="B427" s="30"/>
      <c r="C427" s="30"/>
      <c r="D427" s="30"/>
      <c r="E427" s="30"/>
      <c r="F427" s="30"/>
      <c r="G427" s="30"/>
      <c r="H427" s="30"/>
      <c r="I427" s="30"/>
      <c r="J427" s="10" t="str">
        <f t="shared" si="6"/>
        <v/>
      </c>
    </row>
    <row r="428" spans="2:10" x14ac:dyDescent="0.25">
      <c r="B428" s="30"/>
      <c r="C428" s="30"/>
      <c r="D428" s="30"/>
      <c r="E428" s="30"/>
      <c r="F428" s="30"/>
      <c r="G428" s="30"/>
      <c r="H428" s="30"/>
      <c r="I428" s="30"/>
      <c r="J428" s="10" t="str">
        <f t="shared" si="6"/>
        <v/>
      </c>
    </row>
    <row r="429" spans="2:10" x14ac:dyDescent="0.25">
      <c r="B429" s="30"/>
      <c r="C429" s="30"/>
      <c r="D429" s="30"/>
      <c r="E429" s="30"/>
      <c r="F429" s="30"/>
      <c r="G429" s="30"/>
      <c r="H429" s="30"/>
      <c r="I429" s="30"/>
      <c r="J429" s="10" t="str">
        <f t="shared" si="6"/>
        <v/>
      </c>
    </row>
    <row r="430" spans="2:10" x14ac:dyDescent="0.25">
      <c r="B430" s="30"/>
      <c r="C430" s="30"/>
      <c r="D430" s="30"/>
      <c r="E430" s="30"/>
      <c r="F430" s="30"/>
      <c r="G430" s="30"/>
      <c r="H430" s="30"/>
      <c r="I430" s="30"/>
      <c r="J430" s="10" t="str">
        <f t="shared" si="6"/>
        <v/>
      </c>
    </row>
    <row r="431" spans="2:10" x14ac:dyDescent="0.25">
      <c r="B431" s="30"/>
      <c r="C431" s="30"/>
      <c r="D431" s="30"/>
      <c r="E431" s="30"/>
      <c r="F431" s="30"/>
      <c r="G431" s="30"/>
      <c r="H431" s="30"/>
      <c r="I431" s="30"/>
      <c r="J431" s="10" t="str">
        <f t="shared" si="6"/>
        <v/>
      </c>
    </row>
    <row r="432" spans="2:10" x14ac:dyDescent="0.25">
      <c r="B432" s="30"/>
      <c r="C432" s="30"/>
      <c r="D432" s="30"/>
      <c r="E432" s="30"/>
      <c r="F432" s="30"/>
      <c r="G432" s="30"/>
      <c r="H432" s="30"/>
      <c r="I432" s="30"/>
      <c r="J432" s="10" t="str">
        <f t="shared" si="6"/>
        <v/>
      </c>
    </row>
    <row r="433" spans="2:10" x14ac:dyDescent="0.25">
      <c r="B433" s="30"/>
      <c r="C433" s="30"/>
      <c r="D433" s="30"/>
      <c r="E433" s="30"/>
      <c r="F433" s="30"/>
      <c r="G433" s="30"/>
      <c r="H433" s="30"/>
      <c r="I433" s="30"/>
      <c r="J433" s="10" t="str">
        <f t="shared" si="6"/>
        <v/>
      </c>
    </row>
    <row r="434" spans="2:10" x14ac:dyDescent="0.25">
      <c r="B434" s="30"/>
      <c r="C434" s="30"/>
      <c r="D434" s="30"/>
      <c r="E434" s="30"/>
      <c r="F434" s="30"/>
      <c r="G434" s="30"/>
      <c r="H434" s="30"/>
      <c r="I434" s="30"/>
      <c r="J434" s="10" t="str">
        <f t="shared" si="6"/>
        <v/>
      </c>
    </row>
    <row r="435" spans="2:10" x14ac:dyDescent="0.25">
      <c r="B435" s="30"/>
      <c r="C435" s="30"/>
      <c r="D435" s="30"/>
      <c r="E435" s="30"/>
      <c r="F435" s="30"/>
      <c r="G435" s="30"/>
      <c r="H435" s="30"/>
      <c r="I435" s="30"/>
      <c r="J435" s="10" t="str">
        <f t="shared" si="6"/>
        <v/>
      </c>
    </row>
    <row r="436" spans="2:10" x14ac:dyDescent="0.25">
      <c r="B436" s="30"/>
      <c r="C436" s="30"/>
      <c r="D436" s="30"/>
      <c r="E436" s="30"/>
      <c r="F436" s="30"/>
      <c r="G436" s="30"/>
      <c r="H436" s="30"/>
      <c r="I436" s="30"/>
      <c r="J436" s="10" t="str">
        <f t="shared" si="6"/>
        <v/>
      </c>
    </row>
    <row r="437" spans="2:10" x14ac:dyDescent="0.25">
      <c r="B437" s="30"/>
      <c r="C437" s="30"/>
      <c r="D437" s="30"/>
      <c r="E437" s="30"/>
      <c r="F437" s="30"/>
      <c r="G437" s="30"/>
      <c r="H437" s="30"/>
      <c r="I437" s="30"/>
      <c r="J437" s="10" t="str">
        <f t="shared" si="6"/>
        <v/>
      </c>
    </row>
    <row r="438" spans="2:10" x14ac:dyDescent="0.25">
      <c r="B438" s="30"/>
      <c r="C438" s="30"/>
      <c r="D438" s="30"/>
      <c r="E438" s="30"/>
      <c r="F438" s="30"/>
      <c r="G438" s="30"/>
      <c r="H438" s="30"/>
      <c r="I438" s="30"/>
      <c r="J438" s="10" t="str">
        <f t="shared" si="6"/>
        <v/>
      </c>
    </row>
    <row r="439" spans="2:10" x14ac:dyDescent="0.25">
      <c r="B439" s="30"/>
      <c r="C439" s="30"/>
      <c r="D439" s="30"/>
      <c r="E439" s="30"/>
      <c r="F439" s="30"/>
      <c r="G439" s="30"/>
      <c r="H439" s="30"/>
      <c r="I439" s="30"/>
      <c r="J439" s="10" t="str">
        <f t="shared" si="6"/>
        <v/>
      </c>
    </row>
    <row r="440" spans="2:10" x14ac:dyDescent="0.25">
      <c r="B440" s="30"/>
      <c r="C440" s="30"/>
      <c r="D440" s="30"/>
      <c r="E440" s="30"/>
      <c r="F440" s="30"/>
      <c r="G440" s="30"/>
      <c r="H440" s="30"/>
      <c r="I440" s="30"/>
      <c r="J440" s="10" t="str">
        <f t="shared" si="6"/>
        <v/>
      </c>
    </row>
    <row r="441" spans="2:10" x14ac:dyDescent="0.25">
      <c r="B441" s="30"/>
      <c r="C441" s="30"/>
      <c r="D441" s="30"/>
      <c r="E441" s="30"/>
      <c r="F441" s="30"/>
      <c r="G441" s="30"/>
      <c r="H441" s="30"/>
      <c r="I441" s="30"/>
      <c r="J441" s="10" t="str">
        <f t="shared" si="6"/>
        <v/>
      </c>
    </row>
    <row r="442" spans="2:10" x14ac:dyDescent="0.25">
      <c r="B442" s="30"/>
      <c r="C442" s="30"/>
      <c r="D442" s="30"/>
      <c r="E442" s="30"/>
      <c r="F442" s="30"/>
      <c r="G442" s="30"/>
      <c r="H442" s="30"/>
      <c r="I442" s="30"/>
      <c r="J442" s="10" t="str">
        <f t="shared" si="6"/>
        <v/>
      </c>
    </row>
    <row r="443" spans="2:10" x14ac:dyDescent="0.25">
      <c r="B443" s="30"/>
      <c r="C443" s="30"/>
      <c r="D443" s="30"/>
      <c r="E443" s="30"/>
      <c r="F443" s="30"/>
      <c r="G443" s="30"/>
      <c r="H443" s="30"/>
      <c r="I443" s="30"/>
      <c r="J443" s="10" t="str">
        <f t="shared" si="6"/>
        <v/>
      </c>
    </row>
    <row r="444" spans="2:10" x14ac:dyDescent="0.25">
      <c r="B444" s="30"/>
      <c r="C444" s="30"/>
      <c r="D444" s="30"/>
      <c r="E444" s="30"/>
      <c r="F444" s="30"/>
      <c r="G444" s="30"/>
      <c r="H444" s="30"/>
      <c r="I444" s="30"/>
      <c r="J444" s="10" t="str">
        <f t="shared" si="6"/>
        <v/>
      </c>
    </row>
    <row r="445" spans="2:10" x14ac:dyDescent="0.25">
      <c r="B445" s="30"/>
      <c r="C445" s="30"/>
      <c r="D445" s="30"/>
      <c r="E445" s="30"/>
      <c r="F445" s="30"/>
      <c r="G445" s="30"/>
      <c r="H445" s="30"/>
      <c r="I445" s="30"/>
      <c r="J445" s="10" t="str">
        <f t="shared" si="6"/>
        <v/>
      </c>
    </row>
    <row r="446" spans="2:10" x14ac:dyDescent="0.25">
      <c r="B446" s="30"/>
      <c r="C446" s="30"/>
      <c r="D446" s="30"/>
      <c r="E446" s="30"/>
      <c r="F446" s="30"/>
      <c r="G446" s="30"/>
      <c r="H446" s="30"/>
      <c r="I446" s="30"/>
      <c r="J446" s="10" t="str">
        <f t="shared" si="6"/>
        <v/>
      </c>
    </row>
    <row r="447" spans="2:10" x14ac:dyDescent="0.25">
      <c r="B447" s="30"/>
      <c r="C447" s="30"/>
      <c r="D447" s="30"/>
      <c r="E447" s="30"/>
      <c r="F447" s="30"/>
      <c r="G447" s="30"/>
      <c r="H447" s="30"/>
      <c r="I447" s="30"/>
      <c r="J447" s="10" t="str">
        <f t="shared" si="6"/>
        <v/>
      </c>
    </row>
    <row r="448" spans="2:10" x14ac:dyDescent="0.25">
      <c r="B448" s="30"/>
      <c r="C448" s="30"/>
      <c r="D448" s="30"/>
      <c r="E448" s="30"/>
      <c r="F448" s="30"/>
      <c r="G448" s="30"/>
      <c r="H448" s="30"/>
      <c r="I448" s="30"/>
      <c r="J448" s="10" t="str">
        <f t="shared" si="6"/>
        <v/>
      </c>
    </row>
    <row r="449" spans="2:10" x14ac:dyDescent="0.25">
      <c r="B449" s="30"/>
      <c r="C449" s="30"/>
      <c r="D449" s="30"/>
      <c r="E449" s="30"/>
      <c r="F449" s="30"/>
      <c r="G449" s="30"/>
      <c r="H449" s="30"/>
      <c r="I449" s="30"/>
      <c r="J449" s="10" t="str">
        <f t="shared" si="6"/>
        <v/>
      </c>
    </row>
    <row r="450" spans="2:10" x14ac:dyDescent="0.25">
      <c r="B450" s="30"/>
      <c r="C450" s="30"/>
      <c r="D450" s="30"/>
      <c r="E450" s="30"/>
      <c r="F450" s="30"/>
      <c r="G450" s="30"/>
      <c r="H450" s="30"/>
      <c r="I450" s="30"/>
      <c r="J450" s="10" t="str">
        <f t="shared" si="6"/>
        <v/>
      </c>
    </row>
    <row r="451" spans="2:10" x14ac:dyDescent="0.25">
      <c r="B451" s="30"/>
      <c r="C451" s="30"/>
      <c r="D451" s="30"/>
      <c r="E451" s="30"/>
      <c r="F451" s="30"/>
      <c r="G451" s="30"/>
      <c r="H451" s="30"/>
      <c r="I451" s="30"/>
      <c r="J451" s="10" t="str">
        <f t="shared" ref="J451:J502" si="7">IF(AND(D451="",B451=""),"",IF(D451="",B451,D451)&amp;" ("&amp;E451&amp;")")</f>
        <v/>
      </c>
    </row>
    <row r="452" spans="2:10" x14ac:dyDescent="0.25">
      <c r="B452" s="30"/>
      <c r="C452" s="30"/>
      <c r="D452" s="30"/>
      <c r="E452" s="30"/>
      <c r="F452" s="30"/>
      <c r="G452" s="30"/>
      <c r="H452" s="30"/>
      <c r="I452" s="30"/>
      <c r="J452" s="10" t="str">
        <f t="shared" si="7"/>
        <v/>
      </c>
    </row>
    <row r="453" spans="2:10" x14ac:dyDescent="0.25">
      <c r="B453" s="30"/>
      <c r="C453" s="30"/>
      <c r="D453" s="30"/>
      <c r="E453" s="30"/>
      <c r="F453" s="30"/>
      <c r="G453" s="30"/>
      <c r="H453" s="30"/>
      <c r="I453" s="30"/>
      <c r="J453" s="10" t="str">
        <f t="shared" si="7"/>
        <v/>
      </c>
    </row>
    <row r="454" spans="2:10" x14ac:dyDescent="0.25">
      <c r="B454" s="30"/>
      <c r="C454" s="30"/>
      <c r="D454" s="30"/>
      <c r="E454" s="30"/>
      <c r="F454" s="30"/>
      <c r="G454" s="30"/>
      <c r="H454" s="30"/>
      <c r="I454" s="30"/>
      <c r="J454" s="10" t="str">
        <f t="shared" si="7"/>
        <v/>
      </c>
    </row>
    <row r="455" spans="2:10" x14ac:dyDescent="0.25">
      <c r="B455" s="30"/>
      <c r="C455" s="30"/>
      <c r="D455" s="30"/>
      <c r="E455" s="30"/>
      <c r="F455" s="30"/>
      <c r="G455" s="30"/>
      <c r="H455" s="30"/>
      <c r="I455" s="30"/>
      <c r="J455" s="10" t="str">
        <f t="shared" si="7"/>
        <v/>
      </c>
    </row>
    <row r="456" spans="2:10" x14ac:dyDescent="0.25">
      <c r="B456" s="30"/>
      <c r="C456" s="30"/>
      <c r="D456" s="30"/>
      <c r="E456" s="30"/>
      <c r="F456" s="30"/>
      <c r="G456" s="30"/>
      <c r="H456" s="30"/>
      <c r="I456" s="30"/>
      <c r="J456" s="10" t="str">
        <f t="shared" si="7"/>
        <v/>
      </c>
    </row>
    <row r="457" spans="2:10" x14ac:dyDescent="0.25">
      <c r="B457" s="30"/>
      <c r="C457" s="30"/>
      <c r="D457" s="30"/>
      <c r="E457" s="30"/>
      <c r="F457" s="30"/>
      <c r="G457" s="30"/>
      <c r="H457" s="30"/>
      <c r="I457" s="30"/>
      <c r="J457" s="10" t="str">
        <f t="shared" si="7"/>
        <v/>
      </c>
    </row>
    <row r="458" spans="2:10" x14ac:dyDescent="0.25">
      <c r="B458" s="30"/>
      <c r="C458" s="30"/>
      <c r="D458" s="30"/>
      <c r="E458" s="30"/>
      <c r="F458" s="30"/>
      <c r="G458" s="30"/>
      <c r="H458" s="30"/>
      <c r="I458" s="30"/>
      <c r="J458" s="10" t="str">
        <f t="shared" si="7"/>
        <v/>
      </c>
    </row>
    <row r="459" spans="2:10" x14ac:dyDescent="0.25">
      <c r="B459" s="30"/>
      <c r="C459" s="30"/>
      <c r="D459" s="30"/>
      <c r="E459" s="30"/>
      <c r="F459" s="30"/>
      <c r="G459" s="30"/>
      <c r="H459" s="30"/>
      <c r="I459" s="30"/>
      <c r="J459" s="10" t="str">
        <f t="shared" si="7"/>
        <v/>
      </c>
    </row>
    <row r="460" spans="2:10" x14ac:dyDescent="0.25">
      <c r="B460" s="30"/>
      <c r="C460" s="30"/>
      <c r="D460" s="30"/>
      <c r="E460" s="30"/>
      <c r="F460" s="30"/>
      <c r="G460" s="30"/>
      <c r="H460" s="30"/>
      <c r="I460" s="30"/>
      <c r="J460" s="10" t="str">
        <f t="shared" si="7"/>
        <v/>
      </c>
    </row>
    <row r="461" spans="2:10" x14ac:dyDescent="0.25">
      <c r="B461" s="30"/>
      <c r="C461" s="30"/>
      <c r="D461" s="30"/>
      <c r="E461" s="30"/>
      <c r="F461" s="30"/>
      <c r="G461" s="30"/>
      <c r="H461" s="30"/>
      <c r="I461" s="30"/>
      <c r="J461" s="10" t="str">
        <f t="shared" si="7"/>
        <v/>
      </c>
    </row>
    <row r="462" spans="2:10" x14ac:dyDescent="0.25">
      <c r="B462" s="30"/>
      <c r="C462" s="30"/>
      <c r="D462" s="30"/>
      <c r="E462" s="30"/>
      <c r="F462" s="30"/>
      <c r="G462" s="30"/>
      <c r="H462" s="30"/>
      <c r="I462" s="30"/>
      <c r="J462" s="10" t="str">
        <f t="shared" si="7"/>
        <v/>
      </c>
    </row>
    <row r="463" spans="2:10" x14ac:dyDescent="0.25">
      <c r="B463" s="30"/>
      <c r="C463" s="30"/>
      <c r="D463" s="30"/>
      <c r="E463" s="30"/>
      <c r="F463" s="30"/>
      <c r="G463" s="30"/>
      <c r="H463" s="30"/>
      <c r="I463" s="30"/>
      <c r="J463" s="10" t="str">
        <f t="shared" si="7"/>
        <v/>
      </c>
    </row>
    <row r="464" spans="2:10" x14ac:dyDescent="0.25">
      <c r="B464" s="30"/>
      <c r="C464" s="30"/>
      <c r="D464" s="30"/>
      <c r="E464" s="30"/>
      <c r="F464" s="30"/>
      <c r="G464" s="30"/>
      <c r="H464" s="30"/>
      <c r="I464" s="30"/>
      <c r="J464" s="10" t="str">
        <f t="shared" si="7"/>
        <v/>
      </c>
    </row>
    <row r="465" spans="2:10" x14ac:dyDescent="0.25">
      <c r="B465" s="30"/>
      <c r="C465" s="30"/>
      <c r="D465" s="30"/>
      <c r="E465" s="30"/>
      <c r="F465" s="30"/>
      <c r="G465" s="30"/>
      <c r="H465" s="30"/>
      <c r="I465" s="30"/>
      <c r="J465" s="10" t="str">
        <f t="shared" si="7"/>
        <v/>
      </c>
    </row>
    <row r="466" spans="2:10" x14ac:dyDescent="0.25">
      <c r="B466" s="30"/>
      <c r="C466" s="30"/>
      <c r="D466" s="30"/>
      <c r="E466" s="30"/>
      <c r="F466" s="30"/>
      <c r="G466" s="30"/>
      <c r="H466" s="30"/>
      <c r="I466" s="30"/>
      <c r="J466" s="10" t="str">
        <f t="shared" si="7"/>
        <v/>
      </c>
    </row>
    <row r="467" spans="2:10" x14ac:dyDescent="0.25">
      <c r="B467" s="30"/>
      <c r="C467" s="30"/>
      <c r="D467" s="30"/>
      <c r="E467" s="30"/>
      <c r="F467" s="30"/>
      <c r="G467" s="30"/>
      <c r="H467" s="30"/>
      <c r="I467" s="30"/>
      <c r="J467" s="10" t="str">
        <f t="shared" si="7"/>
        <v/>
      </c>
    </row>
    <row r="468" spans="2:10" x14ac:dyDescent="0.25">
      <c r="B468" s="30"/>
      <c r="C468" s="30"/>
      <c r="D468" s="30"/>
      <c r="E468" s="30"/>
      <c r="F468" s="30"/>
      <c r="G468" s="30"/>
      <c r="H468" s="30"/>
      <c r="I468" s="30"/>
      <c r="J468" s="10" t="str">
        <f t="shared" si="7"/>
        <v/>
      </c>
    </row>
    <row r="469" spans="2:10" x14ac:dyDescent="0.25">
      <c r="B469" s="30"/>
      <c r="C469" s="30"/>
      <c r="D469" s="30"/>
      <c r="E469" s="30"/>
      <c r="F469" s="30"/>
      <c r="G469" s="30"/>
      <c r="H469" s="30"/>
      <c r="I469" s="30"/>
      <c r="J469" s="10" t="str">
        <f t="shared" si="7"/>
        <v/>
      </c>
    </row>
    <row r="470" spans="2:10" x14ac:dyDescent="0.25">
      <c r="B470" s="30"/>
      <c r="C470" s="30"/>
      <c r="D470" s="30"/>
      <c r="E470" s="30"/>
      <c r="F470" s="30"/>
      <c r="G470" s="30"/>
      <c r="H470" s="30"/>
      <c r="I470" s="30"/>
      <c r="J470" s="10" t="str">
        <f t="shared" si="7"/>
        <v/>
      </c>
    </row>
    <row r="471" spans="2:10" x14ac:dyDescent="0.25">
      <c r="B471" s="30"/>
      <c r="C471" s="30"/>
      <c r="D471" s="30"/>
      <c r="E471" s="30"/>
      <c r="F471" s="30"/>
      <c r="G471" s="30"/>
      <c r="H471" s="30"/>
      <c r="I471" s="30"/>
      <c r="J471" s="10" t="str">
        <f t="shared" si="7"/>
        <v/>
      </c>
    </row>
    <row r="472" spans="2:10" x14ac:dyDescent="0.25">
      <c r="B472" s="30"/>
      <c r="C472" s="30"/>
      <c r="D472" s="30"/>
      <c r="E472" s="30"/>
      <c r="F472" s="30"/>
      <c r="G472" s="30"/>
      <c r="H472" s="30"/>
      <c r="I472" s="30"/>
      <c r="J472" s="10" t="str">
        <f t="shared" si="7"/>
        <v/>
      </c>
    </row>
    <row r="473" spans="2:10" x14ac:dyDescent="0.25">
      <c r="B473" s="30"/>
      <c r="C473" s="30"/>
      <c r="D473" s="30"/>
      <c r="E473" s="30"/>
      <c r="F473" s="30"/>
      <c r="G473" s="30"/>
      <c r="H473" s="30"/>
      <c r="I473" s="30"/>
      <c r="J473" s="10" t="str">
        <f t="shared" si="7"/>
        <v/>
      </c>
    </row>
    <row r="474" spans="2:10" x14ac:dyDescent="0.25">
      <c r="B474" s="30"/>
      <c r="C474" s="30"/>
      <c r="D474" s="30"/>
      <c r="E474" s="30"/>
      <c r="F474" s="30"/>
      <c r="G474" s="30"/>
      <c r="H474" s="30"/>
      <c r="I474" s="30"/>
      <c r="J474" s="10" t="str">
        <f t="shared" si="7"/>
        <v/>
      </c>
    </row>
    <row r="475" spans="2:10" x14ac:dyDescent="0.25">
      <c r="B475" s="30"/>
      <c r="C475" s="30"/>
      <c r="D475" s="30"/>
      <c r="E475" s="30"/>
      <c r="F475" s="30"/>
      <c r="G475" s="30"/>
      <c r="H475" s="30"/>
      <c r="I475" s="30"/>
      <c r="J475" s="10" t="str">
        <f t="shared" si="7"/>
        <v/>
      </c>
    </row>
    <row r="476" spans="2:10" x14ac:dyDescent="0.25">
      <c r="B476" s="30"/>
      <c r="C476" s="30"/>
      <c r="D476" s="30"/>
      <c r="E476" s="30"/>
      <c r="F476" s="30"/>
      <c r="G476" s="30"/>
      <c r="H476" s="30"/>
      <c r="I476" s="30"/>
      <c r="J476" s="10" t="str">
        <f t="shared" si="7"/>
        <v/>
      </c>
    </row>
    <row r="477" spans="2:10" x14ac:dyDescent="0.25">
      <c r="B477" s="30"/>
      <c r="C477" s="30"/>
      <c r="D477" s="30"/>
      <c r="E477" s="30"/>
      <c r="F477" s="30"/>
      <c r="G477" s="30"/>
      <c r="H477" s="30"/>
      <c r="I477" s="30"/>
      <c r="J477" s="10" t="str">
        <f t="shared" si="7"/>
        <v/>
      </c>
    </row>
    <row r="478" spans="2:10" x14ac:dyDescent="0.25">
      <c r="B478" s="30"/>
      <c r="C478" s="30"/>
      <c r="D478" s="30"/>
      <c r="E478" s="30"/>
      <c r="F478" s="30"/>
      <c r="G478" s="30"/>
      <c r="H478" s="30"/>
      <c r="I478" s="30"/>
      <c r="J478" s="10" t="str">
        <f t="shared" si="7"/>
        <v/>
      </c>
    </row>
    <row r="479" spans="2:10" x14ac:dyDescent="0.25">
      <c r="B479" s="30"/>
      <c r="C479" s="30"/>
      <c r="D479" s="30"/>
      <c r="E479" s="30"/>
      <c r="F479" s="30"/>
      <c r="G479" s="30"/>
      <c r="H479" s="30"/>
      <c r="I479" s="30"/>
      <c r="J479" s="10" t="str">
        <f t="shared" si="7"/>
        <v/>
      </c>
    </row>
    <row r="480" spans="2:10" x14ac:dyDescent="0.25">
      <c r="B480" s="30"/>
      <c r="C480" s="30"/>
      <c r="D480" s="30"/>
      <c r="E480" s="30"/>
      <c r="F480" s="30"/>
      <c r="G480" s="30"/>
      <c r="H480" s="30"/>
      <c r="I480" s="30"/>
      <c r="J480" s="10" t="str">
        <f t="shared" si="7"/>
        <v/>
      </c>
    </row>
    <row r="481" spans="2:10" x14ac:dyDescent="0.25">
      <c r="B481" s="30"/>
      <c r="C481" s="30"/>
      <c r="D481" s="30"/>
      <c r="E481" s="30"/>
      <c r="F481" s="30"/>
      <c r="G481" s="30"/>
      <c r="H481" s="30"/>
      <c r="I481" s="30"/>
      <c r="J481" s="10" t="str">
        <f t="shared" si="7"/>
        <v/>
      </c>
    </row>
    <row r="482" spans="2:10" x14ac:dyDescent="0.25">
      <c r="B482" s="30"/>
      <c r="C482" s="30"/>
      <c r="D482" s="30"/>
      <c r="E482" s="30"/>
      <c r="F482" s="30"/>
      <c r="G482" s="30"/>
      <c r="H482" s="30"/>
      <c r="I482" s="30"/>
      <c r="J482" s="10" t="str">
        <f t="shared" si="7"/>
        <v/>
      </c>
    </row>
    <row r="483" spans="2:10" x14ac:dyDescent="0.25">
      <c r="B483" s="30"/>
      <c r="C483" s="30"/>
      <c r="D483" s="30"/>
      <c r="E483" s="30"/>
      <c r="F483" s="30"/>
      <c r="G483" s="30"/>
      <c r="H483" s="30"/>
      <c r="I483" s="30"/>
      <c r="J483" s="10" t="str">
        <f t="shared" si="7"/>
        <v/>
      </c>
    </row>
    <row r="484" spans="2:10" x14ac:dyDescent="0.25">
      <c r="B484" s="30"/>
      <c r="C484" s="30"/>
      <c r="D484" s="30"/>
      <c r="E484" s="30"/>
      <c r="F484" s="30"/>
      <c r="G484" s="30"/>
      <c r="H484" s="30"/>
      <c r="I484" s="30"/>
      <c r="J484" s="10" t="str">
        <f t="shared" si="7"/>
        <v/>
      </c>
    </row>
    <row r="485" spans="2:10" x14ac:dyDescent="0.25">
      <c r="B485" s="30"/>
      <c r="C485" s="30"/>
      <c r="D485" s="30"/>
      <c r="E485" s="30"/>
      <c r="F485" s="30"/>
      <c r="G485" s="30"/>
      <c r="H485" s="30"/>
      <c r="I485" s="30"/>
      <c r="J485" s="10" t="str">
        <f t="shared" si="7"/>
        <v/>
      </c>
    </row>
    <row r="486" spans="2:10" x14ac:dyDescent="0.25">
      <c r="B486" s="30"/>
      <c r="C486" s="30"/>
      <c r="D486" s="30"/>
      <c r="E486" s="30"/>
      <c r="F486" s="30"/>
      <c r="G486" s="30"/>
      <c r="H486" s="30"/>
      <c r="I486" s="30"/>
      <c r="J486" s="10" t="str">
        <f t="shared" si="7"/>
        <v/>
      </c>
    </row>
    <row r="487" spans="2:10" x14ac:dyDescent="0.25">
      <c r="B487" s="30"/>
      <c r="C487" s="30"/>
      <c r="D487" s="30"/>
      <c r="E487" s="30"/>
      <c r="F487" s="30"/>
      <c r="G487" s="30"/>
      <c r="H487" s="30"/>
      <c r="I487" s="30"/>
      <c r="J487" s="10" t="str">
        <f t="shared" si="7"/>
        <v/>
      </c>
    </row>
    <row r="488" spans="2:10" x14ac:dyDescent="0.25">
      <c r="B488" s="30"/>
      <c r="C488" s="30"/>
      <c r="D488" s="30"/>
      <c r="E488" s="30"/>
      <c r="F488" s="30"/>
      <c r="G488" s="30"/>
      <c r="H488" s="30"/>
      <c r="I488" s="30"/>
      <c r="J488" s="10" t="str">
        <f t="shared" si="7"/>
        <v/>
      </c>
    </row>
    <row r="489" spans="2:10" x14ac:dyDescent="0.25">
      <c r="B489" s="30"/>
      <c r="C489" s="30"/>
      <c r="D489" s="30"/>
      <c r="E489" s="30"/>
      <c r="F489" s="30"/>
      <c r="G489" s="30"/>
      <c r="H489" s="30"/>
      <c r="I489" s="30"/>
      <c r="J489" s="10" t="str">
        <f t="shared" si="7"/>
        <v/>
      </c>
    </row>
    <row r="490" spans="2:10" x14ac:dyDescent="0.25">
      <c r="B490" s="30"/>
      <c r="C490" s="30"/>
      <c r="D490" s="30"/>
      <c r="E490" s="30"/>
      <c r="F490" s="30"/>
      <c r="G490" s="30"/>
      <c r="H490" s="30"/>
      <c r="I490" s="30"/>
      <c r="J490" s="10" t="str">
        <f t="shared" si="7"/>
        <v/>
      </c>
    </row>
    <row r="491" spans="2:10" x14ac:dyDescent="0.25">
      <c r="B491" s="30"/>
      <c r="C491" s="30"/>
      <c r="D491" s="30"/>
      <c r="E491" s="30"/>
      <c r="F491" s="30"/>
      <c r="G491" s="30"/>
      <c r="H491" s="30"/>
      <c r="I491" s="30"/>
      <c r="J491" s="10" t="str">
        <f t="shared" si="7"/>
        <v/>
      </c>
    </row>
    <row r="492" spans="2:10" x14ac:dyDescent="0.25">
      <c r="B492" s="30"/>
      <c r="C492" s="30"/>
      <c r="D492" s="30"/>
      <c r="E492" s="30"/>
      <c r="F492" s="30"/>
      <c r="G492" s="30"/>
      <c r="H492" s="30"/>
      <c r="I492" s="30"/>
      <c r="J492" s="10" t="str">
        <f t="shared" si="7"/>
        <v/>
      </c>
    </row>
    <row r="493" spans="2:10" x14ac:dyDescent="0.25">
      <c r="B493" s="30"/>
      <c r="C493" s="30"/>
      <c r="D493" s="30"/>
      <c r="E493" s="30"/>
      <c r="F493" s="30"/>
      <c r="G493" s="30"/>
      <c r="H493" s="30"/>
      <c r="I493" s="30"/>
      <c r="J493" s="10" t="str">
        <f t="shared" si="7"/>
        <v/>
      </c>
    </row>
    <row r="494" spans="2:10" x14ac:dyDescent="0.25">
      <c r="B494" s="30"/>
      <c r="C494" s="30"/>
      <c r="D494" s="30"/>
      <c r="E494" s="30"/>
      <c r="F494" s="30"/>
      <c r="G494" s="30"/>
      <c r="H494" s="30"/>
      <c r="I494" s="30"/>
      <c r="J494" s="10" t="str">
        <f t="shared" si="7"/>
        <v/>
      </c>
    </row>
    <row r="495" spans="2:10" x14ac:dyDescent="0.25">
      <c r="B495" s="30"/>
      <c r="C495" s="30"/>
      <c r="D495" s="30"/>
      <c r="E495" s="30"/>
      <c r="F495" s="30"/>
      <c r="G495" s="30"/>
      <c r="H495" s="30"/>
      <c r="I495" s="30"/>
      <c r="J495" s="10" t="str">
        <f t="shared" si="7"/>
        <v/>
      </c>
    </row>
    <row r="496" spans="2:10" x14ac:dyDescent="0.25">
      <c r="B496" s="30"/>
      <c r="C496" s="30"/>
      <c r="D496" s="30"/>
      <c r="E496" s="30"/>
      <c r="F496" s="30"/>
      <c r="G496" s="30"/>
      <c r="H496" s="30"/>
      <c r="I496" s="30"/>
      <c r="J496" s="10" t="str">
        <f t="shared" si="7"/>
        <v/>
      </c>
    </row>
    <row r="497" spans="2:10" x14ac:dyDescent="0.25">
      <c r="B497" s="30"/>
      <c r="C497" s="30"/>
      <c r="D497" s="30"/>
      <c r="E497" s="30"/>
      <c r="F497" s="30"/>
      <c r="G497" s="30"/>
      <c r="H497" s="30"/>
      <c r="I497" s="30"/>
      <c r="J497" s="10" t="str">
        <f t="shared" si="7"/>
        <v/>
      </c>
    </row>
    <row r="498" spans="2:10" x14ac:dyDescent="0.25">
      <c r="B498" s="30"/>
      <c r="C498" s="30"/>
      <c r="D498" s="30"/>
      <c r="E498" s="30"/>
      <c r="F498" s="30"/>
      <c r="G498" s="30"/>
      <c r="H498" s="30"/>
      <c r="I498" s="30"/>
      <c r="J498" s="10" t="str">
        <f t="shared" si="7"/>
        <v/>
      </c>
    </row>
    <row r="499" spans="2:10" x14ac:dyDescent="0.25">
      <c r="B499" s="30"/>
      <c r="C499" s="30"/>
      <c r="D499" s="30"/>
      <c r="E499" s="30"/>
      <c r="F499" s="30"/>
      <c r="G499" s="30"/>
      <c r="H499" s="30"/>
      <c r="I499" s="30"/>
      <c r="J499" s="10" t="str">
        <f t="shared" si="7"/>
        <v/>
      </c>
    </row>
    <row r="500" spans="2:10" x14ac:dyDescent="0.25">
      <c r="B500" s="30"/>
      <c r="C500" s="30"/>
      <c r="D500" s="30"/>
      <c r="E500" s="30"/>
      <c r="F500" s="30"/>
      <c r="G500" s="30"/>
      <c r="H500" s="30"/>
      <c r="I500" s="30"/>
      <c r="J500" s="10" t="str">
        <f t="shared" si="7"/>
        <v/>
      </c>
    </row>
    <row r="501" spans="2:10" x14ac:dyDescent="0.25">
      <c r="B501" s="30"/>
      <c r="C501" s="30"/>
      <c r="D501" s="30"/>
      <c r="E501" s="30"/>
      <c r="F501" s="30"/>
      <c r="G501" s="30"/>
      <c r="H501" s="30"/>
      <c r="I501" s="30"/>
      <c r="J501" s="10" t="str">
        <f t="shared" si="7"/>
        <v/>
      </c>
    </row>
    <row r="502" spans="2:10" x14ac:dyDescent="0.25">
      <c r="B502" s="30"/>
      <c r="C502" s="30"/>
      <c r="D502" s="30"/>
      <c r="E502" s="30"/>
      <c r="F502" s="30"/>
      <c r="G502" s="30"/>
      <c r="H502" s="30"/>
      <c r="I502" s="30"/>
      <c r="J502" s="10" t="str">
        <f t="shared" si="7"/>
        <v/>
      </c>
    </row>
  </sheetData>
  <sortState xmlns:xlrd2="http://schemas.microsoft.com/office/spreadsheetml/2017/richdata2" ref="B3:G60">
    <sortCondition ref="B3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07"/>
  <sheetViews>
    <sheetView topLeftCell="A78" workbookViewId="0">
      <selection activeCell="H94" sqref="H94"/>
    </sheetView>
  </sheetViews>
  <sheetFormatPr defaultColWidth="9.140625" defaultRowHeight="15" x14ac:dyDescent="0.25"/>
  <cols>
    <col min="1" max="1" width="36.5703125" style="10" bestFit="1" customWidth="1"/>
    <col min="2" max="2" width="9.140625" style="10"/>
    <col min="3" max="3" width="11.7109375" style="10" bestFit="1" customWidth="1"/>
    <col min="4" max="32" width="9.140625" style="10"/>
    <col min="33" max="33" width="15.85546875" style="10" bestFit="1" customWidth="1"/>
    <col min="34" max="34" width="31.5703125" style="10" bestFit="1" customWidth="1"/>
    <col min="35" max="35" width="9.140625" style="10"/>
    <col min="36" max="36" width="11.5703125" style="10" customWidth="1"/>
    <col min="37" max="39" width="9.140625" style="10"/>
    <col min="40" max="40" width="10.28515625" style="10" customWidth="1"/>
    <col min="41" max="16384" width="9.140625" style="10"/>
  </cols>
  <sheetData>
    <row r="1" spans="1:56" x14ac:dyDescent="0.25">
      <c r="B1" s="10" t="s">
        <v>42</v>
      </c>
      <c r="C1" s="10" t="s">
        <v>62</v>
      </c>
    </row>
    <row r="2" spans="1:56" x14ac:dyDescent="0.25">
      <c r="A2" s="7" t="s">
        <v>6</v>
      </c>
      <c r="B2" s="11">
        <f>_xlfn.NORM.DIST(Main!C26,100,15,TRUE)</f>
        <v>1.2710902995882544E-2</v>
      </c>
      <c r="C2" s="10">
        <f>ROUND(B2,MAX(2,1-(1+INT(IFERROR(LOG10(ABS(MIN(B2,1-B2))),1)))))</f>
        <v>0.01</v>
      </c>
      <c r="E2" s="10" t="s">
        <v>6</v>
      </c>
      <c r="F2" s="60">
        <f>Main!C26</f>
        <v>66.476018320026895</v>
      </c>
      <c r="H2" s="10" t="s">
        <v>198</v>
      </c>
      <c r="I2" s="10" t="str">
        <f>ROUND(F7,0)&amp;"–"&amp;ROUND(F8,0)</f>
        <v>64–69</v>
      </c>
    </row>
    <row r="3" spans="1:56" ht="18" x14ac:dyDescent="0.25">
      <c r="A3" s="7" t="s">
        <v>61</v>
      </c>
      <c r="B3" s="5">
        <f>IF(Main!C29&lt;2,"",1-CHIDIST(Main!C27^2,Main!C29-1))</f>
        <v>9.3779837190478776E-2</v>
      </c>
      <c r="C3" s="10">
        <f>IF(B3="","",ROUND(B3,MAX(2,1-(1+INT(IFERROR(LOG10(ABS(MIN(B3,1-B3))),1))))))</f>
        <v>0.09</v>
      </c>
      <c r="E3" s="10" t="s">
        <v>197</v>
      </c>
      <c r="F3" s="10">
        <f>B7*(F2-100) + 100</f>
        <v>66.72781018089789</v>
      </c>
    </row>
    <row r="4" spans="1:56" ht="18" x14ac:dyDescent="0.25">
      <c r="A4" s="7" t="s">
        <v>60</v>
      </c>
      <c r="B4" s="5">
        <f>1-CHIDIST(Main!C28^2,Main!C29)</f>
        <v>0.6955642549353287</v>
      </c>
      <c r="C4" s="10">
        <f>ROUND(B4,MAX(2,1-(1+INT(IFERROR(LOG10(ABS(MIN(B4,1-B4))),1)))))</f>
        <v>0.7</v>
      </c>
      <c r="E4" s="10" t="s">
        <v>13</v>
      </c>
      <c r="F4" s="10">
        <f>15*SQRT(B7*(1-B7))</f>
        <v>1.2950818013840766</v>
      </c>
    </row>
    <row r="5" spans="1:56" x14ac:dyDescent="0.25">
      <c r="A5" s="59" t="s">
        <v>193</v>
      </c>
      <c r="B5" s="28">
        <f>SUM(A44:T63)</f>
        <v>18.639829814041647</v>
      </c>
      <c r="D5" s="8"/>
      <c r="E5" s="8" t="s">
        <v>199</v>
      </c>
      <c r="F5" s="8">
        <v>0.95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56" x14ac:dyDescent="0.25">
      <c r="A6" s="59" t="s">
        <v>194</v>
      </c>
      <c r="B6" s="28">
        <f>SUMPRODUCT(Main!S3:S22,--Calculations!A11:A30)</f>
        <v>4.8599999999999994</v>
      </c>
      <c r="D6" s="8"/>
      <c r="E6" s="8" t="s">
        <v>38</v>
      </c>
      <c r="F6" s="8">
        <f>_xlfn.NORM.INV(1-(1-F5)/2,0,1)</f>
        <v>1.9599639845400536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56" x14ac:dyDescent="0.25">
      <c r="A7" s="59" t="s">
        <v>195</v>
      </c>
      <c r="B7" s="28">
        <f>(B5-Main!C29+Calculations!B6)/Calculations!B5</f>
        <v>0.99248920181156719</v>
      </c>
      <c r="C7" s="10">
        <f t="shared" ref="C7" si="0">ROUND(B7,MAX(2,1-(1+INT(IFERROR(LOG10(ABS(MIN(B7,1-B7))),1)))))</f>
        <v>0.99199999999999999</v>
      </c>
      <c r="D7" s="8"/>
      <c r="E7" s="8" t="s">
        <v>200</v>
      </c>
      <c r="F7" s="8">
        <f>F3-F4*F6</f>
        <v>64.18949649315185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56" x14ac:dyDescent="0.25">
      <c r="A8" s="8"/>
      <c r="B8" s="8"/>
      <c r="C8" s="8"/>
      <c r="D8" s="8"/>
      <c r="E8" s="8" t="s">
        <v>201</v>
      </c>
      <c r="F8" s="8">
        <f>F3+F4*F6</f>
        <v>69.26612386864393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5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56" x14ac:dyDescent="0.25">
      <c r="A10" s="34" t="s">
        <v>37</v>
      </c>
      <c r="B10" s="34" t="s">
        <v>56</v>
      </c>
      <c r="C10" s="34" t="s">
        <v>7</v>
      </c>
      <c r="D10" s="35"/>
      <c r="E10" s="35" t="s">
        <v>8</v>
      </c>
      <c r="F10" s="35" t="s">
        <v>9</v>
      </c>
      <c r="G10" s="35" t="s">
        <v>11</v>
      </c>
      <c r="H10" s="35" t="s">
        <v>13</v>
      </c>
      <c r="I10" s="35" t="s">
        <v>12</v>
      </c>
      <c r="J10" s="35" t="s">
        <v>21</v>
      </c>
      <c r="K10" s="35" t="s">
        <v>20</v>
      </c>
      <c r="L10" s="35"/>
      <c r="M10" s="35" t="s">
        <v>10</v>
      </c>
      <c r="N10" s="35" t="str">
        <f>"Expected Scores if Composite IQ = "&amp;ROUND(Main!C26,0)</f>
        <v>Expected Scores if Composite IQ = 66</v>
      </c>
      <c r="O10" s="35" t="s">
        <v>36</v>
      </c>
      <c r="P10" s="35" t="s">
        <v>35</v>
      </c>
      <c r="Q10" s="34"/>
      <c r="R10" s="34"/>
      <c r="S10" s="34" t="s">
        <v>38</v>
      </c>
      <c r="T10" s="34" t="s">
        <v>39</v>
      </c>
      <c r="U10" s="34" t="s">
        <v>40</v>
      </c>
      <c r="V10" s="36"/>
      <c r="W10" s="36" t="s">
        <v>41</v>
      </c>
      <c r="X10" s="36" t="s">
        <v>40</v>
      </c>
      <c r="Y10" s="36" t="s">
        <v>20</v>
      </c>
      <c r="Z10" s="37" t="s">
        <v>160</v>
      </c>
      <c r="AA10" s="10" t="s">
        <v>191</v>
      </c>
      <c r="AB10" s="10" t="s">
        <v>191</v>
      </c>
      <c r="AC10" s="10">
        <f>SUM(AC11:AC30)</f>
        <v>0</v>
      </c>
      <c r="AE10" s="38" t="s">
        <v>57</v>
      </c>
      <c r="AF10" s="38" t="s">
        <v>58</v>
      </c>
      <c r="AG10" s="38" t="str">
        <f>M10</f>
        <v>Observed Scores</v>
      </c>
      <c r="AH10" s="38" t="str">
        <f>N10</f>
        <v>Expected Scores if Composite IQ = 66</v>
      </c>
      <c r="AI10" s="38" t="str">
        <f>O10</f>
        <v>e2</v>
      </c>
      <c r="AJ10" s="38" t="str">
        <f>P10</f>
        <v>SEE * 2</v>
      </c>
      <c r="AK10" s="38" t="s">
        <v>59</v>
      </c>
      <c r="AL10" s="38" t="s">
        <v>13</v>
      </c>
      <c r="AM10" s="10" t="s">
        <v>182</v>
      </c>
      <c r="AN10" s="10" t="s">
        <v>183</v>
      </c>
      <c r="AO10" s="10" t="s">
        <v>184</v>
      </c>
      <c r="AP10" s="10" t="s">
        <v>185</v>
      </c>
      <c r="AQ10" s="10" t="s">
        <v>186</v>
      </c>
      <c r="AR10" s="10" t="s">
        <v>187</v>
      </c>
      <c r="AS10" s="10" t="s">
        <v>188</v>
      </c>
      <c r="AT10" s="10" t="s">
        <v>189</v>
      </c>
      <c r="AU10" s="10" t="s">
        <v>190</v>
      </c>
      <c r="AV10" s="10" t="s">
        <v>44</v>
      </c>
      <c r="AW10" s="10" t="s">
        <v>45</v>
      </c>
      <c r="AX10" s="10" t="s">
        <v>46</v>
      </c>
      <c r="AY10" s="10" t="s">
        <v>47</v>
      </c>
      <c r="AZ10" s="10" t="s">
        <v>48</v>
      </c>
      <c r="BA10" s="10" t="s">
        <v>49</v>
      </c>
      <c r="BB10" s="10" t="s">
        <v>51</v>
      </c>
      <c r="BC10" s="10" t="s">
        <v>50</v>
      </c>
      <c r="BD10" s="10" t="s">
        <v>52</v>
      </c>
    </row>
    <row r="11" spans="1:56" x14ac:dyDescent="0.25">
      <c r="A11" s="28">
        <f>B11*IF(Main!E3="",1,Main!E3)</f>
        <v>1</v>
      </c>
      <c r="B11" s="28">
        <f>IF(Calculations!Z11="",0,1)</f>
        <v>1</v>
      </c>
      <c r="C11" s="28">
        <f>IF(B11=0,0,(Calculations!Z11-100)*Main!E3*B11)</f>
        <v>-25.939999999999998</v>
      </c>
      <c r="D11" s="28"/>
      <c r="E11" s="28">
        <f t="array" ref="E11:E30">C11:C30-V11:V30+100</f>
        <v>3.4180870734212903</v>
      </c>
      <c r="F11" s="28">
        <f t="shared" ref="F11:F30" si="1">V11*B11</f>
        <v>70.641912926578712</v>
      </c>
      <c r="G11" s="28">
        <f t="array" ref="G11:G30">MMULT(--$A$65:$T$84,$A$11:$A$30)/SQRT(MMULT(MMULT(TRANSPOSE($A$11:$A$30),--$A$65:$T$84),$A$11:$A$30))</f>
        <v>0.87573389562372683</v>
      </c>
      <c r="H11" s="28">
        <f t="shared" ref="H11:H30" si="2">IF(B11=0,NA(),15*W11)</f>
        <v>7.2419115164803403</v>
      </c>
      <c r="I11" s="28">
        <f>(Main!C$26-100)*G11+100</f>
        <v>70.641912926578698</v>
      </c>
      <c r="J11" s="28">
        <f>IF(OR(B11=0,W11=0),NA(),U11/W11)</f>
        <v>0.4719868594973563</v>
      </c>
      <c r="K11" s="28">
        <f>IF(OR(B11=0,W11=0),NA(),1-NORMSDIST(-ABS(J11))*2)</f>
        <v>0.36306383198044201</v>
      </c>
      <c r="L11" s="28" t="str">
        <f>IF(Main!C3="",ROW(A1),Main!C3)</f>
        <v>WISC-R (1974)</v>
      </c>
      <c r="M11" s="28">
        <f>IF(B11=0,NA(),Calculations!Z11)</f>
        <v>74.06</v>
      </c>
      <c r="N11" s="28">
        <f t="shared" ref="N11:N30" si="3">IF(B11=0,NA(),F11)</f>
        <v>70.641912926578712</v>
      </c>
      <c r="O11" s="28">
        <f t="shared" ref="O11:O30" si="4">N11</f>
        <v>70.641912926578712</v>
      </c>
      <c r="P11" s="28">
        <f t="shared" ref="P11:P30" si="5">H11*2</f>
        <v>14.483823032960681</v>
      </c>
      <c r="Q11" s="28">
        <v>1</v>
      </c>
      <c r="R11" s="28">
        <f t="shared" ref="R11:R30" si="6">B11*Q11</f>
        <v>1</v>
      </c>
      <c r="S11" s="28">
        <f>IF(Calculations!Z11="",0,(Calculations!Z11-100)/15)</f>
        <v>-1.7293333333333332</v>
      </c>
      <c r="T11" s="28">
        <f t="array" ref="T11:T30">MMULT(MMULT(MMULT(--A65:T84,--A11:A30),TRANSPOSE(--A11:A30)),--S11:S30)/MMULT(MMULT(TRANSPOSE(--A11:A30),--A65:T84),--A11:A30)</f>
        <v>-1.9572058048947527</v>
      </c>
      <c r="U11" s="28">
        <f t="array" ref="U11:U30">S11:S30-T11:T30</f>
        <v>0.22787247156141954</v>
      </c>
      <c r="V11" s="27">
        <f>T11*15+100</f>
        <v>70.641912926578712</v>
      </c>
      <c r="W11" s="27">
        <f t="shared" ref="W11:W30" si="7">SQRT(1-G11^2)</f>
        <v>0.48279410109868937</v>
      </c>
      <c r="X11" s="27">
        <f t="shared" ref="X11:X30" si="8">U11*B11</f>
        <v>0.22787247156141954</v>
      </c>
      <c r="Y11" s="25">
        <f t="shared" ref="Y11:Y30" si="9">ROUND(K11,MAX(2,1-(1+INT(IFERROR(LOG10(ABS(MIN(K11,1-K11))),1)))))</f>
        <v>0.36</v>
      </c>
      <c r="Z11" s="2">
        <f>IF(Flynn,Main!K3,Main!L3)</f>
        <v>74.06</v>
      </c>
      <c r="AA11" s="64">
        <f>IF(Main!C3="","",INDEX(Tests!I$3:I$499,MATCH(Main!C3,Tests!$J$3:$J$499,0)))</f>
        <v>0.96</v>
      </c>
      <c r="AB11" s="1">
        <f>IF(AA11=0,Main!$S$1,Calculations!AA11)</f>
        <v>0.96</v>
      </c>
      <c r="AC11" s="1">
        <f>IF(AA11=0,1,0)</f>
        <v>0</v>
      </c>
      <c r="AE11" s="29">
        <f>IF(B11=1,Main!$C$29-RANK(R11,$R$11:$R$30,0)+1,"")</f>
        <v>1</v>
      </c>
      <c r="AF11" s="29">
        <f t="shared" ref="AF11:AF20" si="10">MATCH(Q11,$AE$11:$AE$30,0)</f>
        <v>1</v>
      </c>
      <c r="AG11" s="29">
        <f t="shared" ref="AG11:AG20" si="11">INDEX(M$11:M$30,$AF11,1)</f>
        <v>74.06</v>
      </c>
      <c r="AH11" s="29">
        <f t="shared" ref="AH11:AH20" si="12">INDEX(N$11:N$30,$AF11,1)</f>
        <v>70.641912926578712</v>
      </c>
      <c r="AI11" s="29">
        <f t="shared" ref="AI11:AI20" si="13">INDEX(O$11:O$30,$AF11,1)</f>
        <v>70.641912926578712</v>
      </c>
      <c r="AJ11" s="29">
        <f t="shared" ref="AJ11:AJ20" si="14">INDEX(P$11:P$30,$AF11,1)</f>
        <v>14.483823032960681</v>
      </c>
      <c r="AK11" s="29" t="str">
        <f t="shared" ref="AK11:AK20" si="15">INDEX(L$11:L$30,$AF11,1)</f>
        <v>WISC-R (1974)</v>
      </c>
      <c r="AL11" s="29">
        <f t="shared" ref="AL11:AL20" si="16">INDEX(H$11:H$30,$AF11,1)</f>
        <v>7.2419115164803403</v>
      </c>
      <c r="AM11" s="10">
        <f>IF(ISNA(AL11),NA(),60)</f>
        <v>60</v>
      </c>
      <c r="AN11" s="10">
        <f>IF(ISNA(AM11),NA(),70)</f>
        <v>70</v>
      </c>
      <c r="AO11" s="10">
        <f>IF(ISNA(AN11),NA(),80)</f>
        <v>80</v>
      </c>
      <c r="AP11" s="10">
        <f>IF(ISNA(AO11),NA(),90)</f>
        <v>90</v>
      </c>
      <c r="AQ11" s="10">
        <f>IF(ISNA(AP11),NA(),110)</f>
        <v>110</v>
      </c>
      <c r="AR11" s="10">
        <f>IF(ISNA(AQ11),NA(),120)</f>
        <v>120</v>
      </c>
      <c r="AS11" s="10">
        <f>IF(ISNA(AR11),NA(),130)</f>
        <v>130</v>
      </c>
      <c r="AT11" s="10">
        <f>IF(ISNA(AS11),NA(),140)</f>
        <v>140</v>
      </c>
      <c r="AU11" s="10">
        <f>IF(ISNA(AT11),NA(),160)</f>
        <v>160</v>
      </c>
      <c r="AV11" s="10">
        <v>50</v>
      </c>
      <c r="AW11" s="10">
        <v>65</v>
      </c>
      <c r="AX11" s="10">
        <v>75</v>
      </c>
      <c r="AY11" s="10">
        <v>85</v>
      </c>
      <c r="AZ11" s="10">
        <v>100</v>
      </c>
      <c r="BA11" s="10">
        <v>115</v>
      </c>
      <c r="BB11" s="10">
        <v>125</v>
      </c>
      <c r="BC11" s="10">
        <v>135</v>
      </c>
      <c r="BD11" s="10">
        <v>150</v>
      </c>
    </row>
    <row r="12" spans="1:56" x14ac:dyDescent="0.25">
      <c r="A12" s="28">
        <f>B12*IF(Main!E4="",1,Main!E4)</f>
        <v>1</v>
      </c>
      <c r="B12" s="28">
        <f>IF(Calculations!Z12="",0,1)</f>
        <v>1</v>
      </c>
      <c r="C12" s="28">
        <f>IF(B12=0,0,(Calculations!Z12-100)*Main!E4*B12)</f>
        <v>-32.233999999999995</v>
      </c>
      <c r="D12" s="28"/>
      <c r="E12" s="28">
        <v>-2.6498010954695417</v>
      </c>
      <c r="F12" s="28">
        <f t="shared" si="1"/>
        <v>70.415801095469547</v>
      </c>
      <c r="G12" s="28">
        <v>0.88247867413087644</v>
      </c>
      <c r="H12" s="28">
        <f t="shared" si="2"/>
        <v>7.0552861517763645</v>
      </c>
      <c r="I12" s="28">
        <f>(Main!C$26-100)*G12+100</f>
        <v>70.415801095469547</v>
      </c>
      <c r="J12" s="28">
        <f t="shared" ref="J12:J30" si="17">IF(OR(B12=0,W12=0),NA(),U12/W12)</f>
        <v>-0.37557670071289462</v>
      </c>
      <c r="K12" s="28">
        <f t="shared" ref="K12:K30" si="18">IF(OR(B12=0,W12=0),NA(),1-NORMSDIST(-ABS(J12))*2)</f>
        <v>0.29276838514312153</v>
      </c>
      <c r="L12" s="28" t="str">
        <f>IF(Main!C4="",ROW(A2),Main!C4)</f>
        <v>WISC-R (1974)</v>
      </c>
      <c r="M12" s="28">
        <f>IF(B12=0,NA(),Calculations!Z12)</f>
        <v>67.766000000000005</v>
      </c>
      <c r="N12" s="28">
        <f t="shared" si="3"/>
        <v>70.415801095469547</v>
      </c>
      <c r="O12" s="28">
        <f t="shared" si="4"/>
        <v>70.415801095469547</v>
      </c>
      <c r="P12" s="28">
        <f t="shared" si="5"/>
        <v>14.110572303552729</v>
      </c>
      <c r="Q12" s="28">
        <v>2</v>
      </c>
      <c r="R12" s="28">
        <f t="shared" si="6"/>
        <v>2</v>
      </c>
      <c r="S12" s="28">
        <f>IF(Calculations!Z12="",0,(Calculations!Z12-100)/15)</f>
        <v>-2.1489333333333329</v>
      </c>
      <c r="T12" s="28">
        <v>-1.9722799269686968</v>
      </c>
      <c r="U12" s="28">
        <v>-0.17665340636463611</v>
      </c>
      <c r="V12" s="27">
        <f t="shared" ref="V12:V30" si="19">T12*15+100</f>
        <v>70.415801095469547</v>
      </c>
      <c r="W12" s="27">
        <f t="shared" si="7"/>
        <v>0.47035241011842432</v>
      </c>
      <c r="X12" s="27">
        <f t="shared" si="8"/>
        <v>-0.17665340636463611</v>
      </c>
      <c r="Y12" s="25">
        <f t="shared" si="9"/>
        <v>0.28999999999999998</v>
      </c>
      <c r="Z12" s="2">
        <f>IF(Flynn,Main!K4,Main!L4)</f>
        <v>67.766000000000005</v>
      </c>
      <c r="AA12" s="64">
        <f>IF(Main!C4="","",INDEX(Tests!I$3:I$499,MATCH(Main!C4,Tests!$J$3:$J$499,0)))</f>
        <v>0.96</v>
      </c>
      <c r="AB12" s="1">
        <f>IF(AA12=0,Main!$S$1,Calculations!AA12)</f>
        <v>0.96</v>
      </c>
      <c r="AC12" s="1">
        <f t="shared" ref="AC12:AC30" si="20">IF(AA12=0,1,0)</f>
        <v>0</v>
      </c>
      <c r="AE12" s="29">
        <f>IF(B12=1,Main!$C$29-RANK(R12,$R$11:$R$30,0)+1,"")</f>
        <v>2</v>
      </c>
      <c r="AF12" s="29">
        <f t="shared" si="10"/>
        <v>2</v>
      </c>
      <c r="AG12" s="29">
        <f t="shared" si="11"/>
        <v>67.766000000000005</v>
      </c>
      <c r="AH12" s="29">
        <f t="shared" si="12"/>
        <v>70.415801095469547</v>
      </c>
      <c r="AI12" s="29">
        <f t="shared" si="13"/>
        <v>70.415801095469547</v>
      </c>
      <c r="AJ12" s="29">
        <f t="shared" si="14"/>
        <v>14.110572303552729</v>
      </c>
      <c r="AK12" s="29" t="str">
        <f t="shared" si="15"/>
        <v>WISC-R (1974)</v>
      </c>
      <c r="AL12" s="29">
        <f t="shared" si="16"/>
        <v>7.0552861517763645</v>
      </c>
      <c r="AM12" s="10">
        <f t="shared" ref="AM12:AM30" si="21">IF(ISNA(AL12),NA(),60)</f>
        <v>60</v>
      </c>
      <c r="AN12" s="10">
        <f t="shared" ref="AN12:AN30" si="22">IF(ISNA(AM12),NA(),70)</f>
        <v>70</v>
      </c>
      <c r="AO12" s="10">
        <f t="shared" ref="AO12:AO30" si="23">IF(ISNA(AN12),NA(),80)</f>
        <v>80</v>
      </c>
      <c r="AP12" s="10">
        <f t="shared" ref="AP12:AP30" si="24">IF(ISNA(AO12),NA(),90)</f>
        <v>90</v>
      </c>
      <c r="AQ12" s="10">
        <f t="shared" ref="AQ12:AQ30" si="25">IF(ISNA(AP12),NA(),110)</f>
        <v>110</v>
      </c>
      <c r="AR12" s="10">
        <f t="shared" ref="AR12:AR30" si="26">IF(ISNA(AQ12),NA(),120)</f>
        <v>120</v>
      </c>
      <c r="AS12" s="10">
        <f t="shared" ref="AS12:AS30" si="27">IF(ISNA(AR12),NA(),130)</f>
        <v>130</v>
      </c>
      <c r="AT12" s="10">
        <f t="shared" ref="AT12:AT30" si="28">IF(ISNA(AS12),NA(),140)</f>
        <v>140</v>
      </c>
      <c r="AU12" s="10">
        <f t="shared" ref="AU12:AU30" si="29">IF(ISNA(AT12),NA(),160)</f>
        <v>160</v>
      </c>
      <c r="AV12" s="10" t="e">
        <f>NA()</f>
        <v>#N/A</v>
      </c>
      <c r="AW12" s="10" t="e">
        <f>NA()</f>
        <v>#N/A</v>
      </c>
      <c r="AX12" s="10" t="e">
        <f>NA()</f>
        <v>#N/A</v>
      </c>
      <c r="AY12" s="10" t="e">
        <f>NA()</f>
        <v>#N/A</v>
      </c>
      <c r="AZ12" s="10" t="e">
        <f>NA()</f>
        <v>#N/A</v>
      </c>
      <c r="BA12" s="10" t="e">
        <f>NA()</f>
        <v>#N/A</v>
      </c>
      <c r="BB12" s="10" t="e">
        <f>NA()</f>
        <v>#N/A</v>
      </c>
      <c r="BC12" s="10" t="e">
        <f>NA()</f>
        <v>#N/A</v>
      </c>
      <c r="BD12" s="10" t="e">
        <f>NA()</f>
        <v>#N/A</v>
      </c>
    </row>
    <row r="13" spans="1:56" x14ac:dyDescent="0.25">
      <c r="A13" s="28">
        <f>B13*IF(Main!E5="",1,Main!E5)</f>
        <v>1</v>
      </c>
      <c r="B13" s="28">
        <f>IF(Calculations!Z13="",0,1)</f>
        <v>1</v>
      </c>
      <c r="C13" s="28">
        <f>IF(B13=0,0,(Calculations!Z13-100)*Main!E5*B13)</f>
        <v>-29.057999999999993</v>
      </c>
      <c r="D13" s="28"/>
      <c r="E13" s="28">
        <v>6.8076615615666469E-2</v>
      </c>
      <c r="F13" s="28">
        <f t="shared" si="1"/>
        <v>70.873923384384341</v>
      </c>
      <c r="G13" s="28">
        <v>0.86881316466699132</v>
      </c>
      <c r="H13" s="28">
        <f t="shared" si="2"/>
        <v>7.4271009891342317</v>
      </c>
      <c r="I13" s="28">
        <f>(Main!C$26-100)*G13+100</f>
        <v>70.873923384384327</v>
      </c>
      <c r="J13" s="28">
        <f t="shared" si="17"/>
        <v>9.1659741418986477E-3</v>
      </c>
      <c r="K13" s="28">
        <f t="shared" si="18"/>
        <v>7.3132868479968138E-3</v>
      </c>
      <c r="L13" s="28" t="str">
        <f>IF(Main!C5="",ROW(A3),Main!C5)</f>
        <v>WAIS-III (1997)</v>
      </c>
      <c r="M13" s="28">
        <f>IF(B13=0,NA(),Calculations!Z13)</f>
        <v>70.942000000000007</v>
      </c>
      <c r="N13" s="28">
        <f t="shared" si="3"/>
        <v>70.873923384384341</v>
      </c>
      <c r="O13" s="28">
        <f t="shared" si="4"/>
        <v>70.873923384384341</v>
      </c>
      <c r="P13" s="28">
        <f t="shared" si="5"/>
        <v>14.854201978268463</v>
      </c>
      <c r="Q13" s="28">
        <v>3</v>
      </c>
      <c r="R13" s="28">
        <f t="shared" si="6"/>
        <v>3</v>
      </c>
      <c r="S13" s="28">
        <f>IF(Calculations!Z13="",0,(Calculations!Z13-100)/15)</f>
        <v>-1.9371999999999996</v>
      </c>
      <c r="T13" s="28">
        <v>-1.9417384410410445</v>
      </c>
      <c r="U13" s="28">
        <v>4.5384410410449494E-3</v>
      </c>
      <c r="V13" s="27">
        <f t="shared" si="19"/>
        <v>70.873923384384341</v>
      </c>
      <c r="W13" s="27">
        <f t="shared" si="7"/>
        <v>0.4951400659422821</v>
      </c>
      <c r="X13" s="27">
        <f t="shared" si="8"/>
        <v>4.5384410410449494E-3</v>
      </c>
      <c r="Y13" s="25">
        <f t="shared" si="9"/>
        <v>7.0000000000000001E-3</v>
      </c>
      <c r="Z13" s="2">
        <f>IF(Flynn,Main!K5,Main!L5)</f>
        <v>70.942000000000007</v>
      </c>
      <c r="AA13" s="64">
        <f>IF(Main!C5="","",INDEX(Tests!I$3:I$499,MATCH(Main!C5,Tests!$J$3:$J$499,0)))</f>
        <v>0.98</v>
      </c>
      <c r="AB13" s="1">
        <f>IF(AA13=0,Main!$S$1,Calculations!AA13)</f>
        <v>0.98</v>
      </c>
      <c r="AC13" s="1">
        <f t="shared" si="20"/>
        <v>0</v>
      </c>
      <c r="AE13" s="29">
        <f>IF(B13=1,Main!$C$29-RANK(R13,$R$11:$R$30,0)+1,"")</f>
        <v>3</v>
      </c>
      <c r="AF13" s="29">
        <f t="shared" si="10"/>
        <v>3</v>
      </c>
      <c r="AG13" s="29">
        <f t="shared" si="11"/>
        <v>70.942000000000007</v>
      </c>
      <c r="AH13" s="29">
        <f t="shared" si="12"/>
        <v>70.873923384384341</v>
      </c>
      <c r="AI13" s="29">
        <f t="shared" si="13"/>
        <v>70.873923384384341</v>
      </c>
      <c r="AJ13" s="29">
        <f t="shared" si="14"/>
        <v>14.854201978268463</v>
      </c>
      <c r="AK13" s="29" t="str">
        <f t="shared" si="15"/>
        <v>WAIS-III (1997)</v>
      </c>
      <c r="AL13" s="29">
        <f t="shared" si="16"/>
        <v>7.4271009891342317</v>
      </c>
      <c r="AM13" s="10">
        <f t="shared" si="21"/>
        <v>60</v>
      </c>
      <c r="AN13" s="10">
        <f t="shared" si="22"/>
        <v>70</v>
      </c>
      <c r="AO13" s="10">
        <f t="shared" si="23"/>
        <v>80</v>
      </c>
      <c r="AP13" s="10">
        <f t="shared" si="24"/>
        <v>90</v>
      </c>
      <c r="AQ13" s="10">
        <f t="shared" si="25"/>
        <v>110</v>
      </c>
      <c r="AR13" s="10">
        <f t="shared" si="26"/>
        <v>120</v>
      </c>
      <c r="AS13" s="10">
        <f t="shared" si="27"/>
        <v>130</v>
      </c>
      <c r="AT13" s="10">
        <f t="shared" si="28"/>
        <v>140</v>
      </c>
      <c r="AU13" s="10">
        <f t="shared" si="29"/>
        <v>160</v>
      </c>
      <c r="AV13" s="10" t="e">
        <f>NA()</f>
        <v>#N/A</v>
      </c>
      <c r="AW13" s="10" t="e">
        <f>NA()</f>
        <v>#N/A</v>
      </c>
      <c r="AX13" s="10" t="e">
        <f>NA()</f>
        <v>#N/A</v>
      </c>
      <c r="AY13" s="10" t="e">
        <f>NA()</f>
        <v>#N/A</v>
      </c>
      <c r="AZ13" s="10" t="e">
        <f>NA()</f>
        <v>#N/A</v>
      </c>
      <c r="BA13" s="10" t="e">
        <f>NA()</f>
        <v>#N/A</v>
      </c>
      <c r="BB13" s="10" t="e">
        <f>NA()</f>
        <v>#N/A</v>
      </c>
      <c r="BC13" s="10" t="e">
        <f>NA()</f>
        <v>#N/A</v>
      </c>
      <c r="BD13" s="10" t="e">
        <f>NA()</f>
        <v>#N/A</v>
      </c>
    </row>
    <row r="14" spans="1:56" x14ac:dyDescent="0.25">
      <c r="A14" s="28">
        <f>B14*IF(Main!E6="",1,Main!E6)</f>
        <v>1</v>
      </c>
      <c r="B14" s="28">
        <f>IF(Calculations!Z14="",0,1)</f>
        <v>1</v>
      </c>
      <c r="C14" s="28">
        <f>IF(B14=0,0,(Calculations!Z14-100)*Main!E6*B14)</f>
        <v>-23.703999999999994</v>
      </c>
      <c r="D14" s="28"/>
      <c r="E14" s="28">
        <v>3.471034090521357</v>
      </c>
      <c r="F14" s="28">
        <f t="shared" si="1"/>
        <v>72.824965909478649</v>
      </c>
      <c r="G14" s="28">
        <v>0.81061475184958287</v>
      </c>
      <c r="H14" s="28">
        <f t="shared" si="2"/>
        <v>8.7836972806935822</v>
      </c>
      <c r="I14" s="28">
        <f>(Main!C$26-100)*G14+100</f>
        <v>72.824965909478635</v>
      </c>
      <c r="J14" s="28">
        <f t="shared" si="17"/>
        <v>0.39516777270439801</v>
      </c>
      <c r="K14" s="28">
        <f t="shared" si="18"/>
        <v>0.30728092512129801</v>
      </c>
      <c r="L14" s="28" t="str">
        <f>IF(Main!C6="",ROW(A4),Main!C6)</f>
        <v>SB5 (2003)</v>
      </c>
      <c r="M14" s="28">
        <f>IF(B14=0,NA(),Calculations!Z14)</f>
        <v>76.296000000000006</v>
      </c>
      <c r="N14" s="28">
        <f t="shared" si="3"/>
        <v>72.824965909478649</v>
      </c>
      <c r="O14" s="28">
        <f t="shared" si="4"/>
        <v>72.824965909478649</v>
      </c>
      <c r="P14" s="28">
        <f t="shared" si="5"/>
        <v>17.567394561387164</v>
      </c>
      <c r="Q14" s="28">
        <v>4</v>
      </c>
      <c r="R14" s="28">
        <f t="shared" si="6"/>
        <v>4</v>
      </c>
      <c r="S14" s="28">
        <f>IF(Calculations!Z14="",0,(Calculations!Z14-100)/15)</f>
        <v>-1.5802666666666663</v>
      </c>
      <c r="T14" s="28">
        <v>-1.8116689393680903</v>
      </c>
      <c r="U14" s="28">
        <v>0.23140227270142399</v>
      </c>
      <c r="V14" s="27">
        <f t="shared" si="19"/>
        <v>72.824965909478649</v>
      </c>
      <c r="W14" s="27">
        <f t="shared" si="7"/>
        <v>0.58557981871290543</v>
      </c>
      <c r="X14" s="27">
        <f t="shared" si="8"/>
        <v>0.23140227270142399</v>
      </c>
      <c r="Y14" s="25">
        <f t="shared" si="9"/>
        <v>0.31</v>
      </c>
      <c r="Z14" s="2">
        <f>IF(Flynn,Main!K6,Main!L6)</f>
        <v>76.296000000000006</v>
      </c>
      <c r="AA14" s="64">
        <f>IF(Main!C6="","",INDEX(Tests!I$3:I$499,MATCH(Main!C6,Tests!$J$3:$J$499,0)))</f>
        <v>0.98</v>
      </c>
      <c r="AB14" s="1">
        <f>IF(AA14=0,Main!$S$1,Calculations!AA14)</f>
        <v>0.98</v>
      </c>
      <c r="AC14" s="1">
        <f t="shared" si="20"/>
        <v>0</v>
      </c>
      <c r="AE14" s="29">
        <f>IF(B14=1,Main!$C$29-RANK(R14,$R$11:$R$30,0)+1,"")</f>
        <v>4</v>
      </c>
      <c r="AF14" s="29">
        <f t="shared" si="10"/>
        <v>4</v>
      </c>
      <c r="AG14" s="29">
        <f t="shared" si="11"/>
        <v>76.296000000000006</v>
      </c>
      <c r="AH14" s="29">
        <f t="shared" si="12"/>
        <v>72.824965909478649</v>
      </c>
      <c r="AI14" s="29">
        <f t="shared" si="13"/>
        <v>72.824965909478649</v>
      </c>
      <c r="AJ14" s="29">
        <f t="shared" si="14"/>
        <v>17.567394561387164</v>
      </c>
      <c r="AK14" s="29" t="str">
        <f t="shared" si="15"/>
        <v>SB5 (2003)</v>
      </c>
      <c r="AL14" s="29">
        <f t="shared" si="16"/>
        <v>8.7836972806935822</v>
      </c>
      <c r="AM14" s="10">
        <f t="shared" si="21"/>
        <v>60</v>
      </c>
      <c r="AN14" s="10">
        <f t="shared" si="22"/>
        <v>70</v>
      </c>
      <c r="AO14" s="10">
        <f t="shared" si="23"/>
        <v>80</v>
      </c>
      <c r="AP14" s="10">
        <f t="shared" si="24"/>
        <v>90</v>
      </c>
      <c r="AQ14" s="10">
        <f t="shared" si="25"/>
        <v>110</v>
      </c>
      <c r="AR14" s="10">
        <f t="shared" si="26"/>
        <v>120</v>
      </c>
      <c r="AS14" s="10">
        <f t="shared" si="27"/>
        <v>130</v>
      </c>
      <c r="AT14" s="10">
        <f t="shared" si="28"/>
        <v>140</v>
      </c>
      <c r="AU14" s="10">
        <f t="shared" si="29"/>
        <v>160</v>
      </c>
      <c r="AV14" s="10" t="e">
        <f>NA()</f>
        <v>#N/A</v>
      </c>
      <c r="AW14" s="10" t="e">
        <f>NA()</f>
        <v>#N/A</v>
      </c>
      <c r="AX14" s="10" t="e">
        <f>NA()</f>
        <v>#N/A</v>
      </c>
      <c r="AY14" s="10" t="e">
        <f>NA()</f>
        <v>#N/A</v>
      </c>
      <c r="AZ14" s="10" t="e">
        <f>NA()</f>
        <v>#N/A</v>
      </c>
      <c r="BA14" s="10" t="e">
        <f>NA()</f>
        <v>#N/A</v>
      </c>
      <c r="BB14" s="10" t="e">
        <f>NA()</f>
        <v>#N/A</v>
      </c>
      <c r="BC14" s="10" t="e">
        <f>NA()</f>
        <v>#N/A</v>
      </c>
      <c r="BD14" s="10" t="e">
        <f>NA()</f>
        <v>#N/A</v>
      </c>
    </row>
    <row r="15" spans="1:56" x14ac:dyDescent="0.25">
      <c r="A15" s="28">
        <f>B15*IF(Main!E7="",1,Main!E7)</f>
        <v>1</v>
      </c>
      <c r="B15" s="28">
        <f>IF(Calculations!Z15="",0,1)</f>
        <v>1</v>
      </c>
      <c r="C15" s="28">
        <f>IF(B15=0,0,(Calculations!Z15-100)*Main!E7*B15)</f>
        <v>-33.799999999999997</v>
      </c>
      <c r="D15" s="28"/>
      <c r="E15" s="28">
        <v>-4.3073966840887863</v>
      </c>
      <c r="F15" s="28">
        <f t="shared" si="1"/>
        <v>70.507396684088789</v>
      </c>
      <c r="G15" s="28">
        <v>0.8797464333877083</v>
      </c>
      <c r="H15" s="28">
        <f t="shared" si="2"/>
        <v>7.1316476295356512</v>
      </c>
      <c r="I15" s="28">
        <f>(Main!C$26-100)*G15+100</f>
        <v>70.507396684088789</v>
      </c>
      <c r="J15" s="28">
        <f t="shared" si="17"/>
        <v>-0.60398338614624525</v>
      </c>
      <c r="K15" s="28">
        <f t="shared" si="18"/>
        <v>0.45414531211337705</v>
      </c>
      <c r="L15" s="28" t="str">
        <f>IF(Main!C7="",ROW(A5),Main!C7)</f>
        <v>WAIS-IV (2008)</v>
      </c>
      <c r="M15" s="28">
        <f>IF(B15=0,NA(),Calculations!Z15)</f>
        <v>66.2</v>
      </c>
      <c r="N15" s="28">
        <f t="shared" si="3"/>
        <v>70.507396684088789</v>
      </c>
      <c r="O15" s="28">
        <f t="shared" si="4"/>
        <v>70.507396684088789</v>
      </c>
      <c r="P15" s="28">
        <f t="shared" si="5"/>
        <v>14.263295259071302</v>
      </c>
      <c r="Q15" s="28">
        <v>5</v>
      </c>
      <c r="R15" s="28">
        <f t="shared" si="6"/>
        <v>5</v>
      </c>
      <c r="S15" s="28">
        <f>IF(Calculations!Z15="",0,(Calculations!Z15-100)/15)</f>
        <v>-2.253333333333333</v>
      </c>
      <c r="T15" s="28">
        <v>-1.9661735543940806</v>
      </c>
      <c r="U15" s="28">
        <v>-0.28715977893925237</v>
      </c>
      <c r="V15" s="27">
        <f t="shared" si="19"/>
        <v>70.507396684088789</v>
      </c>
      <c r="W15" s="27">
        <f t="shared" si="7"/>
        <v>0.47544317530237673</v>
      </c>
      <c r="X15" s="27">
        <f t="shared" si="8"/>
        <v>-0.28715977893925237</v>
      </c>
      <c r="Y15" s="25">
        <f t="shared" si="9"/>
        <v>0.45</v>
      </c>
      <c r="Z15" s="2">
        <f>IF(Flynn,Main!K7,Main!L7)</f>
        <v>66.2</v>
      </c>
      <c r="AA15" s="64">
        <f>IF(Main!C7="","",INDEX(Tests!I$3:I$499,MATCH(Main!C7,Tests!$J$3:$J$499,0)))</f>
        <v>0.98</v>
      </c>
      <c r="AB15" s="1">
        <f>IF(AA15=0,Main!$S$1,Calculations!AA15)</f>
        <v>0.98</v>
      </c>
      <c r="AC15" s="1">
        <f t="shared" si="20"/>
        <v>0</v>
      </c>
      <c r="AE15" s="29">
        <f>IF(B15=1,Main!$C$29-RANK(R15,$R$11:$R$30,0)+1,"")</f>
        <v>5</v>
      </c>
      <c r="AF15" s="29">
        <f t="shared" si="10"/>
        <v>5</v>
      </c>
      <c r="AG15" s="29">
        <f t="shared" si="11"/>
        <v>66.2</v>
      </c>
      <c r="AH15" s="29">
        <f t="shared" si="12"/>
        <v>70.507396684088789</v>
      </c>
      <c r="AI15" s="29">
        <f t="shared" si="13"/>
        <v>70.507396684088789</v>
      </c>
      <c r="AJ15" s="29">
        <f t="shared" si="14"/>
        <v>14.263295259071302</v>
      </c>
      <c r="AK15" s="29" t="str">
        <f t="shared" si="15"/>
        <v>WAIS-IV (2008)</v>
      </c>
      <c r="AL15" s="29">
        <f t="shared" si="16"/>
        <v>7.1316476295356512</v>
      </c>
      <c r="AM15" s="10">
        <f t="shared" si="21"/>
        <v>60</v>
      </c>
      <c r="AN15" s="10">
        <f t="shared" si="22"/>
        <v>70</v>
      </c>
      <c r="AO15" s="10">
        <f t="shared" si="23"/>
        <v>80</v>
      </c>
      <c r="AP15" s="10">
        <f t="shared" si="24"/>
        <v>90</v>
      </c>
      <c r="AQ15" s="10">
        <f t="shared" si="25"/>
        <v>110</v>
      </c>
      <c r="AR15" s="10">
        <f t="shared" si="26"/>
        <v>120</v>
      </c>
      <c r="AS15" s="10">
        <f t="shared" si="27"/>
        <v>130</v>
      </c>
      <c r="AT15" s="10">
        <f t="shared" si="28"/>
        <v>140</v>
      </c>
      <c r="AU15" s="10">
        <f t="shared" si="29"/>
        <v>160</v>
      </c>
      <c r="AV15" s="10" t="e">
        <f>NA()</f>
        <v>#N/A</v>
      </c>
      <c r="AW15" s="10" t="e">
        <f>NA()</f>
        <v>#N/A</v>
      </c>
      <c r="AX15" s="10" t="e">
        <f>NA()</f>
        <v>#N/A</v>
      </c>
      <c r="AY15" s="10" t="e">
        <f>NA()</f>
        <v>#N/A</v>
      </c>
      <c r="AZ15" s="10" t="e">
        <f>NA()</f>
        <v>#N/A</v>
      </c>
      <c r="BA15" s="10" t="e">
        <f>NA()</f>
        <v>#N/A</v>
      </c>
      <c r="BB15" s="10" t="e">
        <f>NA()</f>
        <v>#N/A</v>
      </c>
      <c r="BC15" s="10" t="e">
        <f>NA()</f>
        <v>#N/A</v>
      </c>
      <c r="BD15" s="10" t="e">
        <f>NA()</f>
        <v>#N/A</v>
      </c>
    </row>
    <row r="16" spans="1:56" x14ac:dyDescent="0.25">
      <c r="A16" s="28">
        <f>B16*IF(Main!E8="",1,Main!E8)</f>
        <v>0</v>
      </c>
      <c r="B16" s="28">
        <f>IF(Calculations!Z16="",0,1)</f>
        <v>0</v>
      </c>
      <c r="C16" s="28">
        <f>IF(B16=0,0,(Calculations!Z16-100)*Main!E8*B16)</f>
        <v>0</v>
      </c>
      <c r="D16" s="28"/>
      <c r="E16" s="28">
        <v>0</v>
      </c>
      <c r="F16" s="28">
        <f t="shared" si="1"/>
        <v>0</v>
      </c>
      <c r="G16" s="28">
        <v>0</v>
      </c>
      <c r="H16" s="28" t="e">
        <f t="shared" si="2"/>
        <v>#N/A</v>
      </c>
      <c r="I16" s="28">
        <f>(Main!C$26-100)*G16+100</f>
        <v>100</v>
      </c>
      <c r="J16" s="28" t="e">
        <f t="shared" si="17"/>
        <v>#N/A</v>
      </c>
      <c r="K16" s="28" t="e">
        <f t="shared" si="18"/>
        <v>#N/A</v>
      </c>
      <c r="L16" s="28">
        <f>IF(Main!C8="",ROW(A6),Main!C8)</f>
        <v>6</v>
      </c>
      <c r="M16" s="28" t="e">
        <f>IF(B16=0,NA(),Calculations!Z16)</f>
        <v>#N/A</v>
      </c>
      <c r="N16" s="28" t="e">
        <f t="shared" si="3"/>
        <v>#N/A</v>
      </c>
      <c r="O16" s="28" t="e">
        <f t="shared" si="4"/>
        <v>#N/A</v>
      </c>
      <c r="P16" s="28" t="e">
        <f t="shared" si="5"/>
        <v>#N/A</v>
      </c>
      <c r="Q16" s="28">
        <v>6</v>
      </c>
      <c r="R16" s="28">
        <f t="shared" si="6"/>
        <v>0</v>
      </c>
      <c r="S16" s="28">
        <f>IF(Calculations!Z16="",0,(Calculations!Z16-100)/15)</f>
        <v>0</v>
      </c>
      <c r="T16" s="28">
        <v>0</v>
      </c>
      <c r="U16" s="28">
        <v>0</v>
      </c>
      <c r="V16" s="27">
        <f t="shared" si="19"/>
        <v>100</v>
      </c>
      <c r="W16" s="27">
        <f t="shared" si="7"/>
        <v>1</v>
      </c>
      <c r="X16" s="27">
        <f t="shared" si="8"/>
        <v>0</v>
      </c>
      <c r="Y16" s="25" t="e">
        <f t="shared" si="9"/>
        <v>#N/A</v>
      </c>
      <c r="Z16" s="2" t="str">
        <f>IF(Flynn,Main!K8,Main!L8)</f>
        <v/>
      </c>
      <c r="AA16" s="64" t="str">
        <f>IF(Main!C8="","",INDEX(Tests!I$3:I$499,MATCH(Main!C8,Tests!$J$3:$J$499,0)))</f>
        <v/>
      </c>
      <c r="AB16" s="1" t="str">
        <f>IF(AA16=0,Main!$S$1,Calculations!AA16)</f>
        <v/>
      </c>
      <c r="AC16" s="1">
        <f t="shared" si="20"/>
        <v>0</v>
      </c>
      <c r="AE16" s="29" t="str">
        <f>IF(B16=1,Main!$C$29-RANK(R16,$R$11:$R$30,0)+1,"")</f>
        <v/>
      </c>
      <c r="AF16" s="29" t="e">
        <f t="shared" si="10"/>
        <v>#N/A</v>
      </c>
      <c r="AG16" s="29" t="e">
        <f t="shared" si="11"/>
        <v>#N/A</v>
      </c>
      <c r="AH16" s="29" t="e">
        <f t="shared" si="12"/>
        <v>#N/A</v>
      </c>
      <c r="AI16" s="29" t="e">
        <f t="shared" si="13"/>
        <v>#N/A</v>
      </c>
      <c r="AJ16" s="29" t="e">
        <f t="shared" si="14"/>
        <v>#N/A</v>
      </c>
      <c r="AK16" s="29" t="e">
        <f t="shared" si="15"/>
        <v>#N/A</v>
      </c>
      <c r="AL16" s="29" t="e">
        <f t="shared" si="16"/>
        <v>#N/A</v>
      </c>
      <c r="AM16" s="10" t="e">
        <f t="shared" si="21"/>
        <v>#N/A</v>
      </c>
      <c r="AN16" s="10" t="e">
        <f t="shared" si="22"/>
        <v>#N/A</v>
      </c>
      <c r="AO16" s="10" t="e">
        <f t="shared" si="23"/>
        <v>#N/A</v>
      </c>
      <c r="AP16" s="10" t="e">
        <f t="shared" si="24"/>
        <v>#N/A</v>
      </c>
      <c r="AQ16" s="10" t="e">
        <f t="shared" si="25"/>
        <v>#N/A</v>
      </c>
      <c r="AR16" s="10" t="e">
        <f t="shared" si="26"/>
        <v>#N/A</v>
      </c>
      <c r="AS16" s="10" t="e">
        <f t="shared" si="27"/>
        <v>#N/A</v>
      </c>
      <c r="AT16" s="10" t="e">
        <f t="shared" si="28"/>
        <v>#N/A</v>
      </c>
      <c r="AU16" s="10" t="e">
        <f t="shared" si="29"/>
        <v>#N/A</v>
      </c>
      <c r="AV16" s="10" t="e">
        <f>NA()</f>
        <v>#N/A</v>
      </c>
      <c r="AW16" s="10" t="e">
        <f>NA()</f>
        <v>#N/A</v>
      </c>
      <c r="AX16" s="10" t="e">
        <f>NA()</f>
        <v>#N/A</v>
      </c>
      <c r="AY16" s="10" t="e">
        <f>NA()</f>
        <v>#N/A</v>
      </c>
      <c r="AZ16" s="10" t="e">
        <f>NA()</f>
        <v>#N/A</v>
      </c>
      <c r="BA16" s="10" t="e">
        <f>NA()</f>
        <v>#N/A</v>
      </c>
      <c r="BB16" s="10" t="e">
        <f>NA()</f>
        <v>#N/A</v>
      </c>
      <c r="BC16" s="10" t="e">
        <f>NA()</f>
        <v>#N/A</v>
      </c>
      <c r="BD16" s="10" t="e">
        <f>NA()</f>
        <v>#N/A</v>
      </c>
    </row>
    <row r="17" spans="1:56" x14ac:dyDescent="0.25">
      <c r="A17" s="28">
        <f>B17*IF(Main!E9="",1,Main!E9)</f>
        <v>0</v>
      </c>
      <c r="B17" s="28">
        <f>IF(Calculations!Z17="",0,1)</f>
        <v>0</v>
      </c>
      <c r="C17" s="28">
        <f>IF(B17=0,0,(Calculations!Z17-100)*Main!E9*B17)</f>
        <v>0</v>
      </c>
      <c r="D17" s="28"/>
      <c r="E17" s="28">
        <v>0</v>
      </c>
      <c r="F17" s="28">
        <f t="shared" si="1"/>
        <v>0</v>
      </c>
      <c r="G17" s="28">
        <v>0</v>
      </c>
      <c r="H17" s="28" t="e">
        <f t="shared" si="2"/>
        <v>#N/A</v>
      </c>
      <c r="I17" s="28">
        <f>(Main!C$26-100)*G17+100</f>
        <v>100</v>
      </c>
      <c r="J17" s="28" t="e">
        <f t="shared" si="17"/>
        <v>#N/A</v>
      </c>
      <c r="K17" s="28" t="e">
        <f t="shared" si="18"/>
        <v>#N/A</v>
      </c>
      <c r="L17" s="28">
        <f>IF(Main!C9="",ROW(A7),Main!C9)</f>
        <v>7</v>
      </c>
      <c r="M17" s="28" t="e">
        <f>IF(B17=0,NA(),Calculations!Z17)</f>
        <v>#N/A</v>
      </c>
      <c r="N17" s="28" t="e">
        <f t="shared" si="3"/>
        <v>#N/A</v>
      </c>
      <c r="O17" s="28" t="e">
        <f t="shared" si="4"/>
        <v>#N/A</v>
      </c>
      <c r="P17" s="28" t="e">
        <f t="shared" si="5"/>
        <v>#N/A</v>
      </c>
      <c r="Q17" s="28">
        <v>7</v>
      </c>
      <c r="R17" s="28">
        <f t="shared" si="6"/>
        <v>0</v>
      </c>
      <c r="S17" s="28">
        <f>IF(Calculations!Z17="",0,(Calculations!Z17-100)/15)</f>
        <v>0</v>
      </c>
      <c r="T17" s="28">
        <v>0</v>
      </c>
      <c r="U17" s="28">
        <v>0</v>
      </c>
      <c r="V17" s="27">
        <f t="shared" si="19"/>
        <v>100</v>
      </c>
      <c r="W17" s="27">
        <f t="shared" si="7"/>
        <v>1</v>
      </c>
      <c r="X17" s="27">
        <f t="shared" si="8"/>
        <v>0</v>
      </c>
      <c r="Y17" s="25" t="e">
        <f t="shared" si="9"/>
        <v>#N/A</v>
      </c>
      <c r="Z17" s="2" t="str">
        <f>IF(Flynn,Main!K9,Main!L9)</f>
        <v/>
      </c>
      <c r="AA17" s="64" t="str">
        <f>IF(Main!C9="","",INDEX(Tests!I$3:I$499,MATCH(Main!C9,Tests!$J$3:$J$499,0)))</f>
        <v/>
      </c>
      <c r="AB17" s="1" t="str">
        <f>IF(AA17=0,Main!$S$1,Calculations!AA17)</f>
        <v/>
      </c>
      <c r="AC17" s="1">
        <f t="shared" si="20"/>
        <v>0</v>
      </c>
      <c r="AE17" s="29" t="str">
        <f>IF(B17=1,Main!$C$29-RANK(R17,$R$11:$R$30,0)+1,"")</f>
        <v/>
      </c>
      <c r="AF17" s="29" t="e">
        <f t="shared" si="10"/>
        <v>#N/A</v>
      </c>
      <c r="AG17" s="29" t="e">
        <f t="shared" si="11"/>
        <v>#N/A</v>
      </c>
      <c r="AH17" s="29" t="e">
        <f t="shared" si="12"/>
        <v>#N/A</v>
      </c>
      <c r="AI17" s="29" t="e">
        <f t="shared" si="13"/>
        <v>#N/A</v>
      </c>
      <c r="AJ17" s="29" t="e">
        <f t="shared" si="14"/>
        <v>#N/A</v>
      </c>
      <c r="AK17" s="29" t="e">
        <f t="shared" si="15"/>
        <v>#N/A</v>
      </c>
      <c r="AL17" s="29" t="e">
        <f t="shared" si="16"/>
        <v>#N/A</v>
      </c>
      <c r="AM17" s="10" t="e">
        <f t="shared" si="21"/>
        <v>#N/A</v>
      </c>
      <c r="AN17" s="10" t="e">
        <f t="shared" si="22"/>
        <v>#N/A</v>
      </c>
      <c r="AO17" s="10" t="e">
        <f t="shared" si="23"/>
        <v>#N/A</v>
      </c>
      <c r="AP17" s="10" t="e">
        <f t="shared" si="24"/>
        <v>#N/A</v>
      </c>
      <c r="AQ17" s="10" t="e">
        <f t="shared" si="25"/>
        <v>#N/A</v>
      </c>
      <c r="AR17" s="10" t="e">
        <f t="shared" si="26"/>
        <v>#N/A</v>
      </c>
      <c r="AS17" s="10" t="e">
        <f t="shared" si="27"/>
        <v>#N/A</v>
      </c>
      <c r="AT17" s="10" t="e">
        <f t="shared" si="28"/>
        <v>#N/A</v>
      </c>
      <c r="AU17" s="10" t="e">
        <f t="shared" si="29"/>
        <v>#N/A</v>
      </c>
      <c r="AV17" s="10" t="e">
        <f>NA()</f>
        <v>#N/A</v>
      </c>
      <c r="AW17" s="10" t="e">
        <f>NA()</f>
        <v>#N/A</v>
      </c>
      <c r="AX17" s="10" t="e">
        <f>NA()</f>
        <v>#N/A</v>
      </c>
      <c r="AY17" s="10" t="e">
        <f>NA()</f>
        <v>#N/A</v>
      </c>
      <c r="AZ17" s="10" t="e">
        <f>NA()</f>
        <v>#N/A</v>
      </c>
      <c r="BA17" s="10" t="e">
        <f>NA()</f>
        <v>#N/A</v>
      </c>
      <c r="BB17" s="10" t="e">
        <f>NA()</f>
        <v>#N/A</v>
      </c>
      <c r="BC17" s="10" t="e">
        <f>NA()</f>
        <v>#N/A</v>
      </c>
      <c r="BD17" s="10" t="e">
        <f>NA()</f>
        <v>#N/A</v>
      </c>
    </row>
    <row r="18" spans="1:56" x14ac:dyDescent="0.25">
      <c r="A18" s="28">
        <f>B18*IF(Main!E10="",1,Main!E10)</f>
        <v>0</v>
      </c>
      <c r="B18" s="28">
        <f>IF(Calculations!Z18="",0,1)</f>
        <v>0</v>
      </c>
      <c r="C18" s="28">
        <f>IF(B18=0,0,(Calculations!Z18-100)*Main!E10*B18)</f>
        <v>0</v>
      </c>
      <c r="D18" s="28"/>
      <c r="E18" s="28">
        <v>0</v>
      </c>
      <c r="F18" s="28">
        <f t="shared" si="1"/>
        <v>0</v>
      </c>
      <c r="G18" s="28">
        <v>0</v>
      </c>
      <c r="H18" s="28" t="e">
        <f t="shared" si="2"/>
        <v>#N/A</v>
      </c>
      <c r="I18" s="28">
        <f>(Main!C$26-100)*G18+100</f>
        <v>100</v>
      </c>
      <c r="J18" s="28" t="e">
        <f t="shared" si="17"/>
        <v>#N/A</v>
      </c>
      <c r="K18" s="28" t="e">
        <f t="shared" si="18"/>
        <v>#N/A</v>
      </c>
      <c r="L18" s="28">
        <f>IF(Main!C10="",ROW(A8),Main!C10)</f>
        <v>8</v>
      </c>
      <c r="M18" s="28" t="e">
        <f>IF(B18=0,NA(),Calculations!Z18)</f>
        <v>#N/A</v>
      </c>
      <c r="N18" s="28" t="e">
        <f t="shared" si="3"/>
        <v>#N/A</v>
      </c>
      <c r="O18" s="28" t="e">
        <f t="shared" si="4"/>
        <v>#N/A</v>
      </c>
      <c r="P18" s="28" t="e">
        <f t="shared" si="5"/>
        <v>#N/A</v>
      </c>
      <c r="Q18" s="28">
        <v>8</v>
      </c>
      <c r="R18" s="28">
        <f t="shared" si="6"/>
        <v>0</v>
      </c>
      <c r="S18" s="28">
        <f>IF(Calculations!Z18="",0,(Calculations!Z18-100)/15)</f>
        <v>0</v>
      </c>
      <c r="T18" s="28">
        <v>0</v>
      </c>
      <c r="U18" s="28">
        <v>0</v>
      </c>
      <c r="V18" s="27">
        <f t="shared" si="19"/>
        <v>100</v>
      </c>
      <c r="W18" s="27">
        <f t="shared" si="7"/>
        <v>1</v>
      </c>
      <c r="X18" s="27">
        <f t="shared" si="8"/>
        <v>0</v>
      </c>
      <c r="Y18" s="25" t="e">
        <f t="shared" si="9"/>
        <v>#N/A</v>
      </c>
      <c r="Z18" s="2" t="str">
        <f>IF(Flynn,Main!K10,Main!L10)</f>
        <v/>
      </c>
      <c r="AA18" s="64" t="str">
        <f>IF(Main!C10="","",INDEX(Tests!I$3:I$499,MATCH(Main!C10,Tests!$J$3:$J$499,0)))</f>
        <v/>
      </c>
      <c r="AB18" s="1" t="str">
        <f>IF(AA18=0,Main!$S$1,Calculations!AA18)</f>
        <v/>
      </c>
      <c r="AC18" s="1">
        <f t="shared" si="20"/>
        <v>0</v>
      </c>
      <c r="AE18" s="29" t="str">
        <f>IF(B18=1,Main!$C$29-RANK(R18,$R$11:$R$30,0)+1,"")</f>
        <v/>
      </c>
      <c r="AF18" s="29" t="e">
        <f t="shared" si="10"/>
        <v>#N/A</v>
      </c>
      <c r="AG18" s="29" t="e">
        <f t="shared" si="11"/>
        <v>#N/A</v>
      </c>
      <c r="AH18" s="29" t="e">
        <f t="shared" si="12"/>
        <v>#N/A</v>
      </c>
      <c r="AI18" s="29" t="e">
        <f t="shared" si="13"/>
        <v>#N/A</v>
      </c>
      <c r="AJ18" s="29" t="e">
        <f t="shared" si="14"/>
        <v>#N/A</v>
      </c>
      <c r="AK18" s="29" t="e">
        <f t="shared" si="15"/>
        <v>#N/A</v>
      </c>
      <c r="AL18" s="29" t="e">
        <f t="shared" si="16"/>
        <v>#N/A</v>
      </c>
      <c r="AM18" s="10" t="e">
        <f t="shared" si="21"/>
        <v>#N/A</v>
      </c>
      <c r="AN18" s="10" t="e">
        <f t="shared" si="22"/>
        <v>#N/A</v>
      </c>
      <c r="AO18" s="10" t="e">
        <f t="shared" si="23"/>
        <v>#N/A</v>
      </c>
      <c r="AP18" s="10" t="e">
        <f t="shared" si="24"/>
        <v>#N/A</v>
      </c>
      <c r="AQ18" s="10" t="e">
        <f t="shared" si="25"/>
        <v>#N/A</v>
      </c>
      <c r="AR18" s="10" t="e">
        <f t="shared" si="26"/>
        <v>#N/A</v>
      </c>
      <c r="AS18" s="10" t="e">
        <f t="shared" si="27"/>
        <v>#N/A</v>
      </c>
      <c r="AT18" s="10" t="e">
        <f t="shared" si="28"/>
        <v>#N/A</v>
      </c>
      <c r="AU18" s="10" t="e">
        <f t="shared" si="29"/>
        <v>#N/A</v>
      </c>
      <c r="AV18" s="10" t="e">
        <f>NA()</f>
        <v>#N/A</v>
      </c>
      <c r="AW18" s="10" t="e">
        <f>NA()</f>
        <v>#N/A</v>
      </c>
      <c r="AX18" s="10" t="e">
        <f>NA()</f>
        <v>#N/A</v>
      </c>
      <c r="AY18" s="10" t="e">
        <f>NA()</f>
        <v>#N/A</v>
      </c>
      <c r="AZ18" s="10" t="e">
        <f>NA()</f>
        <v>#N/A</v>
      </c>
      <c r="BA18" s="10" t="e">
        <f>NA()</f>
        <v>#N/A</v>
      </c>
      <c r="BB18" s="10" t="e">
        <f>NA()</f>
        <v>#N/A</v>
      </c>
      <c r="BC18" s="10" t="e">
        <f>NA()</f>
        <v>#N/A</v>
      </c>
      <c r="BD18" s="10" t="e">
        <f>NA()</f>
        <v>#N/A</v>
      </c>
    </row>
    <row r="19" spans="1:56" x14ac:dyDescent="0.25">
      <c r="A19" s="28">
        <f>B19*IF(Main!E11="",1,Main!E11)</f>
        <v>0</v>
      </c>
      <c r="B19" s="28">
        <f>IF(Calculations!Z19="",0,1)</f>
        <v>0</v>
      </c>
      <c r="C19" s="28">
        <f>IF(B19=0,0,(Calculations!Z19-100)*Main!E11*B19)</f>
        <v>0</v>
      </c>
      <c r="D19" s="28"/>
      <c r="E19" s="28">
        <v>0</v>
      </c>
      <c r="F19" s="28">
        <f t="shared" si="1"/>
        <v>0</v>
      </c>
      <c r="G19" s="28">
        <v>0</v>
      </c>
      <c r="H19" s="28" t="e">
        <f t="shared" si="2"/>
        <v>#N/A</v>
      </c>
      <c r="I19" s="28">
        <f>(Main!C$26-100)*G19+100</f>
        <v>100</v>
      </c>
      <c r="J19" s="28" t="e">
        <f t="shared" si="17"/>
        <v>#N/A</v>
      </c>
      <c r="K19" s="28" t="e">
        <f t="shared" si="18"/>
        <v>#N/A</v>
      </c>
      <c r="L19" s="28">
        <f>IF(Main!C11="",ROW(A9),Main!C11)</f>
        <v>9</v>
      </c>
      <c r="M19" s="28" t="e">
        <f>IF(B19=0,NA(),Calculations!Z19)</f>
        <v>#N/A</v>
      </c>
      <c r="N19" s="28" t="e">
        <f t="shared" si="3"/>
        <v>#N/A</v>
      </c>
      <c r="O19" s="28" t="e">
        <f t="shared" si="4"/>
        <v>#N/A</v>
      </c>
      <c r="P19" s="28" t="e">
        <f t="shared" si="5"/>
        <v>#N/A</v>
      </c>
      <c r="Q19" s="28">
        <v>9</v>
      </c>
      <c r="R19" s="28">
        <f t="shared" si="6"/>
        <v>0</v>
      </c>
      <c r="S19" s="28">
        <f>IF(Calculations!Z19="",0,(Calculations!Z19-100)/15)</f>
        <v>0</v>
      </c>
      <c r="T19" s="28">
        <v>0</v>
      </c>
      <c r="U19" s="28">
        <v>0</v>
      </c>
      <c r="V19" s="27">
        <f t="shared" si="19"/>
        <v>100</v>
      </c>
      <c r="W19" s="27">
        <f t="shared" si="7"/>
        <v>1</v>
      </c>
      <c r="X19" s="27">
        <f t="shared" si="8"/>
        <v>0</v>
      </c>
      <c r="Y19" s="25" t="e">
        <f t="shared" si="9"/>
        <v>#N/A</v>
      </c>
      <c r="Z19" s="2" t="str">
        <f>IF(Flynn,Main!K11,Main!L11)</f>
        <v/>
      </c>
      <c r="AA19" s="64" t="str">
        <f>IF(Main!C11="","",INDEX(Tests!I$3:I$499,MATCH(Main!C11,Tests!$J$3:$J$499,0)))</f>
        <v/>
      </c>
      <c r="AB19" s="1" t="str">
        <f>IF(AA19=0,Main!$S$1,Calculations!AA19)</f>
        <v/>
      </c>
      <c r="AC19" s="1">
        <f t="shared" si="20"/>
        <v>0</v>
      </c>
      <c r="AE19" s="29" t="str">
        <f>IF(B19=1,Main!$C$29-RANK(R19,$R$11:$R$30,0)+1,"")</f>
        <v/>
      </c>
      <c r="AF19" s="29" t="e">
        <f t="shared" si="10"/>
        <v>#N/A</v>
      </c>
      <c r="AG19" s="29" t="e">
        <f t="shared" si="11"/>
        <v>#N/A</v>
      </c>
      <c r="AH19" s="29" t="e">
        <f t="shared" si="12"/>
        <v>#N/A</v>
      </c>
      <c r="AI19" s="29" t="e">
        <f t="shared" si="13"/>
        <v>#N/A</v>
      </c>
      <c r="AJ19" s="29" t="e">
        <f t="shared" si="14"/>
        <v>#N/A</v>
      </c>
      <c r="AK19" s="29" t="e">
        <f t="shared" si="15"/>
        <v>#N/A</v>
      </c>
      <c r="AL19" s="29" t="e">
        <f t="shared" si="16"/>
        <v>#N/A</v>
      </c>
      <c r="AM19" s="10" t="e">
        <f t="shared" si="21"/>
        <v>#N/A</v>
      </c>
      <c r="AN19" s="10" t="e">
        <f t="shared" si="22"/>
        <v>#N/A</v>
      </c>
      <c r="AO19" s="10" t="e">
        <f t="shared" si="23"/>
        <v>#N/A</v>
      </c>
      <c r="AP19" s="10" t="e">
        <f t="shared" si="24"/>
        <v>#N/A</v>
      </c>
      <c r="AQ19" s="10" t="e">
        <f t="shared" si="25"/>
        <v>#N/A</v>
      </c>
      <c r="AR19" s="10" t="e">
        <f t="shared" si="26"/>
        <v>#N/A</v>
      </c>
      <c r="AS19" s="10" t="e">
        <f t="shared" si="27"/>
        <v>#N/A</v>
      </c>
      <c r="AT19" s="10" t="e">
        <f t="shared" si="28"/>
        <v>#N/A</v>
      </c>
      <c r="AU19" s="10" t="e">
        <f t="shared" si="29"/>
        <v>#N/A</v>
      </c>
      <c r="AV19" s="10" t="e">
        <f>NA()</f>
        <v>#N/A</v>
      </c>
      <c r="AW19" s="10" t="e">
        <f>NA()</f>
        <v>#N/A</v>
      </c>
      <c r="AX19" s="10" t="e">
        <f>NA()</f>
        <v>#N/A</v>
      </c>
      <c r="AY19" s="10" t="e">
        <f>NA()</f>
        <v>#N/A</v>
      </c>
      <c r="AZ19" s="10" t="e">
        <f>NA()</f>
        <v>#N/A</v>
      </c>
      <c r="BA19" s="10" t="e">
        <f>NA()</f>
        <v>#N/A</v>
      </c>
      <c r="BB19" s="10" t="e">
        <f>NA()</f>
        <v>#N/A</v>
      </c>
      <c r="BC19" s="10" t="e">
        <f>NA()</f>
        <v>#N/A</v>
      </c>
      <c r="BD19" s="10" t="e">
        <f>NA()</f>
        <v>#N/A</v>
      </c>
    </row>
    <row r="20" spans="1:56" x14ac:dyDescent="0.25">
      <c r="A20" s="28">
        <f>B20*IF(Main!E12="",1,Main!E12)</f>
        <v>0</v>
      </c>
      <c r="B20" s="28">
        <f>IF(Calculations!Z20="",0,1)</f>
        <v>0</v>
      </c>
      <c r="C20" s="28">
        <f>IF(B20=0,0,(Calculations!Z20-100)*Main!E12*B20)</f>
        <v>0</v>
      </c>
      <c r="D20" s="28"/>
      <c r="E20" s="28">
        <v>0</v>
      </c>
      <c r="F20" s="28">
        <f t="shared" si="1"/>
        <v>0</v>
      </c>
      <c r="G20" s="28">
        <v>0</v>
      </c>
      <c r="H20" s="28" t="e">
        <f t="shared" si="2"/>
        <v>#N/A</v>
      </c>
      <c r="I20" s="28">
        <f>(Main!C$26-100)*G20+100</f>
        <v>100</v>
      </c>
      <c r="J20" s="28" t="e">
        <f t="shared" si="17"/>
        <v>#N/A</v>
      </c>
      <c r="K20" s="28" t="e">
        <f t="shared" si="18"/>
        <v>#N/A</v>
      </c>
      <c r="L20" s="28">
        <f>IF(Main!C12="",ROW(A10),Main!C12)</f>
        <v>10</v>
      </c>
      <c r="M20" s="28" t="e">
        <f>IF(B20=0,NA(),Calculations!Z20)</f>
        <v>#N/A</v>
      </c>
      <c r="N20" s="28" t="e">
        <f t="shared" si="3"/>
        <v>#N/A</v>
      </c>
      <c r="O20" s="28" t="e">
        <f t="shared" si="4"/>
        <v>#N/A</v>
      </c>
      <c r="P20" s="28" t="e">
        <f t="shared" si="5"/>
        <v>#N/A</v>
      </c>
      <c r="Q20" s="28">
        <v>10</v>
      </c>
      <c r="R20" s="28">
        <f t="shared" si="6"/>
        <v>0</v>
      </c>
      <c r="S20" s="28">
        <f>IF(Calculations!Z20="",0,(Calculations!Z20-100)/15)</f>
        <v>0</v>
      </c>
      <c r="T20" s="28">
        <v>0</v>
      </c>
      <c r="U20" s="28">
        <v>0</v>
      </c>
      <c r="V20" s="27">
        <f t="shared" si="19"/>
        <v>100</v>
      </c>
      <c r="W20" s="27">
        <f t="shared" si="7"/>
        <v>1</v>
      </c>
      <c r="X20" s="27">
        <f t="shared" si="8"/>
        <v>0</v>
      </c>
      <c r="Y20" s="25" t="e">
        <f t="shared" si="9"/>
        <v>#N/A</v>
      </c>
      <c r="Z20" s="2" t="str">
        <f>IF(Flynn,Main!K12,Main!L12)</f>
        <v/>
      </c>
      <c r="AA20" s="64" t="str">
        <f>IF(Main!C12="","",INDEX(Tests!I$3:I$499,MATCH(Main!C12,Tests!$J$3:$J$499,0)))</f>
        <v/>
      </c>
      <c r="AB20" s="1" t="str">
        <f>IF(AA20=0,Main!$S$1,Calculations!AA20)</f>
        <v/>
      </c>
      <c r="AC20" s="1">
        <f t="shared" si="20"/>
        <v>0</v>
      </c>
      <c r="AE20" s="29" t="str">
        <f>IF(B20=1,Main!$C$29-RANK(R20,$R$11:$R$30,0)+1,"")</f>
        <v/>
      </c>
      <c r="AF20" s="29" t="e">
        <f t="shared" si="10"/>
        <v>#N/A</v>
      </c>
      <c r="AG20" s="29" t="e">
        <f t="shared" si="11"/>
        <v>#N/A</v>
      </c>
      <c r="AH20" s="29" t="e">
        <f t="shared" si="12"/>
        <v>#N/A</v>
      </c>
      <c r="AI20" s="29" t="e">
        <f t="shared" si="13"/>
        <v>#N/A</v>
      </c>
      <c r="AJ20" s="29" t="e">
        <f t="shared" si="14"/>
        <v>#N/A</v>
      </c>
      <c r="AK20" s="29" t="e">
        <f t="shared" si="15"/>
        <v>#N/A</v>
      </c>
      <c r="AL20" s="29" t="e">
        <f t="shared" si="16"/>
        <v>#N/A</v>
      </c>
      <c r="AM20" s="10" t="e">
        <f t="shared" si="21"/>
        <v>#N/A</v>
      </c>
      <c r="AN20" s="10" t="e">
        <f t="shared" si="22"/>
        <v>#N/A</v>
      </c>
      <c r="AO20" s="10" t="e">
        <f t="shared" si="23"/>
        <v>#N/A</v>
      </c>
      <c r="AP20" s="10" t="e">
        <f t="shared" si="24"/>
        <v>#N/A</v>
      </c>
      <c r="AQ20" s="10" t="e">
        <f t="shared" si="25"/>
        <v>#N/A</v>
      </c>
      <c r="AR20" s="10" t="e">
        <f t="shared" si="26"/>
        <v>#N/A</v>
      </c>
      <c r="AS20" s="10" t="e">
        <f t="shared" si="27"/>
        <v>#N/A</v>
      </c>
      <c r="AT20" s="10" t="e">
        <f t="shared" si="28"/>
        <v>#N/A</v>
      </c>
      <c r="AU20" s="10" t="e">
        <f t="shared" si="29"/>
        <v>#N/A</v>
      </c>
      <c r="AV20" s="10" t="e">
        <f>NA()</f>
        <v>#N/A</v>
      </c>
      <c r="AW20" s="10" t="e">
        <f>NA()</f>
        <v>#N/A</v>
      </c>
      <c r="AX20" s="10" t="e">
        <f>NA()</f>
        <v>#N/A</v>
      </c>
      <c r="AY20" s="10" t="e">
        <f>NA()</f>
        <v>#N/A</v>
      </c>
      <c r="AZ20" s="10" t="e">
        <f>NA()</f>
        <v>#N/A</v>
      </c>
      <c r="BA20" s="10" t="e">
        <f>NA()</f>
        <v>#N/A</v>
      </c>
      <c r="BB20" s="10" t="e">
        <f>NA()</f>
        <v>#N/A</v>
      </c>
      <c r="BC20" s="10" t="e">
        <f>NA()</f>
        <v>#N/A</v>
      </c>
      <c r="BD20" s="10" t="e">
        <f>NA()</f>
        <v>#N/A</v>
      </c>
    </row>
    <row r="21" spans="1:56" x14ac:dyDescent="0.25">
      <c r="A21" s="28">
        <f>B21*IF(Main!E13="",1,Main!E13)</f>
        <v>0</v>
      </c>
      <c r="B21" s="28">
        <f>IF(Calculations!Z21="",0,1)</f>
        <v>0</v>
      </c>
      <c r="C21" s="28">
        <f>IF(B21=0,0,(Calculations!Z21-100)*Main!E13*B21)</f>
        <v>0</v>
      </c>
      <c r="D21" s="28"/>
      <c r="E21" s="28">
        <v>0</v>
      </c>
      <c r="F21" s="28">
        <f t="shared" si="1"/>
        <v>0</v>
      </c>
      <c r="G21" s="28">
        <v>0</v>
      </c>
      <c r="H21" s="28" t="e">
        <f t="shared" si="2"/>
        <v>#N/A</v>
      </c>
      <c r="I21" s="28">
        <f>(Main!C$26-100)*G21+100</f>
        <v>100</v>
      </c>
      <c r="J21" s="28" t="e">
        <f t="shared" si="17"/>
        <v>#N/A</v>
      </c>
      <c r="K21" s="28" t="e">
        <f t="shared" si="18"/>
        <v>#N/A</v>
      </c>
      <c r="L21" s="28">
        <f>IF(Main!C13="",ROW(A11),Main!C13)</f>
        <v>11</v>
      </c>
      <c r="M21" s="28" t="e">
        <f>IF(B21=0,NA(),Calculations!Z21)</f>
        <v>#N/A</v>
      </c>
      <c r="N21" s="28" t="e">
        <f t="shared" si="3"/>
        <v>#N/A</v>
      </c>
      <c r="O21" s="28" t="e">
        <f t="shared" si="4"/>
        <v>#N/A</v>
      </c>
      <c r="P21" s="28" t="e">
        <f t="shared" si="5"/>
        <v>#N/A</v>
      </c>
      <c r="Q21" s="28">
        <v>11</v>
      </c>
      <c r="R21" s="28">
        <f t="shared" si="6"/>
        <v>0</v>
      </c>
      <c r="S21" s="28">
        <f>IF(Calculations!Z21="",0,(Calculations!Z21-100)/15)</f>
        <v>0</v>
      </c>
      <c r="T21" s="28">
        <v>0</v>
      </c>
      <c r="U21" s="28">
        <v>0</v>
      </c>
      <c r="V21" s="27">
        <f t="shared" si="19"/>
        <v>100</v>
      </c>
      <c r="W21" s="27">
        <f t="shared" si="7"/>
        <v>1</v>
      </c>
      <c r="X21" s="27">
        <f t="shared" si="8"/>
        <v>0</v>
      </c>
      <c r="Y21" s="25" t="e">
        <f t="shared" si="9"/>
        <v>#N/A</v>
      </c>
      <c r="Z21" s="2" t="str">
        <f>IF(Flynn,Main!K13,Main!L13)</f>
        <v/>
      </c>
      <c r="AA21" s="64" t="str">
        <f>IF(Main!C13="","",INDEX(Tests!I$3:I$499,MATCH(Main!C13,Tests!$J$3:$J$499,0)))</f>
        <v/>
      </c>
      <c r="AB21" s="1" t="str">
        <f>IF(AA21=0,Main!$S$1,Calculations!AA21)</f>
        <v/>
      </c>
      <c r="AC21" s="1">
        <f t="shared" si="20"/>
        <v>0</v>
      </c>
      <c r="AE21" s="29" t="str">
        <f>IF(B21=1,Main!$C$29-RANK(R21,$R$11:$R$30,0)+1,"")</f>
        <v/>
      </c>
      <c r="AF21" s="29" t="e">
        <f t="shared" ref="AF21:AF30" si="30">MATCH(Q21,$AE$11:$AE$30,0)</f>
        <v>#N/A</v>
      </c>
      <c r="AG21" s="29" t="e">
        <f t="shared" ref="AG21:AG30" si="31">INDEX(M$11:M$30,$AF21,1)</f>
        <v>#N/A</v>
      </c>
      <c r="AH21" s="29" t="e">
        <f t="shared" ref="AH21:AH30" si="32">INDEX(N$11:N$30,$AF21,1)</f>
        <v>#N/A</v>
      </c>
      <c r="AI21" s="29" t="e">
        <f t="shared" ref="AI21:AI30" si="33">INDEX(O$11:O$30,$AF21,1)</f>
        <v>#N/A</v>
      </c>
      <c r="AJ21" s="29" t="e">
        <f t="shared" ref="AJ21:AJ30" si="34">INDEX(P$11:P$30,$AF21,1)</f>
        <v>#N/A</v>
      </c>
      <c r="AK21" s="29" t="e">
        <f t="shared" ref="AK21:AK30" si="35">INDEX(L$11:L$30,$AF21,1)</f>
        <v>#N/A</v>
      </c>
      <c r="AL21" s="29" t="e">
        <f t="shared" ref="AL21:AL30" si="36">INDEX(H$11:H$30,$AF21,1)</f>
        <v>#N/A</v>
      </c>
      <c r="AM21" s="10" t="e">
        <f t="shared" si="21"/>
        <v>#N/A</v>
      </c>
      <c r="AN21" s="10" t="e">
        <f t="shared" si="22"/>
        <v>#N/A</v>
      </c>
      <c r="AO21" s="10" t="e">
        <f t="shared" si="23"/>
        <v>#N/A</v>
      </c>
      <c r="AP21" s="10" t="e">
        <f t="shared" si="24"/>
        <v>#N/A</v>
      </c>
      <c r="AQ21" s="10" t="e">
        <f t="shared" si="25"/>
        <v>#N/A</v>
      </c>
      <c r="AR21" s="10" t="e">
        <f t="shared" si="26"/>
        <v>#N/A</v>
      </c>
      <c r="AS21" s="10" t="e">
        <f t="shared" si="27"/>
        <v>#N/A</v>
      </c>
      <c r="AT21" s="10" t="e">
        <f t="shared" si="28"/>
        <v>#N/A</v>
      </c>
      <c r="AU21" s="10" t="e">
        <f t="shared" si="29"/>
        <v>#N/A</v>
      </c>
      <c r="AV21" s="10" t="e">
        <f>NA()</f>
        <v>#N/A</v>
      </c>
      <c r="AW21" s="10" t="e">
        <f>NA()</f>
        <v>#N/A</v>
      </c>
      <c r="AX21" s="10" t="e">
        <f>NA()</f>
        <v>#N/A</v>
      </c>
      <c r="AY21" s="10" t="e">
        <f>NA()</f>
        <v>#N/A</v>
      </c>
      <c r="AZ21" s="10" t="e">
        <f>NA()</f>
        <v>#N/A</v>
      </c>
      <c r="BA21" s="10" t="e">
        <f>NA()</f>
        <v>#N/A</v>
      </c>
      <c r="BB21" s="10" t="e">
        <f>NA()</f>
        <v>#N/A</v>
      </c>
      <c r="BC21" s="10" t="e">
        <f>NA()</f>
        <v>#N/A</v>
      </c>
      <c r="BD21" s="10" t="e">
        <f>NA()</f>
        <v>#N/A</v>
      </c>
    </row>
    <row r="22" spans="1:56" x14ac:dyDescent="0.25">
      <c r="A22" s="28">
        <f>B22*IF(Main!E14="",1,Main!E14)</f>
        <v>0</v>
      </c>
      <c r="B22" s="28">
        <f>IF(Calculations!Z22="",0,1)</f>
        <v>0</v>
      </c>
      <c r="C22" s="28">
        <f>IF(B22=0,0,(Calculations!Z22-100)*Main!E14*B22)</f>
        <v>0</v>
      </c>
      <c r="D22" s="28"/>
      <c r="E22" s="28">
        <v>0</v>
      </c>
      <c r="F22" s="28">
        <f t="shared" si="1"/>
        <v>0</v>
      </c>
      <c r="G22" s="28">
        <v>0</v>
      </c>
      <c r="H22" s="28" t="e">
        <f t="shared" si="2"/>
        <v>#N/A</v>
      </c>
      <c r="I22" s="28">
        <f>(Main!C$26-100)*G22+100</f>
        <v>100</v>
      </c>
      <c r="J22" s="28" t="e">
        <f t="shared" si="17"/>
        <v>#N/A</v>
      </c>
      <c r="K22" s="28" t="e">
        <f t="shared" si="18"/>
        <v>#N/A</v>
      </c>
      <c r="L22" s="28">
        <f>IF(Main!C14="",ROW(A12),Main!C14)</f>
        <v>12</v>
      </c>
      <c r="M22" s="28" t="e">
        <f>IF(B22=0,NA(),Calculations!Z22)</f>
        <v>#N/A</v>
      </c>
      <c r="N22" s="28" t="e">
        <f t="shared" si="3"/>
        <v>#N/A</v>
      </c>
      <c r="O22" s="28" t="e">
        <f t="shared" si="4"/>
        <v>#N/A</v>
      </c>
      <c r="P22" s="28" t="e">
        <f t="shared" si="5"/>
        <v>#N/A</v>
      </c>
      <c r="Q22" s="28">
        <v>12</v>
      </c>
      <c r="R22" s="28">
        <f t="shared" si="6"/>
        <v>0</v>
      </c>
      <c r="S22" s="28">
        <f>IF(Calculations!Z22="",0,(Calculations!Z22-100)/15)</f>
        <v>0</v>
      </c>
      <c r="T22" s="28">
        <v>0</v>
      </c>
      <c r="U22" s="28">
        <v>0</v>
      </c>
      <c r="V22" s="27">
        <f t="shared" si="19"/>
        <v>100</v>
      </c>
      <c r="W22" s="27">
        <f t="shared" si="7"/>
        <v>1</v>
      </c>
      <c r="X22" s="27">
        <f t="shared" si="8"/>
        <v>0</v>
      </c>
      <c r="Y22" s="25" t="e">
        <f t="shared" si="9"/>
        <v>#N/A</v>
      </c>
      <c r="Z22" s="2" t="str">
        <f>IF(Flynn,Main!K14,Main!L14)</f>
        <v/>
      </c>
      <c r="AA22" s="64" t="str">
        <f>IF(Main!C14="","",INDEX(Tests!I$3:I$499,MATCH(Main!C14,Tests!$J$3:$J$499,0)))</f>
        <v/>
      </c>
      <c r="AB22" s="1" t="str">
        <f>IF(AA22=0,Main!$S$1,Calculations!AA22)</f>
        <v/>
      </c>
      <c r="AC22" s="1">
        <f t="shared" si="20"/>
        <v>0</v>
      </c>
      <c r="AE22" s="29" t="str">
        <f>IF(B22=1,Main!$C$29-RANK(R22,$R$11:$R$30,0)+1,"")</f>
        <v/>
      </c>
      <c r="AF22" s="29" t="e">
        <f t="shared" si="30"/>
        <v>#N/A</v>
      </c>
      <c r="AG22" s="29" t="e">
        <f t="shared" si="31"/>
        <v>#N/A</v>
      </c>
      <c r="AH22" s="29" t="e">
        <f t="shared" si="32"/>
        <v>#N/A</v>
      </c>
      <c r="AI22" s="29" t="e">
        <f t="shared" si="33"/>
        <v>#N/A</v>
      </c>
      <c r="AJ22" s="29" t="e">
        <f t="shared" si="34"/>
        <v>#N/A</v>
      </c>
      <c r="AK22" s="29" t="e">
        <f t="shared" si="35"/>
        <v>#N/A</v>
      </c>
      <c r="AL22" s="29" t="e">
        <f t="shared" si="36"/>
        <v>#N/A</v>
      </c>
      <c r="AM22" s="10" t="e">
        <f t="shared" si="21"/>
        <v>#N/A</v>
      </c>
      <c r="AN22" s="10" t="e">
        <f t="shared" si="22"/>
        <v>#N/A</v>
      </c>
      <c r="AO22" s="10" t="e">
        <f t="shared" si="23"/>
        <v>#N/A</v>
      </c>
      <c r="AP22" s="10" t="e">
        <f t="shared" si="24"/>
        <v>#N/A</v>
      </c>
      <c r="AQ22" s="10" t="e">
        <f t="shared" si="25"/>
        <v>#N/A</v>
      </c>
      <c r="AR22" s="10" t="e">
        <f t="shared" si="26"/>
        <v>#N/A</v>
      </c>
      <c r="AS22" s="10" t="e">
        <f t="shared" si="27"/>
        <v>#N/A</v>
      </c>
      <c r="AT22" s="10" t="e">
        <f t="shared" si="28"/>
        <v>#N/A</v>
      </c>
      <c r="AU22" s="10" t="e">
        <f t="shared" si="29"/>
        <v>#N/A</v>
      </c>
      <c r="AV22" s="10" t="e">
        <f>NA()</f>
        <v>#N/A</v>
      </c>
      <c r="AW22" s="10" t="e">
        <f>NA()</f>
        <v>#N/A</v>
      </c>
      <c r="AX22" s="10" t="e">
        <f>NA()</f>
        <v>#N/A</v>
      </c>
      <c r="AY22" s="10" t="e">
        <f>NA()</f>
        <v>#N/A</v>
      </c>
      <c r="AZ22" s="10" t="e">
        <f>NA()</f>
        <v>#N/A</v>
      </c>
      <c r="BA22" s="10" t="e">
        <f>NA()</f>
        <v>#N/A</v>
      </c>
      <c r="BB22" s="10" t="e">
        <f>NA()</f>
        <v>#N/A</v>
      </c>
      <c r="BC22" s="10" t="e">
        <f>NA()</f>
        <v>#N/A</v>
      </c>
      <c r="BD22" s="10" t="e">
        <f>NA()</f>
        <v>#N/A</v>
      </c>
    </row>
    <row r="23" spans="1:56" x14ac:dyDescent="0.25">
      <c r="A23" s="28">
        <f>B23*IF(Main!E15="",1,Main!E15)</f>
        <v>0</v>
      </c>
      <c r="B23" s="28">
        <f>IF(Calculations!Z23="",0,1)</f>
        <v>0</v>
      </c>
      <c r="C23" s="28">
        <f>IF(B23=0,0,(Calculations!Z23-100)*Main!E15*B23)</f>
        <v>0</v>
      </c>
      <c r="D23" s="28"/>
      <c r="E23" s="28">
        <v>0</v>
      </c>
      <c r="F23" s="28">
        <f t="shared" si="1"/>
        <v>0</v>
      </c>
      <c r="G23" s="28">
        <v>0</v>
      </c>
      <c r="H23" s="28" t="e">
        <f t="shared" si="2"/>
        <v>#N/A</v>
      </c>
      <c r="I23" s="28">
        <f>(Main!C$26-100)*G23+100</f>
        <v>100</v>
      </c>
      <c r="J23" s="28" t="e">
        <f t="shared" si="17"/>
        <v>#N/A</v>
      </c>
      <c r="K23" s="28" t="e">
        <f t="shared" si="18"/>
        <v>#N/A</v>
      </c>
      <c r="L23" s="28">
        <f>IF(Main!C15="",ROW(A13),Main!C15)</f>
        <v>13</v>
      </c>
      <c r="M23" s="28" t="e">
        <f>IF(B23=0,NA(),Calculations!Z23)</f>
        <v>#N/A</v>
      </c>
      <c r="N23" s="28" t="e">
        <f t="shared" si="3"/>
        <v>#N/A</v>
      </c>
      <c r="O23" s="28" t="e">
        <f t="shared" si="4"/>
        <v>#N/A</v>
      </c>
      <c r="P23" s="28" t="e">
        <f t="shared" si="5"/>
        <v>#N/A</v>
      </c>
      <c r="Q23" s="28">
        <v>13</v>
      </c>
      <c r="R23" s="28">
        <f t="shared" si="6"/>
        <v>0</v>
      </c>
      <c r="S23" s="28">
        <f>IF(Calculations!Z23="",0,(Calculations!Z23-100)/15)</f>
        <v>0</v>
      </c>
      <c r="T23" s="28">
        <v>0</v>
      </c>
      <c r="U23" s="28">
        <v>0</v>
      </c>
      <c r="V23" s="27">
        <f t="shared" si="19"/>
        <v>100</v>
      </c>
      <c r="W23" s="27">
        <f t="shared" si="7"/>
        <v>1</v>
      </c>
      <c r="X23" s="27">
        <f t="shared" si="8"/>
        <v>0</v>
      </c>
      <c r="Y23" s="25" t="e">
        <f t="shared" si="9"/>
        <v>#N/A</v>
      </c>
      <c r="Z23" s="2" t="str">
        <f>IF(Flynn,Main!K15,Main!L15)</f>
        <v/>
      </c>
      <c r="AA23" s="64" t="str">
        <f>IF(Main!C15="","",INDEX(Tests!I$3:I$499,MATCH(Main!C15,Tests!$J$3:$J$499,0)))</f>
        <v/>
      </c>
      <c r="AB23" s="1" t="str">
        <f>IF(AA23=0,Main!$S$1,Calculations!AA23)</f>
        <v/>
      </c>
      <c r="AC23" s="1">
        <f t="shared" si="20"/>
        <v>0</v>
      </c>
      <c r="AE23" s="29" t="str">
        <f>IF(B23=1,Main!$C$29-RANK(R23,$R$11:$R$30,0)+1,"")</f>
        <v/>
      </c>
      <c r="AF23" s="29" t="e">
        <f t="shared" si="30"/>
        <v>#N/A</v>
      </c>
      <c r="AG23" s="29" t="e">
        <f t="shared" si="31"/>
        <v>#N/A</v>
      </c>
      <c r="AH23" s="29" t="e">
        <f t="shared" si="32"/>
        <v>#N/A</v>
      </c>
      <c r="AI23" s="29" t="e">
        <f t="shared" si="33"/>
        <v>#N/A</v>
      </c>
      <c r="AJ23" s="29" t="e">
        <f t="shared" si="34"/>
        <v>#N/A</v>
      </c>
      <c r="AK23" s="29" t="e">
        <f t="shared" si="35"/>
        <v>#N/A</v>
      </c>
      <c r="AL23" s="29" t="e">
        <f t="shared" si="36"/>
        <v>#N/A</v>
      </c>
      <c r="AM23" s="10" t="e">
        <f t="shared" si="21"/>
        <v>#N/A</v>
      </c>
      <c r="AN23" s="10" t="e">
        <f t="shared" si="22"/>
        <v>#N/A</v>
      </c>
      <c r="AO23" s="10" t="e">
        <f t="shared" si="23"/>
        <v>#N/A</v>
      </c>
      <c r="AP23" s="10" t="e">
        <f t="shared" si="24"/>
        <v>#N/A</v>
      </c>
      <c r="AQ23" s="10" t="e">
        <f t="shared" si="25"/>
        <v>#N/A</v>
      </c>
      <c r="AR23" s="10" t="e">
        <f t="shared" si="26"/>
        <v>#N/A</v>
      </c>
      <c r="AS23" s="10" t="e">
        <f t="shared" si="27"/>
        <v>#N/A</v>
      </c>
      <c r="AT23" s="10" t="e">
        <f t="shared" si="28"/>
        <v>#N/A</v>
      </c>
      <c r="AU23" s="10" t="e">
        <f t="shared" si="29"/>
        <v>#N/A</v>
      </c>
      <c r="AV23" s="10" t="e">
        <f>NA()</f>
        <v>#N/A</v>
      </c>
      <c r="AW23" s="10" t="e">
        <f>NA()</f>
        <v>#N/A</v>
      </c>
      <c r="AX23" s="10" t="e">
        <f>NA()</f>
        <v>#N/A</v>
      </c>
      <c r="AY23" s="10" t="e">
        <f>NA()</f>
        <v>#N/A</v>
      </c>
      <c r="AZ23" s="10" t="e">
        <f>NA()</f>
        <v>#N/A</v>
      </c>
      <c r="BA23" s="10" t="e">
        <f>NA()</f>
        <v>#N/A</v>
      </c>
      <c r="BB23" s="10" t="e">
        <f>NA()</f>
        <v>#N/A</v>
      </c>
      <c r="BC23" s="10" t="e">
        <f>NA()</f>
        <v>#N/A</v>
      </c>
      <c r="BD23" s="10" t="e">
        <f>NA()</f>
        <v>#N/A</v>
      </c>
    </row>
    <row r="24" spans="1:56" x14ac:dyDescent="0.25">
      <c r="A24" s="28">
        <f>B24*IF(Main!E16="",1,Main!E16)</f>
        <v>0</v>
      </c>
      <c r="B24" s="28">
        <f>IF(Calculations!Z24="",0,1)</f>
        <v>0</v>
      </c>
      <c r="C24" s="28">
        <f>IF(B24=0,0,(Calculations!Z24-100)*Main!E16*B24)</f>
        <v>0</v>
      </c>
      <c r="D24" s="28"/>
      <c r="E24" s="28">
        <v>0</v>
      </c>
      <c r="F24" s="28">
        <f t="shared" si="1"/>
        <v>0</v>
      </c>
      <c r="G24" s="28">
        <v>0</v>
      </c>
      <c r="H24" s="28" t="e">
        <f t="shared" si="2"/>
        <v>#N/A</v>
      </c>
      <c r="I24" s="28">
        <f>(Main!C$26-100)*G24+100</f>
        <v>100</v>
      </c>
      <c r="J24" s="28" t="e">
        <f t="shared" si="17"/>
        <v>#N/A</v>
      </c>
      <c r="K24" s="28" t="e">
        <f t="shared" si="18"/>
        <v>#N/A</v>
      </c>
      <c r="L24" s="28">
        <f>IF(Main!C16="",ROW(A14),Main!C16)</f>
        <v>14</v>
      </c>
      <c r="M24" s="28" t="e">
        <f>IF(B24=0,NA(),Calculations!Z24)</f>
        <v>#N/A</v>
      </c>
      <c r="N24" s="28" t="e">
        <f t="shared" si="3"/>
        <v>#N/A</v>
      </c>
      <c r="O24" s="28" t="e">
        <f t="shared" si="4"/>
        <v>#N/A</v>
      </c>
      <c r="P24" s="28" t="e">
        <f t="shared" si="5"/>
        <v>#N/A</v>
      </c>
      <c r="Q24" s="28">
        <v>14</v>
      </c>
      <c r="R24" s="28">
        <f t="shared" si="6"/>
        <v>0</v>
      </c>
      <c r="S24" s="28">
        <f>IF(Calculations!Z24="",0,(Calculations!Z24-100)/15)</f>
        <v>0</v>
      </c>
      <c r="T24" s="28">
        <v>0</v>
      </c>
      <c r="U24" s="28">
        <v>0</v>
      </c>
      <c r="V24" s="27">
        <f t="shared" si="19"/>
        <v>100</v>
      </c>
      <c r="W24" s="27">
        <f t="shared" si="7"/>
        <v>1</v>
      </c>
      <c r="X24" s="27">
        <f t="shared" si="8"/>
        <v>0</v>
      </c>
      <c r="Y24" s="25" t="e">
        <f t="shared" si="9"/>
        <v>#N/A</v>
      </c>
      <c r="Z24" s="2" t="str">
        <f>IF(Flynn,Main!K16,Main!L16)</f>
        <v/>
      </c>
      <c r="AA24" s="64" t="str">
        <f>IF(Main!C16="","",INDEX(Tests!I$3:I$499,MATCH(Main!C16,Tests!$J$3:$J$499,0)))</f>
        <v/>
      </c>
      <c r="AB24" s="1" t="str">
        <f>IF(AA24=0,Main!$S$1,Calculations!AA24)</f>
        <v/>
      </c>
      <c r="AC24" s="1">
        <f t="shared" si="20"/>
        <v>0</v>
      </c>
      <c r="AE24" s="29" t="str">
        <f>IF(B24=1,Main!$C$29-RANK(R24,$R$11:$R$30,0)+1,"")</f>
        <v/>
      </c>
      <c r="AF24" s="29" t="e">
        <f t="shared" si="30"/>
        <v>#N/A</v>
      </c>
      <c r="AG24" s="29" t="e">
        <f t="shared" si="31"/>
        <v>#N/A</v>
      </c>
      <c r="AH24" s="29" t="e">
        <f t="shared" si="32"/>
        <v>#N/A</v>
      </c>
      <c r="AI24" s="29" t="e">
        <f t="shared" si="33"/>
        <v>#N/A</v>
      </c>
      <c r="AJ24" s="29" t="e">
        <f t="shared" si="34"/>
        <v>#N/A</v>
      </c>
      <c r="AK24" s="29" t="e">
        <f t="shared" si="35"/>
        <v>#N/A</v>
      </c>
      <c r="AL24" s="29" t="e">
        <f t="shared" si="36"/>
        <v>#N/A</v>
      </c>
      <c r="AM24" s="10" t="e">
        <f t="shared" si="21"/>
        <v>#N/A</v>
      </c>
      <c r="AN24" s="10" t="e">
        <f t="shared" si="22"/>
        <v>#N/A</v>
      </c>
      <c r="AO24" s="10" t="e">
        <f t="shared" si="23"/>
        <v>#N/A</v>
      </c>
      <c r="AP24" s="10" t="e">
        <f t="shared" si="24"/>
        <v>#N/A</v>
      </c>
      <c r="AQ24" s="10" t="e">
        <f t="shared" si="25"/>
        <v>#N/A</v>
      </c>
      <c r="AR24" s="10" t="e">
        <f t="shared" si="26"/>
        <v>#N/A</v>
      </c>
      <c r="AS24" s="10" t="e">
        <f t="shared" si="27"/>
        <v>#N/A</v>
      </c>
      <c r="AT24" s="10" t="e">
        <f t="shared" si="28"/>
        <v>#N/A</v>
      </c>
      <c r="AU24" s="10" t="e">
        <f t="shared" si="29"/>
        <v>#N/A</v>
      </c>
      <c r="AV24" s="10" t="e">
        <f>NA()</f>
        <v>#N/A</v>
      </c>
      <c r="AW24" s="10" t="e">
        <f>NA()</f>
        <v>#N/A</v>
      </c>
      <c r="AX24" s="10" t="e">
        <f>NA()</f>
        <v>#N/A</v>
      </c>
      <c r="AY24" s="10" t="e">
        <f>NA()</f>
        <v>#N/A</v>
      </c>
      <c r="AZ24" s="10" t="e">
        <f>NA()</f>
        <v>#N/A</v>
      </c>
      <c r="BA24" s="10" t="e">
        <f>NA()</f>
        <v>#N/A</v>
      </c>
      <c r="BB24" s="10" t="e">
        <f>NA()</f>
        <v>#N/A</v>
      </c>
      <c r="BC24" s="10" t="e">
        <f>NA()</f>
        <v>#N/A</v>
      </c>
      <c r="BD24" s="10" t="e">
        <f>NA()</f>
        <v>#N/A</v>
      </c>
    </row>
    <row r="25" spans="1:56" x14ac:dyDescent="0.25">
      <c r="A25" s="28">
        <f>B25*IF(Main!E17="",1,Main!E17)</f>
        <v>0</v>
      </c>
      <c r="B25" s="28">
        <f>IF(Calculations!Z25="",0,1)</f>
        <v>0</v>
      </c>
      <c r="C25" s="28">
        <f>IF(B25=0,0,(Calculations!Z25-100)*Main!E17*B25)</f>
        <v>0</v>
      </c>
      <c r="D25" s="28"/>
      <c r="E25" s="28">
        <v>0</v>
      </c>
      <c r="F25" s="28">
        <f t="shared" si="1"/>
        <v>0</v>
      </c>
      <c r="G25" s="28">
        <v>0</v>
      </c>
      <c r="H25" s="28" t="e">
        <f t="shared" si="2"/>
        <v>#N/A</v>
      </c>
      <c r="I25" s="28">
        <f>(Main!C$26-100)*G25+100</f>
        <v>100</v>
      </c>
      <c r="J25" s="28" t="e">
        <f t="shared" si="17"/>
        <v>#N/A</v>
      </c>
      <c r="K25" s="28" t="e">
        <f t="shared" si="18"/>
        <v>#N/A</v>
      </c>
      <c r="L25" s="28">
        <f>IF(Main!C17="",ROW(A15),Main!C17)</f>
        <v>15</v>
      </c>
      <c r="M25" s="28" t="e">
        <f>IF(B25=0,NA(),Calculations!Z25)</f>
        <v>#N/A</v>
      </c>
      <c r="N25" s="28" t="e">
        <f t="shared" si="3"/>
        <v>#N/A</v>
      </c>
      <c r="O25" s="28" t="e">
        <f t="shared" si="4"/>
        <v>#N/A</v>
      </c>
      <c r="P25" s="28" t="e">
        <f t="shared" si="5"/>
        <v>#N/A</v>
      </c>
      <c r="Q25" s="28">
        <v>15</v>
      </c>
      <c r="R25" s="28">
        <f t="shared" si="6"/>
        <v>0</v>
      </c>
      <c r="S25" s="28">
        <f>IF(Calculations!Z25="",0,(Calculations!Z25-100)/15)</f>
        <v>0</v>
      </c>
      <c r="T25" s="28">
        <v>0</v>
      </c>
      <c r="U25" s="28">
        <v>0</v>
      </c>
      <c r="V25" s="27">
        <f t="shared" si="19"/>
        <v>100</v>
      </c>
      <c r="W25" s="27">
        <f t="shared" si="7"/>
        <v>1</v>
      </c>
      <c r="X25" s="27">
        <f t="shared" si="8"/>
        <v>0</v>
      </c>
      <c r="Y25" s="25" t="e">
        <f t="shared" si="9"/>
        <v>#N/A</v>
      </c>
      <c r="Z25" s="2" t="str">
        <f>IF(Flynn,Main!K17,Main!L17)</f>
        <v/>
      </c>
      <c r="AA25" s="64" t="str">
        <f>IF(Main!C17="","",INDEX(Tests!I$3:I$499,MATCH(Main!C17,Tests!$J$3:$J$499,0)))</f>
        <v/>
      </c>
      <c r="AB25" s="1" t="str">
        <f>IF(AA25=0,Main!$S$1,Calculations!AA25)</f>
        <v/>
      </c>
      <c r="AC25" s="1">
        <f t="shared" si="20"/>
        <v>0</v>
      </c>
      <c r="AE25" s="29" t="str">
        <f>IF(B25=1,Main!$C$29-RANK(R25,$R$11:$R$30,0)+1,"")</f>
        <v/>
      </c>
      <c r="AF25" s="29" t="e">
        <f t="shared" si="30"/>
        <v>#N/A</v>
      </c>
      <c r="AG25" s="29" t="e">
        <f t="shared" si="31"/>
        <v>#N/A</v>
      </c>
      <c r="AH25" s="29" t="e">
        <f t="shared" si="32"/>
        <v>#N/A</v>
      </c>
      <c r="AI25" s="29" t="e">
        <f t="shared" si="33"/>
        <v>#N/A</v>
      </c>
      <c r="AJ25" s="29" t="e">
        <f t="shared" si="34"/>
        <v>#N/A</v>
      </c>
      <c r="AK25" s="29" t="e">
        <f t="shared" si="35"/>
        <v>#N/A</v>
      </c>
      <c r="AL25" s="29" t="e">
        <f t="shared" si="36"/>
        <v>#N/A</v>
      </c>
      <c r="AM25" s="10" t="e">
        <f t="shared" si="21"/>
        <v>#N/A</v>
      </c>
      <c r="AN25" s="10" t="e">
        <f t="shared" si="22"/>
        <v>#N/A</v>
      </c>
      <c r="AO25" s="10" t="e">
        <f t="shared" si="23"/>
        <v>#N/A</v>
      </c>
      <c r="AP25" s="10" t="e">
        <f t="shared" si="24"/>
        <v>#N/A</v>
      </c>
      <c r="AQ25" s="10" t="e">
        <f t="shared" si="25"/>
        <v>#N/A</v>
      </c>
      <c r="AR25" s="10" t="e">
        <f t="shared" si="26"/>
        <v>#N/A</v>
      </c>
      <c r="AS25" s="10" t="e">
        <f t="shared" si="27"/>
        <v>#N/A</v>
      </c>
      <c r="AT25" s="10" t="e">
        <f t="shared" si="28"/>
        <v>#N/A</v>
      </c>
      <c r="AU25" s="10" t="e">
        <f t="shared" si="29"/>
        <v>#N/A</v>
      </c>
      <c r="AV25" s="10" t="e">
        <f>NA()</f>
        <v>#N/A</v>
      </c>
      <c r="AW25" s="10" t="e">
        <f>NA()</f>
        <v>#N/A</v>
      </c>
      <c r="AX25" s="10" t="e">
        <f>NA()</f>
        <v>#N/A</v>
      </c>
      <c r="AY25" s="10" t="e">
        <f>NA()</f>
        <v>#N/A</v>
      </c>
      <c r="AZ25" s="10" t="e">
        <f>NA()</f>
        <v>#N/A</v>
      </c>
      <c r="BA25" s="10" t="e">
        <f>NA()</f>
        <v>#N/A</v>
      </c>
      <c r="BB25" s="10" t="e">
        <f>NA()</f>
        <v>#N/A</v>
      </c>
      <c r="BC25" s="10" t="e">
        <f>NA()</f>
        <v>#N/A</v>
      </c>
      <c r="BD25" s="10" t="e">
        <f>NA()</f>
        <v>#N/A</v>
      </c>
    </row>
    <row r="26" spans="1:56" x14ac:dyDescent="0.25">
      <c r="A26" s="28">
        <f>B26*IF(Main!E18="",1,Main!E18)</f>
        <v>0</v>
      </c>
      <c r="B26" s="28">
        <f>IF(Calculations!Z26="",0,1)</f>
        <v>0</v>
      </c>
      <c r="C26" s="28">
        <f>IF(B26=0,0,(Calculations!Z26-100)*Main!E18*B26)</f>
        <v>0</v>
      </c>
      <c r="D26" s="28"/>
      <c r="E26" s="28">
        <v>0</v>
      </c>
      <c r="F26" s="28">
        <f t="shared" si="1"/>
        <v>0</v>
      </c>
      <c r="G26" s="28">
        <v>0</v>
      </c>
      <c r="H26" s="28" t="e">
        <f t="shared" si="2"/>
        <v>#N/A</v>
      </c>
      <c r="I26" s="28">
        <f>(Main!C$26-100)*G26+100</f>
        <v>100</v>
      </c>
      <c r="J26" s="28" t="e">
        <f t="shared" si="17"/>
        <v>#N/A</v>
      </c>
      <c r="K26" s="28" t="e">
        <f t="shared" si="18"/>
        <v>#N/A</v>
      </c>
      <c r="L26" s="28">
        <f>IF(Main!C18="",ROW(A16),Main!C18)</f>
        <v>16</v>
      </c>
      <c r="M26" s="28" t="e">
        <f>IF(B26=0,NA(),Calculations!Z26)</f>
        <v>#N/A</v>
      </c>
      <c r="N26" s="28" t="e">
        <f t="shared" si="3"/>
        <v>#N/A</v>
      </c>
      <c r="O26" s="28" t="e">
        <f t="shared" si="4"/>
        <v>#N/A</v>
      </c>
      <c r="P26" s="28" t="e">
        <f t="shared" si="5"/>
        <v>#N/A</v>
      </c>
      <c r="Q26" s="28">
        <v>16</v>
      </c>
      <c r="R26" s="28">
        <f t="shared" si="6"/>
        <v>0</v>
      </c>
      <c r="S26" s="28">
        <f>IF(Calculations!Z26="",0,(Calculations!Z26-100)/15)</f>
        <v>0</v>
      </c>
      <c r="T26" s="28">
        <v>0</v>
      </c>
      <c r="U26" s="28">
        <v>0</v>
      </c>
      <c r="V26" s="27">
        <f t="shared" si="19"/>
        <v>100</v>
      </c>
      <c r="W26" s="27">
        <f t="shared" si="7"/>
        <v>1</v>
      </c>
      <c r="X26" s="27">
        <f t="shared" si="8"/>
        <v>0</v>
      </c>
      <c r="Y26" s="25" t="e">
        <f t="shared" si="9"/>
        <v>#N/A</v>
      </c>
      <c r="Z26" s="2" t="str">
        <f>IF(Flynn,Main!K18,Main!L18)</f>
        <v/>
      </c>
      <c r="AA26" s="64" t="str">
        <f>IF(Main!C18="","",INDEX(Tests!I$3:I$499,MATCH(Main!C18,Tests!$J$3:$J$499,0)))</f>
        <v/>
      </c>
      <c r="AB26" s="1" t="str">
        <f>IF(AA26=0,Main!$S$1,Calculations!AA26)</f>
        <v/>
      </c>
      <c r="AC26" s="1">
        <f t="shared" si="20"/>
        <v>0</v>
      </c>
      <c r="AE26" s="29" t="str">
        <f>IF(B26=1,Main!$C$29-RANK(R26,$R$11:$R$30,0)+1,"")</f>
        <v/>
      </c>
      <c r="AF26" s="29" t="e">
        <f t="shared" si="30"/>
        <v>#N/A</v>
      </c>
      <c r="AG26" s="29" t="e">
        <f t="shared" si="31"/>
        <v>#N/A</v>
      </c>
      <c r="AH26" s="29" t="e">
        <f t="shared" si="32"/>
        <v>#N/A</v>
      </c>
      <c r="AI26" s="29" t="e">
        <f t="shared" si="33"/>
        <v>#N/A</v>
      </c>
      <c r="AJ26" s="29" t="e">
        <f t="shared" si="34"/>
        <v>#N/A</v>
      </c>
      <c r="AK26" s="29" t="e">
        <f t="shared" si="35"/>
        <v>#N/A</v>
      </c>
      <c r="AL26" s="29" t="e">
        <f t="shared" si="36"/>
        <v>#N/A</v>
      </c>
      <c r="AM26" s="10" t="e">
        <f t="shared" si="21"/>
        <v>#N/A</v>
      </c>
      <c r="AN26" s="10" t="e">
        <f t="shared" si="22"/>
        <v>#N/A</v>
      </c>
      <c r="AO26" s="10" t="e">
        <f t="shared" si="23"/>
        <v>#N/A</v>
      </c>
      <c r="AP26" s="10" t="e">
        <f t="shared" si="24"/>
        <v>#N/A</v>
      </c>
      <c r="AQ26" s="10" t="e">
        <f t="shared" si="25"/>
        <v>#N/A</v>
      </c>
      <c r="AR26" s="10" t="e">
        <f t="shared" si="26"/>
        <v>#N/A</v>
      </c>
      <c r="AS26" s="10" t="e">
        <f t="shared" si="27"/>
        <v>#N/A</v>
      </c>
      <c r="AT26" s="10" t="e">
        <f t="shared" si="28"/>
        <v>#N/A</v>
      </c>
      <c r="AU26" s="10" t="e">
        <f t="shared" si="29"/>
        <v>#N/A</v>
      </c>
      <c r="AV26" s="10" t="e">
        <f>NA()</f>
        <v>#N/A</v>
      </c>
      <c r="AW26" s="10" t="e">
        <f>NA()</f>
        <v>#N/A</v>
      </c>
      <c r="AX26" s="10" t="e">
        <f>NA()</f>
        <v>#N/A</v>
      </c>
      <c r="AY26" s="10" t="e">
        <f>NA()</f>
        <v>#N/A</v>
      </c>
      <c r="AZ26" s="10" t="e">
        <f>NA()</f>
        <v>#N/A</v>
      </c>
      <c r="BA26" s="10" t="e">
        <f>NA()</f>
        <v>#N/A</v>
      </c>
      <c r="BB26" s="10" t="e">
        <f>NA()</f>
        <v>#N/A</v>
      </c>
      <c r="BC26" s="10" t="e">
        <f>NA()</f>
        <v>#N/A</v>
      </c>
      <c r="BD26" s="10" t="e">
        <f>NA()</f>
        <v>#N/A</v>
      </c>
    </row>
    <row r="27" spans="1:56" x14ac:dyDescent="0.25">
      <c r="A27" s="28">
        <f>B27*IF(Main!E19="",1,Main!E19)</f>
        <v>0</v>
      </c>
      <c r="B27" s="28">
        <f>IF(Calculations!Z27="",0,1)</f>
        <v>0</v>
      </c>
      <c r="C27" s="28">
        <f>IF(B27=0,0,(Calculations!Z27-100)*Main!E19*B27)</f>
        <v>0</v>
      </c>
      <c r="D27" s="28"/>
      <c r="E27" s="28">
        <v>0</v>
      </c>
      <c r="F27" s="28">
        <f t="shared" si="1"/>
        <v>0</v>
      </c>
      <c r="G27" s="28">
        <v>0</v>
      </c>
      <c r="H27" s="28" t="e">
        <f t="shared" si="2"/>
        <v>#N/A</v>
      </c>
      <c r="I27" s="28">
        <f>(Main!C$26-100)*G27+100</f>
        <v>100</v>
      </c>
      <c r="J27" s="28" t="e">
        <f t="shared" si="17"/>
        <v>#N/A</v>
      </c>
      <c r="K27" s="28" t="e">
        <f t="shared" si="18"/>
        <v>#N/A</v>
      </c>
      <c r="L27" s="28">
        <f>IF(Main!C19="",ROW(A17),Main!C19)</f>
        <v>17</v>
      </c>
      <c r="M27" s="28" t="e">
        <f>IF(B27=0,NA(),Calculations!Z27)</f>
        <v>#N/A</v>
      </c>
      <c r="N27" s="28" t="e">
        <f t="shared" si="3"/>
        <v>#N/A</v>
      </c>
      <c r="O27" s="28" t="e">
        <f t="shared" si="4"/>
        <v>#N/A</v>
      </c>
      <c r="P27" s="28" t="e">
        <f t="shared" si="5"/>
        <v>#N/A</v>
      </c>
      <c r="Q27" s="28">
        <v>17</v>
      </c>
      <c r="R27" s="28">
        <f t="shared" si="6"/>
        <v>0</v>
      </c>
      <c r="S27" s="28">
        <f>IF(Calculations!Z27="",0,(Calculations!Z27-100)/15)</f>
        <v>0</v>
      </c>
      <c r="T27" s="28">
        <v>0</v>
      </c>
      <c r="U27" s="28">
        <v>0</v>
      </c>
      <c r="V27" s="27">
        <f t="shared" si="19"/>
        <v>100</v>
      </c>
      <c r="W27" s="27">
        <f t="shared" si="7"/>
        <v>1</v>
      </c>
      <c r="X27" s="27">
        <f t="shared" si="8"/>
        <v>0</v>
      </c>
      <c r="Y27" s="25" t="e">
        <f t="shared" si="9"/>
        <v>#N/A</v>
      </c>
      <c r="Z27" s="2" t="str">
        <f>IF(Flynn,Main!K19,Main!L19)</f>
        <v/>
      </c>
      <c r="AA27" s="64" t="str">
        <f>IF(Main!C19="","",INDEX(Tests!I$3:I$499,MATCH(Main!C19,Tests!$J$3:$J$499,0)))</f>
        <v/>
      </c>
      <c r="AB27" s="1" t="str">
        <f>IF(AA27=0,Main!$S$1,Calculations!AA27)</f>
        <v/>
      </c>
      <c r="AC27" s="1">
        <f t="shared" si="20"/>
        <v>0</v>
      </c>
      <c r="AE27" s="29" t="str">
        <f>IF(B27=1,Main!$C$29-RANK(R27,$R$11:$R$30,0)+1,"")</f>
        <v/>
      </c>
      <c r="AF27" s="29" t="e">
        <f t="shared" si="30"/>
        <v>#N/A</v>
      </c>
      <c r="AG27" s="29" t="e">
        <f t="shared" si="31"/>
        <v>#N/A</v>
      </c>
      <c r="AH27" s="29" t="e">
        <f t="shared" si="32"/>
        <v>#N/A</v>
      </c>
      <c r="AI27" s="29" t="e">
        <f t="shared" si="33"/>
        <v>#N/A</v>
      </c>
      <c r="AJ27" s="29" t="e">
        <f t="shared" si="34"/>
        <v>#N/A</v>
      </c>
      <c r="AK27" s="29" t="e">
        <f t="shared" si="35"/>
        <v>#N/A</v>
      </c>
      <c r="AL27" s="29" t="e">
        <f t="shared" si="36"/>
        <v>#N/A</v>
      </c>
      <c r="AM27" s="10" t="e">
        <f t="shared" si="21"/>
        <v>#N/A</v>
      </c>
      <c r="AN27" s="10" t="e">
        <f t="shared" si="22"/>
        <v>#N/A</v>
      </c>
      <c r="AO27" s="10" t="e">
        <f t="shared" si="23"/>
        <v>#N/A</v>
      </c>
      <c r="AP27" s="10" t="e">
        <f t="shared" si="24"/>
        <v>#N/A</v>
      </c>
      <c r="AQ27" s="10" t="e">
        <f t="shared" si="25"/>
        <v>#N/A</v>
      </c>
      <c r="AR27" s="10" t="e">
        <f t="shared" si="26"/>
        <v>#N/A</v>
      </c>
      <c r="AS27" s="10" t="e">
        <f t="shared" si="27"/>
        <v>#N/A</v>
      </c>
      <c r="AT27" s="10" t="e">
        <f t="shared" si="28"/>
        <v>#N/A</v>
      </c>
      <c r="AU27" s="10" t="e">
        <f t="shared" si="29"/>
        <v>#N/A</v>
      </c>
      <c r="AV27" s="10" t="e">
        <f>NA()</f>
        <v>#N/A</v>
      </c>
      <c r="AW27" s="10" t="e">
        <f>NA()</f>
        <v>#N/A</v>
      </c>
      <c r="AX27" s="10" t="e">
        <f>NA()</f>
        <v>#N/A</v>
      </c>
      <c r="AY27" s="10" t="e">
        <f>NA()</f>
        <v>#N/A</v>
      </c>
      <c r="AZ27" s="10" t="e">
        <f>NA()</f>
        <v>#N/A</v>
      </c>
      <c r="BA27" s="10" t="e">
        <f>NA()</f>
        <v>#N/A</v>
      </c>
      <c r="BB27" s="10" t="e">
        <f>NA()</f>
        <v>#N/A</v>
      </c>
      <c r="BC27" s="10" t="e">
        <f>NA()</f>
        <v>#N/A</v>
      </c>
      <c r="BD27" s="10" t="e">
        <f>NA()</f>
        <v>#N/A</v>
      </c>
    </row>
    <row r="28" spans="1:56" x14ac:dyDescent="0.25">
      <c r="A28" s="28">
        <f>B28*IF(Main!E20="",1,Main!E20)</f>
        <v>0</v>
      </c>
      <c r="B28" s="28">
        <f>IF(Calculations!Z28="",0,1)</f>
        <v>0</v>
      </c>
      <c r="C28" s="28">
        <f>IF(B28=0,0,(Calculations!Z28-100)*Main!E20*B28)</f>
        <v>0</v>
      </c>
      <c r="D28" s="28"/>
      <c r="E28" s="28">
        <v>0</v>
      </c>
      <c r="F28" s="28">
        <f t="shared" si="1"/>
        <v>0</v>
      </c>
      <c r="G28" s="28">
        <v>0</v>
      </c>
      <c r="H28" s="28" t="e">
        <f t="shared" si="2"/>
        <v>#N/A</v>
      </c>
      <c r="I28" s="28">
        <f>(Main!C$26-100)*G28+100</f>
        <v>100</v>
      </c>
      <c r="J28" s="28" t="e">
        <f t="shared" si="17"/>
        <v>#N/A</v>
      </c>
      <c r="K28" s="28" t="e">
        <f t="shared" si="18"/>
        <v>#N/A</v>
      </c>
      <c r="L28" s="28">
        <f>IF(Main!C20="",ROW(A18),Main!C20)</f>
        <v>18</v>
      </c>
      <c r="M28" s="28" t="e">
        <f>IF(B28=0,NA(),Calculations!Z28)</f>
        <v>#N/A</v>
      </c>
      <c r="N28" s="28" t="e">
        <f t="shared" si="3"/>
        <v>#N/A</v>
      </c>
      <c r="O28" s="28" t="e">
        <f t="shared" si="4"/>
        <v>#N/A</v>
      </c>
      <c r="P28" s="28" t="e">
        <f t="shared" si="5"/>
        <v>#N/A</v>
      </c>
      <c r="Q28" s="28">
        <v>18</v>
      </c>
      <c r="R28" s="28">
        <f t="shared" si="6"/>
        <v>0</v>
      </c>
      <c r="S28" s="28">
        <f>IF(Calculations!Z28="",0,(Calculations!Z28-100)/15)</f>
        <v>0</v>
      </c>
      <c r="T28" s="28">
        <v>0</v>
      </c>
      <c r="U28" s="28">
        <v>0</v>
      </c>
      <c r="V28" s="27">
        <f t="shared" si="19"/>
        <v>100</v>
      </c>
      <c r="W28" s="27">
        <f t="shared" si="7"/>
        <v>1</v>
      </c>
      <c r="X28" s="27">
        <f t="shared" si="8"/>
        <v>0</v>
      </c>
      <c r="Y28" s="25" t="e">
        <f t="shared" si="9"/>
        <v>#N/A</v>
      </c>
      <c r="Z28" s="2" t="str">
        <f>IF(Flynn,Main!K20,Main!L20)</f>
        <v/>
      </c>
      <c r="AA28" s="64" t="str">
        <f>IF(Main!C20="","",INDEX(Tests!I$3:I$499,MATCH(Main!C20,Tests!$J$3:$J$499,0)))</f>
        <v/>
      </c>
      <c r="AB28" s="1" t="str">
        <f>IF(AA28=0,Main!$S$1,Calculations!AA28)</f>
        <v/>
      </c>
      <c r="AC28" s="1">
        <f t="shared" si="20"/>
        <v>0</v>
      </c>
      <c r="AE28" s="29" t="str">
        <f>IF(B28=1,Main!$C$29-RANK(R28,$R$11:$R$30,0)+1,"")</f>
        <v/>
      </c>
      <c r="AF28" s="29" t="e">
        <f t="shared" si="30"/>
        <v>#N/A</v>
      </c>
      <c r="AG28" s="29" t="e">
        <f t="shared" si="31"/>
        <v>#N/A</v>
      </c>
      <c r="AH28" s="29" t="e">
        <f t="shared" si="32"/>
        <v>#N/A</v>
      </c>
      <c r="AI28" s="29" t="e">
        <f t="shared" si="33"/>
        <v>#N/A</v>
      </c>
      <c r="AJ28" s="29" t="e">
        <f t="shared" si="34"/>
        <v>#N/A</v>
      </c>
      <c r="AK28" s="29" t="e">
        <f t="shared" si="35"/>
        <v>#N/A</v>
      </c>
      <c r="AL28" s="29" t="e">
        <f t="shared" si="36"/>
        <v>#N/A</v>
      </c>
      <c r="AM28" s="10" t="e">
        <f t="shared" si="21"/>
        <v>#N/A</v>
      </c>
      <c r="AN28" s="10" t="e">
        <f t="shared" si="22"/>
        <v>#N/A</v>
      </c>
      <c r="AO28" s="10" t="e">
        <f t="shared" si="23"/>
        <v>#N/A</v>
      </c>
      <c r="AP28" s="10" t="e">
        <f t="shared" si="24"/>
        <v>#N/A</v>
      </c>
      <c r="AQ28" s="10" t="e">
        <f t="shared" si="25"/>
        <v>#N/A</v>
      </c>
      <c r="AR28" s="10" t="e">
        <f t="shared" si="26"/>
        <v>#N/A</v>
      </c>
      <c r="AS28" s="10" t="e">
        <f t="shared" si="27"/>
        <v>#N/A</v>
      </c>
      <c r="AT28" s="10" t="e">
        <f t="shared" si="28"/>
        <v>#N/A</v>
      </c>
      <c r="AU28" s="10" t="e">
        <f t="shared" si="29"/>
        <v>#N/A</v>
      </c>
      <c r="AV28" s="10" t="e">
        <f>NA()</f>
        <v>#N/A</v>
      </c>
      <c r="AW28" s="10" t="e">
        <f>NA()</f>
        <v>#N/A</v>
      </c>
      <c r="AX28" s="10" t="e">
        <f>NA()</f>
        <v>#N/A</v>
      </c>
      <c r="AY28" s="10" t="e">
        <f>NA()</f>
        <v>#N/A</v>
      </c>
      <c r="AZ28" s="10" t="e">
        <f>NA()</f>
        <v>#N/A</v>
      </c>
      <c r="BA28" s="10" t="e">
        <f>NA()</f>
        <v>#N/A</v>
      </c>
      <c r="BB28" s="10" t="e">
        <f>NA()</f>
        <v>#N/A</v>
      </c>
      <c r="BC28" s="10" t="e">
        <f>NA()</f>
        <v>#N/A</v>
      </c>
      <c r="BD28" s="10" t="e">
        <f>NA()</f>
        <v>#N/A</v>
      </c>
    </row>
    <row r="29" spans="1:56" x14ac:dyDescent="0.25">
      <c r="A29" s="28">
        <f>B29*IF(Main!E21="",1,Main!E21)</f>
        <v>0</v>
      </c>
      <c r="B29" s="28">
        <f>IF(Calculations!Z29="",0,1)</f>
        <v>0</v>
      </c>
      <c r="C29" s="28">
        <f>IF(B29=0,0,(Calculations!Z29-100)*Main!E21*B29)</f>
        <v>0</v>
      </c>
      <c r="D29" s="28"/>
      <c r="E29" s="28">
        <v>0</v>
      </c>
      <c r="F29" s="28">
        <f t="shared" si="1"/>
        <v>0</v>
      </c>
      <c r="G29" s="28">
        <v>0</v>
      </c>
      <c r="H29" s="28" t="e">
        <f t="shared" si="2"/>
        <v>#N/A</v>
      </c>
      <c r="I29" s="28">
        <f>(Main!C$26-100)*G29+100</f>
        <v>100</v>
      </c>
      <c r="J29" s="28" t="e">
        <f t="shared" si="17"/>
        <v>#N/A</v>
      </c>
      <c r="K29" s="28" t="e">
        <f t="shared" si="18"/>
        <v>#N/A</v>
      </c>
      <c r="L29" s="28">
        <f>IF(Main!C21="",ROW(A19),Main!C21)</f>
        <v>19</v>
      </c>
      <c r="M29" s="28" t="e">
        <f>IF(B29=0,NA(),Calculations!Z29)</f>
        <v>#N/A</v>
      </c>
      <c r="N29" s="28" t="e">
        <f t="shared" si="3"/>
        <v>#N/A</v>
      </c>
      <c r="O29" s="28" t="e">
        <f t="shared" si="4"/>
        <v>#N/A</v>
      </c>
      <c r="P29" s="28" t="e">
        <f t="shared" si="5"/>
        <v>#N/A</v>
      </c>
      <c r="Q29" s="28">
        <v>19</v>
      </c>
      <c r="R29" s="28">
        <f t="shared" si="6"/>
        <v>0</v>
      </c>
      <c r="S29" s="28">
        <f>IF(Calculations!Z29="",0,(Calculations!Z29-100)/15)</f>
        <v>0</v>
      </c>
      <c r="T29" s="28">
        <v>0</v>
      </c>
      <c r="U29" s="28">
        <v>0</v>
      </c>
      <c r="V29" s="27">
        <f t="shared" si="19"/>
        <v>100</v>
      </c>
      <c r="W29" s="27">
        <f t="shared" si="7"/>
        <v>1</v>
      </c>
      <c r="X29" s="27">
        <f t="shared" si="8"/>
        <v>0</v>
      </c>
      <c r="Y29" s="25" t="e">
        <f t="shared" si="9"/>
        <v>#N/A</v>
      </c>
      <c r="Z29" s="2" t="str">
        <f>IF(Flynn,Main!K21,Main!L21)</f>
        <v/>
      </c>
      <c r="AA29" s="64" t="str">
        <f>IF(Main!C21="","",INDEX(Tests!I$3:I$499,MATCH(Main!C21,Tests!$J$3:$J$499,0)))</f>
        <v/>
      </c>
      <c r="AB29" s="1" t="str">
        <f>IF(AA29=0,Main!$S$1,Calculations!AA29)</f>
        <v/>
      </c>
      <c r="AC29" s="1">
        <f t="shared" si="20"/>
        <v>0</v>
      </c>
      <c r="AE29" s="29" t="str">
        <f>IF(B29=1,Main!$C$29-RANK(R29,$R$11:$R$30,0)+1,"")</f>
        <v/>
      </c>
      <c r="AF29" s="29" t="e">
        <f t="shared" si="30"/>
        <v>#N/A</v>
      </c>
      <c r="AG29" s="29" t="e">
        <f t="shared" si="31"/>
        <v>#N/A</v>
      </c>
      <c r="AH29" s="29" t="e">
        <f t="shared" si="32"/>
        <v>#N/A</v>
      </c>
      <c r="AI29" s="29" t="e">
        <f t="shared" si="33"/>
        <v>#N/A</v>
      </c>
      <c r="AJ29" s="29" t="e">
        <f t="shared" si="34"/>
        <v>#N/A</v>
      </c>
      <c r="AK29" s="29" t="e">
        <f t="shared" si="35"/>
        <v>#N/A</v>
      </c>
      <c r="AL29" s="29" t="e">
        <f t="shared" si="36"/>
        <v>#N/A</v>
      </c>
      <c r="AM29" s="10" t="e">
        <f t="shared" si="21"/>
        <v>#N/A</v>
      </c>
      <c r="AN29" s="10" t="e">
        <f t="shared" si="22"/>
        <v>#N/A</v>
      </c>
      <c r="AO29" s="10" t="e">
        <f t="shared" si="23"/>
        <v>#N/A</v>
      </c>
      <c r="AP29" s="10" t="e">
        <f t="shared" si="24"/>
        <v>#N/A</v>
      </c>
      <c r="AQ29" s="10" t="e">
        <f t="shared" si="25"/>
        <v>#N/A</v>
      </c>
      <c r="AR29" s="10" t="e">
        <f t="shared" si="26"/>
        <v>#N/A</v>
      </c>
      <c r="AS29" s="10" t="e">
        <f t="shared" si="27"/>
        <v>#N/A</v>
      </c>
      <c r="AT29" s="10" t="e">
        <f t="shared" si="28"/>
        <v>#N/A</v>
      </c>
      <c r="AU29" s="10" t="e">
        <f t="shared" si="29"/>
        <v>#N/A</v>
      </c>
      <c r="AV29" s="10" t="e">
        <f>NA()</f>
        <v>#N/A</v>
      </c>
      <c r="AW29" s="10" t="e">
        <f>NA()</f>
        <v>#N/A</v>
      </c>
      <c r="AX29" s="10" t="e">
        <f>NA()</f>
        <v>#N/A</v>
      </c>
      <c r="AY29" s="10" t="e">
        <f>NA()</f>
        <v>#N/A</v>
      </c>
      <c r="AZ29" s="10" t="e">
        <f>NA()</f>
        <v>#N/A</v>
      </c>
      <c r="BA29" s="10" t="e">
        <f>NA()</f>
        <v>#N/A</v>
      </c>
      <c r="BB29" s="10" t="e">
        <f>NA()</f>
        <v>#N/A</v>
      </c>
      <c r="BC29" s="10" t="e">
        <f>NA()</f>
        <v>#N/A</v>
      </c>
      <c r="BD29" s="10" t="e">
        <f>NA()</f>
        <v>#N/A</v>
      </c>
    </row>
    <row r="30" spans="1:56" x14ac:dyDescent="0.25">
      <c r="A30" s="28">
        <f>B30*IF(Main!E22="",1,Main!E22)</f>
        <v>0</v>
      </c>
      <c r="B30" s="28">
        <f>IF(Calculations!Z30="",0,1)</f>
        <v>0</v>
      </c>
      <c r="C30" s="28">
        <f>IF(B30=0,0,(Calculations!Z30-100)*Main!E22*B30)</f>
        <v>0</v>
      </c>
      <c r="D30" s="28"/>
      <c r="E30" s="28">
        <v>0</v>
      </c>
      <c r="F30" s="28">
        <f t="shared" si="1"/>
        <v>0</v>
      </c>
      <c r="G30" s="28">
        <v>0</v>
      </c>
      <c r="H30" s="28" t="e">
        <f t="shared" si="2"/>
        <v>#N/A</v>
      </c>
      <c r="I30" s="28">
        <f>(Main!C$26-100)*G30+100</f>
        <v>100</v>
      </c>
      <c r="J30" s="28" t="e">
        <f t="shared" si="17"/>
        <v>#N/A</v>
      </c>
      <c r="K30" s="28" t="e">
        <f t="shared" si="18"/>
        <v>#N/A</v>
      </c>
      <c r="L30" s="28">
        <f>IF(Main!C22="",ROW(A20),Main!C22)</f>
        <v>20</v>
      </c>
      <c r="M30" s="28" t="e">
        <f>IF(B30=0,NA(),Calculations!Z30)</f>
        <v>#N/A</v>
      </c>
      <c r="N30" s="28" t="e">
        <f t="shared" si="3"/>
        <v>#N/A</v>
      </c>
      <c r="O30" s="28" t="e">
        <f t="shared" si="4"/>
        <v>#N/A</v>
      </c>
      <c r="P30" s="28" t="e">
        <f t="shared" si="5"/>
        <v>#N/A</v>
      </c>
      <c r="Q30" s="28">
        <v>20</v>
      </c>
      <c r="R30" s="28">
        <f t="shared" si="6"/>
        <v>0</v>
      </c>
      <c r="S30" s="28">
        <f>IF(Calculations!Z30="",0,(Calculations!Z30-100)/15)</f>
        <v>0</v>
      </c>
      <c r="T30" s="28">
        <v>0</v>
      </c>
      <c r="U30" s="28">
        <v>0</v>
      </c>
      <c r="V30" s="27">
        <f t="shared" si="19"/>
        <v>100</v>
      </c>
      <c r="W30" s="27">
        <f t="shared" si="7"/>
        <v>1</v>
      </c>
      <c r="X30" s="27">
        <f t="shared" si="8"/>
        <v>0</v>
      </c>
      <c r="Y30" s="25" t="e">
        <f t="shared" si="9"/>
        <v>#N/A</v>
      </c>
      <c r="Z30" s="2" t="str">
        <f>IF(Flynn,Main!K22,Main!L22)</f>
        <v/>
      </c>
      <c r="AA30" s="64" t="str">
        <f>IF(Main!C22="","",INDEX(Tests!I$3:I$499,MATCH(Main!C22,Tests!$J$3:$J$499,0)))</f>
        <v/>
      </c>
      <c r="AB30" s="1" t="str">
        <f>IF(AA30=0,Main!$S$1,Calculations!AA30)</f>
        <v/>
      </c>
      <c r="AC30" s="1">
        <f t="shared" si="20"/>
        <v>0</v>
      </c>
      <c r="AE30" s="29" t="str">
        <f>IF(B30=1,Main!$C$29-RANK(R30,$R$11:$R$30,0)+1,"")</f>
        <v/>
      </c>
      <c r="AF30" s="29" t="e">
        <f t="shared" si="30"/>
        <v>#N/A</v>
      </c>
      <c r="AG30" s="29" t="e">
        <f t="shared" si="31"/>
        <v>#N/A</v>
      </c>
      <c r="AH30" s="29" t="e">
        <f t="shared" si="32"/>
        <v>#N/A</v>
      </c>
      <c r="AI30" s="29" t="e">
        <f t="shared" si="33"/>
        <v>#N/A</v>
      </c>
      <c r="AJ30" s="29" t="e">
        <f t="shared" si="34"/>
        <v>#N/A</v>
      </c>
      <c r="AK30" s="29" t="e">
        <f t="shared" si="35"/>
        <v>#N/A</v>
      </c>
      <c r="AL30" s="29" t="e">
        <f t="shared" si="36"/>
        <v>#N/A</v>
      </c>
      <c r="AM30" s="10" t="e">
        <f t="shared" si="21"/>
        <v>#N/A</v>
      </c>
      <c r="AN30" s="10" t="e">
        <f t="shared" si="22"/>
        <v>#N/A</v>
      </c>
      <c r="AO30" s="10" t="e">
        <f t="shared" si="23"/>
        <v>#N/A</v>
      </c>
      <c r="AP30" s="10" t="e">
        <f t="shared" si="24"/>
        <v>#N/A</v>
      </c>
      <c r="AQ30" s="10" t="e">
        <f t="shared" si="25"/>
        <v>#N/A</v>
      </c>
      <c r="AR30" s="10" t="e">
        <f t="shared" si="26"/>
        <v>#N/A</v>
      </c>
      <c r="AS30" s="10" t="e">
        <f t="shared" si="27"/>
        <v>#N/A</v>
      </c>
      <c r="AT30" s="10" t="e">
        <f t="shared" si="28"/>
        <v>#N/A</v>
      </c>
      <c r="AU30" s="10" t="e">
        <f t="shared" si="29"/>
        <v>#N/A</v>
      </c>
      <c r="AV30" s="10" t="e">
        <f>NA()</f>
        <v>#N/A</v>
      </c>
      <c r="AW30" s="10" t="e">
        <f>NA()</f>
        <v>#N/A</v>
      </c>
      <c r="AX30" s="10" t="e">
        <f>NA()</f>
        <v>#N/A</v>
      </c>
      <c r="AY30" s="10" t="e">
        <f>NA()</f>
        <v>#N/A</v>
      </c>
      <c r="AZ30" s="10" t="e">
        <f>NA()</f>
        <v>#N/A</v>
      </c>
      <c r="BA30" s="10" t="e">
        <f>NA()</f>
        <v>#N/A</v>
      </c>
      <c r="BB30" s="10" t="e">
        <f>NA()</f>
        <v>#N/A</v>
      </c>
      <c r="BC30" s="10" t="e">
        <f>NA()</f>
        <v>#N/A</v>
      </c>
      <c r="BD30" s="10" t="e">
        <f>NA()</f>
        <v>#N/A</v>
      </c>
    </row>
    <row r="31" spans="1:5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>
        <f>MAX(R11:R30)</f>
        <v>5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spans="1:5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spans="1:37" x14ac:dyDescent="0.25">
      <c r="A33" s="8"/>
      <c r="B33" s="8"/>
      <c r="C33" s="8"/>
      <c r="D33" s="8" t="s">
        <v>19</v>
      </c>
      <c r="E33" s="8" t="s">
        <v>32</v>
      </c>
      <c r="F33" s="8" t="s">
        <v>44</v>
      </c>
      <c r="G33" s="8"/>
      <c r="H33" s="8"/>
      <c r="I33" s="8"/>
      <c r="J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8"/>
      <c r="AH33" s="8"/>
      <c r="AI33" s="8"/>
      <c r="AJ33" s="8"/>
      <c r="AK33" s="8"/>
    </row>
    <row r="34" spans="1:37" x14ac:dyDescent="0.25">
      <c r="A34" s="8"/>
      <c r="B34" s="8">
        <v>60.5</v>
      </c>
      <c r="C34" s="45">
        <f t="shared" ref="C34:C41" si="37">NORMDIST(B34,100,15,TRUE)</f>
        <v>4.2275660692805365E-3</v>
      </c>
      <c r="D34" s="8" t="s">
        <v>18</v>
      </c>
      <c r="E34" s="8" t="s">
        <v>25</v>
      </c>
      <c r="F34" s="8" t="s">
        <v>45</v>
      </c>
      <c r="G34" s="8"/>
      <c r="H34" s="8"/>
      <c r="I34" s="8"/>
      <c r="J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8"/>
      <c r="AH34" s="8"/>
      <c r="AI34" s="8"/>
      <c r="AJ34" s="8"/>
      <c r="AK34" s="8"/>
    </row>
    <row r="35" spans="1:37" x14ac:dyDescent="0.25">
      <c r="A35" s="8"/>
      <c r="B35" s="8">
        <v>70.5</v>
      </c>
      <c r="C35" s="45">
        <f t="shared" si="37"/>
        <v>2.4610826087650108E-2</v>
      </c>
      <c r="D35" s="8" t="s">
        <v>17</v>
      </c>
      <c r="E35" s="8" t="s">
        <v>26</v>
      </c>
      <c r="F35" s="8" t="s">
        <v>46</v>
      </c>
      <c r="G35" s="8"/>
      <c r="H35" s="8"/>
      <c r="I35" s="8"/>
      <c r="J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8"/>
      <c r="AH35" s="8"/>
      <c r="AI35" s="8"/>
      <c r="AJ35" s="8"/>
      <c r="AK35" s="8"/>
    </row>
    <row r="36" spans="1:37" x14ac:dyDescent="0.25">
      <c r="A36" s="8"/>
      <c r="B36" s="8">
        <v>80.5</v>
      </c>
      <c r="C36" s="45">
        <f t="shared" si="37"/>
        <v>9.6800484585610316E-2</v>
      </c>
      <c r="D36" s="8" t="s">
        <v>33</v>
      </c>
      <c r="E36" s="8" t="s">
        <v>30</v>
      </c>
      <c r="F36" s="8" t="s">
        <v>47</v>
      </c>
      <c r="G36" s="8"/>
      <c r="H36" s="8"/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8"/>
      <c r="AH36" s="8"/>
      <c r="AI36" s="8"/>
      <c r="AJ36" s="8"/>
      <c r="AK36" s="8"/>
    </row>
    <row r="37" spans="1:37" x14ac:dyDescent="0.25">
      <c r="A37" s="8"/>
      <c r="B37" s="8">
        <v>90.5</v>
      </c>
      <c r="C37" s="45">
        <f t="shared" si="37"/>
        <v>0.26325799503947822</v>
      </c>
      <c r="D37" s="8" t="s">
        <v>167</v>
      </c>
      <c r="E37" s="8" t="s">
        <v>168</v>
      </c>
      <c r="F37" s="8" t="s">
        <v>48</v>
      </c>
      <c r="G37" s="8"/>
      <c r="H37" s="8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8"/>
      <c r="AH37" s="8"/>
      <c r="AI37" s="8"/>
      <c r="AJ37" s="8"/>
      <c r="AK37" s="8"/>
    </row>
    <row r="38" spans="1:37" x14ac:dyDescent="0.25">
      <c r="A38" s="8"/>
      <c r="B38" s="8">
        <v>109.5</v>
      </c>
      <c r="C38" s="45">
        <f t="shared" si="37"/>
        <v>0.73674200496052178</v>
      </c>
      <c r="D38" s="8" t="s">
        <v>34</v>
      </c>
      <c r="E38" s="8" t="s">
        <v>31</v>
      </c>
      <c r="F38" s="8" t="s">
        <v>49</v>
      </c>
      <c r="G38" s="8"/>
      <c r="H38" s="8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8"/>
      <c r="AH38" s="8"/>
      <c r="AI38" s="8"/>
      <c r="AJ38" s="8"/>
      <c r="AK38" s="8"/>
    </row>
    <row r="39" spans="1:37" x14ac:dyDescent="0.25">
      <c r="A39" s="8"/>
      <c r="B39" s="8">
        <v>119.5</v>
      </c>
      <c r="C39" s="45">
        <f t="shared" si="37"/>
        <v>0.9031995154143897</v>
      </c>
      <c r="D39" s="8" t="s">
        <v>14</v>
      </c>
      <c r="E39" s="8" t="s">
        <v>27</v>
      </c>
      <c r="F39" s="8" t="s">
        <v>51</v>
      </c>
      <c r="G39" s="8"/>
      <c r="H39" s="8"/>
      <c r="I39" s="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8"/>
      <c r="AH39" s="8"/>
      <c r="AI39" s="8"/>
      <c r="AJ39" s="8"/>
      <c r="AK39" s="8"/>
    </row>
    <row r="40" spans="1:37" x14ac:dyDescent="0.25">
      <c r="A40" s="8"/>
      <c r="B40" s="8">
        <v>129.5</v>
      </c>
      <c r="C40" s="45">
        <f t="shared" si="37"/>
        <v>0.97538917391234992</v>
      </c>
      <c r="D40" s="8" t="s">
        <v>15</v>
      </c>
      <c r="E40" s="8" t="s">
        <v>28</v>
      </c>
      <c r="F40" s="8" t="s">
        <v>50</v>
      </c>
      <c r="G40" s="8"/>
      <c r="H40" s="8"/>
      <c r="I40" s="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8"/>
      <c r="AH40" s="8"/>
      <c r="AI40" s="8"/>
      <c r="AJ40" s="8"/>
      <c r="AK40" s="8"/>
    </row>
    <row r="41" spans="1:37" x14ac:dyDescent="0.25">
      <c r="A41" s="8"/>
      <c r="B41" s="8">
        <v>139.5</v>
      </c>
      <c r="C41" s="45">
        <f t="shared" si="37"/>
        <v>0.99577243393071946</v>
      </c>
      <c r="D41" s="8" t="s">
        <v>16</v>
      </c>
      <c r="E41" s="8" t="s">
        <v>29</v>
      </c>
      <c r="F41" s="8" t="s">
        <v>52</v>
      </c>
      <c r="G41" s="8"/>
      <c r="H41" s="8"/>
      <c r="I41" s="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8"/>
      <c r="AH41" s="8"/>
      <c r="AI41" s="8"/>
      <c r="AJ41" s="8"/>
      <c r="AK41" s="8"/>
    </row>
    <row r="42" spans="1:37" x14ac:dyDescent="0.25">
      <c r="A42" s="8"/>
      <c r="B42" s="8"/>
      <c r="C42" s="8"/>
      <c r="D42" s="8"/>
      <c r="E42" s="8"/>
      <c r="F42" s="8"/>
      <c r="G42" s="8"/>
      <c r="H42" s="8"/>
      <c r="I42" s="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8"/>
      <c r="AH42" s="8"/>
      <c r="AI42" s="8"/>
      <c r="AJ42" s="8"/>
      <c r="AK42" s="8"/>
    </row>
    <row r="43" spans="1:37" x14ac:dyDescent="0.25">
      <c r="A43" s="8" t="s">
        <v>156</v>
      </c>
      <c r="B43" s="8"/>
      <c r="C43" s="8"/>
      <c r="D43" s="8"/>
      <c r="E43" s="8"/>
      <c r="F43" s="8"/>
      <c r="G43" s="8"/>
      <c r="H43" s="8"/>
      <c r="I43" s="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8"/>
      <c r="AH43" s="8"/>
      <c r="AI43" s="8"/>
      <c r="AJ43" s="8"/>
      <c r="AK43" s="8"/>
    </row>
    <row r="44" spans="1:37" x14ac:dyDescent="0.25">
      <c r="A44" s="28">
        <f t="array" ref="A44:T63">B11:B30*TRANSPOSE(B11:B30)*(--Blanks!B47:U66)</f>
        <v>1</v>
      </c>
      <c r="B44" s="28">
        <v>0.84139726982955088</v>
      </c>
      <c r="C44" s="28">
        <v>0.6883962347830036</v>
      </c>
      <c r="D44" s="28">
        <v>0.57392125641395353</v>
      </c>
      <c r="E44" s="28">
        <v>0.67716730504129063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8"/>
      <c r="AH44" s="8"/>
      <c r="AI44" s="8"/>
      <c r="AJ44" s="8"/>
      <c r="AK44" s="8"/>
    </row>
    <row r="45" spans="1:37" x14ac:dyDescent="0.25">
      <c r="A45" s="28">
        <v>0.84139726982955088</v>
      </c>
      <c r="B45" s="28">
        <v>1</v>
      </c>
      <c r="C45" s="28">
        <v>0.69917339019918845</v>
      </c>
      <c r="D45" s="28">
        <v>0.58314837114186813</v>
      </c>
      <c r="E45" s="28">
        <v>0.68628285339995554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8"/>
      <c r="AH45" s="8"/>
      <c r="AI45" s="8"/>
      <c r="AJ45" s="8"/>
      <c r="AK45" s="8"/>
    </row>
    <row r="46" spans="1:37" x14ac:dyDescent="0.25">
      <c r="A46" s="28">
        <v>0.6883962347830036</v>
      </c>
      <c r="B46" s="28">
        <v>0.69917339019918845</v>
      </c>
      <c r="C46" s="28">
        <v>1</v>
      </c>
      <c r="D46" s="28">
        <v>0.63567264052860828</v>
      </c>
      <c r="E46" s="28">
        <v>0.72776032724991013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8"/>
      <c r="AH46" s="8"/>
      <c r="AI46" s="8"/>
      <c r="AJ46" s="8"/>
      <c r="AK46" s="8"/>
    </row>
    <row r="47" spans="1:37" x14ac:dyDescent="0.25">
      <c r="A47" s="28">
        <v>0.57392125641395353</v>
      </c>
      <c r="B47" s="28">
        <v>0.58314837114186813</v>
      </c>
      <c r="C47" s="28">
        <v>0.63567264052860828</v>
      </c>
      <c r="D47" s="28">
        <v>1</v>
      </c>
      <c r="E47" s="28">
        <v>0.70699525843349376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8"/>
      <c r="AH47" s="8"/>
      <c r="AI47" s="8"/>
      <c r="AJ47" s="8"/>
      <c r="AK47" s="8"/>
    </row>
    <row r="48" spans="1:37" x14ac:dyDescent="0.25">
      <c r="A48" s="28">
        <v>0.67716730504129063</v>
      </c>
      <c r="B48" s="28">
        <v>0.68628285339995554</v>
      </c>
      <c r="C48" s="28">
        <v>0.72776032724991013</v>
      </c>
      <c r="D48" s="28">
        <v>0.70699525843349376</v>
      </c>
      <c r="E48" s="28">
        <v>1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8"/>
      <c r="AH48" s="8"/>
      <c r="AI48" s="8"/>
      <c r="AJ48" s="8"/>
      <c r="AK48" s="8"/>
    </row>
    <row r="49" spans="1:37" x14ac:dyDescent="0.25">
      <c r="A49" s="28">
        <v>0</v>
      </c>
      <c r="B49" s="28">
        <v>0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</row>
    <row r="50" spans="1:37" x14ac:dyDescent="0.25">
      <c r="A50" s="28">
        <v>0</v>
      </c>
      <c r="B50" s="28">
        <v>0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</row>
    <row r="51" spans="1:37" x14ac:dyDescent="0.25">
      <c r="A51" s="28">
        <v>0</v>
      </c>
      <c r="B51" s="28">
        <v>0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8"/>
      <c r="AH51" s="8"/>
      <c r="AI51" s="8"/>
      <c r="AJ51" s="8"/>
      <c r="AK51" s="8"/>
    </row>
    <row r="52" spans="1:37" x14ac:dyDescent="0.25">
      <c r="A52" s="28">
        <v>0</v>
      </c>
      <c r="B52" s="28">
        <v>0</v>
      </c>
      <c r="C52" s="28">
        <v>0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8"/>
      <c r="AH52" s="8"/>
      <c r="AI52" s="8"/>
      <c r="AJ52" s="8"/>
      <c r="AK52" s="8"/>
    </row>
    <row r="53" spans="1:37" x14ac:dyDescent="0.25">
      <c r="A53" s="28">
        <v>0</v>
      </c>
      <c r="B53" s="28">
        <v>0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8"/>
      <c r="AH53" s="8"/>
      <c r="AI53" s="8"/>
      <c r="AJ53" s="8"/>
      <c r="AK53" s="8"/>
    </row>
    <row r="54" spans="1:37" x14ac:dyDescent="0.25">
      <c r="A54" s="28">
        <v>0</v>
      </c>
      <c r="B54" s="28">
        <v>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8"/>
      <c r="AH54" s="8"/>
      <c r="AI54" s="8"/>
      <c r="AJ54" s="8"/>
      <c r="AK54" s="8"/>
    </row>
    <row r="55" spans="1:37" x14ac:dyDescent="0.25">
      <c r="A55" s="28">
        <v>0</v>
      </c>
      <c r="B55" s="28">
        <v>0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8"/>
      <c r="AH55" s="8"/>
      <c r="AI55" s="8"/>
      <c r="AJ55" s="8"/>
      <c r="AK55" s="8"/>
    </row>
    <row r="56" spans="1:37" x14ac:dyDescent="0.25">
      <c r="A56" s="28">
        <v>0</v>
      </c>
      <c r="B56" s="28">
        <v>0</v>
      </c>
      <c r="C56" s="28">
        <v>0</v>
      </c>
      <c r="D56" s="28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8"/>
      <c r="AH56" s="8"/>
      <c r="AI56" s="8"/>
      <c r="AJ56" s="8"/>
      <c r="AK56" s="8"/>
    </row>
    <row r="57" spans="1:37" x14ac:dyDescent="0.25">
      <c r="A57" s="28">
        <v>0</v>
      </c>
      <c r="B57" s="28">
        <v>0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8"/>
      <c r="AH57" s="8"/>
      <c r="AI57" s="8"/>
      <c r="AJ57" s="8"/>
      <c r="AK57" s="8"/>
    </row>
    <row r="58" spans="1:37" x14ac:dyDescent="0.25">
      <c r="A58" s="28">
        <v>0</v>
      </c>
      <c r="B58" s="28">
        <v>0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8"/>
      <c r="AH58" s="8"/>
      <c r="AI58" s="8"/>
      <c r="AJ58" s="8"/>
      <c r="AK58" s="8"/>
    </row>
    <row r="59" spans="1:37" x14ac:dyDescent="0.25">
      <c r="A59" s="28">
        <v>0</v>
      </c>
      <c r="B59" s="28">
        <v>0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8"/>
      <c r="AH59" s="8"/>
      <c r="AI59" s="8"/>
      <c r="AJ59" s="8"/>
      <c r="AK59" s="8"/>
    </row>
    <row r="60" spans="1:37" x14ac:dyDescent="0.25">
      <c r="A60" s="28">
        <v>0</v>
      </c>
      <c r="B60" s="28">
        <v>0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8"/>
      <c r="AH60" s="8"/>
      <c r="AI60" s="8"/>
      <c r="AJ60" s="8"/>
      <c r="AK60" s="8"/>
    </row>
    <row r="61" spans="1:37" x14ac:dyDescent="0.25">
      <c r="A61" s="28">
        <v>0</v>
      </c>
      <c r="B61" s="28">
        <v>0</v>
      </c>
      <c r="C61" s="28">
        <v>0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8"/>
      <c r="AH61" s="8"/>
      <c r="AI61" s="8"/>
      <c r="AJ61" s="8"/>
      <c r="AK61" s="8"/>
    </row>
    <row r="62" spans="1:37" x14ac:dyDescent="0.25">
      <c r="A62" s="28">
        <v>0</v>
      </c>
      <c r="B62" s="28">
        <v>0</v>
      </c>
      <c r="C62" s="28">
        <v>0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8"/>
      <c r="AH62" s="8"/>
      <c r="AI62" s="8"/>
      <c r="AJ62" s="8"/>
      <c r="AK62" s="8"/>
    </row>
    <row r="63" spans="1:37" x14ac:dyDescent="0.25">
      <c r="A63" s="28">
        <v>0</v>
      </c>
      <c r="B63" s="28">
        <v>0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8"/>
      <c r="AH63" s="8"/>
      <c r="AI63" s="8"/>
      <c r="AJ63" s="8"/>
      <c r="AK63" s="8"/>
    </row>
    <row r="64" spans="1:37" x14ac:dyDescent="0.25">
      <c r="A64" s="9" t="s">
        <v>157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8"/>
      <c r="AH64" s="8"/>
      <c r="AI64" s="8"/>
      <c r="AJ64" s="8"/>
      <c r="AK64" s="8"/>
    </row>
    <row r="65" spans="1:37" x14ac:dyDescent="0.25">
      <c r="A65" s="28">
        <v>1</v>
      </c>
      <c r="B65" s="28">
        <f t="shared" ref="B65:T65" si="38">B44</f>
        <v>0.84139726982955088</v>
      </c>
      <c r="C65" s="28">
        <f t="shared" si="38"/>
        <v>0.6883962347830036</v>
      </c>
      <c r="D65" s="28">
        <f t="shared" si="38"/>
        <v>0.57392125641395353</v>
      </c>
      <c r="E65" s="28">
        <f t="shared" si="38"/>
        <v>0.67716730504129063</v>
      </c>
      <c r="F65" s="28">
        <f t="shared" si="38"/>
        <v>0</v>
      </c>
      <c r="G65" s="28">
        <f t="shared" si="38"/>
        <v>0</v>
      </c>
      <c r="H65" s="28">
        <f t="shared" si="38"/>
        <v>0</v>
      </c>
      <c r="I65" s="28">
        <f t="shared" si="38"/>
        <v>0</v>
      </c>
      <c r="J65" s="28">
        <f t="shared" si="38"/>
        <v>0</v>
      </c>
      <c r="K65" s="28">
        <f t="shared" si="38"/>
        <v>0</v>
      </c>
      <c r="L65" s="28">
        <f t="shared" si="38"/>
        <v>0</v>
      </c>
      <c r="M65" s="28">
        <f t="shared" si="38"/>
        <v>0</v>
      </c>
      <c r="N65" s="28">
        <f t="shared" si="38"/>
        <v>0</v>
      </c>
      <c r="O65" s="28">
        <f t="shared" si="38"/>
        <v>0</v>
      </c>
      <c r="P65" s="28">
        <f t="shared" si="38"/>
        <v>0</v>
      </c>
      <c r="Q65" s="28">
        <f t="shared" si="38"/>
        <v>0</v>
      </c>
      <c r="R65" s="28">
        <f t="shared" si="38"/>
        <v>0</v>
      </c>
      <c r="S65" s="28">
        <f t="shared" si="38"/>
        <v>0</v>
      </c>
      <c r="T65" s="28">
        <f t="shared" si="38"/>
        <v>0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8"/>
      <c r="AH65" s="8"/>
      <c r="AI65" s="8"/>
      <c r="AJ65" s="8"/>
      <c r="AK65" s="8"/>
    </row>
    <row r="66" spans="1:37" x14ac:dyDescent="0.25">
      <c r="A66" s="28">
        <f t="shared" ref="A66:A84" si="39">A45</f>
        <v>0.84139726982955088</v>
      </c>
      <c r="B66" s="28">
        <v>1</v>
      </c>
      <c r="C66" s="28">
        <f t="shared" ref="C66:T66" si="40">C45</f>
        <v>0.69917339019918845</v>
      </c>
      <c r="D66" s="28">
        <f t="shared" si="40"/>
        <v>0.58314837114186813</v>
      </c>
      <c r="E66" s="28">
        <f t="shared" si="40"/>
        <v>0.68628285339995554</v>
      </c>
      <c r="F66" s="28">
        <f t="shared" si="40"/>
        <v>0</v>
      </c>
      <c r="G66" s="28">
        <f t="shared" si="40"/>
        <v>0</v>
      </c>
      <c r="H66" s="28">
        <f t="shared" si="40"/>
        <v>0</v>
      </c>
      <c r="I66" s="28">
        <f t="shared" si="40"/>
        <v>0</v>
      </c>
      <c r="J66" s="28">
        <f t="shared" si="40"/>
        <v>0</v>
      </c>
      <c r="K66" s="28">
        <f t="shared" si="40"/>
        <v>0</v>
      </c>
      <c r="L66" s="28">
        <f t="shared" si="40"/>
        <v>0</v>
      </c>
      <c r="M66" s="28">
        <f t="shared" si="40"/>
        <v>0</v>
      </c>
      <c r="N66" s="28">
        <f t="shared" si="40"/>
        <v>0</v>
      </c>
      <c r="O66" s="28">
        <f t="shared" si="40"/>
        <v>0</v>
      </c>
      <c r="P66" s="28">
        <f t="shared" si="40"/>
        <v>0</v>
      </c>
      <c r="Q66" s="28">
        <f t="shared" si="40"/>
        <v>0</v>
      </c>
      <c r="R66" s="28">
        <f t="shared" si="40"/>
        <v>0</v>
      </c>
      <c r="S66" s="28">
        <f t="shared" si="40"/>
        <v>0</v>
      </c>
      <c r="T66" s="28">
        <f t="shared" si="40"/>
        <v>0</v>
      </c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8"/>
      <c r="AH66" s="8"/>
      <c r="AI66" s="8"/>
      <c r="AJ66" s="8"/>
      <c r="AK66" s="8"/>
    </row>
    <row r="67" spans="1:37" x14ac:dyDescent="0.25">
      <c r="A67" s="28">
        <f t="shared" si="39"/>
        <v>0.6883962347830036</v>
      </c>
      <c r="B67" s="28">
        <f t="shared" ref="B67:B84" si="41">B46</f>
        <v>0.69917339019918845</v>
      </c>
      <c r="C67" s="28">
        <v>1</v>
      </c>
      <c r="D67" s="28">
        <f t="shared" ref="D67:T67" si="42">D46</f>
        <v>0.63567264052860828</v>
      </c>
      <c r="E67" s="28">
        <f t="shared" si="42"/>
        <v>0.72776032724991013</v>
      </c>
      <c r="F67" s="28">
        <f t="shared" si="42"/>
        <v>0</v>
      </c>
      <c r="G67" s="28">
        <f t="shared" si="42"/>
        <v>0</v>
      </c>
      <c r="H67" s="28">
        <f t="shared" si="42"/>
        <v>0</v>
      </c>
      <c r="I67" s="28">
        <f t="shared" si="42"/>
        <v>0</v>
      </c>
      <c r="J67" s="28">
        <f t="shared" si="42"/>
        <v>0</v>
      </c>
      <c r="K67" s="28">
        <f t="shared" si="42"/>
        <v>0</v>
      </c>
      <c r="L67" s="28">
        <f t="shared" si="42"/>
        <v>0</v>
      </c>
      <c r="M67" s="28">
        <f t="shared" si="42"/>
        <v>0</v>
      </c>
      <c r="N67" s="28">
        <f t="shared" si="42"/>
        <v>0</v>
      </c>
      <c r="O67" s="28">
        <f t="shared" si="42"/>
        <v>0</v>
      </c>
      <c r="P67" s="28">
        <f t="shared" si="42"/>
        <v>0</v>
      </c>
      <c r="Q67" s="28">
        <f t="shared" si="42"/>
        <v>0</v>
      </c>
      <c r="R67" s="28">
        <f t="shared" si="42"/>
        <v>0</v>
      </c>
      <c r="S67" s="28">
        <f t="shared" si="42"/>
        <v>0</v>
      </c>
      <c r="T67" s="28">
        <f t="shared" si="42"/>
        <v>0</v>
      </c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8"/>
      <c r="AH67" s="8"/>
      <c r="AI67" s="8"/>
      <c r="AJ67" s="8"/>
      <c r="AK67" s="8"/>
    </row>
    <row r="68" spans="1:37" x14ac:dyDescent="0.25">
      <c r="A68" s="28">
        <f t="shared" si="39"/>
        <v>0.57392125641395353</v>
      </c>
      <c r="B68" s="28">
        <f t="shared" si="41"/>
        <v>0.58314837114186813</v>
      </c>
      <c r="C68" s="28">
        <f t="shared" ref="C68:C84" si="43">C47</f>
        <v>0.63567264052860828</v>
      </c>
      <c r="D68" s="28">
        <v>1</v>
      </c>
      <c r="E68" s="28">
        <f t="shared" ref="E68:T68" si="44">E47</f>
        <v>0.70699525843349376</v>
      </c>
      <c r="F68" s="28">
        <f t="shared" si="44"/>
        <v>0</v>
      </c>
      <c r="G68" s="28">
        <f t="shared" si="44"/>
        <v>0</v>
      </c>
      <c r="H68" s="28">
        <f t="shared" si="44"/>
        <v>0</v>
      </c>
      <c r="I68" s="28">
        <f t="shared" si="44"/>
        <v>0</v>
      </c>
      <c r="J68" s="28">
        <f t="shared" si="44"/>
        <v>0</v>
      </c>
      <c r="K68" s="28">
        <f t="shared" si="44"/>
        <v>0</v>
      </c>
      <c r="L68" s="28">
        <f t="shared" si="44"/>
        <v>0</v>
      </c>
      <c r="M68" s="28">
        <f t="shared" si="44"/>
        <v>0</v>
      </c>
      <c r="N68" s="28">
        <f t="shared" si="44"/>
        <v>0</v>
      </c>
      <c r="O68" s="28">
        <f t="shared" si="44"/>
        <v>0</v>
      </c>
      <c r="P68" s="28">
        <f t="shared" si="44"/>
        <v>0</v>
      </c>
      <c r="Q68" s="28">
        <f t="shared" si="44"/>
        <v>0</v>
      </c>
      <c r="R68" s="28">
        <f t="shared" si="44"/>
        <v>0</v>
      </c>
      <c r="S68" s="28">
        <f t="shared" si="44"/>
        <v>0</v>
      </c>
      <c r="T68" s="28">
        <f t="shared" si="44"/>
        <v>0</v>
      </c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8"/>
      <c r="AH68" s="8"/>
      <c r="AI68" s="8"/>
      <c r="AJ68" s="8"/>
      <c r="AK68" s="8"/>
    </row>
    <row r="69" spans="1:37" x14ac:dyDescent="0.25">
      <c r="A69" s="28">
        <f t="shared" si="39"/>
        <v>0.67716730504129063</v>
      </c>
      <c r="B69" s="28">
        <f t="shared" si="41"/>
        <v>0.68628285339995554</v>
      </c>
      <c r="C69" s="28">
        <f t="shared" si="43"/>
        <v>0.72776032724991013</v>
      </c>
      <c r="D69" s="28">
        <f t="shared" ref="D69:D84" si="45">D48</f>
        <v>0.70699525843349376</v>
      </c>
      <c r="E69" s="28">
        <v>1</v>
      </c>
      <c r="F69" s="28">
        <f t="shared" ref="F69:T69" si="46">F48</f>
        <v>0</v>
      </c>
      <c r="G69" s="28">
        <f t="shared" si="46"/>
        <v>0</v>
      </c>
      <c r="H69" s="28">
        <f t="shared" si="46"/>
        <v>0</v>
      </c>
      <c r="I69" s="28">
        <f t="shared" si="46"/>
        <v>0</v>
      </c>
      <c r="J69" s="28">
        <f t="shared" si="46"/>
        <v>0</v>
      </c>
      <c r="K69" s="28">
        <f t="shared" si="46"/>
        <v>0</v>
      </c>
      <c r="L69" s="28">
        <f t="shared" si="46"/>
        <v>0</v>
      </c>
      <c r="M69" s="28">
        <f t="shared" si="46"/>
        <v>0</v>
      </c>
      <c r="N69" s="28">
        <f t="shared" si="46"/>
        <v>0</v>
      </c>
      <c r="O69" s="28">
        <f t="shared" si="46"/>
        <v>0</v>
      </c>
      <c r="P69" s="28">
        <f t="shared" si="46"/>
        <v>0</v>
      </c>
      <c r="Q69" s="28">
        <f t="shared" si="46"/>
        <v>0</v>
      </c>
      <c r="R69" s="28">
        <f t="shared" si="46"/>
        <v>0</v>
      </c>
      <c r="S69" s="28">
        <f t="shared" si="46"/>
        <v>0</v>
      </c>
      <c r="T69" s="28">
        <f t="shared" si="46"/>
        <v>0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8"/>
      <c r="AH69" s="8"/>
      <c r="AI69" s="8"/>
      <c r="AJ69" s="8"/>
      <c r="AK69" s="8"/>
    </row>
    <row r="70" spans="1:37" x14ac:dyDescent="0.25">
      <c r="A70" s="28">
        <f t="shared" si="39"/>
        <v>0</v>
      </c>
      <c r="B70" s="28">
        <f t="shared" si="41"/>
        <v>0</v>
      </c>
      <c r="C70" s="28">
        <f t="shared" si="43"/>
        <v>0</v>
      </c>
      <c r="D70" s="28">
        <f t="shared" si="45"/>
        <v>0</v>
      </c>
      <c r="E70" s="28">
        <f t="shared" ref="E70:E84" si="47">E49</f>
        <v>0</v>
      </c>
      <c r="F70" s="28">
        <v>1</v>
      </c>
      <c r="G70" s="28">
        <f t="shared" ref="G70:T70" si="48">G49</f>
        <v>0</v>
      </c>
      <c r="H70" s="28">
        <f t="shared" si="48"/>
        <v>0</v>
      </c>
      <c r="I70" s="28">
        <f t="shared" si="48"/>
        <v>0</v>
      </c>
      <c r="J70" s="28">
        <f t="shared" si="48"/>
        <v>0</v>
      </c>
      <c r="K70" s="28">
        <f t="shared" si="48"/>
        <v>0</v>
      </c>
      <c r="L70" s="28">
        <f t="shared" si="48"/>
        <v>0</v>
      </c>
      <c r="M70" s="28">
        <f t="shared" si="48"/>
        <v>0</v>
      </c>
      <c r="N70" s="28">
        <f t="shared" si="48"/>
        <v>0</v>
      </c>
      <c r="O70" s="28">
        <f t="shared" si="48"/>
        <v>0</v>
      </c>
      <c r="P70" s="28">
        <f t="shared" si="48"/>
        <v>0</v>
      </c>
      <c r="Q70" s="28">
        <f t="shared" si="48"/>
        <v>0</v>
      </c>
      <c r="R70" s="28">
        <f t="shared" si="48"/>
        <v>0</v>
      </c>
      <c r="S70" s="28">
        <f t="shared" si="48"/>
        <v>0</v>
      </c>
      <c r="T70" s="28">
        <f t="shared" si="48"/>
        <v>0</v>
      </c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8"/>
      <c r="AH70" s="8"/>
      <c r="AI70" s="8"/>
      <c r="AJ70" s="8"/>
      <c r="AK70" s="8"/>
    </row>
    <row r="71" spans="1:37" x14ac:dyDescent="0.25">
      <c r="A71" s="28">
        <f t="shared" si="39"/>
        <v>0</v>
      </c>
      <c r="B71" s="28">
        <f t="shared" si="41"/>
        <v>0</v>
      </c>
      <c r="C71" s="28">
        <f t="shared" si="43"/>
        <v>0</v>
      </c>
      <c r="D71" s="28">
        <f t="shared" si="45"/>
        <v>0</v>
      </c>
      <c r="E71" s="28">
        <f t="shared" si="47"/>
        <v>0</v>
      </c>
      <c r="F71" s="28">
        <f t="shared" ref="F71:F84" si="49">F50</f>
        <v>0</v>
      </c>
      <c r="G71" s="28">
        <v>1</v>
      </c>
      <c r="H71" s="28">
        <f t="shared" ref="H71:T71" si="50">H50</f>
        <v>0</v>
      </c>
      <c r="I71" s="28">
        <f t="shared" si="50"/>
        <v>0</v>
      </c>
      <c r="J71" s="28">
        <f t="shared" si="50"/>
        <v>0</v>
      </c>
      <c r="K71" s="28">
        <f t="shared" si="50"/>
        <v>0</v>
      </c>
      <c r="L71" s="28">
        <f t="shared" si="50"/>
        <v>0</v>
      </c>
      <c r="M71" s="28">
        <f t="shared" si="50"/>
        <v>0</v>
      </c>
      <c r="N71" s="28">
        <f t="shared" si="50"/>
        <v>0</v>
      </c>
      <c r="O71" s="28">
        <f t="shared" si="50"/>
        <v>0</v>
      </c>
      <c r="P71" s="28">
        <f t="shared" si="50"/>
        <v>0</v>
      </c>
      <c r="Q71" s="28">
        <f t="shared" si="50"/>
        <v>0</v>
      </c>
      <c r="R71" s="28">
        <f t="shared" si="50"/>
        <v>0</v>
      </c>
      <c r="S71" s="28">
        <f t="shared" si="50"/>
        <v>0</v>
      </c>
      <c r="T71" s="28">
        <f t="shared" si="50"/>
        <v>0</v>
      </c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8"/>
      <c r="AH71" s="8"/>
      <c r="AI71" s="8"/>
      <c r="AJ71" s="8"/>
      <c r="AK71" s="8"/>
    </row>
    <row r="72" spans="1:37" x14ac:dyDescent="0.25">
      <c r="A72" s="28">
        <f t="shared" si="39"/>
        <v>0</v>
      </c>
      <c r="B72" s="28">
        <f t="shared" si="41"/>
        <v>0</v>
      </c>
      <c r="C72" s="28">
        <f t="shared" si="43"/>
        <v>0</v>
      </c>
      <c r="D72" s="28">
        <f t="shared" si="45"/>
        <v>0</v>
      </c>
      <c r="E72" s="28">
        <f t="shared" si="47"/>
        <v>0</v>
      </c>
      <c r="F72" s="28">
        <f t="shared" si="49"/>
        <v>0</v>
      </c>
      <c r="G72" s="28">
        <f t="shared" ref="G72:G84" si="51">G51</f>
        <v>0</v>
      </c>
      <c r="H72" s="28">
        <v>1</v>
      </c>
      <c r="I72" s="28">
        <f t="shared" ref="I72:T72" si="52">I51</f>
        <v>0</v>
      </c>
      <c r="J72" s="28">
        <f t="shared" si="52"/>
        <v>0</v>
      </c>
      <c r="K72" s="28">
        <f t="shared" si="52"/>
        <v>0</v>
      </c>
      <c r="L72" s="28">
        <f t="shared" si="52"/>
        <v>0</v>
      </c>
      <c r="M72" s="28">
        <f t="shared" si="52"/>
        <v>0</v>
      </c>
      <c r="N72" s="28">
        <f t="shared" si="52"/>
        <v>0</v>
      </c>
      <c r="O72" s="28">
        <f t="shared" si="52"/>
        <v>0</v>
      </c>
      <c r="P72" s="28">
        <f t="shared" si="52"/>
        <v>0</v>
      </c>
      <c r="Q72" s="28">
        <f t="shared" si="52"/>
        <v>0</v>
      </c>
      <c r="R72" s="28">
        <f t="shared" si="52"/>
        <v>0</v>
      </c>
      <c r="S72" s="28">
        <f t="shared" si="52"/>
        <v>0</v>
      </c>
      <c r="T72" s="28">
        <f t="shared" si="52"/>
        <v>0</v>
      </c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8"/>
      <c r="AH72" s="8"/>
      <c r="AI72" s="8"/>
      <c r="AJ72" s="8"/>
      <c r="AK72" s="8"/>
    </row>
    <row r="73" spans="1:37" x14ac:dyDescent="0.25">
      <c r="A73" s="28">
        <f t="shared" si="39"/>
        <v>0</v>
      </c>
      <c r="B73" s="28">
        <f t="shared" si="41"/>
        <v>0</v>
      </c>
      <c r="C73" s="28">
        <f t="shared" si="43"/>
        <v>0</v>
      </c>
      <c r="D73" s="28">
        <f t="shared" si="45"/>
        <v>0</v>
      </c>
      <c r="E73" s="28">
        <f t="shared" si="47"/>
        <v>0</v>
      </c>
      <c r="F73" s="28">
        <f t="shared" si="49"/>
        <v>0</v>
      </c>
      <c r="G73" s="28">
        <f t="shared" si="51"/>
        <v>0</v>
      </c>
      <c r="H73" s="28">
        <f t="shared" ref="H73:H84" si="53">H52</f>
        <v>0</v>
      </c>
      <c r="I73" s="28">
        <v>1</v>
      </c>
      <c r="J73" s="28">
        <f t="shared" ref="J73:T73" si="54">J52</f>
        <v>0</v>
      </c>
      <c r="K73" s="28">
        <f t="shared" si="54"/>
        <v>0</v>
      </c>
      <c r="L73" s="28">
        <f t="shared" si="54"/>
        <v>0</v>
      </c>
      <c r="M73" s="28">
        <f t="shared" si="54"/>
        <v>0</v>
      </c>
      <c r="N73" s="28">
        <f t="shared" si="54"/>
        <v>0</v>
      </c>
      <c r="O73" s="28">
        <f t="shared" si="54"/>
        <v>0</v>
      </c>
      <c r="P73" s="28">
        <f t="shared" si="54"/>
        <v>0</v>
      </c>
      <c r="Q73" s="28">
        <f t="shared" si="54"/>
        <v>0</v>
      </c>
      <c r="R73" s="28">
        <f t="shared" si="54"/>
        <v>0</v>
      </c>
      <c r="S73" s="28">
        <f t="shared" si="54"/>
        <v>0</v>
      </c>
      <c r="T73" s="28">
        <f t="shared" si="54"/>
        <v>0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8"/>
      <c r="AH73" s="8"/>
      <c r="AI73" s="8"/>
      <c r="AJ73" s="8"/>
      <c r="AK73" s="8"/>
    </row>
    <row r="74" spans="1:37" x14ac:dyDescent="0.25">
      <c r="A74" s="28">
        <f t="shared" si="39"/>
        <v>0</v>
      </c>
      <c r="B74" s="28">
        <f t="shared" si="41"/>
        <v>0</v>
      </c>
      <c r="C74" s="28">
        <f t="shared" si="43"/>
        <v>0</v>
      </c>
      <c r="D74" s="28">
        <f t="shared" si="45"/>
        <v>0</v>
      </c>
      <c r="E74" s="28">
        <f t="shared" si="47"/>
        <v>0</v>
      </c>
      <c r="F74" s="28">
        <f t="shared" si="49"/>
        <v>0</v>
      </c>
      <c r="G74" s="28">
        <f t="shared" si="51"/>
        <v>0</v>
      </c>
      <c r="H74" s="28">
        <f t="shared" si="53"/>
        <v>0</v>
      </c>
      <c r="I74" s="28">
        <f t="shared" ref="I74:I84" si="55">I53</f>
        <v>0</v>
      </c>
      <c r="J74" s="28">
        <v>1</v>
      </c>
      <c r="K74" s="28">
        <f t="shared" ref="K74:T74" si="56">K53</f>
        <v>0</v>
      </c>
      <c r="L74" s="28">
        <f t="shared" si="56"/>
        <v>0</v>
      </c>
      <c r="M74" s="28">
        <f t="shared" si="56"/>
        <v>0</v>
      </c>
      <c r="N74" s="28">
        <f t="shared" si="56"/>
        <v>0</v>
      </c>
      <c r="O74" s="28">
        <f t="shared" si="56"/>
        <v>0</v>
      </c>
      <c r="P74" s="28">
        <f t="shared" si="56"/>
        <v>0</v>
      </c>
      <c r="Q74" s="28">
        <f t="shared" si="56"/>
        <v>0</v>
      </c>
      <c r="R74" s="28">
        <f t="shared" si="56"/>
        <v>0</v>
      </c>
      <c r="S74" s="28">
        <f t="shared" si="56"/>
        <v>0</v>
      </c>
      <c r="T74" s="28">
        <f t="shared" si="56"/>
        <v>0</v>
      </c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8"/>
      <c r="AH74" s="8"/>
      <c r="AI74" s="8"/>
      <c r="AJ74" s="8"/>
      <c r="AK74" s="8"/>
    </row>
    <row r="75" spans="1:37" x14ac:dyDescent="0.25">
      <c r="A75" s="28">
        <f t="shared" si="39"/>
        <v>0</v>
      </c>
      <c r="B75" s="28">
        <f t="shared" si="41"/>
        <v>0</v>
      </c>
      <c r="C75" s="28">
        <f t="shared" si="43"/>
        <v>0</v>
      </c>
      <c r="D75" s="28">
        <f t="shared" si="45"/>
        <v>0</v>
      </c>
      <c r="E75" s="28">
        <f t="shared" si="47"/>
        <v>0</v>
      </c>
      <c r="F75" s="28">
        <f t="shared" si="49"/>
        <v>0</v>
      </c>
      <c r="G75" s="28">
        <f t="shared" si="51"/>
        <v>0</v>
      </c>
      <c r="H75" s="28">
        <f t="shared" si="53"/>
        <v>0</v>
      </c>
      <c r="I75" s="28">
        <f t="shared" si="55"/>
        <v>0</v>
      </c>
      <c r="J75" s="28">
        <f t="shared" ref="J75:J84" si="57">J54</f>
        <v>0</v>
      </c>
      <c r="K75" s="28">
        <v>1</v>
      </c>
      <c r="L75" s="28">
        <f t="shared" ref="L75:T75" si="58">L54</f>
        <v>0</v>
      </c>
      <c r="M75" s="28">
        <f t="shared" si="58"/>
        <v>0</v>
      </c>
      <c r="N75" s="28">
        <f t="shared" si="58"/>
        <v>0</v>
      </c>
      <c r="O75" s="28">
        <f t="shared" si="58"/>
        <v>0</v>
      </c>
      <c r="P75" s="28">
        <f t="shared" si="58"/>
        <v>0</v>
      </c>
      <c r="Q75" s="28">
        <f t="shared" si="58"/>
        <v>0</v>
      </c>
      <c r="R75" s="28">
        <f t="shared" si="58"/>
        <v>0</v>
      </c>
      <c r="S75" s="28">
        <f t="shared" si="58"/>
        <v>0</v>
      </c>
      <c r="T75" s="28">
        <f t="shared" si="58"/>
        <v>0</v>
      </c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8"/>
      <c r="AH75" s="8"/>
      <c r="AI75" s="8"/>
      <c r="AJ75" s="8"/>
      <c r="AK75" s="8"/>
    </row>
    <row r="76" spans="1:37" x14ac:dyDescent="0.25">
      <c r="A76" s="28">
        <f t="shared" si="39"/>
        <v>0</v>
      </c>
      <c r="B76" s="28">
        <f t="shared" si="41"/>
        <v>0</v>
      </c>
      <c r="C76" s="28">
        <f t="shared" si="43"/>
        <v>0</v>
      </c>
      <c r="D76" s="28">
        <f t="shared" si="45"/>
        <v>0</v>
      </c>
      <c r="E76" s="28">
        <f t="shared" si="47"/>
        <v>0</v>
      </c>
      <c r="F76" s="28">
        <f t="shared" si="49"/>
        <v>0</v>
      </c>
      <c r="G76" s="28">
        <f t="shared" si="51"/>
        <v>0</v>
      </c>
      <c r="H76" s="28">
        <f t="shared" si="53"/>
        <v>0</v>
      </c>
      <c r="I76" s="28">
        <f t="shared" si="55"/>
        <v>0</v>
      </c>
      <c r="J76" s="28">
        <f t="shared" si="57"/>
        <v>0</v>
      </c>
      <c r="K76" s="28">
        <f t="shared" ref="K76:K84" si="59">K55</f>
        <v>0</v>
      </c>
      <c r="L76" s="28">
        <v>1</v>
      </c>
      <c r="M76" s="28">
        <f t="shared" ref="M76:T76" si="60">M55</f>
        <v>0</v>
      </c>
      <c r="N76" s="28">
        <f t="shared" si="60"/>
        <v>0</v>
      </c>
      <c r="O76" s="28">
        <f t="shared" si="60"/>
        <v>0</v>
      </c>
      <c r="P76" s="28">
        <f t="shared" si="60"/>
        <v>0</v>
      </c>
      <c r="Q76" s="28">
        <f t="shared" si="60"/>
        <v>0</v>
      </c>
      <c r="R76" s="28">
        <f t="shared" si="60"/>
        <v>0</v>
      </c>
      <c r="S76" s="28">
        <f t="shared" si="60"/>
        <v>0</v>
      </c>
      <c r="T76" s="28">
        <f t="shared" si="60"/>
        <v>0</v>
      </c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8"/>
      <c r="AH76" s="8"/>
      <c r="AI76" s="8"/>
      <c r="AJ76" s="8"/>
      <c r="AK76" s="8"/>
    </row>
    <row r="77" spans="1:37" x14ac:dyDescent="0.25">
      <c r="A77" s="28">
        <f t="shared" si="39"/>
        <v>0</v>
      </c>
      <c r="B77" s="28">
        <f t="shared" si="41"/>
        <v>0</v>
      </c>
      <c r="C77" s="28">
        <f t="shared" si="43"/>
        <v>0</v>
      </c>
      <c r="D77" s="28">
        <f t="shared" si="45"/>
        <v>0</v>
      </c>
      <c r="E77" s="28">
        <f t="shared" si="47"/>
        <v>0</v>
      </c>
      <c r="F77" s="28">
        <f t="shared" si="49"/>
        <v>0</v>
      </c>
      <c r="G77" s="28">
        <f t="shared" si="51"/>
        <v>0</v>
      </c>
      <c r="H77" s="28">
        <f t="shared" si="53"/>
        <v>0</v>
      </c>
      <c r="I77" s="28">
        <f t="shared" si="55"/>
        <v>0</v>
      </c>
      <c r="J77" s="28">
        <f t="shared" si="57"/>
        <v>0</v>
      </c>
      <c r="K77" s="28">
        <f t="shared" si="59"/>
        <v>0</v>
      </c>
      <c r="L77" s="28">
        <f t="shared" ref="L77:L84" si="61">L56</f>
        <v>0</v>
      </c>
      <c r="M77" s="28">
        <v>1</v>
      </c>
      <c r="N77" s="28">
        <f t="shared" ref="N77:T77" si="62">N56</f>
        <v>0</v>
      </c>
      <c r="O77" s="28">
        <f t="shared" si="62"/>
        <v>0</v>
      </c>
      <c r="P77" s="28">
        <f t="shared" si="62"/>
        <v>0</v>
      </c>
      <c r="Q77" s="28">
        <f t="shared" si="62"/>
        <v>0</v>
      </c>
      <c r="R77" s="28">
        <f t="shared" si="62"/>
        <v>0</v>
      </c>
      <c r="S77" s="28">
        <f t="shared" si="62"/>
        <v>0</v>
      </c>
      <c r="T77" s="28">
        <f t="shared" si="62"/>
        <v>0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8"/>
      <c r="AH77" s="8"/>
      <c r="AI77" s="8"/>
      <c r="AJ77" s="8"/>
      <c r="AK77" s="8"/>
    </row>
    <row r="78" spans="1:37" x14ac:dyDescent="0.25">
      <c r="A78" s="28">
        <f t="shared" si="39"/>
        <v>0</v>
      </c>
      <c r="B78" s="28">
        <f t="shared" si="41"/>
        <v>0</v>
      </c>
      <c r="C78" s="28">
        <f t="shared" si="43"/>
        <v>0</v>
      </c>
      <c r="D78" s="28">
        <f t="shared" si="45"/>
        <v>0</v>
      </c>
      <c r="E78" s="28">
        <f t="shared" si="47"/>
        <v>0</v>
      </c>
      <c r="F78" s="28">
        <f t="shared" si="49"/>
        <v>0</v>
      </c>
      <c r="G78" s="28">
        <f t="shared" si="51"/>
        <v>0</v>
      </c>
      <c r="H78" s="28">
        <f t="shared" si="53"/>
        <v>0</v>
      </c>
      <c r="I78" s="28">
        <f t="shared" si="55"/>
        <v>0</v>
      </c>
      <c r="J78" s="28">
        <f t="shared" si="57"/>
        <v>0</v>
      </c>
      <c r="K78" s="28">
        <f t="shared" si="59"/>
        <v>0</v>
      </c>
      <c r="L78" s="28">
        <f t="shared" si="61"/>
        <v>0</v>
      </c>
      <c r="M78" s="28">
        <f t="shared" ref="M78:M84" si="63">M57</f>
        <v>0</v>
      </c>
      <c r="N78" s="28">
        <v>1</v>
      </c>
      <c r="O78" s="28">
        <f t="shared" ref="O78:T78" si="64">O57</f>
        <v>0</v>
      </c>
      <c r="P78" s="28">
        <f t="shared" si="64"/>
        <v>0</v>
      </c>
      <c r="Q78" s="28">
        <f t="shared" si="64"/>
        <v>0</v>
      </c>
      <c r="R78" s="28">
        <f t="shared" si="64"/>
        <v>0</v>
      </c>
      <c r="S78" s="28">
        <f t="shared" si="64"/>
        <v>0</v>
      </c>
      <c r="T78" s="28">
        <f t="shared" si="64"/>
        <v>0</v>
      </c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8"/>
      <c r="AH78" s="8"/>
      <c r="AI78" s="8"/>
      <c r="AJ78" s="8"/>
      <c r="AK78" s="8"/>
    </row>
    <row r="79" spans="1:37" x14ac:dyDescent="0.25">
      <c r="A79" s="28">
        <f t="shared" si="39"/>
        <v>0</v>
      </c>
      <c r="B79" s="28">
        <f t="shared" si="41"/>
        <v>0</v>
      </c>
      <c r="C79" s="28">
        <f t="shared" si="43"/>
        <v>0</v>
      </c>
      <c r="D79" s="28">
        <f t="shared" si="45"/>
        <v>0</v>
      </c>
      <c r="E79" s="28">
        <f t="shared" si="47"/>
        <v>0</v>
      </c>
      <c r="F79" s="28">
        <f t="shared" si="49"/>
        <v>0</v>
      </c>
      <c r="G79" s="28">
        <f t="shared" si="51"/>
        <v>0</v>
      </c>
      <c r="H79" s="28">
        <f t="shared" si="53"/>
        <v>0</v>
      </c>
      <c r="I79" s="28">
        <f t="shared" si="55"/>
        <v>0</v>
      </c>
      <c r="J79" s="28">
        <f t="shared" si="57"/>
        <v>0</v>
      </c>
      <c r="K79" s="28">
        <f t="shared" si="59"/>
        <v>0</v>
      </c>
      <c r="L79" s="28">
        <f t="shared" si="61"/>
        <v>0</v>
      </c>
      <c r="M79" s="28">
        <f t="shared" si="63"/>
        <v>0</v>
      </c>
      <c r="N79" s="28">
        <f t="shared" ref="N79:N84" si="65">N58</f>
        <v>0</v>
      </c>
      <c r="O79" s="28">
        <v>1</v>
      </c>
      <c r="P79" s="28">
        <f>P58</f>
        <v>0</v>
      </c>
      <c r="Q79" s="28">
        <f>Q58</f>
        <v>0</v>
      </c>
      <c r="R79" s="28">
        <f>R58</f>
        <v>0</v>
      </c>
      <c r="S79" s="28">
        <f>S58</f>
        <v>0</v>
      </c>
      <c r="T79" s="28">
        <f>T58</f>
        <v>0</v>
      </c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8"/>
      <c r="AH79" s="8"/>
      <c r="AI79" s="8"/>
      <c r="AJ79" s="8"/>
      <c r="AK79" s="8"/>
    </row>
    <row r="80" spans="1:37" x14ac:dyDescent="0.25">
      <c r="A80" s="28">
        <f t="shared" si="39"/>
        <v>0</v>
      </c>
      <c r="B80" s="28">
        <f t="shared" si="41"/>
        <v>0</v>
      </c>
      <c r="C80" s="28">
        <f t="shared" si="43"/>
        <v>0</v>
      </c>
      <c r="D80" s="28">
        <f t="shared" si="45"/>
        <v>0</v>
      </c>
      <c r="E80" s="28">
        <f t="shared" si="47"/>
        <v>0</v>
      </c>
      <c r="F80" s="28">
        <f t="shared" si="49"/>
        <v>0</v>
      </c>
      <c r="G80" s="28">
        <f t="shared" si="51"/>
        <v>0</v>
      </c>
      <c r="H80" s="28">
        <f t="shared" si="53"/>
        <v>0</v>
      </c>
      <c r="I80" s="28">
        <f t="shared" si="55"/>
        <v>0</v>
      </c>
      <c r="J80" s="28">
        <f t="shared" si="57"/>
        <v>0</v>
      </c>
      <c r="K80" s="28">
        <f t="shared" si="59"/>
        <v>0</v>
      </c>
      <c r="L80" s="28">
        <f t="shared" si="61"/>
        <v>0</v>
      </c>
      <c r="M80" s="28">
        <f t="shared" si="63"/>
        <v>0</v>
      </c>
      <c r="N80" s="28">
        <f t="shared" si="65"/>
        <v>0</v>
      </c>
      <c r="O80" s="28">
        <f>O59</f>
        <v>0</v>
      </c>
      <c r="P80" s="28">
        <v>1</v>
      </c>
      <c r="Q80" s="28">
        <f>Q59</f>
        <v>0</v>
      </c>
      <c r="R80" s="28">
        <f>R59</f>
        <v>0</v>
      </c>
      <c r="S80" s="28">
        <f>S59</f>
        <v>0</v>
      </c>
      <c r="T80" s="28">
        <f>T59</f>
        <v>0</v>
      </c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8"/>
      <c r="AH80" s="8"/>
      <c r="AI80" s="8"/>
      <c r="AJ80" s="8"/>
      <c r="AK80" s="8"/>
    </row>
    <row r="81" spans="1:37" x14ac:dyDescent="0.25">
      <c r="A81" s="28">
        <f t="shared" si="39"/>
        <v>0</v>
      </c>
      <c r="B81" s="28">
        <f t="shared" si="41"/>
        <v>0</v>
      </c>
      <c r="C81" s="28">
        <f t="shared" si="43"/>
        <v>0</v>
      </c>
      <c r="D81" s="28">
        <f t="shared" si="45"/>
        <v>0</v>
      </c>
      <c r="E81" s="28">
        <f t="shared" si="47"/>
        <v>0</v>
      </c>
      <c r="F81" s="28">
        <f t="shared" si="49"/>
        <v>0</v>
      </c>
      <c r="G81" s="28">
        <f t="shared" si="51"/>
        <v>0</v>
      </c>
      <c r="H81" s="28">
        <f t="shared" si="53"/>
        <v>0</v>
      </c>
      <c r="I81" s="28">
        <f t="shared" si="55"/>
        <v>0</v>
      </c>
      <c r="J81" s="28">
        <f t="shared" si="57"/>
        <v>0</v>
      </c>
      <c r="K81" s="28">
        <f t="shared" si="59"/>
        <v>0</v>
      </c>
      <c r="L81" s="28">
        <f t="shared" si="61"/>
        <v>0</v>
      </c>
      <c r="M81" s="28">
        <f t="shared" si="63"/>
        <v>0</v>
      </c>
      <c r="N81" s="28">
        <f t="shared" si="65"/>
        <v>0</v>
      </c>
      <c r="O81" s="28">
        <f>O60</f>
        <v>0</v>
      </c>
      <c r="P81" s="28">
        <f>P60</f>
        <v>0</v>
      </c>
      <c r="Q81" s="28">
        <v>1</v>
      </c>
      <c r="R81" s="28">
        <f>R60</f>
        <v>0</v>
      </c>
      <c r="S81" s="28">
        <f>S60</f>
        <v>0</v>
      </c>
      <c r="T81" s="28">
        <f>T60</f>
        <v>0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8"/>
      <c r="AH81" s="8"/>
      <c r="AI81" s="8"/>
      <c r="AJ81" s="8"/>
      <c r="AK81" s="8"/>
    </row>
    <row r="82" spans="1:37" x14ac:dyDescent="0.25">
      <c r="A82" s="28">
        <f t="shared" si="39"/>
        <v>0</v>
      </c>
      <c r="B82" s="28">
        <f t="shared" si="41"/>
        <v>0</v>
      </c>
      <c r="C82" s="28">
        <f t="shared" si="43"/>
        <v>0</v>
      </c>
      <c r="D82" s="28">
        <f t="shared" si="45"/>
        <v>0</v>
      </c>
      <c r="E82" s="28">
        <f t="shared" si="47"/>
        <v>0</v>
      </c>
      <c r="F82" s="28">
        <f t="shared" si="49"/>
        <v>0</v>
      </c>
      <c r="G82" s="28">
        <f t="shared" si="51"/>
        <v>0</v>
      </c>
      <c r="H82" s="28">
        <f t="shared" si="53"/>
        <v>0</v>
      </c>
      <c r="I82" s="28">
        <f t="shared" si="55"/>
        <v>0</v>
      </c>
      <c r="J82" s="28">
        <f t="shared" si="57"/>
        <v>0</v>
      </c>
      <c r="K82" s="28">
        <f t="shared" si="59"/>
        <v>0</v>
      </c>
      <c r="L82" s="28">
        <f t="shared" si="61"/>
        <v>0</v>
      </c>
      <c r="M82" s="28">
        <f t="shared" si="63"/>
        <v>0</v>
      </c>
      <c r="N82" s="28">
        <f t="shared" si="65"/>
        <v>0</v>
      </c>
      <c r="O82" s="28">
        <f>O61</f>
        <v>0</v>
      </c>
      <c r="P82" s="28">
        <f>P61</f>
        <v>0</v>
      </c>
      <c r="Q82" s="28">
        <f>Q61</f>
        <v>0</v>
      </c>
      <c r="R82" s="28">
        <v>1</v>
      </c>
      <c r="S82" s="28">
        <f>S61</f>
        <v>0</v>
      </c>
      <c r="T82" s="28">
        <f>T61</f>
        <v>0</v>
      </c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8"/>
      <c r="AH82" s="8"/>
      <c r="AI82" s="8"/>
      <c r="AJ82" s="8"/>
      <c r="AK82" s="8"/>
    </row>
    <row r="83" spans="1:37" x14ac:dyDescent="0.25">
      <c r="A83" s="28">
        <f t="shared" si="39"/>
        <v>0</v>
      </c>
      <c r="B83" s="28">
        <f t="shared" si="41"/>
        <v>0</v>
      </c>
      <c r="C83" s="28">
        <f t="shared" si="43"/>
        <v>0</v>
      </c>
      <c r="D83" s="28">
        <f t="shared" si="45"/>
        <v>0</v>
      </c>
      <c r="E83" s="28">
        <f t="shared" si="47"/>
        <v>0</v>
      </c>
      <c r="F83" s="28">
        <f t="shared" si="49"/>
        <v>0</v>
      </c>
      <c r="G83" s="28">
        <f t="shared" si="51"/>
        <v>0</v>
      </c>
      <c r="H83" s="28">
        <f t="shared" si="53"/>
        <v>0</v>
      </c>
      <c r="I83" s="28">
        <f t="shared" si="55"/>
        <v>0</v>
      </c>
      <c r="J83" s="28">
        <f t="shared" si="57"/>
        <v>0</v>
      </c>
      <c r="K83" s="28">
        <f t="shared" si="59"/>
        <v>0</v>
      </c>
      <c r="L83" s="28">
        <f t="shared" si="61"/>
        <v>0</v>
      </c>
      <c r="M83" s="28">
        <f t="shared" si="63"/>
        <v>0</v>
      </c>
      <c r="N83" s="28">
        <f t="shared" si="65"/>
        <v>0</v>
      </c>
      <c r="O83" s="28">
        <f>O62</f>
        <v>0</v>
      </c>
      <c r="P83" s="28">
        <f>P62</f>
        <v>0</v>
      </c>
      <c r="Q83" s="28">
        <f>Q62</f>
        <v>0</v>
      </c>
      <c r="R83" s="28">
        <f>R62</f>
        <v>0</v>
      </c>
      <c r="S83" s="28">
        <v>1</v>
      </c>
      <c r="T83" s="28">
        <f>T62</f>
        <v>0</v>
      </c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8"/>
      <c r="AH83" s="8"/>
      <c r="AI83" s="8"/>
      <c r="AJ83" s="8"/>
      <c r="AK83" s="8"/>
    </row>
    <row r="84" spans="1:37" x14ac:dyDescent="0.25">
      <c r="A84" s="28">
        <f t="shared" si="39"/>
        <v>0</v>
      </c>
      <c r="B84" s="28">
        <f t="shared" si="41"/>
        <v>0</v>
      </c>
      <c r="C84" s="28">
        <f t="shared" si="43"/>
        <v>0</v>
      </c>
      <c r="D84" s="28">
        <f t="shared" si="45"/>
        <v>0</v>
      </c>
      <c r="E84" s="28">
        <f t="shared" si="47"/>
        <v>0</v>
      </c>
      <c r="F84" s="28">
        <f t="shared" si="49"/>
        <v>0</v>
      </c>
      <c r="G84" s="28">
        <f t="shared" si="51"/>
        <v>0</v>
      </c>
      <c r="H84" s="28">
        <f t="shared" si="53"/>
        <v>0</v>
      </c>
      <c r="I84" s="28">
        <f t="shared" si="55"/>
        <v>0</v>
      </c>
      <c r="J84" s="28">
        <f t="shared" si="57"/>
        <v>0</v>
      </c>
      <c r="K84" s="28">
        <f t="shared" si="59"/>
        <v>0</v>
      </c>
      <c r="L84" s="28">
        <f t="shared" si="61"/>
        <v>0</v>
      </c>
      <c r="M84" s="28">
        <f t="shared" si="63"/>
        <v>0</v>
      </c>
      <c r="N84" s="28">
        <f t="shared" si="65"/>
        <v>0</v>
      </c>
      <c r="O84" s="28">
        <f>O63</f>
        <v>0</v>
      </c>
      <c r="P84" s="28">
        <f>P63</f>
        <v>0</v>
      </c>
      <c r="Q84" s="28">
        <f>Q63</f>
        <v>0</v>
      </c>
      <c r="R84" s="28">
        <f>R63</f>
        <v>0</v>
      </c>
      <c r="S84" s="28">
        <f>S63</f>
        <v>0</v>
      </c>
      <c r="T84" s="28">
        <v>1</v>
      </c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8"/>
      <c r="AH84" s="8"/>
      <c r="AI84" s="8"/>
      <c r="AJ84" s="8"/>
      <c r="AK84" s="8"/>
    </row>
    <row r="86" spans="1:37" x14ac:dyDescent="0.25">
      <c r="B86" s="10" t="s">
        <v>221</v>
      </c>
      <c r="C86" s="10" t="str">
        <f t="array" ref="C86:V86">TRANSPOSE(A88:A107)</f>
        <v>Wechsler</v>
      </c>
      <c r="D86" s="10" t="str">
        <v>Wechsler</v>
      </c>
      <c r="E86" s="10" t="str">
        <v>Wechsler</v>
      </c>
      <c r="F86" s="10" t="str">
        <v>Stanford-Binet</v>
      </c>
      <c r="G86" s="10" t="str">
        <v>Wechsler</v>
      </c>
      <c r="H86" s="10" t="str">
        <v/>
      </c>
      <c r="I86" s="10" t="str">
        <v/>
      </c>
      <c r="J86" s="10" t="str">
        <v/>
      </c>
      <c r="K86" s="10" t="str">
        <v/>
      </c>
      <c r="L86" s="10" t="str">
        <v/>
      </c>
      <c r="M86" s="10" t="str">
        <v/>
      </c>
      <c r="N86" s="10" t="str">
        <v/>
      </c>
      <c r="O86" s="10" t="str">
        <v/>
      </c>
      <c r="P86" s="10" t="str">
        <v/>
      </c>
      <c r="Q86" s="10" t="str">
        <v/>
      </c>
      <c r="R86" s="10" t="str">
        <v/>
      </c>
      <c r="S86" s="10" t="str">
        <v/>
      </c>
      <c r="T86" s="10" t="str">
        <v/>
      </c>
      <c r="U86" s="10" t="str">
        <v/>
      </c>
      <c r="V86" s="10" t="str">
        <v/>
      </c>
    </row>
    <row r="87" spans="1:37" x14ac:dyDescent="0.25">
      <c r="A87" s="10" t="s">
        <v>221</v>
      </c>
      <c r="B87" s="10" t="s">
        <v>220</v>
      </c>
      <c r="C87" s="8">
        <f t="array" ref="C87:V87">TRANSPOSE(B88:B107)</f>
        <v>10</v>
      </c>
      <c r="D87" s="8">
        <v>11</v>
      </c>
      <c r="E87" s="8">
        <v>30</v>
      </c>
      <c r="F87" s="8">
        <v>45</v>
      </c>
      <c r="G87" s="8">
        <v>50</v>
      </c>
      <c r="H87" s="8" t="str">
        <v/>
      </c>
      <c r="I87" s="8" t="str">
        <v/>
      </c>
      <c r="J87" s="8" t="str">
        <v/>
      </c>
      <c r="K87" s="8" t="str">
        <v/>
      </c>
      <c r="L87" s="9" t="str">
        <v/>
      </c>
      <c r="M87" s="9" t="str">
        <v/>
      </c>
      <c r="N87" s="9" t="str">
        <v/>
      </c>
      <c r="O87" s="9" t="str">
        <v/>
      </c>
      <c r="P87" s="9" t="str">
        <v/>
      </c>
      <c r="Q87" s="9" t="str">
        <v/>
      </c>
      <c r="R87" s="9" t="str">
        <v/>
      </c>
      <c r="S87" s="9" t="str">
        <v/>
      </c>
      <c r="T87" s="9" t="str">
        <v/>
      </c>
      <c r="U87" s="9" t="str">
        <v/>
      </c>
      <c r="V87" s="9" t="str">
        <v/>
      </c>
    </row>
    <row r="88" spans="1:37" x14ac:dyDescent="0.25">
      <c r="A88" s="10" t="str">
        <f>IF(Main!T3="","",Main!T3)</f>
        <v>Wechsler</v>
      </c>
      <c r="B88" s="10">
        <f>IF(Main!G3="","",Main!G3)</f>
        <v>10</v>
      </c>
      <c r="C88" s="28">
        <f>IF(OR(C$86="",C$87="",$A88="",$B88=""),"",1)</f>
        <v>1</v>
      </c>
      <c r="D88" s="28">
        <f t="shared" ref="D88:V102" si="66">IF(OR(D$86="",D$87="",$A88="",$B88=""),"",0.716-0.003*EXP(-0.258*(MIN(D$87,$B88)-20))+0.095*EXP(-0.138*(MAX(D$87,$B88)-MIN(D$87,$B88)-5))-0.104*IF($A88=D$86,0,1))</f>
        <v>0.84139726982955088</v>
      </c>
      <c r="E88" s="28">
        <f t="shared" si="66"/>
        <v>0.6883962347830036</v>
      </c>
      <c r="F88" s="28">
        <f t="shared" si="66"/>
        <v>0.57392125641395353</v>
      </c>
      <c r="G88" s="28">
        <f t="shared" si="66"/>
        <v>0.67716730504129063</v>
      </c>
      <c r="H88" s="28" t="str">
        <f t="shared" si="66"/>
        <v/>
      </c>
      <c r="I88" s="28" t="str">
        <f t="shared" si="66"/>
        <v/>
      </c>
      <c r="J88" s="28" t="str">
        <f t="shared" si="66"/>
        <v/>
      </c>
      <c r="K88" s="28" t="str">
        <f t="shared" si="66"/>
        <v/>
      </c>
      <c r="L88" s="28" t="str">
        <f t="shared" si="66"/>
        <v/>
      </c>
      <c r="M88" s="28" t="str">
        <f t="shared" si="66"/>
        <v/>
      </c>
      <c r="N88" s="28" t="str">
        <f t="shared" si="66"/>
        <v/>
      </c>
      <c r="O88" s="28" t="str">
        <f t="shared" si="66"/>
        <v/>
      </c>
      <c r="P88" s="28" t="str">
        <f t="shared" si="66"/>
        <v/>
      </c>
      <c r="Q88" s="28" t="str">
        <f t="shared" si="66"/>
        <v/>
      </c>
      <c r="R88" s="28" t="str">
        <f t="shared" si="66"/>
        <v/>
      </c>
      <c r="S88" s="28" t="str">
        <f t="shared" si="66"/>
        <v/>
      </c>
      <c r="T88" s="28" t="str">
        <f t="shared" si="66"/>
        <v/>
      </c>
      <c r="U88" s="28" t="str">
        <f t="shared" si="66"/>
        <v/>
      </c>
      <c r="V88" s="28" t="str">
        <f t="shared" si="66"/>
        <v/>
      </c>
    </row>
    <row r="89" spans="1:37" x14ac:dyDescent="0.25">
      <c r="A89" s="10" t="str">
        <f>IF(Main!T4="","",Main!T4)</f>
        <v>Wechsler</v>
      </c>
      <c r="B89" s="10">
        <f>IF(Main!G4="","",Main!G4)</f>
        <v>11</v>
      </c>
      <c r="C89" s="28">
        <f t="shared" ref="C89:R107" si="67">IF(OR(C$86="",C$87="",$A89="",$B89=""),"",0.716-0.003*EXP(-0.258*(MIN(C$87,$B89)-20))+0.095*EXP(-0.138*(MAX(C$87,$B89)-MIN(C$87,$B89)-5))-0.104*IF($A89=C$86,0,1))</f>
        <v>0.84139726982955088</v>
      </c>
      <c r="D89" s="28">
        <f>IF(OR(D$86="",D$87="",$A89="",$B89=""),"",1)</f>
        <v>1</v>
      </c>
      <c r="E89" s="28">
        <f t="shared" si="67"/>
        <v>0.69917339019918845</v>
      </c>
      <c r="F89" s="28">
        <f t="shared" si="67"/>
        <v>0.58314837114186813</v>
      </c>
      <c r="G89" s="28">
        <f t="shared" si="67"/>
        <v>0.68628285339995554</v>
      </c>
      <c r="H89" s="28" t="str">
        <f t="shared" si="67"/>
        <v/>
      </c>
      <c r="I89" s="28" t="str">
        <f t="shared" si="67"/>
        <v/>
      </c>
      <c r="J89" s="28" t="str">
        <f t="shared" si="67"/>
        <v/>
      </c>
      <c r="K89" s="28" t="str">
        <f t="shared" si="67"/>
        <v/>
      </c>
      <c r="L89" s="28" t="str">
        <f t="shared" si="67"/>
        <v/>
      </c>
      <c r="M89" s="28" t="str">
        <f t="shared" si="67"/>
        <v/>
      </c>
      <c r="N89" s="28" t="str">
        <f t="shared" si="67"/>
        <v/>
      </c>
      <c r="O89" s="28" t="str">
        <f t="shared" si="67"/>
        <v/>
      </c>
      <c r="P89" s="28" t="str">
        <f t="shared" si="67"/>
        <v/>
      </c>
      <c r="Q89" s="28" t="str">
        <f t="shared" si="67"/>
        <v/>
      </c>
      <c r="R89" s="28" t="str">
        <f t="shared" si="67"/>
        <v/>
      </c>
      <c r="S89" s="28" t="str">
        <f t="shared" si="66"/>
        <v/>
      </c>
      <c r="T89" s="28" t="str">
        <f t="shared" si="66"/>
        <v/>
      </c>
      <c r="U89" s="28" t="str">
        <f t="shared" si="66"/>
        <v/>
      </c>
      <c r="V89" s="28" t="str">
        <f t="shared" si="66"/>
        <v/>
      </c>
    </row>
    <row r="90" spans="1:37" x14ac:dyDescent="0.25">
      <c r="A90" s="10" t="str">
        <f>IF(Main!T5="","",Main!T5)</f>
        <v>Wechsler</v>
      </c>
      <c r="B90" s="10">
        <f>IF(Main!G5="","",Main!G5)</f>
        <v>30</v>
      </c>
      <c r="C90" s="28">
        <f t="shared" si="67"/>
        <v>0.6883962347830036</v>
      </c>
      <c r="D90" s="28">
        <f t="shared" si="66"/>
        <v>0.69917339019918845</v>
      </c>
      <c r="E90" s="28">
        <f>IF(OR(E$86="",E$87="",$A90="",$B90=""),"",1)</f>
        <v>1</v>
      </c>
      <c r="F90" s="28">
        <f t="shared" si="66"/>
        <v>0.63567264052860828</v>
      </c>
      <c r="G90" s="28">
        <f t="shared" si="66"/>
        <v>0.72776032724991013</v>
      </c>
      <c r="H90" s="28" t="str">
        <f t="shared" si="66"/>
        <v/>
      </c>
      <c r="I90" s="28" t="str">
        <f t="shared" si="66"/>
        <v/>
      </c>
      <c r="J90" s="28" t="str">
        <f t="shared" si="66"/>
        <v/>
      </c>
      <c r="K90" s="28" t="str">
        <f t="shared" si="66"/>
        <v/>
      </c>
      <c r="L90" s="28" t="str">
        <f t="shared" si="66"/>
        <v/>
      </c>
      <c r="M90" s="28" t="str">
        <f t="shared" si="66"/>
        <v/>
      </c>
      <c r="N90" s="28" t="str">
        <f t="shared" si="66"/>
        <v/>
      </c>
      <c r="O90" s="28" t="str">
        <f t="shared" si="66"/>
        <v/>
      </c>
      <c r="P90" s="28" t="str">
        <f t="shared" si="66"/>
        <v/>
      </c>
      <c r="Q90" s="28" t="str">
        <f t="shared" si="66"/>
        <v/>
      </c>
      <c r="R90" s="28" t="str">
        <f t="shared" si="66"/>
        <v/>
      </c>
      <c r="S90" s="28" t="str">
        <f t="shared" si="66"/>
        <v/>
      </c>
      <c r="T90" s="28" t="str">
        <f t="shared" si="66"/>
        <v/>
      </c>
      <c r="U90" s="28" t="str">
        <f t="shared" si="66"/>
        <v/>
      </c>
      <c r="V90" s="28" t="str">
        <f t="shared" si="66"/>
        <v/>
      </c>
    </row>
    <row r="91" spans="1:37" x14ac:dyDescent="0.25">
      <c r="A91" s="10" t="str">
        <f>IF(Main!T6="","",Main!T6)</f>
        <v>Stanford-Binet</v>
      </c>
      <c r="B91" s="10">
        <f>IF(Main!G6="","",Main!G6)</f>
        <v>45</v>
      </c>
      <c r="C91" s="28">
        <f t="shared" si="67"/>
        <v>0.57392125641395353</v>
      </c>
      <c r="D91" s="28">
        <f t="shared" si="66"/>
        <v>0.58314837114186813</v>
      </c>
      <c r="E91" s="28">
        <f t="shared" si="66"/>
        <v>0.63567264052860828</v>
      </c>
      <c r="F91" s="28">
        <f>IF(OR(F$86="",F$87="",$A91="",$B91=""),"",1)</f>
        <v>1</v>
      </c>
      <c r="G91" s="28">
        <f t="shared" si="66"/>
        <v>0.70699525843349376</v>
      </c>
      <c r="H91" s="28" t="str">
        <f t="shared" si="66"/>
        <v/>
      </c>
      <c r="I91" s="28" t="str">
        <f t="shared" si="66"/>
        <v/>
      </c>
      <c r="J91" s="28" t="str">
        <f t="shared" si="66"/>
        <v/>
      </c>
      <c r="K91" s="28" t="str">
        <f t="shared" si="66"/>
        <v/>
      </c>
      <c r="L91" s="28" t="str">
        <f t="shared" si="66"/>
        <v/>
      </c>
      <c r="M91" s="28" t="str">
        <f t="shared" si="66"/>
        <v/>
      </c>
      <c r="N91" s="28" t="str">
        <f t="shared" si="66"/>
        <v/>
      </c>
      <c r="O91" s="28" t="str">
        <f t="shared" si="66"/>
        <v/>
      </c>
      <c r="P91" s="28" t="str">
        <f t="shared" si="66"/>
        <v/>
      </c>
      <c r="Q91" s="28" t="str">
        <f t="shared" si="66"/>
        <v/>
      </c>
      <c r="R91" s="28" t="str">
        <f t="shared" si="66"/>
        <v/>
      </c>
      <c r="S91" s="28" t="str">
        <f t="shared" si="66"/>
        <v/>
      </c>
      <c r="T91" s="28" t="str">
        <f t="shared" si="66"/>
        <v/>
      </c>
      <c r="U91" s="28" t="str">
        <f t="shared" si="66"/>
        <v/>
      </c>
      <c r="V91" s="28" t="str">
        <f t="shared" si="66"/>
        <v/>
      </c>
    </row>
    <row r="92" spans="1:37" x14ac:dyDescent="0.25">
      <c r="A92" s="10" t="str">
        <f>IF(Main!T7="","",Main!T7)</f>
        <v>Wechsler</v>
      </c>
      <c r="B92" s="10">
        <f>IF(Main!G7="","",Main!G7)</f>
        <v>50</v>
      </c>
      <c r="C92" s="28">
        <f t="shared" si="67"/>
        <v>0.67716730504129063</v>
      </c>
      <c r="D92" s="28">
        <f t="shared" si="66"/>
        <v>0.68628285339995554</v>
      </c>
      <c r="E92" s="28">
        <f t="shared" si="66"/>
        <v>0.72776032724991013</v>
      </c>
      <c r="F92" s="28">
        <f t="shared" si="66"/>
        <v>0.70699525843349376</v>
      </c>
      <c r="G92" s="28">
        <f>IF(OR(G$86="",G$87="",$A92="",$B92=""),"",1)</f>
        <v>1</v>
      </c>
      <c r="H92" s="28" t="str">
        <f t="shared" si="66"/>
        <v/>
      </c>
      <c r="I92" s="28" t="str">
        <f t="shared" si="66"/>
        <v/>
      </c>
      <c r="J92" s="28" t="str">
        <f t="shared" si="66"/>
        <v/>
      </c>
      <c r="K92" s="28" t="str">
        <f t="shared" si="66"/>
        <v/>
      </c>
      <c r="L92" s="28" t="str">
        <f t="shared" si="66"/>
        <v/>
      </c>
      <c r="M92" s="28" t="str">
        <f t="shared" si="66"/>
        <v/>
      </c>
      <c r="N92" s="28" t="str">
        <f t="shared" si="66"/>
        <v/>
      </c>
      <c r="O92" s="28" t="str">
        <f t="shared" si="66"/>
        <v/>
      </c>
      <c r="P92" s="28" t="str">
        <f t="shared" si="66"/>
        <v/>
      </c>
      <c r="Q92" s="28" t="str">
        <f t="shared" si="66"/>
        <v/>
      </c>
      <c r="R92" s="28" t="str">
        <f t="shared" si="66"/>
        <v/>
      </c>
      <c r="S92" s="28" t="str">
        <f t="shared" si="66"/>
        <v/>
      </c>
      <c r="T92" s="28" t="str">
        <f t="shared" si="66"/>
        <v/>
      </c>
      <c r="U92" s="28" t="str">
        <f t="shared" si="66"/>
        <v/>
      </c>
      <c r="V92" s="28" t="str">
        <f t="shared" si="66"/>
        <v/>
      </c>
    </row>
    <row r="93" spans="1:37" x14ac:dyDescent="0.25">
      <c r="A93" s="10" t="str">
        <f>IF(Main!T8="","",Main!T8)</f>
        <v/>
      </c>
      <c r="B93" s="10" t="str">
        <f>IF(Main!G8="","",Main!G8)</f>
        <v/>
      </c>
      <c r="C93" s="28" t="str">
        <f t="shared" si="67"/>
        <v/>
      </c>
      <c r="D93" s="28" t="str">
        <f t="shared" si="66"/>
        <v/>
      </c>
      <c r="E93" s="28" t="str">
        <f t="shared" si="66"/>
        <v/>
      </c>
      <c r="F93" s="28" t="str">
        <f t="shared" si="66"/>
        <v/>
      </c>
      <c r="G93" s="28" t="str">
        <f t="shared" si="66"/>
        <v/>
      </c>
      <c r="H93" s="28" t="str">
        <f>IF(OR(H$86="",H$87="",$A93="",$B93=""),"",1)</f>
        <v/>
      </c>
      <c r="I93" s="28" t="str">
        <f t="shared" si="66"/>
        <v/>
      </c>
      <c r="J93" s="28" t="str">
        <f t="shared" si="66"/>
        <v/>
      </c>
      <c r="K93" s="28" t="str">
        <f t="shared" si="66"/>
        <v/>
      </c>
      <c r="L93" s="28" t="str">
        <f t="shared" si="66"/>
        <v/>
      </c>
      <c r="M93" s="28" t="str">
        <f t="shared" si="66"/>
        <v/>
      </c>
      <c r="N93" s="28" t="str">
        <f t="shared" si="66"/>
        <v/>
      </c>
      <c r="O93" s="28" t="str">
        <f t="shared" si="66"/>
        <v/>
      </c>
      <c r="P93" s="28" t="str">
        <f t="shared" si="66"/>
        <v/>
      </c>
      <c r="Q93" s="28" t="str">
        <f t="shared" si="66"/>
        <v/>
      </c>
      <c r="R93" s="28" t="str">
        <f t="shared" si="66"/>
        <v/>
      </c>
      <c r="S93" s="28" t="str">
        <f t="shared" si="66"/>
        <v/>
      </c>
      <c r="T93" s="28" t="str">
        <f t="shared" si="66"/>
        <v/>
      </c>
      <c r="U93" s="28" t="str">
        <f t="shared" si="66"/>
        <v/>
      </c>
      <c r="V93" s="28" t="str">
        <f t="shared" si="66"/>
        <v/>
      </c>
    </row>
    <row r="94" spans="1:37" x14ac:dyDescent="0.25">
      <c r="A94" s="10" t="str">
        <f>IF(Main!T9="","",Main!T9)</f>
        <v/>
      </c>
      <c r="B94" s="10" t="str">
        <f>IF(Main!G9="","",Main!G9)</f>
        <v/>
      </c>
      <c r="C94" s="28" t="str">
        <f t="shared" si="67"/>
        <v/>
      </c>
      <c r="D94" s="28" t="str">
        <f t="shared" si="66"/>
        <v/>
      </c>
      <c r="E94" s="28" t="str">
        <f t="shared" si="66"/>
        <v/>
      </c>
      <c r="F94" s="28" t="str">
        <f t="shared" si="66"/>
        <v/>
      </c>
      <c r="G94" s="28" t="str">
        <f t="shared" si="66"/>
        <v/>
      </c>
      <c r="H94" s="28" t="str">
        <f t="shared" si="66"/>
        <v/>
      </c>
      <c r="I94" s="28" t="str">
        <f>IF(OR(I$86="",I$87="",$A94="",$B94=""),"",1)</f>
        <v/>
      </c>
      <c r="J94" s="28" t="str">
        <f t="shared" si="66"/>
        <v/>
      </c>
      <c r="K94" s="28" t="str">
        <f t="shared" si="66"/>
        <v/>
      </c>
      <c r="L94" s="28" t="str">
        <f t="shared" si="66"/>
        <v/>
      </c>
      <c r="M94" s="28" t="str">
        <f t="shared" si="66"/>
        <v/>
      </c>
      <c r="N94" s="28" t="str">
        <f t="shared" si="66"/>
        <v/>
      </c>
      <c r="O94" s="28" t="str">
        <f t="shared" si="66"/>
        <v/>
      </c>
      <c r="P94" s="28" t="str">
        <f t="shared" si="66"/>
        <v/>
      </c>
      <c r="Q94" s="28" t="str">
        <f t="shared" si="66"/>
        <v/>
      </c>
      <c r="R94" s="28" t="str">
        <f t="shared" si="66"/>
        <v/>
      </c>
      <c r="S94" s="28" t="str">
        <f t="shared" si="66"/>
        <v/>
      </c>
      <c r="T94" s="28" t="str">
        <f t="shared" si="66"/>
        <v/>
      </c>
      <c r="U94" s="28" t="str">
        <f t="shared" si="66"/>
        <v/>
      </c>
      <c r="V94" s="28" t="str">
        <f t="shared" si="66"/>
        <v/>
      </c>
    </row>
    <row r="95" spans="1:37" x14ac:dyDescent="0.25">
      <c r="A95" s="10" t="str">
        <f>IF(Main!T10="","",Main!T10)</f>
        <v/>
      </c>
      <c r="B95" s="10" t="str">
        <f>IF(Main!G10="","",Main!G10)</f>
        <v/>
      </c>
      <c r="C95" s="28" t="str">
        <f t="shared" si="67"/>
        <v/>
      </c>
      <c r="D95" s="28" t="str">
        <f t="shared" si="66"/>
        <v/>
      </c>
      <c r="E95" s="28" t="str">
        <f t="shared" si="66"/>
        <v/>
      </c>
      <c r="F95" s="28" t="str">
        <f t="shared" si="66"/>
        <v/>
      </c>
      <c r="G95" s="28" t="str">
        <f t="shared" si="66"/>
        <v/>
      </c>
      <c r="H95" s="28" t="str">
        <f t="shared" si="66"/>
        <v/>
      </c>
      <c r="I95" s="28" t="str">
        <f t="shared" si="66"/>
        <v/>
      </c>
      <c r="J95" s="28" t="str">
        <f>IF(OR(J$86="",J$87="",$A95="",$B95=""),"",1)</f>
        <v/>
      </c>
      <c r="K95" s="28" t="str">
        <f t="shared" si="66"/>
        <v/>
      </c>
      <c r="L95" s="28" t="str">
        <f t="shared" si="66"/>
        <v/>
      </c>
      <c r="M95" s="28" t="str">
        <f t="shared" si="66"/>
        <v/>
      </c>
      <c r="N95" s="28" t="str">
        <f t="shared" si="66"/>
        <v/>
      </c>
      <c r="O95" s="28" t="str">
        <f t="shared" si="66"/>
        <v/>
      </c>
      <c r="P95" s="28" t="str">
        <f t="shared" si="66"/>
        <v/>
      </c>
      <c r="Q95" s="28" t="str">
        <f t="shared" si="66"/>
        <v/>
      </c>
      <c r="R95" s="28" t="str">
        <f t="shared" si="66"/>
        <v/>
      </c>
      <c r="S95" s="28" t="str">
        <f t="shared" si="66"/>
        <v/>
      </c>
      <c r="T95" s="28" t="str">
        <f t="shared" si="66"/>
        <v/>
      </c>
      <c r="U95" s="28" t="str">
        <f t="shared" si="66"/>
        <v/>
      </c>
      <c r="V95" s="28" t="str">
        <f t="shared" si="66"/>
        <v/>
      </c>
    </row>
    <row r="96" spans="1:37" x14ac:dyDescent="0.25">
      <c r="A96" s="10" t="str">
        <f>IF(Main!T11="","",Main!T11)</f>
        <v/>
      </c>
      <c r="B96" s="10" t="str">
        <f>IF(Main!G11="","",Main!G11)</f>
        <v/>
      </c>
      <c r="C96" s="28" t="str">
        <f t="shared" si="67"/>
        <v/>
      </c>
      <c r="D96" s="28" t="str">
        <f t="shared" si="66"/>
        <v/>
      </c>
      <c r="E96" s="28" t="str">
        <f t="shared" si="66"/>
        <v/>
      </c>
      <c r="F96" s="28" t="str">
        <f t="shared" si="66"/>
        <v/>
      </c>
      <c r="G96" s="28" t="str">
        <f t="shared" si="66"/>
        <v/>
      </c>
      <c r="H96" s="28" t="str">
        <f t="shared" si="66"/>
        <v/>
      </c>
      <c r="I96" s="28" t="str">
        <f t="shared" si="66"/>
        <v/>
      </c>
      <c r="J96" s="28" t="str">
        <f t="shared" si="66"/>
        <v/>
      </c>
      <c r="K96" s="28" t="str">
        <f>IF(OR(K$86="",K$87="",$A96="",$B96=""),"",1)</f>
        <v/>
      </c>
      <c r="L96" s="28" t="str">
        <f t="shared" si="66"/>
        <v/>
      </c>
      <c r="M96" s="28" t="str">
        <f t="shared" si="66"/>
        <v/>
      </c>
      <c r="N96" s="28" t="str">
        <f t="shared" si="66"/>
        <v/>
      </c>
      <c r="O96" s="28" t="str">
        <f t="shared" si="66"/>
        <v/>
      </c>
      <c r="P96" s="28" t="str">
        <f t="shared" si="66"/>
        <v/>
      </c>
      <c r="Q96" s="28" t="str">
        <f t="shared" si="66"/>
        <v/>
      </c>
      <c r="R96" s="28" t="str">
        <f t="shared" si="66"/>
        <v/>
      </c>
      <c r="S96" s="28" t="str">
        <f t="shared" si="66"/>
        <v/>
      </c>
      <c r="T96" s="28" t="str">
        <f t="shared" si="66"/>
        <v/>
      </c>
      <c r="U96" s="28" t="str">
        <f t="shared" si="66"/>
        <v/>
      </c>
      <c r="V96" s="28" t="str">
        <f t="shared" si="66"/>
        <v/>
      </c>
    </row>
    <row r="97" spans="1:22" x14ac:dyDescent="0.25">
      <c r="A97" s="10" t="str">
        <f>IF(Main!T12="","",Main!T12)</f>
        <v/>
      </c>
      <c r="B97" s="10" t="str">
        <f>IF(Main!G12="","",Main!G12)</f>
        <v/>
      </c>
      <c r="C97" s="28" t="str">
        <f t="shared" si="67"/>
        <v/>
      </c>
      <c r="D97" s="28" t="str">
        <f t="shared" si="66"/>
        <v/>
      </c>
      <c r="E97" s="28" t="str">
        <f t="shared" si="66"/>
        <v/>
      </c>
      <c r="F97" s="28" t="str">
        <f t="shared" si="66"/>
        <v/>
      </c>
      <c r="G97" s="28" t="str">
        <f t="shared" si="66"/>
        <v/>
      </c>
      <c r="H97" s="28" t="str">
        <f t="shared" si="66"/>
        <v/>
      </c>
      <c r="I97" s="28" t="str">
        <f t="shared" si="66"/>
        <v/>
      </c>
      <c r="J97" s="28" t="str">
        <f t="shared" si="66"/>
        <v/>
      </c>
      <c r="K97" s="28" t="str">
        <f t="shared" si="66"/>
        <v/>
      </c>
      <c r="L97" s="28" t="str">
        <f>IF(OR(L$86="",L$87="",$A97="",$B97=""),"",1)</f>
        <v/>
      </c>
      <c r="M97" s="28" t="str">
        <f t="shared" si="66"/>
        <v/>
      </c>
      <c r="N97" s="28" t="str">
        <f t="shared" si="66"/>
        <v/>
      </c>
      <c r="O97" s="28" t="str">
        <f t="shared" si="66"/>
        <v/>
      </c>
      <c r="P97" s="28" t="str">
        <f t="shared" si="66"/>
        <v/>
      </c>
      <c r="Q97" s="28" t="str">
        <f t="shared" si="66"/>
        <v/>
      </c>
      <c r="R97" s="28" t="str">
        <f t="shared" si="66"/>
        <v/>
      </c>
      <c r="S97" s="28" t="str">
        <f t="shared" si="66"/>
        <v/>
      </c>
      <c r="T97" s="28" t="str">
        <f t="shared" si="66"/>
        <v/>
      </c>
      <c r="U97" s="28" t="str">
        <f t="shared" si="66"/>
        <v/>
      </c>
      <c r="V97" s="28" t="str">
        <f t="shared" si="66"/>
        <v/>
      </c>
    </row>
    <row r="98" spans="1:22" x14ac:dyDescent="0.25">
      <c r="A98" s="10" t="str">
        <f>IF(Main!T13="","",Main!T13)</f>
        <v/>
      </c>
      <c r="B98" s="10" t="str">
        <f>IF(Main!G13="","",Main!G13)</f>
        <v/>
      </c>
      <c r="C98" s="28" t="str">
        <f t="shared" si="67"/>
        <v/>
      </c>
      <c r="D98" s="28" t="str">
        <f t="shared" si="66"/>
        <v/>
      </c>
      <c r="E98" s="28" t="str">
        <f t="shared" si="66"/>
        <v/>
      </c>
      <c r="F98" s="28" t="str">
        <f t="shared" si="66"/>
        <v/>
      </c>
      <c r="G98" s="28" t="str">
        <f t="shared" si="66"/>
        <v/>
      </c>
      <c r="H98" s="28" t="str">
        <f t="shared" si="66"/>
        <v/>
      </c>
      <c r="I98" s="28" t="str">
        <f t="shared" si="66"/>
        <v/>
      </c>
      <c r="J98" s="28" t="str">
        <f t="shared" si="66"/>
        <v/>
      </c>
      <c r="K98" s="28" t="str">
        <f t="shared" si="66"/>
        <v/>
      </c>
      <c r="L98" s="28" t="str">
        <f t="shared" si="66"/>
        <v/>
      </c>
      <c r="M98" s="28" t="str">
        <f>IF(OR(M$86="",M$87="",$A98="",$B98=""),"",1)</f>
        <v/>
      </c>
      <c r="N98" s="28" t="str">
        <f t="shared" si="66"/>
        <v/>
      </c>
      <c r="O98" s="28" t="str">
        <f t="shared" si="66"/>
        <v/>
      </c>
      <c r="P98" s="28" t="str">
        <f t="shared" si="66"/>
        <v/>
      </c>
      <c r="Q98" s="28" t="str">
        <f t="shared" si="66"/>
        <v/>
      </c>
      <c r="R98" s="28" t="str">
        <f t="shared" si="66"/>
        <v/>
      </c>
      <c r="S98" s="28" t="str">
        <f t="shared" si="66"/>
        <v/>
      </c>
      <c r="T98" s="28" t="str">
        <f t="shared" si="66"/>
        <v/>
      </c>
      <c r="U98" s="28" t="str">
        <f t="shared" si="66"/>
        <v/>
      </c>
      <c r="V98" s="28" t="str">
        <f t="shared" si="66"/>
        <v/>
      </c>
    </row>
    <row r="99" spans="1:22" x14ac:dyDescent="0.25">
      <c r="A99" s="10" t="str">
        <f>IF(Main!T14="","",Main!T14)</f>
        <v/>
      </c>
      <c r="B99" s="10" t="str">
        <f>IF(Main!G14="","",Main!G14)</f>
        <v/>
      </c>
      <c r="C99" s="28" t="str">
        <f t="shared" si="67"/>
        <v/>
      </c>
      <c r="D99" s="28" t="str">
        <f t="shared" si="66"/>
        <v/>
      </c>
      <c r="E99" s="28" t="str">
        <f t="shared" si="66"/>
        <v/>
      </c>
      <c r="F99" s="28" t="str">
        <f t="shared" si="66"/>
        <v/>
      </c>
      <c r="G99" s="28" t="str">
        <f t="shared" si="66"/>
        <v/>
      </c>
      <c r="H99" s="28" t="str">
        <f t="shared" si="66"/>
        <v/>
      </c>
      <c r="I99" s="28" t="str">
        <f t="shared" si="66"/>
        <v/>
      </c>
      <c r="J99" s="28" t="str">
        <f t="shared" si="66"/>
        <v/>
      </c>
      <c r="K99" s="28" t="str">
        <f t="shared" si="66"/>
        <v/>
      </c>
      <c r="L99" s="28" t="str">
        <f t="shared" si="66"/>
        <v/>
      </c>
      <c r="M99" s="28" t="str">
        <f t="shared" si="66"/>
        <v/>
      </c>
      <c r="N99" s="28" t="str">
        <f>IF(OR(N$86="",N$87="",$A99="",$B99=""),"",1)</f>
        <v/>
      </c>
      <c r="O99" s="28" t="str">
        <f t="shared" si="66"/>
        <v/>
      </c>
      <c r="P99" s="28" t="str">
        <f t="shared" si="66"/>
        <v/>
      </c>
      <c r="Q99" s="28" t="str">
        <f t="shared" si="66"/>
        <v/>
      </c>
      <c r="R99" s="28" t="str">
        <f t="shared" si="66"/>
        <v/>
      </c>
      <c r="S99" s="28" t="str">
        <f t="shared" si="66"/>
        <v/>
      </c>
      <c r="T99" s="28" t="str">
        <f t="shared" si="66"/>
        <v/>
      </c>
      <c r="U99" s="28" t="str">
        <f t="shared" si="66"/>
        <v/>
      </c>
      <c r="V99" s="28" t="str">
        <f t="shared" si="66"/>
        <v/>
      </c>
    </row>
    <row r="100" spans="1:22" x14ac:dyDescent="0.25">
      <c r="A100" s="10" t="str">
        <f>IF(Main!T15="","",Main!T15)</f>
        <v/>
      </c>
      <c r="B100" s="10" t="str">
        <f>IF(Main!G15="","",Main!G15)</f>
        <v/>
      </c>
      <c r="C100" s="28" t="str">
        <f t="shared" si="67"/>
        <v/>
      </c>
      <c r="D100" s="28" t="str">
        <f t="shared" si="66"/>
        <v/>
      </c>
      <c r="E100" s="28" t="str">
        <f t="shared" si="66"/>
        <v/>
      </c>
      <c r="F100" s="28" t="str">
        <f t="shared" si="66"/>
        <v/>
      </c>
      <c r="G100" s="28" t="str">
        <f t="shared" si="66"/>
        <v/>
      </c>
      <c r="H100" s="28" t="str">
        <f t="shared" si="66"/>
        <v/>
      </c>
      <c r="I100" s="28" t="str">
        <f t="shared" si="66"/>
        <v/>
      </c>
      <c r="J100" s="28" t="str">
        <f t="shared" si="66"/>
        <v/>
      </c>
      <c r="K100" s="28" t="str">
        <f t="shared" si="66"/>
        <v/>
      </c>
      <c r="L100" s="28" t="str">
        <f t="shared" si="66"/>
        <v/>
      </c>
      <c r="M100" s="28" t="str">
        <f t="shared" si="66"/>
        <v/>
      </c>
      <c r="N100" s="28" t="str">
        <f t="shared" si="66"/>
        <v/>
      </c>
      <c r="O100" s="28" t="str">
        <f>IF(OR(O$86="",O$87="",$A100="",$B100=""),"",1)</f>
        <v/>
      </c>
      <c r="P100" s="28" t="str">
        <f t="shared" si="66"/>
        <v/>
      </c>
      <c r="Q100" s="28" t="str">
        <f t="shared" si="66"/>
        <v/>
      </c>
      <c r="R100" s="28" t="str">
        <f t="shared" si="66"/>
        <v/>
      </c>
      <c r="S100" s="28" t="str">
        <f t="shared" si="66"/>
        <v/>
      </c>
      <c r="T100" s="28" t="str">
        <f t="shared" si="66"/>
        <v/>
      </c>
      <c r="U100" s="28" t="str">
        <f t="shared" si="66"/>
        <v/>
      </c>
      <c r="V100" s="28" t="str">
        <f t="shared" si="66"/>
        <v/>
      </c>
    </row>
    <row r="101" spans="1:22" x14ac:dyDescent="0.25">
      <c r="A101" s="10" t="str">
        <f>IF(Main!T16="","",Main!T16)</f>
        <v/>
      </c>
      <c r="B101" s="10" t="str">
        <f>IF(Main!G16="","",Main!G16)</f>
        <v/>
      </c>
      <c r="C101" s="28" t="str">
        <f t="shared" si="67"/>
        <v/>
      </c>
      <c r="D101" s="28" t="str">
        <f t="shared" si="66"/>
        <v/>
      </c>
      <c r="E101" s="28" t="str">
        <f t="shared" si="66"/>
        <v/>
      </c>
      <c r="F101" s="28" t="str">
        <f t="shared" si="66"/>
        <v/>
      </c>
      <c r="G101" s="28" t="str">
        <f t="shared" si="66"/>
        <v/>
      </c>
      <c r="H101" s="28" t="str">
        <f t="shared" si="66"/>
        <v/>
      </c>
      <c r="I101" s="28" t="str">
        <f t="shared" si="66"/>
        <v/>
      </c>
      <c r="J101" s="28" t="str">
        <f t="shared" si="66"/>
        <v/>
      </c>
      <c r="K101" s="28" t="str">
        <f t="shared" si="66"/>
        <v/>
      </c>
      <c r="L101" s="28" t="str">
        <f t="shared" si="66"/>
        <v/>
      </c>
      <c r="M101" s="28" t="str">
        <f t="shared" si="66"/>
        <v/>
      </c>
      <c r="N101" s="28" t="str">
        <f t="shared" si="66"/>
        <v/>
      </c>
      <c r="O101" s="28" t="str">
        <f t="shared" si="66"/>
        <v/>
      </c>
      <c r="P101" s="28" t="str">
        <f>IF(OR(P$86="",P$87="",$A101="",$B101=""),"",1)</f>
        <v/>
      </c>
      <c r="Q101" s="28" t="str">
        <f t="shared" si="66"/>
        <v/>
      </c>
      <c r="R101" s="28" t="str">
        <f t="shared" si="66"/>
        <v/>
      </c>
      <c r="S101" s="28" t="str">
        <f t="shared" si="66"/>
        <v/>
      </c>
      <c r="T101" s="28" t="str">
        <f t="shared" si="66"/>
        <v/>
      </c>
      <c r="U101" s="28" t="str">
        <f t="shared" si="66"/>
        <v/>
      </c>
      <c r="V101" s="28" t="str">
        <f t="shared" si="66"/>
        <v/>
      </c>
    </row>
    <row r="102" spans="1:22" x14ac:dyDescent="0.25">
      <c r="A102" s="10" t="str">
        <f>IF(Main!T17="","",Main!T17)</f>
        <v/>
      </c>
      <c r="B102" s="10" t="str">
        <f>IF(Main!G17="","",Main!G17)</f>
        <v/>
      </c>
      <c r="C102" s="28" t="str">
        <f t="shared" si="67"/>
        <v/>
      </c>
      <c r="D102" s="28" t="str">
        <f t="shared" si="66"/>
        <v/>
      </c>
      <c r="E102" s="28" t="str">
        <f t="shared" si="66"/>
        <v/>
      </c>
      <c r="F102" s="28" t="str">
        <f t="shared" si="66"/>
        <v/>
      </c>
      <c r="G102" s="28" t="str">
        <f t="shared" si="66"/>
        <v/>
      </c>
      <c r="H102" s="28" t="str">
        <f t="shared" ref="D102:V107" si="68">IF(OR(H$86="",H$87="",$A102="",$B102=""),"",0.716-0.003*EXP(-0.258*(MIN(H$87,$B102)-20))+0.095*EXP(-0.138*(MAX(H$87,$B102)-MIN(H$87,$B102)-5))-0.104*IF($A102=H$86,0,1))</f>
        <v/>
      </c>
      <c r="I102" s="28" t="str">
        <f t="shared" si="68"/>
        <v/>
      </c>
      <c r="J102" s="28" t="str">
        <f t="shared" si="68"/>
        <v/>
      </c>
      <c r="K102" s="28" t="str">
        <f t="shared" si="68"/>
        <v/>
      </c>
      <c r="L102" s="28" t="str">
        <f t="shared" si="68"/>
        <v/>
      </c>
      <c r="M102" s="28" t="str">
        <f t="shared" si="68"/>
        <v/>
      </c>
      <c r="N102" s="28" t="str">
        <f t="shared" si="68"/>
        <v/>
      </c>
      <c r="O102" s="28" t="str">
        <f t="shared" si="68"/>
        <v/>
      </c>
      <c r="P102" s="28" t="str">
        <f t="shared" si="68"/>
        <v/>
      </c>
      <c r="Q102" s="28" t="str">
        <f>IF(OR(Q$86="",Q$87="",$A102="",$B102=""),"",1)</f>
        <v/>
      </c>
      <c r="R102" s="28" t="str">
        <f t="shared" si="68"/>
        <v/>
      </c>
      <c r="S102" s="28" t="str">
        <f t="shared" si="68"/>
        <v/>
      </c>
      <c r="T102" s="28" t="str">
        <f t="shared" si="68"/>
        <v/>
      </c>
      <c r="U102" s="28" t="str">
        <f t="shared" si="68"/>
        <v/>
      </c>
      <c r="V102" s="28" t="str">
        <f t="shared" si="68"/>
        <v/>
      </c>
    </row>
    <row r="103" spans="1:22" x14ac:dyDescent="0.25">
      <c r="A103" s="10" t="str">
        <f>IF(Main!T18="","",Main!T18)</f>
        <v/>
      </c>
      <c r="B103" s="10" t="str">
        <f>IF(Main!G18="","",Main!G18)</f>
        <v/>
      </c>
      <c r="C103" s="28" t="str">
        <f t="shared" si="67"/>
        <v/>
      </c>
      <c r="D103" s="28" t="str">
        <f t="shared" si="68"/>
        <v/>
      </c>
      <c r="E103" s="28" t="str">
        <f t="shared" si="68"/>
        <v/>
      </c>
      <c r="F103" s="28" t="str">
        <f t="shared" si="68"/>
        <v/>
      </c>
      <c r="G103" s="28" t="str">
        <f t="shared" si="68"/>
        <v/>
      </c>
      <c r="H103" s="28" t="str">
        <f t="shared" si="68"/>
        <v/>
      </c>
      <c r="I103" s="28" t="str">
        <f t="shared" si="68"/>
        <v/>
      </c>
      <c r="J103" s="28" t="str">
        <f t="shared" si="68"/>
        <v/>
      </c>
      <c r="K103" s="28" t="str">
        <f t="shared" si="68"/>
        <v/>
      </c>
      <c r="L103" s="28" t="str">
        <f t="shared" si="68"/>
        <v/>
      </c>
      <c r="M103" s="28" t="str">
        <f t="shared" si="68"/>
        <v/>
      </c>
      <c r="N103" s="28" t="str">
        <f t="shared" si="68"/>
        <v/>
      </c>
      <c r="O103" s="28" t="str">
        <f t="shared" si="68"/>
        <v/>
      </c>
      <c r="P103" s="28" t="str">
        <f t="shared" si="68"/>
        <v/>
      </c>
      <c r="Q103" s="28" t="str">
        <f t="shared" si="68"/>
        <v/>
      </c>
      <c r="R103" s="28" t="str">
        <f>IF(OR(R$86="",R$87="",$A103="",$B103=""),"",1)</f>
        <v/>
      </c>
      <c r="S103" s="28" t="str">
        <f t="shared" si="68"/>
        <v/>
      </c>
      <c r="T103" s="28" t="str">
        <f t="shared" si="68"/>
        <v/>
      </c>
      <c r="U103" s="28" t="str">
        <f t="shared" si="68"/>
        <v/>
      </c>
      <c r="V103" s="28" t="str">
        <f t="shared" si="68"/>
        <v/>
      </c>
    </row>
    <row r="104" spans="1:22" x14ac:dyDescent="0.25">
      <c r="A104" s="10" t="str">
        <f>IF(Main!T19="","",Main!T19)</f>
        <v/>
      </c>
      <c r="B104" s="10" t="str">
        <f>IF(Main!G19="","",Main!G19)</f>
        <v/>
      </c>
      <c r="C104" s="28" t="str">
        <f t="shared" si="67"/>
        <v/>
      </c>
      <c r="D104" s="28" t="str">
        <f t="shared" si="68"/>
        <v/>
      </c>
      <c r="E104" s="28" t="str">
        <f t="shared" si="68"/>
        <v/>
      </c>
      <c r="F104" s="28" t="str">
        <f t="shared" si="68"/>
        <v/>
      </c>
      <c r="G104" s="28" t="str">
        <f t="shared" si="68"/>
        <v/>
      </c>
      <c r="H104" s="28" t="str">
        <f t="shared" si="68"/>
        <v/>
      </c>
      <c r="I104" s="28" t="str">
        <f t="shared" si="68"/>
        <v/>
      </c>
      <c r="J104" s="28" t="str">
        <f t="shared" si="68"/>
        <v/>
      </c>
      <c r="K104" s="28" t="str">
        <f t="shared" si="68"/>
        <v/>
      </c>
      <c r="L104" s="28" t="str">
        <f t="shared" si="68"/>
        <v/>
      </c>
      <c r="M104" s="28" t="str">
        <f t="shared" si="68"/>
        <v/>
      </c>
      <c r="N104" s="28" t="str">
        <f t="shared" si="68"/>
        <v/>
      </c>
      <c r="O104" s="28" t="str">
        <f t="shared" si="68"/>
        <v/>
      </c>
      <c r="P104" s="28" t="str">
        <f t="shared" si="68"/>
        <v/>
      </c>
      <c r="Q104" s="28" t="str">
        <f t="shared" si="68"/>
        <v/>
      </c>
      <c r="R104" s="28" t="str">
        <f t="shared" si="68"/>
        <v/>
      </c>
      <c r="S104" s="28" t="str">
        <f>IF(OR(S$86="",S$87="",$A104="",$B104=""),"",1)</f>
        <v/>
      </c>
      <c r="T104" s="28" t="str">
        <f t="shared" si="68"/>
        <v/>
      </c>
      <c r="U104" s="28" t="str">
        <f t="shared" si="68"/>
        <v/>
      </c>
      <c r="V104" s="28" t="str">
        <f t="shared" si="68"/>
        <v/>
      </c>
    </row>
    <row r="105" spans="1:22" x14ac:dyDescent="0.25">
      <c r="A105" s="10" t="str">
        <f>IF(Main!T20="","",Main!T20)</f>
        <v/>
      </c>
      <c r="B105" s="10" t="str">
        <f>IF(Main!G20="","",Main!G20)</f>
        <v/>
      </c>
      <c r="C105" s="28" t="str">
        <f t="shared" si="67"/>
        <v/>
      </c>
      <c r="D105" s="28" t="str">
        <f t="shared" si="68"/>
        <v/>
      </c>
      <c r="E105" s="28" t="str">
        <f t="shared" si="68"/>
        <v/>
      </c>
      <c r="F105" s="28" t="str">
        <f t="shared" si="68"/>
        <v/>
      </c>
      <c r="G105" s="28" t="str">
        <f t="shared" si="68"/>
        <v/>
      </c>
      <c r="H105" s="28" t="str">
        <f t="shared" si="68"/>
        <v/>
      </c>
      <c r="I105" s="28" t="str">
        <f t="shared" si="68"/>
        <v/>
      </c>
      <c r="J105" s="28" t="str">
        <f t="shared" si="68"/>
        <v/>
      </c>
      <c r="K105" s="28" t="str">
        <f t="shared" si="68"/>
        <v/>
      </c>
      <c r="L105" s="28" t="str">
        <f t="shared" si="68"/>
        <v/>
      </c>
      <c r="M105" s="28" t="str">
        <f t="shared" si="68"/>
        <v/>
      </c>
      <c r="N105" s="28" t="str">
        <f t="shared" si="68"/>
        <v/>
      </c>
      <c r="O105" s="28" t="str">
        <f t="shared" si="68"/>
        <v/>
      </c>
      <c r="P105" s="28" t="str">
        <f t="shared" si="68"/>
        <v/>
      </c>
      <c r="Q105" s="28" t="str">
        <f t="shared" si="68"/>
        <v/>
      </c>
      <c r="R105" s="28" t="str">
        <f t="shared" si="68"/>
        <v/>
      </c>
      <c r="S105" s="28" t="str">
        <f t="shared" si="68"/>
        <v/>
      </c>
      <c r="T105" s="28" t="str">
        <f>IF(OR(T$86="",T$87="",$A105="",$B105=""),"",1)</f>
        <v/>
      </c>
      <c r="U105" s="28" t="str">
        <f t="shared" si="68"/>
        <v/>
      </c>
      <c r="V105" s="28" t="str">
        <f t="shared" si="68"/>
        <v/>
      </c>
    </row>
    <row r="106" spans="1:22" x14ac:dyDescent="0.25">
      <c r="A106" s="10" t="str">
        <f>IF(Main!T21="","",Main!T21)</f>
        <v/>
      </c>
      <c r="B106" s="10" t="str">
        <f>IF(Main!G21="","",Main!G21)</f>
        <v/>
      </c>
      <c r="C106" s="28" t="str">
        <f t="shared" si="67"/>
        <v/>
      </c>
      <c r="D106" s="28" t="str">
        <f t="shared" si="68"/>
        <v/>
      </c>
      <c r="E106" s="28" t="str">
        <f t="shared" si="68"/>
        <v/>
      </c>
      <c r="F106" s="28" t="str">
        <f t="shared" si="68"/>
        <v/>
      </c>
      <c r="G106" s="28" t="str">
        <f t="shared" si="68"/>
        <v/>
      </c>
      <c r="H106" s="28" t="str">
        <f t="shared" si="68"/>
        <v/>
      </c>
      <c r="I106" s="28" t="str">
        <f t="shared" si="68"/>
        <v/>
      </c>
      <c r="J106" s="28" t="str">
        <f t="shared" si="68"/>
        <v/>
      </c>
      <c r="K106" s="28" t="str">
        <f t="shared" si="68"/>
        <v/>
      </c>
      <c r="L106" s="28" t="str">
        <f t="shared" si="68"/>
        <v/>
      </c>
      <c r="M106" s="28" t="str">
        <f t="shared" si="68"/>
        <v/>
      </c>
      <c r="N106" s="28" t="str">
        <f t="shared" si="68"/>
        <v/>
      </c>
      <c r="O106" s="28" t="str">
        <f t="shared" si="68"/>
        <v/>
      </c>
      <c r="P106" s="28" t="str">
        <f t="shared" si="68"/>
        <v/>
      </c>
      <c r="Q106" s="28" t="str">
        <f t="shared" si="68"/>
        <v/>
      </c>
      <c r="R106" s="28" t="str">
        <f t="shared" si="68"/>
        <v/>
      </c>
      <c r="S106" s="28" t="str">
        <f t="shared" si="68"/>
        <v/>
      </c>
      <c r="T106" s="28" t="str">
        <f t="shared" si="68"/>
        <v/>
      </c>
      <c r="U106" s="28" t="str">
        <f>IF(OR(U$86="",U$87="",$A106="",$B106=""),"",1)</f>
        <v/>
      </c>
      <c r="V106" s="28" t="str">
        <f t="shared" si="68"/>
        <v/>
      </c>
    </row>
    <row r="107" spans="1:22" x14ac:dyDescent="0.25">
      <c r="A107" s="10" t="str">
        <f>IF(Main!T22="","",Main!T22)</f>
        <v/>
      </c>
      <c r="B107" s="10" t="str">
        <f>IF(Main!G22="","",Main!G22)</f>
        <v/>
      </c>
      <c r="C107" s="28" t="str">
        <f t="shared" si="67"/>
        <v/>
      </c>
      <c r="D107" s="28" t="str">
        <f t="shared" si="68"/>
        <v/>
      </c>
      <c r="E107" s="28" t="str">
        <f t="shared" si="68"/>
        <v/>
      </c>
      <c r="F107" s="28" t="str">
        <f t="shared" si="68"/>
        <v/>
      </c>
      <c r="G107" s="28" t="str">
        <f t="shared" si="68"/>
        <v/>
      </c>
      <c r="H107" s="28" t="str">
        <f t="shared" si="68"/>
        <v/>
      </c>
      <c r="I107" s="28" t="str">
        <f t="shared" si="68"/>
        <v/>
      </c>
      <c r="J107" s="28" t="str">
        <f t="shared" si="68"/>
        <v/>
      </c>
      <c r="K107" s="28" t="str">
        <f t="shared" si="68"/>
        <v/>
      </c>
      <c r="L107" s="28" t="str">
        <f t="shared" si="68"/>
        <v/>
      </c>
      <c r="M107" s="28" t="str">
        <f t="shared" si="68"/>
        <v/>
      </c>
      <c r="N107" s="28" t="str">
        <f t="shared" si="68"/>
        <v/>
      </c>
      <c r="O107" s="28" t="str">
        <f t="shared" si="68"/>
        <v/>
      </c>
      <c r="P107" s="28" t="str">
        <f t="shared" si="68"/>
        <v/>
      </c>
      <c r="Q107" s="28" t="str">
        <f t="shared" si="68"/>
        <v/>
      </c>
      <c r="R107" s="28" t="str">
        <f t="shared" si="68"/>
        <v/>
      </c>
      <c r="S107" s="28" t="str">
        <f t="shared" si="68"/>
        <v/>
      </c>
      <c r="T107" s="28" t="str">
        <f t="shared" si="68"/>
        <v/>
      </c>
      <c r="U107" s="28" t="str">
        <f t="shared" si="68"/>
        <v/>
      </c>
      <c r="V107" s="28" t="str">
        <f>IF(OR(V$86="",V$87="",$A107="",$B107=""),"",1)</f>
        <v/>
      </c>
    </row>
  </sheetData>
  <pageMargins left="0.7" right="0.7" top="0.75" bottom="0.75" header="0.3" footer="0.3"/>
  <ignoredErrors>
    <ignoredError sqref="C3 D89 E90 G92 F91 H93 I94 J95 K96 L97 M98 N99 O100 P101 Q102 R103 S104 T105 U106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E3E4-586E-4337-8245-B8C4FBDF5032}">
  <dimension ref="A1:O1214"/>
  <sheetViews>
    <sheetView topLeftCell="F2" zoomScale="210" zoomScaleNormal="210" workbookViewId="0">
      <selection activeCell="L2" sqref="L2"/>
    </sheetView>
  </sheetViews>
  <sheetFormatPr defaultRowHeight="15" x14ac:dyDescent="0.25"/>
  <cols>
    <col min="2" max="2" width="12" bestFit="1" customWidth="1"/>
    <col min="11" max="12" width="12" bestFit="1" customWidth="1"/>
  </cols>
  <sheetData>
    <row r="1" spans="1:15" x14ac:dyDescent="0.25"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51</v>
      </c>
      <c r="I1" t="s">
        <v>50</v>
      </c>
      <c r="J1" t="s">
        <v>52</v>
      </c>
      <c r="K1" t="s">
        <v>202</v>
      </c>
      <c r="L1" t="s">
        <v>203</v>
      </c>
      <c r="M1" t="s">
        <v>204</v>
      </c>
      <c r="N1" t="s">
        <v>198</v>
      </c>
      <c r="O1" t="s">
        <v>205</v>
      </c>
    </row>
    <row r="2" spans="1:15" x14ac:dyDescent="0.25">
      <c r="A2">
        <v>40</v>
      </c>
      <c r="B2">
        <f>IF($A2&lt;=60,_xlfn.NORM.DIST($A2,100,15,FALSE),NA())</f>
        <v>8.9220150509923572E-6</v>
      </c>
      <c r="C2" t="e">
        <f>IF(AND($A2&gt;=60,$A2&lt;=70),_xlfn.NORM.DIST($A2,100,15,FALSE),NA())</f>
        <v>#N/A</v>
      </c>
      <c r="D2" t="e">
        <f>IF(AND($A2&gt;=70,$A2&lt;=80),_xlfn.NORM.DIST($A2,100,15,FALSE),NA())</f>
        <v>#N/A</v>
      </c>
      <c r="E2" t="e">
        <f>IF(AND($A2&gt;=80,$A2&lt;=90),_xlfn.NORM.DIST($A2,100,15,FALSE),NA())</f>
        <v>#N/A</v>
      </c>
      <c r="F2" t="e">
        <f>IF(AND($A2&gt;=90,$A2&lt;=110),_xlfn.NORM.DIST($A2,100,15,FALSE),NA())</f>
        <v>#N/A</v>
      </c>
      <c r="G2" t="e">
        <f>IF(AND($A2&gt;=110,$A2&lt;=120),_xlfn.NORM.DIST($A2,100,15,FALSE),NA())</f>
        <v>#N/A</v>
      </c>
      <c r="H2" t="e">
        <f>IF(AND($A2&gt;=120,$A2&lt;=130),_xlfn.NORM.DIST($A2,100,15,FALSE),NA())</f>
        <v>#N/A</v>
      </c>
      <c r="I2" t="e">
        <f>IF(AND($A2&gt;=130,$A2&lt;=140),_xlfn.NORM.DIST($A2,100,15,FALSE),NA())</f>
        <v>#N/A</v>
      </c>
      <c r="J2" t="e">
        <f>IF($A2&gt;=140,_xlfn.NORM.DIST($A2,100,15,FALSE),NA())</f>
        <v>#N/A</v>
      </c>
      <c r="K2">
        <f>_xlfn.NORM.DIST($A2,100,15,FALSE)+0.0002</f>
        <v>2.0892201505099236E-4</v>
      </c>
      <c r="L2" t="e">
        <f>IF(AND(ABS((ChartCalculations!A2-Calculations!$F$3)/Calculations!$F$4)&lt;5,OR(A2&lt;=Calculations!$F$7,A2&gt;=Calculations!$F$8)),0.0015+0.2*_xlfn.NORM.DIST(100,100,15,FALSE)*_xlfn.NORM.DIST(A2,Calculations!$F$3,Calculations!$F$4,FALSE)/_xlfn.NORM.DIST(Calculations!$F$3,Calculations!$F$3,Calculations!$F$4,FALSE),NA())</f>
        <v>#N/A</v>
      </c>
      <c r="M2" t="e">
        <f>IF(AND(A2&gt;=Calculations!$F$7,A2&lt;=Calculations!$F$8),0.0015+0.2*_xlfn.NORM.DIST(100,100,15,FALSE)*_xlfn.NORM.DIST(A2,Calculations!$F$3,Calculations!$F$4,FALSE)/_xlfn.NORM.DIST(Calculations!$F$3,Calculations!$F$3,Calculations!$F$4,FALSE),NA())</f>
        <v>#N/A</v>
      </c>
    </row>
    <row r="3" spans="1:15" x14ac:dyDescent="0.25">
      <c r="A3">
        <v>40.1</v>
      </c>
      <c r="B3">
        <f t="shared" ref="B3:B66" si="0">IF($A3&lt;=60,_xlfn.NORM.DIST($A3,100,15,FALSE),NA())</f>
        <v>9.1629324883529079E-6</v>
      </c>
      <c r="C3" t="e">
        <f t="shared" ref="C3:C66" si="1">IF(AND($A3&gt;=60,$A3&lt;=70),_xlfn.NORM.DIST($A3,100,15,FALSE),NA())</f>
        <v>#N/A</v>
      </c>
      <c r="D3" t="e">
        <f t="shared" ref="D3:D66" si="2">IF(AND($A3&gt;=70,$A3&lt;=80),_xlfn.NORM.DIST($A3,100,15,FALSE),NA())</f>
        <v>#N/A</v>
      </c>
      <c r="E3" t="e">
        <f t="shared" ref="E3:E66" si="3">IF(AND($A3&gt;=80,$A3&lt;=90),_xlfn.NORM.DIST($A3,100,15,FALSE),NA())</f>
        <v>#N/A</v>
      </c>
      <c r="F3" t="e">
        <f t="shared" ref="F3:F66" si="4">IF(AND($A3&gt;=90,$A3&lt;=110),_xlfn.NORM.DIST($A3,100,15,FALSE),NA())</f>
        <v>#N/A</v>
      </c>
      <c r="G3" t="e">
        <f t="shared" ref="G3:G66" si="5">IF(AND($A3&gt;=110,$A3&lt;=120),_xlfn.NORM.DIST($A3,100,15,FALSE),NA())</f>
        <v>#N/A</v>
      </c>
      <c r="H3" t="e">
        <f t="shared" ref="H3:H66" si="6">IF(AND($A3&gt;=120,$A3&lt;=130),_xlfn.NORM.DIST($A3,100,15,FALSE),NA())</f>
        <v>#N/A</v>
      </c>
      <c r="I3" t="e">
        <f t="shared" ref="I3:I66" si="7">IF(AND($A3&gt;=130,$A3&lt;=140),_xlfn.NORM.DIST($A3,100,15,FALSE),NA())</f>
        <v>#N/A</v>
      </c>
      <c r="J3" t="e">
        <f t="shared" ref="J3:J66" si="8">IF($A3&gt;=140,_xlfn.NORM.DIST($A3,100,15,FALSE),NA())</f>
        <v>#N/A</v>
      </c>
      <c r="K3">
        <f t="shared" ref="K3:K66" si="9">_xlfn.NORM.DIST($A3,100,15,FALSE)+0.0002</f>
        <v>2.0916293248835291E-4</v>
      </c>
      <c r="L3" t="e">
        <f>IF(AND(ABS((ChartCalculations!A3-Calculations!$F$3)/Calculations!$F$4)&lt;5,OR(A3&lt;=Calculations!$F$7,A3&gt;=Calculations!$F$8)),0.0015+0.2*_xlfn.NORM.DIST(100,100,15,FALSE)*_xlfn.NORM.DIST(A3,Calculations!$F$3,Calculations!$F$4,FALSE)/_xlfn.NORM.DIST(Calculations!$F$3,Calculations!$F$3,Calculations!$F$4,FALSE),NA())</f>
        <v>#N/A</v>
      </c>
      <c r="M3" t="e">
        <f>IF(AND(A3&gt;=Calculations!$F$7,A3&lt;=Calculations!$F$8),0.0015+0.2*_xlfn.NORM.DIST(100,100,15,FALSE)*_xlfn.NORM.DIST(A3,Calculations!$F$3,Calculations!$F$4,FALSE)/_xlfn.NORM.DIST(Calculations!$F$3,Calculations!$F$3,Calculations!$F$4,FALSE),NA())</f>
        <v>#N/A</v>
      </c>
    </row>
    <row r="4" spans="1:15" x14ac:dyDescent="0.25">
      <c r="A4">
        <v>40.200000000000003</v>
      </c>
      <c r="B4">
        <f t="shared" si="0"/>
        <v>9.4099370896980996E-6</v>
      </c>
      <c r="C4" t="e">
        <f t="shared" si="1"/>
        <v>#N/A</v>
      </c>
      <c r="D4" t="e">
        <f t="shared" si="2"/>
        <v>#N/A</v>
      </c>
      <c r="E4" t="e">
        <f t="shared" si="3"/>
        <v>#N/A</v>
      </c>
      <c r="F4" t="e">
        <f t="shared" si="4"/>
        <v>#N/A</v>
      </c>
      <c r="G4" t="e">
        <f t="shared" si="5"/>
        <v>#N/A</v>
      </c>
      <c r="H4" t="e">
        <f t="shared" si="6"/>
        <v>#N/A</v>
      </c>
      <c r="I4" t="e">
        <f t="shared" si="7"/>
        <v>#N/A</v>
      </c>
      <c r="J4" t="e">
        <f t="shared" si="8"/>
        <v>#N/A</v>
      </c>
      <c r="K4">
        <f t="shared" si="9"/>
        <v>2.094099370896981E-4</v>
      </c>
      <c r="L4" t="e">
        <f>IF(AND(ABS((ChartCalculations!A4-Calculations!$F$3)/Calculations!$F$4)&lt;5,OR(A4&lt;=Calculations!$F$7,A4&gt;=Calculations!$F$8)),0.0015+0.2*_xlfn.NORM.DIST(100,100,15,FALSE)*_xlfn.NORM.DIST(A4,Calculations!$F$3,Calculations!$F$4,FALSE)/_xlfn.NORM.DIST(Calculations!$F$3,Calculations!$F$3,Calculations!$F$4,FALSE),NA())</f>
        <v>#N/A</v>
      </c>
      <c r="M4" t="e">
        <f>IF(AND(A4&gt;=Calculations!$F$7,A4&lt;=Calculations!$F$8),0.0015+0.2*_xlfn.NORM.DIST(100,100,15,FALSE)*_xlfn.NORM.DIST(A4,Calculations!$F$3,Calculations!$F$4,FALSE)/_xlfn.NORM.DIST(Calculations!$F$3,Calculations!$F$3,Calculations!$F$4,FALSE),NA())</f>
        <v>#N/A</v>
      </c>
    </row>
    <row r="5" spans="1:15" x14ac:dyDescent="0.25">
      <c r="A5">
        <v>40.299999999999997</v>
      </c>
      <c r="B5">
        <f t="shared" si="0"/>
        <v>9.6631706949260695E-6</v>
      </c>
      <c r="C5" t="e">
        <f t="shared" si="1"/>
        <v>#N/A</v>
      </c>
      <c r="D5" t="e">
        <f t="shared" si="2"/>
        <v>#N/A</v>
      </c>
      <c r="E5" t="e">
        <f t="shared" si="3"/>
        <v>#N/A</v>
      </c>
      <c r="F5" t="e">
        <f t="shared" si="4"/>
        <v>#N/A</v>
      </c>
      <c r="G5" t="e">
        <f t="shared" si="5"/>
        <v>#N/A</v>
      </c>
      <c r="H5" t="e">
        <f t="shared" si="6"/>
        <v>#N/A</v>
      </c>
      <c r="I5" t="e">
        <f t="shared" si="7"/>
        <v>#N/A</v>
      </c>
      <c r="J5" t="e">
        <f t="shared" si="8"/>
        <v>#N/A</v>
      </c>
      <c r="K5">
        <f t="shared" si="9"/>
        <v>2.0966317069492609E-4</v>
      </c>
      <c r="L5" t="e">
        <f>IF(AND(ABS((ChartCalculations!A5-Calculations!$F$3)/Calculations!$F$4)&lt;5,OR(A5&lt;=Calculations!$F$7,A5&gt;=Calculations!$F$8)),0.0015+0.2*_xlfn.NORM.DIST(100,100,15,FALSE)*_xlfn.NORM.DIST(A5,Calculations!$F$3,Calculations!$F$4,FALSE)/_xlfn.NORM.DIST(Calculations!$F$3,Calculations!$F$3,Calculations!$F$4,FALSE),NA())</f>
        <v>#N/A</v>
      </c>
      <c r="M5" t="e">
        <f>IF(AND(A5&gt;=Calculations!$F$7,A5&lt;=Calculations!$F$8),0.0015+0.2*_xlfn.NORM.DIST(100,100,15,FALSE)*_xlfn.NORM.DIST(A5,Calculations!$F$3,Calculations!$F$4,FALSE)/_xlfn.NORM.DIST(Calculations!$F$3,Calculations!$F$3,Calculations!$F$4,FALSE),NA())</f>
        <v>#N/A</v>
      </c>
    </row>
    <row r="6" spans="1:15" x14ac:dyDescent="0.25">
      <c r="A6">
        <v>40.4</v>
      </c>
      <c r="B6">
        <f t="shared" si="0"/>
        <v>9.9227781225771862E-6</v>
      </c>
      <c r="C6" t="e">
        <f t="shared" si="1"/>
        <v>#N/A</v>
      </c>
      <c r="D6" t="e">
        <f t="shared" si="2"/>
        <v>#N/A</v>
      </c>
      <c r="E6" t="e">
        <f t="shared" si="3"/>
        <v>#N/A</v>
      </c>
      <c r="F6" t="e">
        <f t="shared" si="4"/>
        <v>#N/A</v>
      </c>
      <c r="G6" t="e">
        <f t="shared" si="5"/>
        <v>#N/A</v>
      </c>
      <c r="H6" t="e">
        <f t="shared" si="6"/>
        <v>#N/A</v>
      </c>
      <c r="I6" t="e">
        <f t="shared" si="7"/>
        <v>#N/A</v>
      </c>
      <c r="J6" t="e">
        <f t="shared" si="8"/>
        <v>#N/A</v>
      </c>
      <c r="K6">
        <f t="shared" si="9"/>
        <v>2.099227781225772E-4</v>
      </c>
      <c r="L6" t="e">
        <f>IF(AND(ABS((ChartCalculations!A6-Calculations!$F$3)/Calculations!$F$4)&lt;5,OR(A6&lt;=Calculations!$F$7,A6&gt;=Calculations!$F$8)),0.0015+0.2*_xlfn.NORM.DIST(100,100,15,FALSE)*_xlfn.NORM.DIST(A6,Calculations!$F$3,Calculations!$F$4,FALSE)/_xlfn.NORM.DIST(Calculations!$F$3,Calculations!$F$3,Calculations!$F$4,FALSE),NA())</f>
        <v>#N/A</v>
      </c>
      <c r="M6" t="e">
        <f>IF(AND(A6&gt;=Calculations!$F$7,A6&lt;=Calculations!$F$8),0.0015+0.2*_xlfn.NORM.DIST(100,100,15,FALSE)*_xlfn.NORM.DIST(A6,Calculations!$F$3,Calculations!$F$4,FALSE)/_xlfn.NORM.DIST(Calculations!$F$3,Calculations!$F$3,Calculations!$F$4,FALSE),NA())</f>
        <v>#N/A</v>
      </c>
    </row>
    <row r="7" spans="1:15" x14ac:dyDescent="0.25">
      <c r="A7">
        <v>40.5</v>
      </c>
      <c r="B7">
        <f t="shared" si="0"/>
        <v>1.0188907223902323E-5</v>
      </c>
      <c r="C7" t="e">
        <f t="shared" si="1"/>
        <v>#N/A</v>
      </c>
      <c r="D7" t="e">
        <f t="shared" si="2"/>
        <v>#N/A</v>
      </c>
      <c r="E7" t="e">
        <f t="shared" si="3"/>
        <v>#N/A</v>
      </c>
      <c r="F7" t="e">
        <f t="shared" si="4"/>
        <v>#N/A</v>
      </c>
      <c r="G7" t="e">
        <f t="shared" si="5"/>
        <v>#N/A</v>
      </c>
      <c r="H7" t="e">
        <f t="shared" si="6"/>
        <v>#N/A</v>
      </c>
      <c r="I7" t="e">
        <f t="shared" si="7"/>
        <v>#N/A</v>
      </c>
      <c r="J7" t="e">
        <f t="shared" si="8"/>
        <v>#N/A</v>
      </c>
      <c r="K7">
        <f t="shared" si="9"/>
        <v>2.1018890722390233E-4</v>
      </c>
      <c r="L7" t="e">
        <f>IF(AND(ABS((ChartCalculations!A7-Calculations!$F$3)/Calculations!$F$4)&lt;5,OR(A7&lt;=Calculations!$F$7,A7&gt;=Calculations!$F$8)),0.0015+0.2*_xlfn.NORM.DIST(100,100,15,FALSE)*_xlfn.NORM.DIST(A7,Calculations!$F$3,Calculations!$F$4,FALSE)/_xlfn.NORM.DIST(Calculations!$F$3,Calculations!$F$3,Calculations!$F$4,FALSE),NA())</f>
        <v>#N/A</v>
      </c>
      <c r="M7" t="e">
        <f>IF(AND(A7&gt;=Calculations!$F$7,A7&lt;=Calculations!$F$8),0.0015+0.2*_xlfn.NORM.DIST(100,100,15,FALSE)*_xlfn.NORM.DIST(A7,Calculations!$F$3,Calculations!$F$4,FALSE)/_xlfn.NORM.DIST(Calculations!$F$3,Calculations!$F$3,Calculations!$F$4,FALSE),NA())</f>
        <v>#N/A</v>
      </c>
    </row>
    <row r="8" spans="1:15" x14ac:dyDescent="0.25">
      <c r="A8">
        <v>40.6</v>
      </c>
      <c r="B8">
        <f t="shared" si="0"/>
        <v>1.0461708937702151E-5</v>
      </c>
      <c r="C8" t="e">
        <f t="shared" si="1"/>
        <v>#N/A</v>
      </c>
      <c r="D8" t="e">
        <f t="shared" si="2"/>
        <v>#N/A</v>
      </c>
      <c r="E8" t="e">
        <f t="shared" si="3"/>
        <v>#N/A</v>
      </c>
      <c r="F8" t="e">
        <f t="shared" si="4"/>
        <v>#N/A</v>
      </c>
      <c r="G8" t="e">
        <f t="shared" si="5"/>
        <v>#N/A</v>
      </c>
      <c r="H8" t="e">
        <f t="shared" si="6"/>
        <v>#N/A</v>
      </c>
      <c r="I8" t="e">
        <f t="shared" si="7"/>
        <v>#N/A</v>
      </c>
      <c r="J8" t="e">
        <f t="shared" si="8"/>
        <v>#N/A</v>
      </c>
      <c r="K8">
        <f t="shared" si="9"/>
        <v>2.1046170893770217E-4</v>
      </c>
      <c r="L8" t="e">
        <f>IF(AND(ABS((ChartCalculations!A8-Calculations!$F$3)/Calculations!$F$4)&lt;5,OR(A8&lt;=Calculations!$F$7,A8&gt;=Calculations!$F$8)),0.0015+0.2*_xlfn.NORM.DIST(100,100,15,FALSE)*_xlfn.NORM.DIST(A8,Calculations!$F$3,Calculations!$F$4,FALSE)/_xlfn.NORM.DIST(Calculations!$F$3,Calculations!$F$3,Calculations!$F$4,FALSE),NA())</f>
        <v>#N/A</v>
      </c>
      <c r="M8" t="e">
        <f>IF(AND(A8&gt;=Calculations!$F$7,A8&lt;=Calculations!$F$8),0.0015+0.2*_xlfn.NORM.DIST(100,100,15,FALSE)*_xlfn.NORM.DIST(A8,Calculations!$F$3,Calculations!$F$4,FALSE)/_xlfn.NORM.DIST(Calculations!$F$3,Calculations!$F$3,Calculations!$F$4,FALSE),NA())</f>
        <v>#N/A</v>
      </c>
    </row>
    <row r="9" spans="1:15" x14ac:dyDescent="0.25">
      <c r="A9">
        <v>40.700000000000003</v>
      </c>
      <c r="B9">
        <f t="shared" si="0"/>
        <v>1.0741337345943126E-5</v>
      </c>
      <c r="C9" t="e">
        <f t="shared" si="1"/>
        <v>#N/A</v>
      </c>
      <c r="D9" t="e">
        <f t="shared" si="2"/>
        <v>#N/A</v>
      </c>
      <c r="E9" t="e">
        <f t="shared" si="3"/>
        <v>#N/A</v>
      </c>
      <c r="F9" t="e">
        <f t="shared" si="4"/>
        <v>#N/A</v>
      </c>
      <c r="G9" t="e">
        <f t="shared" si="5"/>
        <v>#N/A</v>
      </c>
      <c r="H9" t="e">
        <f t="shared" si="6"/>
        <v>#N/A</v>
      </c>
      <c r="I9" t="e">
        <f t="shared" si="7"/>
        <v>#N/A</v>
      </c>
      <c r="J9" t="e">
        <f t="shared" si="8"/>
        <v>#N/A</v>
      </c>
      <c r="K9">
        <f t="shared" si="9"/>
        <v>2.1074133734594314E-4</v>
      </c>
      <c r="L9" t="e">
        <f>IF(AND(ABS((ChartCalculations!A9-Calculations!$F$3)/Calculations!$F$4)&lt;5,OR(A9&lt;=Calculations!$F$7,A9&gt;=Calculations!$F$8)),0.0015+0.2*_xlfn.NORM.DIST(100,100,15,FALSE)*_xlfn.NORM.DIST(A9,Calculations!$F$3,Calculations!$F$4,FALSE)/_xlfn.NORM.DIST(Calculations!$F$3,Calculations!$F$3,Calculations!$F$4,FALSE),NA())</f>
        <v>#N/A</v>
      </c>
      <c r="M9" t="e">
        <f>IF(AND(A9&gt;=Calculations!$F$7,A9&lt;=Calculations!$F$8),0.0015+0.2*_xlfn.NORM.DIST(100,100,15,FALSE)*_xlfn.NORM.DIST(A9,Calculations!$F$3,Calculations!$F$4,FALSE)/_xlfn.NORM.DIST(Calculations!$F$3,Calculations!$F$3,Calculations!$F$4,FALSE),NA())</f>
        <v>#N/A</v>
      </c>
    </row>
    <row r="10" spans="1:15" x14ac:dyDescent="0.25">
      <c r="A10">
        <v>40.799999999999997</v>
      </c>
      <c r="B10">
        <f t="shared" si="0"/>
        <v>1.1027949730156035E-5</v>
      </c>
      <c r="C10" t="e">
        <f t="shared" si="1"/>
        <v>#N/A</v>
      </c>
      <c r="D10" t="e">
        <f t="shared" si="2"/>
        <v>#N/A</v>
      </c>
      <c r="E10" t="e">
        <f t="shared" si="3"/>
        <v>#N/A</v>
      </c>
      <c r="F10" t="e">
        <f t="shared" si="4"/>
        <v>#N/A</v>
      </c>
      <c r="G10" t="e">
        <f t="shared" si="5"/>
        <v>#N/A</v>
      </c>
      <c r="H10" t="e">
        <f t="shared" si="6"/>
        <v>#N/A</v>
      </c>
      <c r="I10" t="e">
        <f t="shared" si="7"/>
        <v>#N/A</v>
      </c>
      <c r="J10" t="e">
        <f t="shared" si="8"/>
        <v>#N/A</v>
      </c>
      <c r="K10">
        <f t="shared" si="9"/>
        <v>2.1102794973015603E-4</v>
      </c>
      <c r="L10" t="e">
        <f>IF(AND(ABS((ChartCalculations!A10-Calculations!$F$3)/Calculations!$F$4)&lt;5,OR(A10&lt;=Calculations!$F$7,A10&gt;=Calculations!$F$8)),0.0015+0.2*_xlfn.NORM.DIST(100,100,15,FALSE)*_xlfn.NORM.DIST(A10,Calculations!$F$3,Calculations!$F$4,FALSE)/_xlfn.NORM.DIST(Calculations!$F$3,Calculations!$F$3,Calculations!$F$4,FALSE),NA())</f>
        <v>#N/A</v>
      </c>
      <c r="M10" t="e">
        <f>IF(AND(A10&gt;=Calculations!$F$7,A10&lt;=Calculations!$F$8),0.0015+0.2*_xlfn.NORM.DIST(100,100,15,FALSE)*_xlfn.NORM.DIST(A10,Calculations!$F$3,Calculations!$F$4,FALSE)/_xlfn.NORM.DIST(Calculations!$F$3,Calculations!$F$3,Calculations!$F$4,FALSE),NA())</f>
        <v>#N/A</v>
      </c>
    </row>
    <row r="11" spans="1:15" x14ac:dyDescent="0.25">
      <c r="A11">
        <v>40.9</v>
      </c>
      <c r="B11">
        <f t="shared" si="0"/>
        <v>1.1321706628622907E-5</v>
      </c>
      <c r="C11" t="e">
        <f t="shared" si="1"/>
        <v>#N/A</v>
      </c>
      <c r="D11" t="e">
        <f t="shared" si="2"/>
        <v>#N/A</v>
      </c>
      <c r="E11" t="e">
        <f t="shared" si="3"/>
        <v>#N/A</v>
      </c>
      <c r="F11" t="e">
        <f t="shared" si="4"/>
        <v>#N/A</v>
      </c>
      <c r="G11" t="e">
        <f t="shared" si="5"/>
        <v>#N/A</v>
      </c>
      <c r="H11" t="e">
        <f t="shared" si="6"/>
        <v>#N/A</v>
      </c>
      <c r="I11" t="e">
        <f t="shared" si="7"/>
        <v>#N/A</v>
      </c>
      <c r="J11" t="e">
        <f t="shared" si="8"/>
        <v>#N/A</v>
      </c>
      <c r="K11">
        <f t="shared" si="9"/>
        <v>2.113217066286229E-4</v>
      </c>
      <c r="L11" t="e">
        <f>IF(AND(ABS((ChartCalculations!A11-Calculations!$F$3)/Calculations!$F$4)&lt;5,OR(A11&lt;=Calculations!$F$7,A11&gt;=Calculations!$F$8)),0.0015+0.2*_xlfn.NORM.DIST(100,100,15,FALSE)*_xlfn.NORM.DIST(A11,Calculations!$F$3,Calculations!$F$4,FALSE)/_xlfn.NORM.DIST(Calculations!$F$3,Calculations!$F$3,Calculations!$F$4,FALSE),NA())</f>
        <v>#N/A</v>
      </c>
      <c r="M11" t="e">
        <f>IF(AND(A11&gt;=Calculations!$F$7,A11&lt;=Calculations!$F$8),0.0015+0.2*_xlfn.NORM.DIST(100,100,15,FALSE)*_xlfn.NORM.DIST(A11,Calculations!$F$3,Calculations!$F$4,FALSE)/_xlfn.NORM.DIST(Calculations!$F$3,Calculations!$F$3,Calculations!$F$4,FALSE),NA())</f>
        <v>#N/A</v>
      </c>
    </row>
    <row r="12" spans="1:15" x14ac:dyDescent="0.25">
      <c r="A12">
        <v>41</v>
      </c>
      <c r="B12">
        <f t="shared" si="0"/>
        <v>1.1622771894357563E-5</v>
      </c>
      <c r="C12" t="e">
        <f t="shared" si="1"/>
        <v>#N/A</v>
      </c>
      <c r="D12" t="e">
        <f t="shared" si="2"/>
        <v>#N/A</v>
      </c>
      <c r="E12" t="e">
        <f t="shared" si="3"/>
        <v>#N/A</v>
      </c>
      <c r="F12" t="e">
        <f t="shared" si="4"/>
        <v>#N/A</v>
      </c>
      <c r="G12" t="e">
        <f t="shared" si="5"/>
        <v>#N/A</v>
      </c>
      <c r="H12" t="e">
        <f t="shared" si="6"/>
        <v>#N/A</v>
      </c>
      <c r="I12" t="e">
        <f t="shared" si="7"/>
        <v>#N/A</v>
      </c>
      <c r="J12" t="e">
        <f t="shared" si="8"/>
        <v>#N/A</v>
      </c>
      <c r="K12">
        <f t="shared" si="9"/>
        <v>2.1162277189435758E-4</v>
      </c>
      <c r="L12" t="e">
        <f>IF(AND(ABS((ChartCalculations!A12-Calculations!$F$3)/Calculations!$F$4)&lt;5,OR(A12&lt;=Calculations!$F$7,A12&gt;=Calculations!$F$8)),0.0015+0.2*_xlfn.NORM.DIST(100,100,15,FALSE)*_xlfn.NORM.DIST(A12,Calculations!$F$3,Calculations!$F$4,FALSE)/_xlfn.NORM.DIST(Calculations!$F$3,Calculations!$F$3,Calculations!$F$4,FALSE),NA())</f>
        <v>#N/A</v>
      </c>
      <c r="M12" t="e">
        <f>IF(AND(A12&gt;=Calculations!$F$7,A12&lt;=Calculations!$F$8),0.0015+0.2*_xlfn.NORM.DIST(100,100,15,FALSE)*_xlfn.NORM.DIST(A12,Calculations!$F$3,Calculations!$F$4,FALSE)/_xlfn.NORM.DIST(Calculations!$F$3,Calculations!$F$3,Calculations!$F$4,FALSE),NA())</f>
        <v>#N/A</v>
      </c>
    </row>
    <row r="13" spans="1:15" x14ac:dyDescent="0.25">
      <c r="A13">
        <v>41.1</v>
      </c>
      <c r="B13">
        <f t="shared" si="0"/>
        <v>1.1931312753885828E-5</v>
      </c>
      <c r="C13" t="e">
        <f t="shared" si="1"/>
        <v>#N/A</v>
      </c>
      <c r="D13" t="e">
        <f t="shared" si="2"/>
        <v>#N/A</v>
      </c>
      <c r="E13" t="e">
        <f t="shared" si="3"/>
        <v>#N/A</v>
      </c>
      <c r="F13" t="e">
        <f t="shared" si="4"/>
        <v>#N/A</v>
      </c>
      <c r="G13" t="e">
        <f t="shared" si="5"/>
        <v>#N/A</v>
      </c>
      <c r="H13" t="e">
        <f t="shared" si="6"/>
        <v>#N/A</v>
      </c>
      <c r="I13" t="e">
        <f t="shared" si="7"/>
        <v>#N/A</v>
      </c>
      <c r="J13" t="e">
        <f t="shared" si="8"/>
        <v>#N/A</v>
      </c>
      <c r="K13">
        <f t="shared" si="9"/>
        <v>2.1193131275388583E-4</v>
      </c>
      <c r="L13" t="e">
        <f>IF(AND(ABS((ChartCalculations!A13-Calculations!$F$3)/Calculations!$F$4)&lt;5,OR(A13&lt;=Calculations!$F$7,A13&gt;=Calculations!$F$8)),0.0015+0.2*_xlfn.NORM.DIST(100,100,15,FALSE)*_xlfn.NORM.DIST(A13,Calculations!$F$3,Calculations!$F$4,FALSE)/_xlfn.NORM.DIST(Calculations!$F$3,Calculations!$F$3,Calculations!$F$4,FALSE),NA())</f>
        <v>#N/A</v>
      </c>
      <c r="M13" t="e">
        <f>IF(AND(A13&gt;=Calculations!$F$7,A13&lt;=Calculations!$F$8),0.0015+0.2*_xlfn.NORM.DIST(100,100,15,FALSE)*_xlfn.NORM.DIST(A13,Calculations!$F$3,Calculations!$F$4,FALSE)/_xlfn.NORM.DIST(Calculations!$F$3,Calculations!$F$3,Calculations!$F$4,FALSE),NA())</f>
        <v>#N/A</v>
      </c>
    </row>
    <row r="14" spans="1:15" x14ac:dyDescent="0.25">
      <c r="A14">
        <v>41.2</v>
      </c>
      <c r="B14">
        <f t="shared" si="0"/>
        <v>1.2247499866830472E-5</v>
      </c>
      <c r="C14" t="e">
        <f t="shared" si="1"/>
        <v>#N/A</v>
      </c>
      <c r="D14" t="e">
        <f t="shared" si="2"/>
        <v>#N/A</v>
      </c>
      <c r="E14" t="e">
        <f t="shared" si="3"/>
        <v>#N/A</v>
      </c>
      <c r="F14" t="e">
        <f t="shared" si="4"/>
        <v>#N/A</v>
      </c>
      <c r="G14" t="e">
        <f t="shared" si="5"/>
        <v>#N/A</v>
      </c>
      <c r="H14" t="e">
        <f t="shared" si="6"/>
        <v>#N/A</v>
      </c>
      <c r="I14" t="e">
        <f t="shared" si="7"/>
        <v>#N/A</v>
      </c>
      <c r="J14" t="e">
        <f t="shared" si="8"/>
        <v>#N/A</v>
      </c>
      <c r="K14">
        <f t="shared" si="9"/>
        <v>2.1224749986683048E-4</v>
      </c>
      <c r="L14" t="e">
        <f>IF(AND(ABS((ChartCalculations!A14-Calculations!$F$3)/Calculations!$F$4)&lt;5,OR(A14&lt;=Calculations!$F$7,A14&gt;=Calculations!$F$8)),0.2*_xlfn.NORM.DIST(100,100,15,FALSE)*_xlfn.NORM.DIST(A14,Calculations!$F$3,Calculations!$F$4,FALSE)/_xlfn.NORM.DIST(Calculations!$F$3,Calculations!$F$3,Calculations!$F$4,FALSE),NA())</f>
        <v>#N/A</v>
      </c>
      <c r="M14" t="e">
        <f>IF(AND(A14&gt;=Calculations!$F$7,A14&lt;=Calculations!$F$8),0.2*_xlfn.NORM.DIST(100,100,15,FALSE)*_xlfn.NORM.DIST(A14,Calculations!$F$3,Calculations!$F$4,FALSE)/_xlfn.NORM.DIST(Calculations!$F$3,Calculations!$F$3,Calculations!$F$4,FALSE),NA())</f>
        <v>#N/A</v>
      </c>
    </row>
    <row r="15" spans="1:15" x14ac:dyDescent="0.25">
      <c r="A15">
        <v>41.3</v>
      </c>
      <c r="B15">
        <f t="shared" si="0"/>
        <v>1.2571507386306139E-5</v>
      </c>
      <c r="C15" t="e">
        <f t="shared" si="1"/>
        <v>#N/A</v>
      </c>
      <c r="D15" t="e">
        <f t="shared" si="2"/>
        <v>#N/A</v>
      </c>
      <c r="E15" t="e">
        <f t="shared" si="3"/>
        <v>#N/A</v>
      </c>
      <c r="F15" t="e">
        <f t="shared" si="4"/>
        <v>#N/A</v>
      </c>
      <c r="G15" t="e">
        <f t="shared" si="5"/>
        <v>#N/A</v>
      </c>
      <c r="H15" t="e">
        <f t="shared" si="6"/>
        <v>#N/A</v>
      </c>
      <c r="I15" t="e">
        <f t="shared" si="7"/>
        <v>#N/A</v>
      </c>
      <c r="J15" t="e">
        <f t="shared" si="8"/>
        <v>#N/A</v>
      </c>
      <c r="K15">
        <f t="shared" si="9"/>
        <v>2.1257150738630614E-4</v>
      </c>
      <c r="L15" t="e">
        <f>IF(AND(ABS((ChartCalculations!A15-Calculations!$F$3)/Calculations!$F$4)&lt;5,OR(A15&lt;=Calculations!$F$7,A15&gt;=Calculations!$F$8)),0.2*_xlfn.NORM.DIST(100,100,15,FALSE)*_xlfn.NORM.DIST(A15,Calculations!$F$3,Calculations!$F$4,FALSE)/_xlfn.NORM.DIST(Calculations!$F$3,Calculations!$F$3,Calculations!$F$4,FALSE),NA())</f>
        <v>#N/A</v>
      </c>
      <c r="M15" t="e">
        <f>IF(AND(A15&gt;=Calculations!$F$7,A15&lt;=Calculations!$F$8),0.2*_xlfn.NORM.DIST(100,100,15,FALSE)*_xlfn.NORM.DIST(A15,Calculations!$F$3,Calculations!$F$4,FALSE)/_xlfn.NORM.DIST(Calculations!$F$3,Calculations!$F$3,Calculations!$F$4,FALSE),NA())</f>
        <v>#N/A</v>
      </c>
    </row>
    <row r="16" spans="1:15" x14ac:dyDescent="0.25">
      <c r="A16">
        <v>41.4</v>
      </c>
      <c r="B16">
        <f t="shared" si="0"/>
        <v>1.2903513020129834E-5</v>
      </c>
      <c r="C16" t="e">
        <f t="shared" si="1"/>
        <v>#N/A</v>
      </c>
      <c r="D16" t="e">
        <f t="shared" si="2"/>
        <v>#N/A</v>
      </c>
      <c r="E16" t="e">
        <f t="shared" si="3"/>
        <v>#N/A</v>
      </c>
      <c r="F16" t="e">
        <f t="shared" si="4"/>
        <v>#N/A</v>
      </c>
      <c r="G16" t="e">
        <f t="shared" si="5"/>
        <v>#N/A</v>
      </c>
      <c r="H16" t="e">
        <f t="shared" si="6"/>
        <v>#N/A</v>
      </c>
      <c r="I16" t="e">
        <f t="shared" si="7"/>
        <v>#N/A</v>
      </c>
      <c r="J16" t="e">
        <f t="shared" si="8"/>
        <v>#N/A</v>
      </c>
      <c r="K16">
        <f t="shared" si="9"/>
        <v>2.1290351302012984E-4</v>
      </c>
      <c r="L16" t="e">
        <f>IF(AND(ABS((ChartCalculations!A16-Calculations!$F$3)/Calculations!$F$4)&lt;5,OR(A16&lt;=Calculations!$F$7,A16&gt;=Calculations!$F$8)),0.2*_xlfn.NORM.DIST(100,100,15,FALSE)*_xlfn.NORM.DIST(A16,Calculations!$F$3,Calculations!$F$4,FALSE)/_xlfn.NORM.DIST(Calculations!$F$3,Calculations!$F$3,Calculations!$F$4,FALSE),NA())</f>
        <v>#N/A</v>
      </c>
      <c r="M16" t="e">
        <f>IF(AND(A16&gt;=Calculations!$F$7,A16&lt;=Calculations!$F$8),0.2*_xlfn.NORM.DIST(100,100,15,FALSE)*_xlfn.NORM.DIST(A16,Calculations!$F$3,Calculations!$F$4,FALSE)/_xlfn.NORM.DIST(Calculations!$F$3,Calculations!$F$3,Calculations!$F$4,FALSE),NA())</f>
        <v>#N/A</v>
      </c>
    </row>
    <row r="17" spans="1:13" x14ac:dyDescent="0.25">
      <c r="A17">
        <v>41.5</v>
      </c>
      <c r="B17">
        <f t="shared" si="0"/>
        <v>1.3243698092851514E-5</v>
      </c>
      <c r="C17" t="e">
        <f t="shared" si="1"/>
        <v>#N/A</v>
      </c>
      <c r="D17" t="e">
        <f t="shared" si="2"/>
        <v>#N/A</v>
      </c>
      <c r="E17" t="e">
        <f t="shared" si="3"/>
        <v>#N/A</v>
      </c>
      <c r="F17" t="e">
        <f t="shared" si="4"/>
        <v>#N/A</v>
      </c>
      <c r="G17" t="e">
        <f t="shared" si="5"/>
        <v>#N/A</v>
      </c>
      <c r="H17" t="e">
        <f t="shared" si="6"/>
        <v>#N/A</v>
      </c>
      <c r="I17" t="e">
        <f t="shared" si="7"/>
        <v>#N/A</v>
      </c>
      <c r="J17" t="e">
        <f t="shared" si="8"/>
        <v>#N/A</v>
      </c>
      <c r="K17">
        <f t="shared" si="9"/>
        <v>2.1324369809285152E-4</v>
      </c>
      <c r="L17" t="e">
        <f>IF(AND(ABS((ChartCalculations!A17-Calculations!$F$3)/Calculations!$F$4)&lt;5,OR(A17&lt;=Calculations!$F$7,A17&gt;=Calculations!$F$8)),0.2*_xlfn.NORM.DIST(100,100,15,FALSE)*_xlfn.NORM.DIST(A17,Calculations!$F$3,Calculations!$F$4,FALSE)/_xlfn.NORM.DIST(Calculations!$F$3,Calculations!$F$3,Calculations!$F$4,FALSE),NA())</f>
        <v>#N/A</v>
      </c>
      <c r="M17" t="e">
        <f>IF(AND(A17&gt;=Calculations!$F$7,A17&lt;=Calculations!$F$8),0.2*_xlfn.NORM.DIST(100,100,15,FALSE)*_xlfn.NORM.DIST(A17,Calculations!$F$3,Calculations!$F$4,FALSE)/_xlfn.NORM.DIST(Calculations!$F$3,Calculations!$F$3,Calculations!$F$4,FALSE),NA())</f>
        <v>#N/A</v>
      </c>
    </row>
    <row r="18" spans="1:13" x14ac:dyDescent="0.25">
      <c r="A18">
        <v>41.6</v>
      </c>
      <c r="B18">
        <f t="shared" si="0"/>
        <v>1.3592247608610153E-5</v>
      </c>
      <c r="C18" t="e">
        <f t="shared" si="1"/>
        <v>#N/A</v>
      </c>
      <c r="D18" t="e">
        <f t="shared" si="2"/>
        <v>#N/A</v>
      </c>
      <c r="E18" t="e">
        <f t="shared" si="3"/>
        <v>#N/A</v>
      </c>
      <c r="F18" t="e">
        <f t="shared" si="4"/>
        <v>#N/A</v>
      </c>
      <c r="G18" t="e">
        <f t="shared" si="5"/>
        <v>#N/A</v>
      </c>
      <c r="H18" t="e">
        <f t="shared" si="6"/>
        <v>#N/A</v>
      </c>
      <c r="I18" t="e">
        <f t="shared" si="7"/>
        <v>#N/A</v>
      </c>
      <c r="J18" t="e">
        <f t="shared" si="8"/>
        <v>#N/A</v>
      </c>
      <c r="K18">
        <f t="shared" si="9"/>
        <v>2.1359224760861015E-4</v>
      </c>
      <c r="L18" t="e">
        <f>IF(AND(ABS((ChartCalculations!A18-Calculations!$F$3)/Calculations!$F$4)&lt;5,OR(A18&lt;=Calculations!$F$7,A18&gt;=Calculations!$F$8)),0.2*_xlfn.NORM.DIST(100,100,15,FALSE)*_xlfn.NORM.DIST(A18,Calculations!$F$3,Calculations!$F$4,FALSE)/_xlfn.NORM.DIST(Calculations!$F$3,Calculations!$F$3,Calculations!$F$4,FALSE),NA())</f>
        <v>#N/A</v>
      </c>
      <c r="M18" t="e">
        <f>IF(AND(A18&gt;=Calculations!$F$7,A18&lt;=Calculations!$F$8),0.2*_xlfn.NORM.DIST(100,100,15,FALSE)*_xlfn.NORM.DIST(A18,Calculations!$F$3,Calculations!$F$4,FALSE)/_xlfn.NORM.DIST(Calculations!$F$3,Calculations!$F$3,Calculations!$F$4,FALSE),NA())</f>
        <v>#N/A</v>
      </c>
    </row>
    <row r="19" spans="1:13" x14ac:dyDescent="0.25">
      <c r="A19">
        <v>41.7</v>
      </c>
      <c r="B19">
        <f t="shared" si="0"/>
        <v>1.3949350314819923E-5</v>
      </c>
      <c r="C19" t="e">
        <f t="shared" si="1"/>
        <v>#N/A</v>
      </c>
      <c r="D19" t="e">
        <f t="shared" si="2"/>
        <v>#N/A</v>
      </c>
      <c r="E19" t="e">
        <f t="shared" si="3"/>
        <v>#N/A</v>
      </c>
      <c r="F19" t="e">
        <f t="shared" si="4"/>
        <v>#N/A</v>
      </c>
      <c r="G19" t="e">
        <f t="shared" si="5"/>
        <v>#N/A</v>
      </c>
      <c r="H19" t="e">
        <f t="shared" si="6"/>
        <v>#N/A</v>
      </c>
      <c r="I19" t="e">
        <f t="shared" si="7"/>
        <v>#N/A</v>
      </c>
      <c r="J19" t="e">
        <f t="shared" si="8"/>
        <v>#N/A</v>
      </c>
      <c r="K19">
        <f t="shared" si="9"/>
        <v>2.1394935031481994E-4</v>
      </c>
      <c r="L19" t="e">
        <f>IF(AND(ABS((ChartCalculations!A19-Calculations!$F$3)/Calculations!$F$4)&lt;5,OR(A19&lt;=Calculations!$F$7,A19&gt;=Calculations!$F$8)),0.2*_xlfn.NORM.DIST(100,100,15,FALSE)*_xlfn.NORM.DIST(A19,Calculations!$F$3,Calculations!$F$4,FALSE)/_xlfn.NORM.DIST(Calculations!$F$3,Calculations!$F$3,Calculations!$F$4,FALSE),NA())</f>
        <v>#N/A</v>
      </c>
      <c r="M19" t="e">
        <f>IF(AND(A19&gt;=Calculations!$F$7,A19&lt;=Calculations!$F$8),0.2*_xlfn.NORM.DIST(100,100,15,FALSE)*_xlfn.NORM.DIST(A19,Calculations!$F$3,Calculations!$F$4,FALSE)/_xlfn.NORM.DIST(Calculations!$F$3,Calculations!$F$3,Calculations!$F$4,FALSE),NA())</f>
        <v>#N/A</v>
      </c>
    </row>
    <row r="20" spans="1:13" x14ac:dyDescent="0.25">
      <c r="A20">
        <v>41.8</v>
      </c>
      <c r="B20">
        <f t="shared" si="0"/>
        <v>1.4315198766691111E-5</v>
      </c>
      <c r="C20" t="e">
        <f t="shared" si="1"/>
        <v>#N/A</v>
      </c>
      <c r="D20" t="e">
        <f t="shared" si="2"/>
        <v>#N/A</v>
      </c>
      <c r="E20" t="e">
        <f t="shared" si="3"/>
        <v>#N/A</v>
      </c>
      <c r="F20" t="e">
        <f t="shared" si="4"/>
        <v>#N/A</v>
      </c>
      <c r="G20" t="e">
        <f t="shared" si="5"/>
        <v>#N/A</v>
      </c>
      <c r="H20" t="e">
        <f t="shared" si="6"/>
        <v>#N/A</v>
      </c>
      <c r="I20" t="e">
        <f t="shared" si="7"/>
        <v>#N/A</v>
      </c>
      <c r="J20" t="e">
        <f t="shared" si="8"/>
        <v>#N/A</v>
      </c>
      <c r="K20">
        <f t="shared" si="9"/>
        <v>2.1431519876669112E-4</v>
      </c>
      <c r="L20" t="e">
        <f>IF(AND(ABS((ChartCalculations!A20-Calculations!$F$3)/Calculations!$F$4)&lt;5,OR(A20&lt;=Calculations!$F$7,A20&gt;=Calculations!$F$8)),0.2*_xlfn.NORM.DIST(100,100,15,FALSE)*_xlfn.NORM.DIST(A20,Calculations!$F$3,Calculations!$F$4,FALSE)/_xlfn.NORM.DIST(Calculations!$F$3,Calculations!$F$3,Calculations!$F$4,FALSE),NA())</f>
        <v>#N/A</v>
      </c>
      <c r="M20" t="e">
        <f>IF(AND(A20&gt;=Calculations!$F$7,A20&lt;=Calculations!$F$8),0.2*_xlfn.NORM.DIST(100,100,15,FALSE)*_xlfn.NORM.DIST(A20,Calculations!$F$3,Calculations!$F$4,FALSE)/_xlfn.NORM.DIST(Calculations!$F$3,Calculations!$F$3,Calculations!$F$4,FALSE),NA())</f>
        <v>#N/A</v>
      </c>
    </row>
    <row r="21" spans="1:13" x14ac:dyDescent="0.25">
      <c r="A21">
        <v>41.9</v>
      </c>
      <c r="B21">
        <f t="shared" si="0"/>
        <v>1.4689989392590589E-5</v>
      </c>
      <c r="C21" t="e">
        <f t="shared" si="1"/>
        <v>#N/A</v>
      </c>
      <c r="D21" t="e">
        <f t="shared" si="2"/>
        <v>#N/A</v>
      </c>
      <c r="E21" t="e">
        <f t="shared" si="3"/>
        <v>#N/A</v>
      </c>
      <c r="F21" t="e">
        <f t="shared" si="4"/>
        <v>#N/A</v>
      </c>
      <c r="G21" t="e">
        <f t="shared" si="5"/>
        <v>#N/A</v>
      </c>
      <c r="H21" t="e">
        <f t="shared" si="6"/>
        <v>#N/A</v>
      </c>
      <c r="I21" t="e">
        <f t="shared" si="7"/>
        <v>#N/A</v>
      </c>
      <c r="J21" t="e">
        <f t="shared" si="8"/>
        <v>#N/A</v>
      </c>
      <c r="K21">
        <f t="shared" si="9"/>
        <v>2.1468998939259059E-4</v>
      </c>
      <c r="L21" t="e">
        <f>IF(AND(ABS((ChartCalculations!A21-Calculations!$F$3)/Calculations!$F$4)&lt;5,OR(A21&lt;=Calculations!$F$7,A21&gt;=Calculations!$F$8)),0.2*_xlfn.NORM.DIST(100,100,15,FALSE)*_xlfn.NORM.DIST(A21,Calculations!$F$3,Calculations!$F$4,FALSE)/_xlfn.NORM.DIST(Calculations!$F$3,Calculations!$F$3,Calculations!$F$4,FALSE),NA())</f>
        <v>#N/A</v>
      </c>
      <c r="M21" t="e">
        <f>IF(AND(A21&gt;=Calculations!$F$7,A21&lt;=Calculations!$F$8),0.2*_xlfn.NORM.DIST(100,100,15,FALSE)*_xlfn.NORM.DIST(A21,Calculations!$F$3,Calculations!$F$4,FALSE)/_xlfn.NORM.DIST(Calculations!$F$3,Calculations!$F$3,Calculations!$F$4,FALSE),NA())</f>
        <v>#N/A</v>
      </c>
    </row>
    <row r="22" spans="1:13" x14ac:dyDescent="0.25">
      <c r="A22">
        <v>42</v>
      </c>
      <c r="B22">
        <f t="shared" si="0"/>
        <v>1.5073922560245645E-5</v>
      </c>
      <c r="C22" t="e">
        <f t="shared" si="1"/>
        <v>#N/A</v>
      </c>
      <c r="D22" t="e">
        <f t="shared" si="2"/>
        <v>#N/A</v>
      </c>
      <c r="E22" t="e">
        <f t="shared" si="3"/>
        <v>#N/A</v>
      </c>
      <c r="F22" t="e">
        <f t="shared" si="4"/>
        <v>#N/A</v>
      </c>
      <c r="G22" t="e">
        <f t="shared" si="5"/>
        <v>#N/A</v>
      </c>
      <c r="H22" t="e">
        <f t="shared" si="6"/>
        <v>#N/A</v>
      </c>
      <c r="I22" t="e">
        <f t="shared" si="7"/>
        <v>#N/A</v>
      </c>
      <c r="J22" t="e">
        <f t="shared" si="8"/>
        <v>#N/A</v>
      </c>
      <c r="K22">
        <f t="shared" si="9"/>
        <v>2.1507392256024565E-4</v>
      </c>
      <c r="L22" t="e">
        <f>IF(AND(ABS((ChartCalculations!A22-Calculations!$F$3)/Calculations!$F$4)&lt;5,OR(A22&lt;=Calculations!$F$7,A22&gt;=Calculations!$F$8)),0.2*_xlfn.NORM.DIST(100,100,15,FALSE)*_xlfn.NORM.DIST(A22,Calculations!$F$3,Calculations!$F$4,FALSE)/_xlfn.NORM.DIST(Calculations!$F$3,Calculations!$F$3,Calculations!$F$4,FALSE),NA())</f>
        <v>#N/A</v>
      </c>
      <c r="M22" t="e">
        <f>IF(AND(A22&gt;=Calculations!$F$7,A22&lt;=Calculations!$F$8),0.2*_xlfn.NORM.DIST(100,100,15,FALSE)*_xlfn.NORM.DIST(A22,Calculations!$F$3,Calculations!$F$4,FALSE)/_xlfn.NORM.DIST(Calculations!$F$3,Calculations!$F$3,Calculations!$F$4,FALSE),NA())</f>
        <v>#N/A</v>
      </c>
    </row>
    <row r="23" spans="1:13" x14ac:dyDescent="0.25">
      <c r="A23">
        <v>42.1</v>
      </c>
      <c r="B23">
        <f t="shared" si="0"/>
        <v>1.5467202643796159E-5</v>
      </c>
      <c r="C23" t="e">
        <f t="shared" si="1"/>
        <v>#N/A</v>
      </c>
      <c r="D23" t="e">
        <f t="shared" si="2"/>
        <v>#N/A</v>
      </c>
      <c r="E23" t="e">
        <f t="shared" si="3"/>
        <v>#N/A</v>
      </c>
      <c r="F23" t="e">
        <f t="shared" si="4"/>
        <v>#N/A</v>
      </c>
      <c r="G23" t="e">
        <f t="shared" si="5"/>
        <v>#N/A</v>
      </c>
      <c r="H23" t="e">
        <f t="shared" si="6"/>
        <v>#N/A</v>
      </c>
      <c r="I23" t="e">
        <f t="shared" si="7"/>
        <v>#N/A</v>
      </c>
      <c r="J23" t="e">
        <f t="shared" si="8"/>
        <v>#N/A</v>
      </c>
      <c r="K23">
        <f t="shared" si="9"/>
        <v>2.1546720264379617E-4</v>
      </c>
      <c r="L23" t="e">
        <f>IF(AND(ABS((ChartCalculations!A23-Calculations!$F$3)/Calculations!$F$4)&lt;5,OR(A23&lt;=Calculations!$F$7,A23&gt;=Calculations!$F$8)),0.2*_xlfn.NORM.DIST(100,100,15,FALSE)*_xlfn.NORM.DIST(A23,Calculations!$F$3,Calculations!$F$4,FALSE)/_xlfn.NORM.DIST(Calculations!$F$3,Calculations!$F$3,Calculations!$F$4,FALSE),NA())</f>
        <v>#N/A</v>
      </c>
      <c r="M23" t="e">
        <f>IF(AND(A23&gt;=Calculations!$F$7,A23&lt;=Calculations!$F$8),0.2*_xlfn.NORM.DIST(100,100,15,FALSE)*_xlfn.NORM.DIST(A23,Calculations!$F$3,Calculations!$F$4,FALSE)/_xlfn.NORM.DIST(Calculations!$F$3,Calculations!$F$3,Calculations!$F$4,FALSE),NA())</f>
        <v>#N/A</v>
      </c>
    </row>
    <row r="24" spans="1:13" x14ac:dyDescent="0.25">
      <c r="A24">
        <v>42.2</v>
      </c>
      <c r="B24">
        <f t="shared" si="0"/>
        <v>1.587003809169876E-5</v>
      </c>
      <c r="C24" t="e">
        <f t="shared" si="1"/>
        <v>#N/A</v>
      </c>
      <c r="D24" t="e">
        <f t="shared" si="2"/>
        <v>#N/A</v>
      </c>
      <c r="E24" t="e">
        <f t="shared" si="3"/>
        <v>#N/A</v>
      </c>
      <c r="F24" t="e">
        <f t="shared" si="4"/>
        <v>#N/A</v>
      </c>
      <c r="G24" t="e">
        <f t="shared" si="5"/>
        <v>#N/A</v>
      </c>
      <c r="H24" t="e">
        <f t="shared" si="6"/>
        <v>#N/A</v>
      </c>
      <c r="I24" t="e">
        <f t="shared" si="7"/>
        <v>#N/A</v>
      </c>
      <c r="J24" t="e">
        <f t="shared" si="8"/>
        <v>#N/A</v>
      </c>
      <c r="K24">
        <f t="shared" si="9"/>
        <v>2.1587003809169877E-4</v>
      </c>
      <c r="L24" t="e">
        <f>IF(AND(ABS((ChartCalculations!A24-Calculations!$F$3)/Calculations!$F$4)&lt;5,OR(A24&lt;=Calculations!$F$7,A24&gt;=Calculations!$F$8)),0.2*_xlfn.NORM.DIST(100,100,15,FALSE)*_xlfn.NORM.DIST(A24,Calculations!$F$3,Calculations!$F$4,FALSE)/_xlfn.NORM.DIST(Calculations!$F$3,Calculations!$F$3,Calculations!$F$4,FALSE),NA())</f>
        <v>#N/A</v>
      </c>
      <c r="M24" t="e">
        <f>IF(AND(A24&gt;=Calculations!$F$7,A24&lt;=Calculations!$F$8),0.2*_xlfn.NORM.DIST(100,100,15,FALSE)*_xlfn.NORM.DIST(A24,Calculations!$F$3,Calculations!$F$4,FALSE)/_xlfn.NORM.DIST(Calculations!$F$3,Calculations!$F$3,Calculations!$F$4,FALSE),NA())</f>
        <v>#N/A</v>
      </c>
    </row>
    <row r="25" spans="1:13" x14ac:dyDescent="0.25">
      <c r="A25">
        <v>42.3</v>
      </c>
      <c r="B25">
        <f t="shared" si="0"/>
        <v>1.6282641495486875E-5</v>
      </c>
      <c r="C25" t="e">
        <f t="shared" si="1"/>
        <v>#N/A</v>
      </c>
      <c r="D25" t="e">
        <f t="shared" si="2"/>
        <v>#N/A</v>
      </c>
      <c r="E25" t="e">
        <f t="shared" si="3"/>
        <v>#N/A</v>
      </c>
      <c r="F25" t="e">
        <f t="shared" si="4"/>
        <v>#N/A</v>
      </c>
      <c r="G25" t="e">
        <f t="shared" si="5"/>
        <v>#N/A</v>
      </c>
      <c r="H25" t="e">
        <f t="shared" si="6"/>
        <v>#N/A</v>
      </c>
      <c r="I25" t="e">
        <f t="shared" si="7"/>
        <v>#N/A</v>
      </c>
      <c r="J25" t="e">
        <f t="shared" si="8"/>
        <v>#N/A</v>
      </c>
      <c r="K25">
        <f t="shared" si="9"/>
        <v>2.1628264149548687E-4</v>
      </c>
      <c r="L25" t="e">
        <f>IF(AND(ABS((ChartCalculations!A25-Calculations!$F$3)/Calculations!$F$4)&lt;5,OR(A25&lt;=Calculations!$F$7,A25&gt;=Calculations!$F$8)),0.2*_xlfn.NORM.DIST(100,100,15,FALSE)*_xlfn.NORM.DIST(A25,Calculations!$F$3,Calculations!$F$4,FALSE)/_xlfn.NORM.DIST(Calculations!$F$3,Calculations!$F$3,Calculations!$F$4,FALSE),NA())</f>
        <v>#N/A</v>
      </c>
      <c r="M25" t="e">
        <f>IF(AND(A25&gt;=Calculations!$F$7,A25&lt;=Calculations!$F$8),0.2*_xlfn.NORM.DIST(100,100,15,FALSE)*_xlfn.NORM.DIST(A25,Calculations!$F$3,Calculations!$F$4,FALSE)/_xlfn.NORM.DIST(Calculations!$F$3,Calculations!$F$3,Calculations!$F$4,FALSE),NA())</f>
        <v>#N/A</v>
      </c>
    </row>
    <row r="26" spans="1:13" x14ac:dyDescent="0.25">
      <c r="A26">
        <v>42.4</v>
      </c>
      <c r="B26">
        <f t="shared" si="0"/>
        <v>1.6705229659390687E-5</v>
      </c>
      <c r="C26" t="e">
        <f t="shared" si="1"/>
        <v>#N/A</v>
      </c>
      <c r="D26" t="e">
        <f t="shared" si="2"/>
        <v>#N/A</v>
      </c>
      <c r="E26" t="e">
        <f t="shared" si="3"/>
        <v>#N/A</v>
      </c>
      <c r="F26" t="e">
        <f t="shared" si="4"/>
        <v>#N/A</v>
      </c>
      <c r="G26" t="e">
        <f t="shared" si="5"/>
        <v>#N/A</v>
      </c>
      <c r="H26" t="e">
        <f t="shared" si="6"/>
        <v>#N/A</v>
      </c>
      <c r="I26" t="e">
        <f t="shared" si="7"/>
        <v>#N/A</v>
      </c>
      <c r="J26" t="e">
        <f t="shared" si="8"/>
        <v>#N/A</v>
      </c>
      <c r="K26">
        <f t="shared" si="9"/>
        <v>2.1670522965939069E-4</v>
      </c>
      <c r="L26" t="e">
        <f>IF(AND(ABS((ChartCalculations!A26-Calculations!$F$3)/Calculations!$F$4)&lt;5,OR(A26&lt;=Calculations!$F$7,A26&gt;=Calculations!$F$8)),0.2*_xlfn.NORM.DIST(100,100,15,FALSE)*_xlfn.NORM.DIST(A26,Calculations!$F$3,Calculations!$F$4,FALSE)/_xlfn.NORM.DIST(Calculations!$F$3,Calculations!$F$3,Calculations!$F$4,FALSE),NA())</f>
        <v>#N/A</v>
      </c>
      <c r="M26" t="e">
        <f>IF(AND(A26&gt;=Calculations!$F$7,A26&lt;=Calculations!$F$8),0.2*_xlfn.NORM.DIST(100,100,15,FALSE)*_xlfn.NORM.DIST(A26,Calculations!$F$3,Calculations!$F$4,FALSE)/_xlfn.NORM.DIST(Calculations!$F$3,Calculations!$F$3,Calculations!$F$4,FALSE),NA())</f>
        <v>#N/A</v>
      </c>
    </row>
    <row r="27" spans="1:13" x14ac:dyDescent="0.25">
      <c r="A27">
        <v>42.5</v>
      </c>
      <c r="B27">
        <f t="shared" si="0"/>
        <v>1.7138023670820421E-5</v>
      </c>
      <c r="C27" t="e">
        <f t="shared" si="1"/>
        <v>#N/A</v>
      </c>
      <c r="D27" t="e">
        <f t="shared" si="2"/>
        <v>#N/A</v>
      </c>
      <c r="E27" t="e">
        <f t="shared" si="3"/>
        <v>#N/A</v>
      </c>
      <c r="F27" t="e">
        <f t="shared" si="4"/>
        <v>#N/A</v>
      </c>
      <c r="G27" t="e">
        <f t="shared" si="5"/>
        <v>#N/A</v>
      </c>
      <c r="H27" t="e">
        <f t="shared" si="6"/>
        <v>#N/A</v>
      </c>
      <c r="I27" t="e">
        <f t="shared" si="7"/>
        <v>#N/A</v>
      </c>
      <c r="J27" t="e">
        <f t="shared" si="8"/>
        <v>#N/A</v>
      </c>
      <c r="K27">
        <f t="shared" si="9"/>
        <v>2.1713802367082042E-4</v>
      </c>
      <c r="L27" t="e">
        <f>IF(AND(ABS((ChartCalculations!A27-Calculations!$F$3)/Calculations!$F$4)&lt;5,OR(A27&lt;=Calculations!$F$7,A27&gt;=Calculations!$F$8)),0.2*_xlfn.NORM.DIST(100,100,15,FALSE)*_xlfn.NORM.DIST(A27,Calculations!$F$3,Calculations!$F$4,FALSE)/_xlfn.NORM.DIST(Calculations!$F$3,Calculations!$F$3,Calculations!$F$4,FALSE),NA())</f>
        <v>#N/A</v>
      </c>
      <c r="M27" t="e">
        <f>IF(AND(A27&gt;=Calculations!$F$7,A27&lt;=Calculations!$F$8),0.2*_xlfn.NORM.DIST(100,100,15,FALSE)*_xlfn.NORM.DIST(A27,Calculations!$F$3,Calculations!$F$4,FALSE)/_xlfn.NORM.DIST(Calculations!$F$3,Calculations!$F$3,Calculations!$F$4,FALSE),NA())</f>
        <v>#N/A</v>
      </c>
    </row>
    <row r="28" spans="1:13" x14ac:dyDescent="0.25">
      <c r="A28">
        <v>42.6</v>
      </c>
      <c r="B28">
        <f t="shared" si="0"/>
        <v>1.7581248971716192E-5</v>
      </c>
      <c r="C28" t="e">
        <f t="shared" si="1"/>
        <v>#N/A</v>
      </c>
      <c r="D28" t="e">
        <f t="shared" si="2"/>
        <v>#N/A</v>
      </c>
      <c r="E28" t="e">
        <f t="shared" si="3"/>
        <v>#N/A</v>
      </c>
      <c r="F28" t="e">
        <f t="shared" si="4"/>
        <v>#N/A</v>
      </c>
      <c r="G28" t="e">
        <f t="shared" si="5"/>
        <v>#N/A</v>
      </c>
      <c r="H28" t="e">
        <f t="shared" si="6"/>
        <v>#N/A</v>
      </c>
      <c r="I28" t="e">
        <f t="shared" si="7"/>
        <v>#N/A</v>
      </c>
      <c r="J28" t="e">
        <f t="shared" si="8"/>
        <v>#N/A</v>
      </c>
      <c r="K28">
        <f t="shared" si="9"/>
        <v>2.1758124897171621E-4</v>
      </c>
      <c r="L28" t="e">
        <f>IF(AND(ABS((ChartCalculations!A28-Calculations!$F$3)/Calculations!$F$4)&lt;5,OR(A28&lt;=Calculations!$F$7,A28&gt;=Calculations!$F$8)),0.2*_xlfn.NORM.DIST(100,100,15,FALSE)*_xlfn.NORM.DIST(A28,Calculations!$F$3,Calculations!$F$4,FALSE)/_xlfn.NORM.DIST(Calculations!$F$3,Calculations!$F$3,Calculations!$F$4,FALSE),NA())</f>
        <v>#N/A</v>
      </c>
      <c r="M28" t="e">
        <f>IF(AND(A28&gt;=Calculations!$F$7,A28&lt;=Calculations!$F$8),0.2*_xlfn.NORM.DIST(100,100,15,FALSE)*_xlfn.NORM.DIST(A28,Calculations!$F$3,Calculations!$F$4,FALSE)/_xlfn.NORM.DIST(Calculations!$F$3,Calculations!$F$3,Calculations!$F$4,FALSE),NA())</f>
        <v>#N/A</v>
      </c>
    </row>
    <row r="29" spans="1:13" x14ac:dyDescent="0.25">
      <c r="A29">
        <v>42.7</v>
      </c>
      <c r="B29">
        <f t="shared" si="0"/>
        <v>1.8035135430768067E-5</v>
      </c>
      <c r="C29" t="e">
        <f t="shared" si="1"/>
        <v>#N/A</v>
      </c>
      <c r="D29" t="e">
        <f t="shared" si="2"/>
        <v>#N/A</v>
      </c>
      <c r="E29" t="e">
        <f t="shared" si="3"/>
        <v>#N/A</v>
      </c>
      <c r="F29" t="e">
        <f t="shared" si="4"/>
        <v>#N/A</v>
      </c>
      <c r="G29" t="e">
        <f t="shared" si="5"/>
        <v>#N/A</v>
      </c>
      <c r="H29" t="e">
        <f t="shared" si="6"/>
        <v>#N/A</v>
      </c>
      <c r="I29" t="e">
        <f t="shared" si="7"/>
        <v>#N/A</v>
      </c>
      <c r="J29" t="e">
        <f t="shared" si="8"/>
        <v>#N/A</v>
      </c>
      <c r="K29">
        <f t="shared" si="9"/>
        <v>2.1803513543076808E-4</v>
      </c>
      <c r="L29" t="e">
        <f>IF(AND(ABS((ChartCalculations!A29-Calculations!$F$3)/Calculations!$F$4)&lt;5,OR(A29&lt;=Calculations!$F$7,A29&gt;=Calculations!$F$8)),0.2*_xlfn.NORM.DIST(100,100,15,FALSE)*_xlfn.NORM.DIST(A29,Calculations!$F$3,Calculations!$F$4,FALSE)/_xlfn.NORM.DIST(Calculations!$F$3,Calculations!$F$3,Calculations!$F$4,FALSE),NA())</f>
        <v>#N/A</v>
      </c>
      <c r="M29" t="e">
        <f>IF(AND(A29&gt;=Calculations!$F$7,A29&lt;=Calculations!$F$8),0.2*_xlfn.NORM.DIST(100,100,15,FALSE)*_xlfn.NORM.DIST(A29,Calculations!$F$3,Calculations!$F$4,FALSE)/_xlfn.NORM.DIST(Calculations!$F$3,Calculations!$F$3,Calculations!$F$4,FALSE),NA())</f>
        <v>#N/A</v>
      </c>
    </row>
    <row r="30" spans="1:13" x14ac:dyDescent="0.25">
      <c r="A30">
        <v>42.8</v>
      </c>
      <c r="B30">
        <f t="shared" si="0"/>
        <v>1.8499917416509125E-5</v>
      </c>
      <c r="C30" t="e">
        <f t="shared" si="1"/>
        <v>#N/A</v>
      </c>
      <c r="D30" t="e">
        <f t="shared" si="2"/>
        <v>#N/A</v>
      </c>
      <c r="E30" t="e">
        <f t="shared" si="3"/>
        <v>#N/A</v>
      </c>
      <c r="F30" t="e">
        <f t="shared" si="4"/>
        <v>#N/A</v>
      </c>
      <c r="G30" t="e">
        <f t="shared" si="5"/>
        <v>#N/A</v>
      </c>
      <c r="H30" t="e">
        <f t="shared" si="6"/>
        <v>#N/A</v>
      </c>
      <c r="I30" t="e">
        <f t="shared" si="7"/>
        <v>#N/A</v>
      </c>
      <c r="J30" t="e">
        <f t="shared" si="8"/>
        <v>#N/A</v>
      </c>
      <c r="K30">
        <f t="shared" si="9"/>
        <v>2.1849991741650914E-4</v>
      </c>
      <c r="L30" t="e">
        <f>IF(AND(ABS((ChartCalculations!A30-Calculations!$F$3)/Calculations!$F$4)&lt;5,OR(A30&lt;=Calculations!$F$7,A30&gt;=Calculations!$F$8)),0.2*_xlfn.NORM.DIST(100,100,15,FALSE)*_xlfn.NORM.DIST(A30,Calculations!$F$3,Calculations!$F$4,FALSE)/_xlfn.NORM.DIST(Calculations!$F$3,Calculations!$F$3,Calculations!$F$4,FALSE),NA())</f>
        <v>#N/A</v>
      </c>
      <c r="M30" t="e">
        <f>IF(AND(A30&gt;=Calculations!$F$7,A30&lt;=Calculations!$F$8),0.2*_xlfn.NORM.DIST(100,100,15,FALSE)*_xlfn.NORM.DIST(A30,Calculations!$F$3,Calculations!$F$4,FALSE)/_xlfn.NORM.DIST(Calculations!$F$3,Calculations!$F$3,Calculations!$F$4,FALSE),NA())</f>
        <v>#N/A</v>
      </c>
    </row>
    <row r="31" spans="1:13" x14ac:dyDescent="0.25">
      <c r="A31">
        <v>42.9</v>
      </c>
      <c r="B31">
        <f t="shared" si="0"/>
        <v>1.8975833871284228E-5</v>
      </c>
      <c r="C31" t="e">
        <f t="shared" si="1"/>
        <v>#N/A</v>
      </c>
      <c r="D31" t="e">
        <f t="shared" si="2"/>
        <v>#N/A</v>
      </c>
      <c r="E31" t="e">
        <f t="shared" si="3"/>
        <v>#N/A</v>
      </c>
      <c r="F31" t="e">
        <f t="shared" si="4"/>
        <v>#N/A</v>
      </c>
      <c r="G31" t="e">
        <f t="shared" si="5"/>
        <v>#N/A</v>
      </c>
      <c r="H31" t="e">
        <f t="shared" si="6"/>
        <v>#N/A</v>
      </c>
      <c r="I31" t="e">
        <f t="shared" si="7"/>
        <v>#N/A</v>
      </c>
      <c r="J31" t="e">
        <f t="shared" si="8"/>
        <v>#N/A</v>
      </c>
      <c r="K31">
        <f t="shared" si="9"/>
        <v>2.1897583387128425E-4</v>
      </c>
      <c r="L31" t="e">
        <f>IF(AND(ABS((ChartCalculations!A31-Calculations!$F$3)/Calculations!$F$4)&lt;5,OR(A31&lt;=Calculations!$F$7,A31&gt;=Calculations!$F$8)),0.2*_xlfn.NORM.DIST(100,100,15,FALSE)*_xlfn.NORM.DIST(A31,Calculations!$F$3,Calculations!$F$4,FALSE)/_xlfn.NORM.DIST(Calculations!$F$3,Calculations!$F$3,Calculations!$F$4,FALSE),NA())</f>
        <v>#N/A</v>
      </c>
      <c r="M31" t="e">
        <f>IF(AND(A31&gt;=Calculations!$F$7,A31&lt;=Calculations!$F$8),0.2*_xlfn.NORM.DIST(100,100,15,FALSE)*_xlfn.NORM.DIST(A31,Calculations!$F$3,Calculations!$F$4,FALSE)/_xlfn.NORM.DIST(Calculations!$F$3,Calculations!$F$3,Calculations!$F$4,FALSE),NA())</f>
        <v>#N/A</v>
      </c>
    </row>
    <row r="32" spans="1:13" x14ac:dyDescent="0.25">
      <c r="A32">
        <v>43</v>
      </c>
      <c r="B32">
        <f t="shared" si="0"/>
        <v>1.9463128386097353E-5</v>
      </c>
      <c r="C32" t="e">
        <f t="shared" si="1"/>
        <v>#N/A</v>
      </c>
      <c r="D32" t="e">
        <f t="shared" si="2"/>
        <v>#N/A</v>
      </c>
      <c r="E32" t="e">
        <f t="shared" si="3"/>
        <v>#N/A</v>
      </c>
      <c r="F32" t="e">
        <f t="shared" si="4"/>
        <v>#N/A</v>
      </c>
      <c r="G32" t="e">
        <f t="shared" si="5"/>
        <v>#N/A</v>
      </c>
      <c r="H32" t="e">
        <f t="shared" si="6"/>
        <v>#N/A</v>
      </c>
      <c r="I32" t="e">
        <f t="shared" si="7"/>
        <v>#N/A</v>
      </c>
      <c r="J32" t="e">
        <f t="shared" si="8"/>
        <v>#N/A</v>
      </c>
      <c r="K32">
        <f t="shared" si="9"/>
        <v>2.1946312838609736E-4</v>
      </c>
      <c r="L32" t="e">
        <f>IF(AND(ABS((ChartCalculations!A32-Calculations!$F$3)/Calculations!$F$4)&lt;5,OR(A32&lt;=Calculations!$F$7,A32&gt;=Calculations!$F$8)),0.2*_xlfn.NORM.DIST(100,100,15,FALSE)*_xlfn.NORM.DIST(A32,Calculations!$F$3,Calculations!$F$4,FALSE)/_xlfn.NORM.DIST(Calculations!$F$3,Calculations!$F$3,Calculations!$F$4,FALSE),NA())</f>
        <v>#N/A</v>
      </c>
      <c r="M32" t="e">
        <f>IF(AND(A32&gt;=Calculations!$F$7,A32&lt;=Calculations!$F$8),0.2*_xlfn.NORM.DIST(100,100,15,FALSE)*_xlfn.NORM.DIST(A32,Calculations!$F$3,Calculations!$F$4,FALSE)/_xlfn.NORM.DIST(Calculations!$F$3,Calculations!$F$3,Calculations!$F$4,FALSE),NA())</f>
        <v>#N/A</v>
      </c>
    </row>
    <row r="33" spans="1:13" x14ac:dyDescent="0.25">
      <c r="A33">
        <v>43.1</v>
      </c>
      <c r="B33">
        <f t="shared" si="0"/>
        <v>1.9962049276339817E-5</v>
      </c>
      <c r="C33" t="e">
        <f t="shared" si="1"/>
        <v>#N/A</v>
      </c>
      <c r="D33" t="e">
        <f t="shared" si="2"/>
        <v>#N/A</v>
      </c>
      <c r="E33" t="e">
        <f t="shared" si="3"/>
        <v>#N/A</v>
      </c>
      <c r="F33" t="e">
        <f t="shared" si="4"/>
        <v>#N/A</v>
      </c>
      <c r="G33" t="e">
        <f t="shared" si="5"/>
        <v>#N/A</v>
      </c>
      <c r="H33" t="e">
        <f t="shared" si="6"/>
        <v>#N/A</v>
      </c>
      <c r="I33" t="e">
        <f t="shared" si="7"/>
        <v>#N/A</v>
      </c>
      <c r="J33" t="e">
        <f t="shared" si="8"/>
        <v>#N/A</v>
      </c>
      <c r="K33">
        <f t="shared" si="9"/>
        <v>2.1996204927633982E-4</v>
      </c>
      <c r="L33" t="e">
        <f>IF(AND(ABS((ChartCalculations!A33-Calculations!$F$3)/Calculations!$F$4)&lt;5,OR(A33&lt;=Calculations!$F$7,A33&gt;=Calculations!$F$8)),0.2*_xlfn.NORM.DIST(100,100,15,FALSE)*_xlfn.NORM.DIST(A33,Calculations!$F$3,Calculations!$F$4,FALSE)/_xlfn.NORM.DIST(Calculations!$F$3,Calculations!$F$3,Calculations!$F$4,FALSE),NA())</f>
        <v>#N/A</v>
      </c>
      <c r="M33" t="e">
        <f>IF(AND(A33&gt;=Calculations!$F$7,A33&lt;=Calculations!$F$8),0.2*_xlfn.NORM.DIST(100,100,15,FALSE)*_xlfn.NORM.DIST(A33,Calculations!$F$3,Calculations!$F$4,FALSE)/_xlfn.NORM.DIST(Calculations!$F$3,Calculations!$F$3,Calculations!$F$4,FALSE),NA())</f>
        <v>#N/A</v>
      </c>
    </row>
    <row r="34" spans="1:13" x14ac:dyDescent="0.25">
      <c r="A34">
        <v>43.200000000000102</v>
      </c>
      <c r="B34">
        <f t="shared" si="0"/>
        <v>2.0472849658402195E-5</v>
      </c>
      <c r="C34" t="e">
        <f t="shared" si="1"/>
        <v>#N/A</v>
      </c>
      <c r="D34" t="e">
        <f t="shared" si="2"/>
        <v>#N/A</v>
      </c>
      <c r="E34" t="e">
        <f t="shared" si="3"/>
        <v>#N/A</v>
      </c>
      <c r="F34" t="e">
        <f t="shared" si="4"/>
        <v>#N/A</v>
      </c>
      <c r="G34" t="e">
        <f t="shared" si="5"/>
        <v>#N/A</v>
      </c>
      <c r="H34" t="e">
        <f t="shared" si="6"/>
        <v>#N/A</v>
      </c>
      <c r="I34" t="e">
        <f t="shared" si="7"/>
        <v>#N/A</v>
      </c>
      <c r="J34" t="e">
        <f t="shared" si="8"/>
        <v>#N/A</v>
      </c>
      <c r="K34">
        <f t="shared" si="9"/>
        <v>2.2047284965840221E-4</v>
      </c>
      <c r="L34" t="e">
        <f>IF(AND(ABS((ChartCalculations!A34-Calculations!$F$3)/Calculations!$F$4)&lt;5,OR(A34&lt;=Calculations!$F$7,A34&gt;=Calculations!$F$8)),0.2*_xlfn.NORM.DIST(100,100,15,FALSE)*_xlfn.NORM.DIST(A34,Calculations!$F$3,Calculations!$F$4,FALSE)/_xlfn.NORM.DIST(Calculations!$F$3,Calculations!$F$3,Calculations!$F$4,FALSE),NA())</f>
        <v>#N/A</v>
      </c>
      <c r="M34" t="e">
        <f>IF(AND(A34&gt;=Calculations!$F$7,A34&lt;=Calculations!$F$8),0.2*_xlfn.NORM.DIST(100,100,15,FALSE)*_xlfn.NORM.DIST(A34,Calculations!$F$3,Calculations!$F$4,FALSE)/_xlfn.NORM.DIST(Calculations!$F$3,Calculations!$F$3,Calculations!$F$4,FALSE),NA())</f>
        <v>#N/A</v>
      </c>
    </row>
    <row r="35" spans="1:13" x14ac:dyDescent="0.25">
      <c r="A35">
        <v>43.3</v>
      </c>
      <c r="B35">
        <f t="shared" si="0"/>
        <v>2.0995787527168103E-5</v>
      </c>
      <c r="C35" t="e">
        <f t="shared" si="1"/>
        <v>#N/A</v>
      </c>
      <c r="D35" t="e">
        <f t="shared" si="2"/>
        <v>#N/A</v>
      </c>
      <c r="E35" t="e">
        <f t="shared" si="3"/>
        <v>#N/A</v>
      </c>
      <c r="F35" t="e">
        <f t="shared" si="4"/>
        <v>#N/A</v>
      </c>
      <c r="G35" t="e">
        <f t="shared" si="5"/>
        <v>#N/A</v>
      </c>
      <c r="H35" t="e">
        <f t="shared" si="6"/>
        <v>#N/A</v>
      </c>
      <c r="I35" t="e">
        <f t="shared" si="7"/>
        <v>#N/A</v>
      </c>
      <c r="J35" t="e">
        <f t="shared" si="8"/>
        <v>#N/A</v>
      </c>
      <c r="K35">
        <f t="shared" si="9"/>
        <v>2.2099578752716811E-4</v>
      </c>
      <c r="L35" t="e">
        <f>IF(AND(ABS((ChartCalculations!A35-Calculations!$F$3)/Calculations!$F$4)&lt;5,OR(A35&lt;=Calculations!$F$7,A35&gt;=Calculations!$F$8)),0.2*_xlfn.NORM.DIST(100,100,15,FALSE)*_xlfn.NORM.DIST(A35,Calculations!$F$3,Calculations!$F$4,FALSE)/_xlfn.NORM.DIST(Calculations!$F$3,Calculations!$F$3,Calculations!$F$4,FALSE),NA())</f>
        <v>#N/A</v>
      </c>
      <c r="M35" t="e">
        <f>IF(AND(A35&gt;=Calculations!$F$7,A35&lt;=Calculations!$F$8),0.2*_xlfn.NORM.DIST(100,100,15,FALSE)*_xlfn.NORM.DIST(A35,Calculations!$F$3,Calculations!$F$4,FALSE)/_xlfn.NORM.DIST(Calculations!$F$3,Calculations!$F$3,Calculations!$F$4,FALSE),NA())</f>
        <v>#N/A</v>
      </c>
    </row>
    <row r="36" spans="1:13" x14ac:dyDescent="0.25">
      <c r="A36">
        <v>43.4</v>
      </c>
      <c r="B36">
        <f t="shared" si="0"/>
        <v>2.1531125834402781E-5</v>
      </c>
      <c r="C36" t="e">
        <f t="shared" si="1"/>
        <v>#N/A</v>
      </c>
      <c r="D36" t="e">
        <f t="shared" si="2"/>
        <v>#N/A</v>
      </c>
      <c r="E36" t="e">
        <f t="shared" si="3"/>
        <v>#N/A</v>
      </c>
      <c r="F36" t="e">
        <f t="shared" si="4"/>
        <v>#N/A</v>
      </c>
      <c r="G36" t="e">
        <f t="shared" si="5"/>
        <v>#N/A</v>
      </c>
      <c r="H36" t="e">
        <f t="shared" si="6"/>
        <v>#N/A</v>
      </c>
      <c r="I36" t="e">
        <f t="shared" si="7"/>
        <v>#N/A</v>
      </c>
      <c r="J36" t="e">
        <f t="shared" si="8"/>
        <v>#N/A</v>
      </c>
      <c r="K36">
        <f t="shared" si="9"/>
        <v>2.2153112583440278E-4</v>
      </c>
      <c r="L36" t="e">
        <f>IF(AND(ABS((ChartCalculations!A36-Calculations!$F$3)/Calculations!$F$4)&lt;5,OR(A36&lt;=Calculations!$F$7,A36&gt;=Calculations!$F$8)),0.2*_xlfn.NORM.DIST(100,100,15,FALSE)*_xlfn.NORM.DIST(A36,Calculations!$F$3,Calculations!$F$4,FALSE)/_xlfn.NORM.DIST(Calculations!$F$3,Calculations!$F$3,Calculations!$F$4,FALSE),NA())</f>
        <v>#N/A</v>
      </c>
      <c r="M36" t="e">
        <f>IF(AND(A36&gt;=Calculations!$F$7,A36&lt;=Calculations!$F$8),0.2*_xlfn.NORM.DIST(100,100,15,FALSE)*_xlfn.NORM.DIST(A36,Calculations!$F$3,Calculations!$F$4,FALSE)/_xlfn.NORM.DIST(Calculations!$F$3,Calculations!$F$3,Calculations!$F$4,FALSE),NA())</f>
        <v>#N/A</v>
      </c>
    </row>
    <row r="37" spans="1:13" x14ac:dyDescent="0.25">
      <c r="A37">
        <v>43.5</v>
      </c>
      <c r="B37">
        <f t="shared" si="0"/>
        <v>2.2079132568019509E-5</v>
      </c>
      <c r="C37" t="e">
        <f t="shared" si="1"/>
        <v>#N/A</v>
      </c>
      <c r="D37" t="e">
        <f t="shared" si="2"/>
        <v>#N/A</v>
      </c>
      <c r="E37" t="e">
        <f t="shared" si="3"/>
        <v>#N/A</v>
      </c>
      <c r="F37" t="e">
        <f t="shared" si="4"/>
        <v>#N/A</v>
      </c>
      <c r="G37" t="e">
        <f t="shared" si="5"/>
        <v>#N/A</v>
      </c>
      <c r="H37" t="e">
        <f t="shared" si="6"/>
        <v>#N/A</v>
      </c>
      <c r="I37" t="e">
        <f t="shared" si="7"/>
        <v>#N/A</v>
      </c>
      <c r="J37" t="e">
        <f t="shared" si="8"/>
        <v>#N/A</v>
      </c>
      <c r="K37">
        <f t="shared" si="9"/>
        <v>2.2207913256801952E-4</v>
      </c>
      <c r="L37" t="e">
        <f>IF(AND(ABS((ChartCalculations!A37-Calculations!$F$3)/Calculations!$F$4)&lt;5,OR(A37&lt;=Calculations!$F$7,A37&gt;=Calculations!$F$8)),0.2*_xlfn.NORM.DIST(100,100,15,FALSE)*_xlfn.NORM.DIST(A37,Calculations!$F$3,Calculations!$F$4,FALSE)/_xlfn.NORM.DIST(Calculations!$F$3,Calculations!$F$3,Calculations!$F$4,FALSE),NA())</f>
        <v>#N/A</v>
      </c>
      <c r="M37" t="e">
        <f>IF(AND(A37&gt;=Calculations!$F$7,A37&lt;=Calculations!$F$8),0.2*_xlfn.NORM.DIST(100,100,15,FALSE)*_xlfn.NORM.DIST(A37,Calculations!$F$3,Calculations!$F$4,FALSE)/_xlfn.NORM.DIST(Calculations!$F$3,Calculations!$F$3,Calculations!$F$4,FALSE),NA())</f>
        <v>#N/A</v>
      </c>
    </row>
    <row r="38" spans="1:13" x14ac:dyDescent="0.25">
      <c r="A38">
        <v>43.600000000000101</v>
      </c>
      <c r="B38">
        <f t="shared" si="0"/>
        <v>2.2640080832244235E-5</v>
      </c>
      <c r="C38" t="e">
        <f t="shared" si="1"/>
        <v>#N/A</v>
      </c>
      <c r="D38" t="e">
        <f t="shared" si="2"/>
        <v>#N/A</v>
      </c>
      <c r="E38" t="e">
        <f t="shared" si="3"/>
        <v>#N/A</v>
      </c>
      <c r="F38" t="e">
        <f t="shared" si="4"/>
        <v>#N/A</v>
      </c>
      <c r="G38" t="e">
        <f t="shared" si="5"/>
        <v>#N/A</v>
      </c>
      <c r="H38" t="e">
        <f t="shared" si="6"/>
        <v>#N/A</v>
      </c>
      <c r="I38" t="e">
        <f t="shared" si="7"/>
        <v>#N/A</v>
      </c>
      <c r="J38" t="e">
        <f t="shared" si="8"/>
        <v>#N/A</v>
      </c>
      <c r="K38">
        <f t="shared" si="9"/>
        <v>2.2264008083224424E-4</v>
      </c>
      <c r="L38" t="e">
        <f>IF(AND(ABS((ChartCalculations!A38-Calculations!$F$3)/Calculations!$F$4)&lt;5,OR(A38&lt;=Calculations!$F$7,A38&gt;=Calculations!$F$8)),0.2*_xlfn.NORM.DIST(100,100,15,FALSE)*_xlfn.NORM.DIST(A38,Calculations!$F$3,Calculations!$F$4,FALSE)/_xlfn.NORM.DIST(Calculations!$F$3,Calculations!$F$3,Calculations!$F$4,FALSE),NA())</f>
        <v>#N/A</v>
      </c>
      <c r="M38" t="e">
        <f>IF(AND(A38&gt;=Calculations!$F$7,A38&lt;=Calculations!$F$8),0.2*_xlfn.NORM.DIST(100,100,15,FALSE)*_xlfn.NORM.DIST(A38,Calculations!$F$3,Calculations!$F$4,FALSE)/_xlfn.NORM.DIST(Calculations!$F$3,Calculations!$F$3,Calculations!$F$4,FALSE),NA())</f>
        <v>#N/A</v>
      </c>
    </row>
    <row r="39" spans="1:13" x14ac:dyDescent="0.25">
      <c r="A39">
        <v>43.700000000000102</v>
      </c>
      <c r="B39">
        <f t="shared" si="0"/>
        <v>2.3214248928664819E-5</v>
      </c>
      <c r="C39" t="e">
        <f t="shared" si="1"/>
        <v>#N/A</v>
      </c>
      <c r="D39" t="e">
        <f t="shared" si="2"/>
        <v>#N/A</v>
      </c>
      <c r="E39" t="e">
        <f t="shared" si="3"/>
        <v>#N/A</v>
      </c>
      <c r="F39" t="e">
        <f t="shared" si="4"/>
        <v>#N/A</v>
      </c>
      <c r="G39" t="e">
        <f t="shared" si="5"/>
        <v>#N/A</v>
      </c>
      <c r="H39" t="e">
        <f t="shared" si="6"/>
        <v>#N/A</v>
      </c>
      <c r="I39" t="e">
        <f t="shared" si="7"/>
        <v>#N/A</v>
      </c>
      <c r="J39" t="e">
        <f t="shared" si="8"/>
        <v>#N/A</v>
      </c>
      <c r="K39">
        <f t="shared" si="9"/>
        <v>2.2321424892866483E-4</v>
      </c>
      <c r="L39" t="e">
        <f>IF(AND(ABS((ChartCalculations!A39-Calculations!$F$3)/Calculations!$F$4)&lt;5,OR(A39&lt;=Calculations!$F$7,A39&gt;=Calculations!$F$8)),0.2*_xlfn.NORM.DIST(100,100,15,FALSE)*_xlfn.NORM.DIST(A39,Calculations!$F$3,Calculations!$F$4,FALSE)/_xlfn.NORM.DIST(Calculations!$F$3,Calculations!$F$3,Calculations!$F$4,FALSE),NA())</f>
        <v>#N/A</v>
      </c>
      <c r="M39" t="e">
        <f>IF(AND(A39&gt;=Calculations!$F$7,A39&lt;=Calculations!$F$8),0.2*_xlfn.NORM.DIST(100,100,15,FALSE)*_xlfn.NORM.DIST(A39,Calculations!$F$3,Calculations!$F$4,FALSE)/_xlfn.NORM.DIST(Calculations!$F$3,Calculations!$F$3,Calculations!$F$4,FALSE),NA())</f>
        <v>#N/A</v>
      </c>
    </row>
    <row r="40" spans="1:13" x14ac:dyDescent="0.25">
      <c r="A40">
        <v>43.8</v>
      </c>
      <c r="B40">
        <f t="shared" si="0"/>
        <v>2.3801920438177416E-5</v>
      </c>
      <c r="C40" t="e">
        <f t="shared" si="1"/>
        <v>#N/A</v>
      </c>
      <c r="D40" t="e">
        <f t="shared" si="2"/>
        <v>#N/A</v>
      </c>
      <c r="E40" t="e">
        <f t="shared" si="3"/>
        <v>#N/A</v>
      </c>
      <c r="F40" t="e">
        <f t="shared" si="4"/>
        <v>#N/A</v>
      </c>
      <c r="G40" t="e">
        <f t="shared" si="5"/>
        <v>#N/A</v>
      </c>
      <c r="H40" t="e">
        <f t="shared" si="6"/>
        <v>#N/A</v>
      </c>
      <c r="I40" t="e">
        <f t="shared" si="7"/>
        <v>#N/A</v>
      </c>
      <c r="J40" t="e">
        <f t="shared" si="8"/>
        <v>#N/A</v>
      </c>
      <c r="K40">
        <f t="shared" si="9"/>
        <v>2.2380192043817743E-4</v>
      </c>
      <c r="L40" t="e">
        <f>IF(AND(ABS((ChartCalculations!A40-Calculations!$F$3)/Calculations!$F$4)&lt;5,OR(A40&lt;=Calculations!$F$7,A40&gt;=Calculations!$F$8)),0.2*_xlfn.NORM.DIST(100,100,15,FALSE)*_xlfn.NORM.DIST(A40,Calculations!$F$3,Calculations!$F$4,FALSE)/_xlfn.NORM.DIST(Calculations!$F$3,Calculations!$F$3,Calculations!$F$4,FALSE),NA())</f>
        <v>#N/A</v>
      </c>
      <c r="M40" t="e">
        <f>IF(AND(A40&gt;=Calculations!$F$7,A40&lt;=Calculations!$F$8),0.2*_xlfn.NORM.DIST(100,100,15,FALSE)*_xlfn.NORM.DIST(A40,Calculations!$F$3,Calculations!$F$4,FALSE)/_xlfn.NORM.DIST(Calculations!$F$3,Calculations!$F$3,Calculations!$F$4,FALSE),NA())</f>
        <v>#N/A</v>
      </c>
    </row>
    <row r="41" spans="1:13" x14ac:dyDescent="0.25">
      <c r="A41">
        <v>43.900000000000098</v>
      </c>
      <c r="B41">
        <f t="shared" si="0"/>
        <v>2.4403384303822943E-5</v>
      </c>
      <c r="C41" t="e">
        <f t="shared" si="1"/>
        <v>#N/A</v>
      </c>
      <c r="D41" t="e">
        <f t="shared" si="2"/>
        <v>#N/A</v>
      </c>
      <c r="E41" t="e">
        <f t="shared" si="3"/>
        <v>#N/A</v>
      </c>
      <c r="F41" t="e">
        <f t="shared" si="4"/>
        <v>#N/A</v>
      </c>
      <c r="G41" t="e">
        <f t="shared" si="5"/>
        <v>#N/A</v>
      </c>
      <c r="H41" t="e">
        <f t="shared" si="6"/>
        <v>#N/A</v>
      </c>
      <c r="I41" t="e">
        <f t="shared" si="7"/>
        <v>#N/A</v>
      </c>
      <c r="J41" t="e">
        <f t="shared" si="8"/>
        <v>#N/A</v>
      </c>
      <c r="K41">
        <f t="shared" si="9"/>
        <v>2.2440338430382295E-4</v>
      </c>
      <c r="L41" t="e">
        <f>IF(AND(ABS((ChartCalculations!A41-Calculations!$F$3)/Calculations!$F$4)&lt;5,OR(A41&lt;=Calculations!$F$7,A41&gt;=Calculations!$F$8)),0.2*_xlfn.NORM.DIST(100,100,15,FALSE)*_xlfn.NORM.DIST(A41,Calculations!$F$3,Calculations!$F$4,FALSE)/_xlfn.NORM.DIST(Calculations!$F$3,Calculations!$F$3,Calculations!$F$4,FALSE),NA())</f>
        <v>#N/A</v>
      </c>
      <c r="M41" t="e">
        <f>IF(AND(A41&gt;=Calculations!$F$7,A41&lt;=Calculations!$F$8),0.2*_xlfn.NORM.DIST(100,100,15,FALSE)*_xlfn.NORM.DIST(A41,Calculations!$F$3,Calculations!$F$4,FALSE)/_xlfn.NORM.DIST(Calculations!$F$3,Calculations!$F$3,Calculations!$F$4,FALSE),NA())</f>
        <v>#N/A</v>
      </c>
    </row>
    <row r="42" spans="1:13" x14ac:dyDescent="0.25">
      <c r="A42">
        <v>44.000000000000099</v>
      </c>
      <c r="B42">
        <f t="shared" si="0"/>
        <v>2.5018934914509291E-5</v>
      </c>
      <c r="C42" t="e">
        <f t="shared" si="1"/>
        <v>#N/A</v>
      </c>
      <c r="D42" t="e">
        <f t="shared" si="2"/>
        <v>#N/A</v>
      </c>
      <c r="E42" t="e">
        <f t="shared" si="3"/>
        <v>#N/A</v>
      </c>
      <c r="F42" t="e">
        <f t="shared" si="4"/>
        <v>#N/A</v>
      </c>
      <c r="G42" t="e">
        <f t="shared" si="5"/>
        <v>#N/A</v>
      </c>
      <c r="H42" t="e">
        <f t="shared" si="6"/>
        <v>#N/A</v>
      </c>
      <c r="I42" t="e">
        <f t="shared" si="7"/>
        <v>#N/A</v>
      </c>
      <c r="J42" t="e">
        <f t="shared" si="8"/>
        <v>#N/A</v>
      </c>
      <c r="K42">
        <f t="shared" si="9"/>
        <v>2.2501893491450931E-4</v>
      </c>
      <c r="L42" t="e">
        <f>IF(AND(ABS((ChartCalculations!A42-Calculations!$F$3)/Calculations!$F$4)&lt;5,OR(A42&lt;=Calculations!$F$7,A42&gt;=Calculations!$F$8)),0.2*_xlfn.NORM.DIST(100,100,15,FALSE)*_xlfn.NORM.DIST(A42,Calculations!$F$3,Calculations!$F$4,FALSE)/_xlfn.NORM.DIST(Calculations!$F$3,Calculations!$F$3,Calculations!$F$4,FALSE),NA())</f>
        <v>#N/A</v>
      </c>
      <c r="M42" t="e">
        <f>IF(AND(A42&gt;=Calculations!$F$7,A42&lt;=Calculations!$F$8),0.2*_xlfn.NORM.DIST(100,100,15,FALSE)*_xlfn.NORM.DIST(A42,Calculations!$F$3,Calculations!$F$4,FALSE)/_xlfn.NORM.DIST(Calculations!$F$3,Calculations!$F$3,Calculations!$F$4,FALSE),NA())</f>
        <v>#N/A</v>
      </c>
    </row>
    <row r="43" spans="1:13" x14ac:dyDescent="0.25">
      <c r="A43">
        <v>44.100000000000101</v>
      </c>
      <c r="B43">
        <f t="shared" si="0"/>
        <v>2.5648872189637549E-5</v>
      </c>
      <c r="C43" t="e">
        <f t="shared" si="1"/>
        <v>#N/A</v>
      </c>
      <c r="D43" t="e">
        <f t="shared" si="2"/>
        <v>#N/A</v>
      </c>
      <c r="E43" t="e">
        <f t="shared" si="3"/>
        <v>#N/A</v>
      </c>
      <c r="F43" t="e">
        <f t="shared" si="4"/>
        <v>#N/A</v>
      </c>
      <c r="G43" t="e">
        <f t="shared" si="5"/>
        <v>#N/A</v>
      </c>
      <c r="H43" t="e">
        <f t="shared" si="6"/>
        <v>#N/A</v>
      </c>
      <c r="I43" t="e">
        <f t="shared" si="7"/>
        <v>#N/A</v>
      </c>
      <c r="J43" t="e">
        <f t="shared" si="8"/>
        <v>#N/A</v>
      </c>
      <c r="K43">
        <f t="shared" si="9"/>
        <v>2.2564887218963755E-4</v>
      </c>
      <c r="L43" t="e">
        <f>IF(AND(ABS((ChartCalculations!A43-Calculations!$F$3)/Calculations!$F$4)&lt;5,OR(A43&lt;=Calculations!$F$7,A43&gt;=Calculations!$F$8)),0.2*_xlfn.NORM.DIST(100,100,15,FALSE)*_xlfn.NORM.DIST(A43,Calculations!$F$3,Calculations!$F$4,FALSE)/_xlfn.NORM.DIST(Calculations!$F$3,Calculations!$F$3,Calculations!$F$4,FALSE),NA())</f>
        <v>#N/A</v>
      </c>
      <c r="M43" t="e">
        <f>IF(AND(A43&gt;=Calculations!$F$7,A43&lt;=Calculations!$F$8),0.2*_xlfn.NORM.DIST(100,100,15,FALSE)*_xlfn.NORM.DIST(A43,Calculations!$F$3,Calculations!$F$4,FALSE)/_xlfn.NORM.DIST(Calculations!$F$3,Calculations!$F$3,Calculations!$F$4,FALSE),NA())</f>
        <v>#N/A</v>
      </c>
    </row>
    <row r="44" spans="1:13" x14ac:dyDescent="0.25">
      <c r="A44">
        <v>44.200000000000102</v>
      </c>
      <c r="B44">
        <f t="shared" si="0"/>
        <v>2.6293501664611118E-5</v>
      </c>
      <c r="C44" t="e">
        <f t="shared" si="1"/>
        <v>#N/A</v>
      </c>
      <c r="D44" t="e">
        <f t="shared" si="2"/>
        <v>#N/A</v>
      </c>
      <c r="E44" t="e">
        <f t="shared" si="3"/>
        <v>#N/A</v>
      </c>
      <c r="F44" t="e">
        <f t="shared" si="4"/>
        <v>#N/A</v>
      </c>
      <c r="G44" t="e">
        <f t="shared" si="5"/>
        <v>#N/A</v>
      </c>
      <c r="H44" t="e">
        <f t="shared" si="6"/>
        <v>#N/A</v>
      </c>
      <c r="I44" t="e">
        <f t="shared" si="7"/>
        <v>#N/A</v>
      </c>
      <c r="J44" t="e">
        <f t="shared" si="8"/>
        <v>#N/A</v>
      </c>
      <c r="K44">
        <f t="shared" si="9"/>
        <v>2.2629350166461113E-4</v>
      </c>
      <c r="L44" t="e">
        <f>IF(AND(ABS((ChartCalculations!A44-Calculations!$F$3)/Calculations!$F$4)&lt;5,OR(A44&lt;=Calculations!$F$7,A44&gt;=Calculations!$F$8)),0.2*_xlfn.NORM.DIST(100,100,15,FALSE)*_xlfn.NORM.DIST(A44,Calculations!$F$3,Calculations!$F$4,FALSE)/_xlfn.NORM.DIST(Calculations!$F$3,Calculations!$F$3,Calculations!$F$4,FALSE),NA())</f>
        <v>#N/A</v>
      </c>
      <c r="M44" t="e">
        <f>IF(AND(A44&gt;=Calculations!$F$7,A44&lt;=Calculations!$F$8),0.2*_xlfn.NORM.DIST(100,100,15,FALSE)*_xlfn.NORM.DIST(A44,Calculations!$F$3,Calculations!$F$4,FALSE)/_xlfn.NORM.DIST(Calculations!$F$3,Calculations!$F$3,Calculations!$F$4,FALSE),NA())</f>
        <v>#N/A</v>
      </c>
    </row>
    <row r="45" spans="1:13" x14ac:dyDescent="0.25">
      <c r="A45">
        <v>44.300000000000097</v>
      </c>
      <c r="B45">
        <f t="shared" si="0"/>
        <v>2.6953134577239585E-5</v>
      </c>
      <c r="C45" t="e">
        <f t="shared" si="1"/>
        <v>#N/A</v>
      </c>
      <c r="D45" t="e">
        <f t="shared" si="2"/>
        <v>#N/A</v>
      </c>
      <c r="E45" t="e">
        <f t="shared" si="3"/>
        <v>#N/A</v>
      </c>
      <c r="F45" t="e">
        <f t="shared" si="4"/>
        <v>#N/A</v>
      </c>
      <c r="G45" t="e">
        <f t="shared" si="5"/>
        <v>#N/A</v>
      </c>
      <c r="H45" t="e">
        <f t="shared" si="6"/>
        <v>#N/A</v>
      </c>
      <c r="I45" t="e">
        <f t="shared" si="7"/>
        <v>#N/A</v>
      </c>
      <c r="J45" t="e">
        <f t="shared" si="8"/>
        <v>#N/A</v>
      </c>
      <c r="K45">
        <f t="shared" si="9"/>
        <v>2.269531345772396E-4</v>
      </c>
      <c r="L45" t="e">
        <f>IF(AND(ABS((ChartCalculations!A45-Calculations!$F$3)/Calculations!$F$4)&lt;5,OR(A45&lt;=Calculations!$F$7,A45&gt;=Calculations!$F$8)),0.2*_xlfn.NORM.DIST(100,100,15,FALSE)*_xlfn.NORM.DIST(A45,Calculations!$F$3,Calculations!$F$4,FALSE)/_xlfn.NORM.DIST(Calculations!$F$3,Calculations!$F$3,Calculations!$F$4,FALSE),NA())</f>
        <v>#N/A</v>
      </c>
      <c r="M45" t="e">
        <f>IF(AND(A45&gt;=Calculations!$F$7,A45&lt;=Calculations!$F$8),0.2*_xlfn.NORM.DIST(100,100,15,FALSE)*_xlfn.NORM.DIST(A45,Calculations!$F$3,Calculations!$F$4,FALSE)/_xlfn.NORM.DIST(Calculations!$F$3,Calculations!$F$3,Calculations!$F$4,FALSE),NA())</f>
        <v>#N/A</v>
      </c>
    </row>
    <row r="46" spans="1:13" x14ac:dyDescent="0.25">
      <c r="A46">
        <v>44.400000000000098</v>
      </c>
      <c r="B46">
        <f t="shared" si="0"/>
        <v>2.7628087955032838E-5</v>
      </c>
      <c r="C46" t="e">
        <f t="shared" si="1"/>
        <v>#N/A</v>
      </c>
      <c r="D46" t="e">
        <f t="shared" si="2"/>
        <v>#N/A</v>
      </c>
      <c r="E46" t="e">
        <f t="shared" si="3"/>
        <v>#N/A</v>
      </c>
      <c r="F46" t="e">
        <f t="shared" si="4"/>
        <v>#N/A</v>
      </c>
      <c r="G46" t="e">
        <f t="shared" si="5"/>
        <v>#N/A</v>
      </c>
      <c r="H46" t="e">
        <f t="shared" si="6"/>
        <v>#N/A</v>
      </c>
      <c r="I46" t="e">
        <f t="shared" si="7"/>
        <v>#N/A</v>
      </c>
      <c r="J46" t="e">
        <f t="shared" si="8"/>
        <v>#N/A</v>
      </c>
      <c r="K46">
        <f t="shared" si="9"/>
        <v>2.2762808795503286E-4</v>
      </c>
      <c r="L46" t="e">
        <f>IF(AND(ABS((ChartCalculations!A46-Calculations!$F$3)/Calculations!$F$4)&lt;5,OR(A46&lt;=Calculations!$F$7,A46&gt;=Calculations!$F$8)),0.2*_xlfn.NORM.DIST(100,100,15,FALSE)*_xlfn.NORM.DIST(A46,Calculations!$F$3,Calculations!$F$4,FALSE)/_xlfn.NORM.DIST(Calculations!$F$3,Calculations!$F$3,Calculations!$F$4,FALSE),NA())</f>
        <v>#N/A</v>
      </c>
      <c r="M46" t="e">
        <f>IF(AND(A46&gt;=Calculations!$F$7,A46&lt;=Calculations!$F$8),0.2*_xlfn.NORM.DIST(100,100,15,FALSE)*_xlfn.NORM.DIST(A46,Calculations!$F$3,Calculations!$F$4,FALSE)/_xlfn.NORM.DIST(Calculations!$F$3,Calculations!$F$3,Calculations!$F$4,FALSE),NA())</f>
        <v>#N/A</v>
      </c>
    </row>
    <row r="47" spans="1:13" x14ac:dyDescent="0.25">
      <c r="A47">
        <v>44.500000000000099</v>
      </c>
      <c r="B47">
        <f t="shared" si="0"/>
        <v>2.8318684703384135E-5</v>
      </c>
      <c r="C47" t="e">
        <f t="shared" si="1"/>
        <v>#N/A</v>
      </c>
      <c r="D47" t="e">
        <f t="shared" si="2"/>
        <v>#N/A</v>
      </c>
      <c r="E47" t="e">
        <f t="shared" si="3"/>
        <v>#N/A</v>
      </c>
      <c r="F47" t="e">
        <f t="shared" si="4"/>
        <v>#N/A</v>
      </c>
      <c r="G47" t="e">
        <f t="shared" si="5"/>
        <v>#N/A</v>
      </c>
      <c r="H47" t="e">
        <f t="shared" si="6"/>
        <v>#N/A</v>
      </c>
      <c r="I47" t="e">
        <f t="shared" si="7"/>
        <v>#N/A</v>
      </c>
      <c r="J47" t="e">
        <f t="shared" si="8"/>
        <v>#N/A</v>
      </c>
      <c r="K47">
        <f t="shared" si="9"/>
        <v>2.2831868470338414E-4</v>
      </c>
      <c r="L47" t="e">
        <f>IF(AND(ABS((ChartCalculations!A47-Calculations!$F$3)/Calculations!$F$4)&lt;5,OR(A47&lt;=Calculations!$F$7,A47&gt;=Calculations!$F$8)),0.2*_xlfn.NORM.DIST(100,100,15,FALSE)*_xlfn.NORM.DIST(A47,Calculations!$F$3,Calculations!$F$4,FALSE)/_xlfn.NORM.DIST(Calculations!$F$3,Calculations!$F$3,Calculations!$F$4,FALSE),NA())</f>
        <v>#N/A</v>
      </c>
      <c r="M47" t="e">
        <f>IF(AND(A47&gt;=Calculations!$F$7,A47&lt;=Calculations!$F$8),0.2*_xlfn.NORM.DIST(100,100,15,FALSE)*_xlfn.NORM.DIST(A47,Calculations!$F$3,Calculations!$F$4,FALSE)/_xlfn.NORM.DIST(Calculations!$F$3,Calculations!$F$3,Calculations!$F$4,FALSE),NA())</f>
        <v>#N/A</v>
      </c>
    </row>
    <row r="48" spans="1:13" x14ac:dyDescent="0.25">
      <c r="A48">
        <v>44.600000000000101</v>
      </c>
      <c r="B48">
        <f t="shared" si="0"/>
        <v>2.9025253694640915E-5</v>
      </c>
      <c r="C48" t="e">
        <f t="shared" si="1"/>
        <v>#N/A</v>
      </c>
      <c r="D48" t="e">
        <f t="shared" si="2"/>
        <v>#N/A</v>
      </c>
      <c r="E48" t="e">
        <f t="shared" si="3"/>
        <v>#N/A</v>
      </c>
      <c r="F48" t="e">
        <f t="shared" si="4"/>
        <v>#N/A</v>
      </c>
      <c r="G48" t="e">
        <f t="shared" si="5"/>
        <v>#N/A</v>
      </c>
      <c r="H48" t="e">
        <f t="shared" si="6"/>
        <v>#N/A</v>
      </c>
      <c r="I48" t="e">
        <f t="shared" si="7"/>
        <v>#N/A</v>
      </c>
      <c r="J48" t="e">
        <f t="shared" si="8"/>
        <v>#N/A</v>
      </c>
      <c r="K48">
        <f t="shared" si="9"/>
        <v>2.2902525369464092E-4</v>
      </c>
      <c r="L48" t="e">
        <f>IF(AND(ABS((ChartCalculations!A48-Calculations!$F$3)/Calculations!$F$4)&lt;5,OR(A48&lt;=Calculations!$F$7,A48&gt;=Calculations!$F$8)),0.2*_xlfn.NORM.DIST(100,100,15,FALSE)*_xlfn.NORM.DIST(A48,Calculations!$F$3,Calculations!$F$4,FALSE)/_xlfn.NORM.DIST(Calculations!$F$3,Calculations!$F$3,Calculations!$F$4,FALSE),NA())</f>
        <v>#N/A</v>
      </c>
      <c r="M48" t="e">
        <f>IF(AND(A48&gt;=Calculations!$F$7,A48&lt;=Calculations!$F$8),0.2*_xlfn.NORM.DIST(100,100,15,FALSE)*_xlfn.NORM.DIST(A48,Calculations!$F$3,Calculations!$F$4,FALSE)/_xlfn.NORM.DIST(Calculations!$F$3,Calculations!$F$3,Calculations!$F$4,FALSE),NA())</f>
        <v>#N/A</v>
      </c>
    </row>
    <row r="49" spans="1:13" x14ac:dyDescent="0.25">
      <c r="A49">
        <v>44.700000000000102</v>
      </c>
      <c r="B49">
        <f t="shared" si="0"/>
        <v>2.9748129858061926E-5</v>
      </c>
      <c r="C49" t="e">
        <f t="shared" si="1"/>
        <v>#N/A</v>
      </c>
      <c r="D49" t="e">
        <f t="shared" si="2"/>
        <v>#N/A</v>
      </c>
      <c r="E49" t="e">
        <f t="shared" si="3"/>
        <v>#N/A</v>
      </c>
      <c r="F49" t="e">
        <f t="shared" si="4"/>
        <v>#N/A</v>
      </c>
      <c r="G49" t="e">
        <f t="shared" si="5"/>
        <v>#N/A</v>
      </c>
      <c r="H49" t="e">
        <f t="shared" si="6"/>
        <v>#N/A</v>
      </c>
      <c r="I49" t="e">
        <f t="shared" si="7"/>
        <v>#N/A</v>
      </c>
      <c r="J49" t="e">
        <f t="shared" si="8"/>
        <v>#N/A</v>
      </c>
      <c r="K49">
        <f t="shared" si="9"/>
        <v>2.2974812985806194E-4</v>
      </c>
      <c r="L49" t="e">
        <f>IF(AND(ABS((ChartCalculations!A49-Calculations!$F$3)/Calculations!$F$4)&lt;5,OR(A49&lt;=Calculations!$F$7,A49&gt;=Calculations!$F$8)),0.2*_xlfn.NORM.DIST(100,100,15,FALSE)*_xlfn.NORM.DIST(A49,Calculations!$F$3,Calculations!$F$4,FALSE)/_xlfn.NORM.DIST(Calculations!$F$3,Calculations!$F$3,Calculations!$F$4,FALSE),NA())</f>
        <v>#N/A</v>
      </c>
      <c r="M49" t="e">
        <f>IF(AND(A49&gt;=Calculations!$F$7,A49&lt;=Calculations!$F$8),0.2*_xlfn.NORM.DIST(100,100,15,FALSE)*_xlfn.NORM.DIST(A49,Calculations!$F$3,Calculations!$F$4,FALSE)/_xlfn.NORM.DIST(Calculations!$F$3,Calculations!$F$3,Calculations!$F$4,FALSE),NA())</f>
        <v>#N/A</v>
      </c>
    </row>
    <row r="50" spans="1:13" x14ac:dyDescent="0.25">
      <c r="A50">
        <v>44.800000000000097</v>
      </c>
      <c r="B50">
        <f t="shared" si="0"/>
        <v>3.0487654270657849E-5</v>
      </c>
      <c r="C50" t="e">
        <f t="shared" si="1"/>
        <v>#N/A</v>
      </c>
      <c r="D50" t="e">
        <f t="shared" si="2"/>
        <v>#N/A</v>
      </c>
      <c r="E50" t="e">
        <f t="shared" si="3"/>
        <v>#N/A</v>
      </c>
      <c r="F50" t="e">
        <f t="shared" si="4"/>
        <v>#N/A</v>
      </c>
      <c r="G50" t="e">
        <f t="shared" si="5"/>
        <v>#N/A</v>
      </c>
      <c r="H50" t="e">
        <f t="shared" si="6"/>
        <v>#N/A</v>
      </c>
      <c r="I50" t="e">
        <f t="shared" si="7"/>
        <v>#N/A</v>
      </c>
      <c r="J50" t="e">
        <f t="shared" si="8"/>
        <v>#N/A</v>
      </c>
      <c r="K50">
        <f t="shared" si="9"/>
        <v>2.3048765427065787E-4</v>
      </c>
      <c r="L50" t="e">
        <f>IF(AND(ABS((ChartCalculations!A50-Calculations!$F$3)/Calculations!$F$4)&lt;5,OR(A50&lt;=Calculations!$F$7,A50&gt;=Calculations!$F$8)),0.2*_xlfn.NORM.DIST(100,100,15,FALSE)*_xlfn.NORM.DIST(A50,Calculations!$F$3,Calculations!$F$4,FALSE)/_xlfn.NORM.DIST(Calculations!$F$3,Calculations!$F$3,Calculations!$F$4,FALSE),NA())</f>
        <v>#N/A</v>
      </c>
      <c r="M50" t="e">
        <f>IF(AND(A50&gt;=Calculations!$F$7,A50&lt;=Calculations!$F$8),0.2*_xlfn.NORM.DIST(100,100,15,FALSE)*_xlfn.NORM.DIST(A50,Calculations!$F$3,Calculations!$F$4,FALSE)/_xlfn.NORM.DIST(Calculations!$F$3,Calculations!$F$3,Calculations!$F$4,FALSE),NA())</f>
        <v>#N/A</v>
      </c>
    </row>
    <row r="51" spans="1:13" x14ac:dyDescent="0.25">
      <c r="A51">
        <v>44.900000000000098</v>
      </c>
      <c r="B51">
        <f t="shared" si="0"/>
        <v>3.1244174248913646E-5</v>
      </c>
      <c r="C51" t="e">
        <f t="shared" si="1"/>
        <v>#N/A</v>
      </c>
      <c r="D51" t="e">
        <f t="shared" si="2"/>
        <v>#N/A</v>
      </c>
      <c r="E51" t="e">
        <f t="shared" si="3"/>
        <v>#N/A</v>
      </c>
      <c r="F51" t="e">
        <f t="shared" si="4"/>
        <v>#N/A</v>
      </c>
      <c r="G51" t="e">
        <f t="shared" si="5"/>
        <v>#N/A</v>
      </c>
      <c r="H51" t="e">
        <f t="shared" si="6"/>
        <v>#N/A</v>
      </c>
      <c r="I51" t="e">
        <f t="shared" si="7"/>
        <v>#N/A</v>
      </c>
      <c r="J51" t="e">
        <f t="shared" si="8"/>
        <v>#N/A</v>
      </c>
      <c r="K51">
        <f t="shared" si="9"/>
        <v>2.3124417424891366E-4</v>
      </c>
      <c r="L51" t="e">
        <f>IF(AND(ABS((ChartCalculations!A51-Calculations!$F$3)/Calculations!$F$4)&lt;5,OR(A51&lt;=Calculations!$F$7,A51&gt;=Calculations!$F$8)),0.2*_xlfn.NORM.DIST(100,100,15,FALSE)*_xlfn.NORM.DIST(A51,Calculations!$F$3,Calculations!$F$4,FALSE)/_xlfn.NORM.DIST(Calculations!$F$3,Calculations!$F$3,Calculations!$F$4,FALSE),NA())</f>
        <v>#N/A</v>
      </c>
      <c r="M51" t="e">
        <f>IF(AND(A51&gt;=Calculations!$F$7,A51&lt;=Calculations!$F$8),0.2*_xlfn.NORM.DIST(100,100,15,FALSE)*_xlfn.NORM.DIST(A51,Calculations!$F$3,Calculations!$F$4,FALSE)/_xlfn.NORM.DIST(Calculations!$F$3,Calculations!$F$3,Calculations!$F$4,FALSE),NA())</f>
        <v>#N/A</v>
      </c>
    </row>
    <row r="52" spans="1:13" x14ac:dyDescent="0.25">
      <c r="A52">
        <v>45.000000000000099</v>
      </c>
      <c r="B52">
        <f t="shared" si="0"/>
        <v>3.2018043441388816E-5</v>
      </c>
      <c r="C52" t="e">
        <f t="shared" si="1"/>
        <v>#N/A</v>
      </c>
      <c r="D52" t="e">
        <f t="shared" si="2"/>
        <v>#N/A</v>
      </c>
      <c r="E52" t="e">
        <f t="shared" si="3"/>
        <v>#N/A</v>
      </c>
      <c r="F52" t="e">
        <f t="shared" si="4"/>
        <v>#N/A</v>
      </c>
      <c r="G52" t="e">
        <f t="shared" si="5"/>
        <v>#N/A</v>
      </c>
      <c r="H52" t="e">
        <f t="shared" si="6"/>
        <v>#N/A</v>
      </c>
      <c r="I52" t="e">
        <f t="shared" si="7"/>
        <v>#N/A</v>
      </c>
      <c r="J52" t="e">
        <f t="shared" si="8"/>
        <v>#N/A</v>
      </c>
      <c r="K52">
        <f t="shared" si="9"/>
        <v>2.3201804344138882E-4</v>
      </c>
      <c r="L52" t="e">
        <f>IF(AND(ABS((ChartCalculations!A52-Calculations!$F$3)/Calculations!$F$4)&lt;5,OR(A52&lt;=Calculations!$F$7,A52&gt;=Calculations!$F$8)),0.2*_xlfn.NORM.DIST(100,100,15,FALSE)*_xlfn.NORM.DIST(A52,Calculations!$F$3,Calculations!$F$4,FALSE)/_xlfn.NORM.DIST(Calculations!$F$3,Calculations!$F$3,Calculations!$F$4,FALSE),NA())</f>
        <v>#N/A</v>
      </c>
      <c r="M52" t="e">
        <f>IF(AND(A52&gt;=Calculations!$F$7,A52&lt;=Calculations!$F$8),0.2*_xlfn.NORM.DIST(100,100,15,FALSE)*_xlfn.NORM.DIST(A52,Calculations!$F$3,Calculations!$F$4,FALSE)/_xlfn.NORM.DIST(Calculations!$F$3,Calculations!$F$3,Calculations!$F$4,FALSE),NA())</f>
        <v>#N/A</v>
      </c>
    </row>
    <row r="53" spans="1:13" x14ac:dyDescent="0.25">
      <c r="A53">
        <v>45.100000000000101</v>
      </c>
      <c r="B53">
        <f t="shared" si="0"/>
        <v>3.2809621922193693E-5</v>
      </c>
      <c r="C53" t="e">
        <f t="shared" si="1"/>
        <v>#N/A</v>
      </c>
      <c r="D53" t="e">
        <f t="shared" si="2"/>
        <v>#N/A</v>
      </c>
      <c r="E53" t="e">
        <f t="shared" si="3"/>
        <v>#N/A</v>
      </c>
      <c r="F53" t="e">
        <f t="shared" si="4"/>
        <v>#N/A</v>
      </c>
      <c r="G53" t="e">
        <f t="shared" si="5"/>
        <v>#N/A</v>
      </c>
      <c r="H53" t="e">
        <f t="shared" si="6"/>
        <v>#N/A</v>
      </c>
      <c r="I53" t="e">
        <f t="shared" si="7"/>
        <v>#N/A</v>
      </c>
      <c r="J53" t="e">
        <f t="shared" si="8"/>
        <v>#N/A</v>
      </c>
      <c r="K53">
        <f t="shared" si="9"/>
        <v>2.328096219221937E-4</v>
      </c>
      <c r="L53" t="e">
        <f>IF(AND(ABS((ChartCalculations!A53-Calculations!$F$3)/Calculations!$F$4)&lt;5,OR(A53&lt;=Calculations!$F$7,A53&gt;=Calculations!$F$8)),0.2*_xlfn.NORM.DIST(100,100,15,FALSE)*_xlfn.NORM.DIST(A53,Calculations!$F$3,Calculations!$F$4,FALSE)/_xlfn.NORM.DIST(Calculations!$F$3,Calculations!$F$3,Calculations!$F$4,FALSE),NA())</f>
        <v>#N/A</v>
      </c>
      <c r="M53" t="e">
        <f>IF(AND(A53&gt;=Calculations!$F$7,A53&lt;=Calculations!$F$8),0.2*_xlfn.NORM.DIST(100,100,15,FALSE)*_xlfn.NORM.DIST(A53,Calculations!$F$3,Calculations!$F$4,FALSE)/_xlfn.NORM.DIST(Calculations!$F$3,Calculations!$F$3,Calculations!$F$4,FALSE),NA())</f>
        <v>#N/A</v>
      </c>
    </row>
    <row r="54" spans="1:13" x14ac:dyDescent="0.25">
      <c r="A54">
        <v>45.200000000000102</v>
      </c>
      <c r="B54">
        <f t="shared" si="0"/>
        <v>3.36192762853374E-5</v>
      </c>
      <c r="C54" t="e">
        <f t="shared" si="1"/>
        <v>#N/A</v>
      </c>
      <c r="D54" t="e">
        <f t="shared" si="2"/>
        <v>#N/A</v>
      </c>
      <c r="E54" t="e">
        <f t="shared" si="3"/>
        <v>#N/A</v>
      </c>
      <c r="F54" t="e">
        <f t="shared" si="4"/>
        <v>#N/A</v>
      </c>
      <c r="G54" t="e">
        <f t="shared" si="5"/>
        <v>#N/A</v>
      </c>
      <c r="H54" t="e">
        <f t="shared" si="6"/>
        <v>#N/A</v>
      </c>
      <c r="I54" t="e">
        <f t="shared" si="7"/>
        <v>#N/A</v>
      </c>
      <c r="J54" t="e">
        <f t="shared" si="8"/>
        <v>#N/A</v>
      </c>
      <c r="K54">
        <f t="shared" si="9"/>
        <v>2.336192762853374E-4</v>
      </c>
      <c r="L54" t="e">
        <f>IF(AND(ABS((ChartCalculations!A54-Calculations!$F$3)/Calculations!$F$4)&lt;5,OR(A54&lt;=Calculations!$F$7,A54&gt;=Calculations!$F$8)),0.2*_xlfn.NORM.DIST(100,100,15,FALSE)*_xlfn.NORM.DIST(A54,Calculations!$F$3,Calculations!$F$4,FALSE)/_xlfn.NORM.DIST(Calculations!$F$3,Calculations!$F$3,Calculations!$F$4,FALSE),NA())</f>
        <v>#N/A</v>
      </c>
      <c r="M54" t="e">
        <f>IF(AND(A54&gt;=Calculations!$F$7,A54&lt;=Calculations!$F$8),0.2*_xlfn.NORM.DIST(100,100,15,FALSE)*_xlfn.NORM.DIST(A54,Calculations!$F$3,Calculations!$F$4,FALSE)/_xlfn.NORM.DIST(Calculations!$F$3,Calculations!$F$3,Calculations!$F$4,FALSE),NA())</f>
        <v>#N/A</v>
      </c>
    </row>
    <row r="55" spans="1:13" x14ac:dyDescent="0.25">
      <c r="A55">
        <v>45.300000000000097</v>
      </c>
      <c r="B55">
        <f t="shared" si="0"/>
        <v>3.4447379739943447E-5</v>
      </c>
      <c r="C55" t="e">
        <f t="shared" si="1"/>
        <v>#N/A</v>
      </c>
      <c r="D55" t="e">
        <f t="shared" si="2"/>
        <v>#N/A</v>
      </c>
      <c r="E55" t="e">
        <f t="shared" si="3"/>
        <v>#N/A</v>
      </c>
      <c r="F55" t="e">
        <f t="shared" si="4"/>
        <v>#N/A</v>
      </c>
      <c r="G55" t="e">
        <f t="shared" si="5"/>
        <v>#N/A</v>
      </c>
      <c r="H55" t="e">
        <f t="shared" si="6"/>
        <v>#N/A</v>
      </c>
      <c r="I55" t="e">
        <f t="shared" si="7"/>
        <v>#N/A</v>
      </c>
      <c r="J55" t="e">
        <f t="shared" si="8"/>
        <v>#N/A</v>
      </c>
      <c r="K55">
        <f t="shared" si="9"/>
        <v>2.3444737973994347E-4</v>
      </c>
      <c r="L55" t="e">
        <f>IF(AND(ABS((ChartCalculations!A55-Calculations!$F$3)/Calculations!$F$4)&lt;5,OR(A55&lt;=Calculations!$F$7,A55&gt;=Calculations!$F$8)),0.2*_xlfn.NORM.DIST(100,100,15,FALSE)*_xlfn.NORM.DIST(A55,Calculations!$F$3,Calculations!$F$4,FALSE)/_xlfn.NORM.DIST(Calculations!$F$3,Calculations!$F$3,Calculations!$F$4,FALSE),NA())</f>
        <v>#N/A</v>
      </c>
      <c r="M55" t="e">
        <f>IF(AND(A55&gt;=Calculations!$F$7,A55&lt;=Calculations!$F$8),0.2*_xlfn.NORM.DIST(100,100,15,FALSE)*_xlfn.NORM.DIST(A55,Calculations!$F$3,Calculations!$F$4,FALSE)/_xlfn.NORM.DIST(Calculations!$F$3,Calculations!$F$3,Calculations!$F$4,FALSE),NA())</f>
        <v>#N/A</v>
      </c>
    </row>
    <row r="56" spans="1:13" x14ac:dyDescent="0.25">
      <c r="A56">
        <v>45.400000000000098</v>
      </c>
      <c r="B56">
        <f t="shared" si="0"/>
        <v>3.5294312206329824E-5</v>
      </c>
      <c r="C56" t="e">
        <f t="shared" si="1"/>
        <v>#N/A</v>
      </c>
      <c r="D56" t="e">
        <f t="shared" si="2"/>
        <v>#N/A</v>
      </c>
      <c r="E56" t="e">
        <f t="shared" si="3"/>
        <v>#N/A</v>
      </c>
      <c r="F56" t="e">
        <f t="shared" si="4"/>
        <v>#N/A</v>
      </c>
      <c r="G56" t="e">
        <f t="shared" si="5"/>
        <v>#N/A</v>
      </c>
      <c r="H56" t="e">
        <f t="shared" si="6"/>
        <v>#N/A</v>
      </c>
      <c r="I56" t="e">
        <f t="shared" si="7"/>
        <v>#N/A</v>
      </c>
      <c r="J56" t="e">
        <f t="shared" si="8"/>
        <v>#N/A</v>
      </c>
      <c r="K56">
        <f t="shared" si="9"/>
        <v>2.3529431220632984E-4</v>
      </c>
      <c r="L56" t="e">
        <f>IF(AND(ABS((ChartCalculations!A56-Calculations!$F$3)/Calculations!$F$4)&lt;5,OR(A56&lt;=Calculations!$F$7,A56&gt;=Calculations!$F$8)),0.2*_xlfn.NORM.DIST(100,100,15,FALSE)*_xlfn.NORM.DIST(A56,Calculations!$F$3,Calculations!$F$4,FALSE)/_xlfn.NORM.DIST(Calculations!$F$3,Calculations!$F$3,Calculations!$F$4,FALSE),NA())</f>
        <v>#N/A</v>
      </c>
      <c r="M56" t="e">
        <f>IF(AND(A56&gt;=Calculations!$F$7,A56&lt;=Calculations!$F$8),0.2*_xlfn.NORM.DIST(100,100,15,FALSE)*_xlfn.NORM.DIST(A56,Calculations!$F$3,Calculations!$F$4,FALSE)/_xlfn.NORM.DIST(Calculations!$F$3,Calculations!$F$3,Calculations!$F$4,FALSE),NA())</f>
        <v>#N/A</v>
      </c>
    </row>
    <row r="57" spans="1:13" x14ac:dyDescent="0.25">
      <c r="A57">
        <v>45.500000000000099</v>
      </c>
      <c r="B57">
        <f t="shared" si="0"/>
        <v>3.6160460412947411E-5</v>
      </c>
      <c r="C57" t="e">
        <f t="shared" si="1"/>
        <v>#N/A</v>
      </c>
      <c r="D57" t="e">
        <f t="shared" si="2"/>
        <v>#N/A</v>
      </c>
      <c r="E57" t="e">
        <f t="shared" si="3"/>
        <v>#N/A</v>
      </c>
      <c r="F57" t="e">
        <f t="shared" si="4"/>
        <v>#N/A</v>
      </c>
      <c r="G57" t="e">
        <f t="shared" si="5"/>
        <v>#N/A</v>
      </c>
      <c r="H57" t="e">
        <f t="shared" si="6"/>
        <v>#N/A</v>
      </c>
      <c r="I57" t="e">
        <f t="shared" si="7"/>
        <v>#N/A</v>
      </c>
      <c r="J57" t="e">
        <f t="shared" si="8"/>
        <v>#N/A</v>
      </c>
      <c r="K57">
        <f t="shared" si="9"/>
        <v>2.3616046041294742E-4</v>
      </c>
      <c r="L57" t="e">
        <f>IF(AND(ABS((ChartCalculations!A57-Calculations!$F$3)/Calculations!$F$4)&lt;5,OR(A57&lt;=Calculations!$F$7,A57&gt;=Calculations!$F$8)),0.2*_xlfn.NORM.DIST(100,100,15,FALSE)*_xlfn.NORM.DIST(A57,Calculations!$F$3,Calculations!$F$4,FALSE)/_xlfn.NORM.DIST(Calculations!$F$3,Calculations!$F$3,Calculations!$F$4,FALSE),NA())</f>
        <v>#N/A</v>
      </c>
      <c r="M57" t="e">
        <f>IF(AND(A57&gt;=Calculations!$F$7,A57&lt;=Calculations!$F$8),0.2*_xlfn.NORM.DIST(100,100,15,FALSE)*_xlfn.NORM.DIST(A57,Calculations!$F$3,Calculations!$F$4,FALSE)/_xlfn.NORM.DIST(Calculations!$F$3,Calculations!$F$3,Calculations!$F$4,FALSE),NA())</f>
        <v>#N/A</v>
      </c>
    </row>
    <row r="58" spans="1:13" x14ac:dyDescent="0.25">
      <c r="A58">
        <v>45.600000000000101</v>
      </c>
      <c r="B58">
        <f t="shared" si="0"/>
        <v>3.7046217994173024E-5</v>
      </c>
      <c r="C58" t="e">
        <f t="shared" si="1"/>
        <v>#N/A</v>
      </c>
      <c r="D58" t="e">
        <f t="shared" si="2"/>
        <v>#N/A</v>
      </c>
      <c r="E58" t="e">
        <f t="shared" si="3"/>
        <v>#N/A</v>
      </c>
      <c r="F58" t="e">
        <f t="shared" si="4"/>
        <v>#N/A</v>
      </c>
      <c r="G58" t="e">
        <f t="shared" si="5"/>
        <v>#N/A</v>
      </c>
      <c r="H58" t="e">
        <f t="shared" si="6"/>
        <v>#N/A</v>
      </c>
      <c r="I58" t="e">
        <f t="shared" si="7"/>
        <v>#N/A</v>
      </c>
      <c r="J58" t="e">
        <f t="shared" si="8"/>
        <v>#N/A</v>
      </c>
      <c r="K58">
        <f t="shared" si="9"/>
        <v>2.3704621799417304E-4</v>
      </c>
      <c r="L58" t="e">
        <f>IF(AND(ABS((ChartCalculations!A58-Calculations!$F$3)/Calculations!$F$4)&lt;5,OR(A58&lt;=Calculations!$F$7,A58&gt;=Calculations!$F$8)),0.2*_xlfn.NORM.DIST(100,100,15,FALSE)*_xlfn.NORM.DIST(A58,Calculations!$F$3,Calculations!$F$4,FALSE)/_xlfn.NORM.DIST(Calculations!$F$3,Calculations!$F$3,Calculations!$F$4,FALSE),NA())</f>
        <v>#N/A</v>
      </c>
      <c r="M58" t="e">
        <f>IF(AND(A58&gt;=Calculations!$F$7,A58&lt;=Calculations!$F$8),0.2*_xlfn.NORM.DIST(100,100,15,FALSE)*_xlfn.NORM.DIST(A58,Calculations!$F$3,Calculations!$F$4,FALSE)/_xlfn.NORM.DIST(Calculations!$F$3,Calculations!$F$3,Calculations!$F$4,FALSE),NA())</f>
        <v>#N/A</v>
      </c>
    </row>
    <row r="59" spans="1:13" x14ac:dyDescent="0.25">
      <c r="A59">
        <v>45.700000000000102</v>
      </c>
      <c r="B59">
        <f t="shared" si="0"/>
        <v>3.7951985588951154E-5</v>
      </c>
      <c r="C59" t="e">
        <f t="shared" si="1"/>
        <v>#N/A</v>
      </c>
      <c r="D59" t="e">
        <f t="shared" si="2"/>
        <v>#N/A</v>
      </c>
      <c r="E59" t="e">
        <f t="shared" si="3"/>
        <v>#N/A</v>
      </c>
      <c r="F59" t="e">
        <f t="shared" si="4"/>
        <v>#N/A</v>
      </c>
      <c r="G59" t="e">
        <f t="shared" si="5"/>
        <v>#N/A</v>
      </c>
      <c r="H59" t="e">
        <f t="shared" si="6"/>
        <v>#N/A</v>
      </c>
      <c r="I59" t="e">
        <f t="shared" si="7"/>
        <v>#N/A</v>
      </c>
      <c r="J59" t="e">
        <f t="shared" si="8"/>
        <v>#N/A</v>
      </c>
      <c r="K59">
        <f t="shared" si="9"/>
        <v>2.3795198558895116E-4</v>
      </c>
      <c r="L59" t="e">
        <f>IF(AND(ABS((ChartCalculations!A59-Calculations!$F$3)/Calculations!$F$4)&lt;5,OR(A59&lt;=Calculations!$F$7,A59&gt;=Calculations!$F$8)),0.2*_xlfn.NORM.DIST(100,100,15,FALSE)*_xlfn.NORM.DIST(A59,Calculations!$F$3,Calculations!$F$4,FALSE)/_xlfn.NORM.DIST(Calculations!$F$3,Calculations!$F$3,Calculations!$F$4,FALSE),NA())</f>
        <v>#N/A</v>
      </c>
      <c r="M59" t="e">
        <f>IF(AND(A59&gt;=Calculations!$F$7,A59&lt;=Calculations!$F$8),0.2*_xlfn.NORM.DIST(100,100,15,FALSE)*_xlfn.NORM.DIST(A59,Calculations!$F$3,Calculations!$F$4,FALSE)/_xlfn.NORM.DIST(Calculations!$F$3,Calculations!$F$3,Calculations!$F$4,FALSE),NA())</f>
        <v>#N/A</v>
      </c>
    </row>
    <row r="60" spans="1:13" x14ac:dyDescent="0.25">
      <c r="A60">
        <v>45.800000000000097</v>
      </c>
      <c r="B60">
        <f t="shared" si="0"/>
        <v>3.8878170940278272E-5</v>
      </c>
      <c r="C60" t="e">
        <f t="shared" si="1"/>
        <v>#N/A</v>
      </c>
      <c r="D60" t="e">
        <f t="shared" si="2"/>
        <v>#N/A</v>
      </c>
      <c r="E60" t="e">
        <f t="shared" si="3"/>
        <v>#N/A</v>
      </c>
      <c r="F60" t="e">
        <f t="shared" si="4"/>
        <v>#N/A</v>
      </c>
      <c r="G60" t="e">
        <f t="shared" si="5"/>
        <v>#N/A</v>
      </c>
      <c r="H60" t="e">
        <f t="shared" si="6"/>
        <v>#N/A</v>
      </c>
      <c r="I60" t="e">
        <f t="shared" si="7"/>
        <v>#N/A</v>
      </c>
      <c r="J60" t="e">
        <f t="shared" si="8"/>
        <v>#N/A</v>
      </c>
      <c r="K60">
        <f t="shared" si="9"/>
        <v>2.3887817094027828E-4</v>
      </c>
      <c r="L60" t="e">
        <f>IF(AND(ABS((ChartCalculations!A60-Calculations!$F$3)/Calculations!$F$4)&lt;5,OR(A60&lt;=Calculations!$F$7,A60&gt;=Calculations!$F$8)),0.2*_xlfn.NORM.DIST(100,100,15,FALSE)*_xlfn.NORM.DIST(A60,Calculations!$F$3,Calculations!$F$4,FALSE)/_xlfn.NORM.DIST(Calculations!$F$3,Calculations!$F$3,Calculations!$F$4,FALSE),NA())</f>
        <v>#N/A</v>
      </c>
      <c r="M60" t="e">
        <f>IF(AND(A60&gt;=Calculations!$F$7,A60&lt;=Calculations!$F$8),0.2*_xlfn.NORM.DIST(100,100,15,FALSE)*_xlfn.NORM.DIST(A60,Calculations!$F$3,Calculations!$F$4,FALSE)/_xlfn.NORM.DIST(Calculations!$F$3,Calculations!$F$3,Calculations!$F$4,FALSE),NA())</f>
        <v>#N/A</v>
      </c>
    </row>
    <row r="61" spans="1:13" x14ac:dyDescent="0.25">
      <c r="A61">
        <v>45.900000000000098</v>
      </c>
      <c r="B61">
        <f t="shared" si="0"/>
        <v>3.982518899552483E-5</v>
      </c>
      <c r="C61" t="e">
        <f t="shared" si="1"/>
        <v>#N/A</v>
      </c>
      <c r="D61" t="e">
        <f t="shared" si="2"/>
        <v>#N/A</v>
      </c>
      <c r="E61" t="e">
        <f t="shared" si="3"/>
        <v>#N/A</v>
      </c>
      <c r="F61" t="e">
        <f t="shared" si="4"/>
        <v>#N/A</v>
      </c>
      <c r="G61" t="e">
        <f t="shared" si="5"/>
        <v>#N/A</v>
      </c>
      <c r="H61" t="e">
        <f t="shared" si="6"/>
        <v>#N/A</v>
      </c>
      <c r="I61" t="e">
        <f t="shared" si="7"/>
        <v>#N/A</v>
      </c>
      <c r="J61" t="e">
        <f t="shared" si="8"/>
        <v>#N/A</v>
      </c>
      <c r="K61">
        <f t="shared" si="9"/>
        <v>2.3982518899552484E-4</v>
      </c>
      <c r="L61" t="e">
        <f>IF(AND(ABS((ChartCalculations!A61-Calculations!$F$3)/Calculations!$F$4)&lt;5,OR(A61&lt;=Calculations!$F$7,A61&gt;=Calculations!$F$8)),0.2*_xlfn.NORM.DIST(100,100,15,FALSE)*_xlfn.NORM.DIST(A61,Calculations!$F$3,Calculations!$F$4,FALSE)/_xlfn.NORM.DIST(Calculations!$F$3,Calculations!$F$3,Calculations!$F$4,FALSE),NA())</f>
        <v>#N/A</v>
      </c>
      <c r="M61" t="e">
        <f>IF(AND(A61&gt;=Calculations!$F$7,A61&lt;=Calculations!$F$8),0.2*_xlfn.NORM.DIST(100,100,15,FALSE)*_xlfn.NORM.DIST(A61,Calculations!$F$3,Calculations!$F$4,FALSE)/_xlfn.NORM.DIST(Calculations!$F$3,Calculations!$F$3,Calculations!$F$4,FALSE),NA())</f>
        <v>#N/A</v>
      </c>
    </row>
    <row r="62" spans="1:13" x14ac:dyDescent="0.25">
      <c r="A62">
        <v>46.000000000000099</v>
      </c>
      <c r="B62">
        <f t="shared" si="0"/>
        <v>4.0793462007585774E-5</v>
      </c>
      <c r="C62" t="e">
        <f t="shared" si="1"/>
        <v>#N/A</v>
      </c>
      <c r="D62" t="e">
        <f t="shared" si="2"/>
        <v>#N/A</v>
      </c>
      <c r="E62" t="e">
        <f t="shared" si="3"/>
        <v>#N/A</v>
      </c>
      <c r="F62" t="e">
        <f t="shared" si="4"/>
        <v>#N/A</v>
      </c>
      <c r="G62" t="e">
        <f t="shared" si="5"/>
        <v>#N/A</v>
      </c>
      <c r="H62" t="e">
        <f t="shared" si="6"/>
        <v>#N/A</v>
      </c>
      <c r="I62" t="e">
        <f t="shared" si="7"/>
        <v>#N/A</v>
      </c>
      <c r="J62" t="e">
        <f t="shared" si="8"/>
        <v>#N/A</v>
      </c>
      <c r="K62">
        <f t="shared" si="9"/>
        <v>2.4079346200758578E-4</v>
      </c>
      <c r="L62" t="e">
        <f>IF(AND(ABS((ChartCalculations!A62-Calculations!$F$3)/Calculations!$F$4)&lt;5,OR(A62&lt;=Calculations!$F$7,A62&gt;=Calculations!$F$8)),0.2*_xlfn.NORM.DIST(100,100,15,FALSE)*_xlfn.NORM.DIST(A62,Calculations!$F$3,Calculations!$F$4,FALSE)/_xlfn.NORM.DIST(Calculations!$F$3,Calculations!$F$3,Calculations!$F$4,FALSE),NA())</f>
        <v>#N/A</v>
      </c>
      <c r="M62" t="e">
        <f>IF(AND(A62&gt;=Calculations!$F$7,A62&lt;=Calculations!$F$8),0.2*_xlfn.NORM.DIST(100,100,15,FALSE)*_xlfn.NORM.DIST(A62,Calculations!$F$3,Calculations!$F$4,FALSE)/_xlfn.NORM.DIST(Calculations!$F$3,Calculations!$F$3,Calculations!$F$4,FALSE),NA())</f>
        <v>#N/A</v>
      </c>
    </row>
    <row r="63" spans="1:13" x14ac:dyDescent="0.25">
      <c r="A63">
        <v>46.100000000000101</v>
      </c>
      <c r="B63">
        <f t="shared" si="0"/>
        <v>4.178341963685571E-5</v>
      </c>
      <c r="C63" t="e">
        <f t="shared" si="1"/>
        <v>#N/A</v>
      </c>
      <c r="D63" t="e">
        <f t="shared" si="2"/>
        <v>#N/A</v>
      </c>
      <c r="E63" t="e">
        <f t="shared" si="3"/>
        <v>#N/A</v>
      </c>
      <c r="F63" t="e">
        <f t="shared" si="4"/>
        <v>#N/A</v>
      </c>
      <c r="G63" t="e">
        <f t="shared" si="5"/>
        <v>#N/A</v>
      </c>
      <c r="H63" t="e">
        <f t="shared" si="6"/>
        <v>#N/A</v>
      </c>
      <c r="I63" t="e">
        <f t="shared" si="7"/>
        <v>#N/A</v>
      </c>
      <c r="J63" t="e">
        <f t="shared" si="8"/>
        <v>#N/A</v>
      </c>
      <c r="K63">
        <f t="shared" si="9"/>
        <v>2.4178341963685573E-4</v>
      </c>
      <c r="L63" t="e">
        <f>IF(AND(ABS((ChartCalculations!A63-Calculations!$F$3)/Calculations!$F$4)&lt;5,OR(A63&lt;=Calculations!$F$7,A63&gt;=Calculations!$F$8)),0.2*_xlfn.NORM.DIST(100,100,15,FALSE)*_xlfn.NORM.DIST(A63,Calculations!$F$3,Calculations!$F$4,FALSE)/_xlfn.NORM.DIST(Calculations!$F$3,Calculations!$F$3,Calculations!$F$4,FALSE),NA())</f>
        <v>#N/A</v>
      </c>
      <c r="M63" t="e">
        <f>IF(AND(A63&gt;=Calculations!$F$7,A63&lt;=Calculations!$F$8),0.2*_xlfn.NORM.DIST(100,100,15,FALSE)*_xlfn.NORM.DIST(A63,Calculations!$F$3,Calculations!$F$4,FALSE)/_xlfn.NORM.DIST(Calculations!$F$3,Calculations!$F$3,Calculations!$F$4,FALSE),NA())</f>
        <v>#N/A</v>
      </c>
    </row>
    <row r="64" spans="1:13" x14ac:dyDescent="0.25">
      <c r="A64">
        <v>46.200000000000102</v>
      </c>
      <c r="B64">
        <f t="shared" si="0"/>
        <v>4.2795499054018704E-5</v>
      </c>
      <c r="C64" t="e">
        <f t="shared" si="1"/>
        <v>#N/A</v>
      </c>
      <c r="D64" t="e">
        <f t="shared" si="2"/>
        <v>#N/A</v>
      </c>
      <c r="E64" t="e">
        <f t="shared" si="3"/>
        <v>#N/A</v>
      </c>
      <c r="F64" t="e">
        <f t="shared" si="4"/>
        <v>#N/A</v>
      </c>
      <c r="G64" t="e">
        <f t="shared" si="5"/>
        <v>#N/A</v>
      </c>
      <c r="H64" t="e">
        <f t="shared" si="6"/>
        <v>#N/A</v>
      </c>
      <c r="I64" t="e">
        <f t="shared" si="7"/>
        <v>#N/A</v>
      </c>
      <c r="J64" t="e">
        <f t="shared" si="8"/>
        <v>#N/A</v>
      </c>
      <c r="K64">
        <f t="shared" si="9"/>
        <v>2.4279549905401873E-4</v>
      </c>
      <c r="L64" t="e">
        <f>IF(AND(ABS((ChartCalculations!A64-Calculations!$F$3)/Calculations!$F$4)&lt;5,OR(A64&lt;=Calculations!$F$7,A64&gt;=Calculations!$F$8)),0.2*_xlfn.NORM.DIST(100,100,15,FALSE)*_xlfn.NORM.DIST(A64,Calculations!$F$3,Calculations!$F$4,FALSE)/_xlfn.NORM.DIST(Calculations!$F$3,Calculations!$F$3,Calculations!$F$4,FALSE),NA())</f>
        <v>#N/A</v>
      </c>
      <c r="M64" t="e">
        <f>IF(AND(A64&gt;=Calculations!$F$7,A64&lt;=Calculations!$F$8),0.2*_xlfn.NORM.DIST(100,100,15,FALSE)*_xlfn.NORM.DIST(A64,Calculations!$F$3,Calculations!$F$4,FALSE)/_xlfn.NORM.DIST(Calculations!$F$3,Calculations!$F$3,Calculations!$F$4,FALSE),NA())</f>
        <v>#N/A</v>
      </c>
    </row>
    <row r="65" spans="1:13" x14ac:dyDescent="0.25">
      <c r="A65">
        <v>46.300000000000097</v>
      </c>
      <c r="B65">
        <f t="shared" si="0"/>
        <v>4.3830145043646106E-5</v>
      </c>
      <c r="C65" t="e">
        <f t="shared" si="1"/>
        <v>#N/A</v>
      </c>
      <c r="D65" t="e">
        <f t="shared" si="2"/>
        <v>#N/A</v>
      </c>
      <c r="E65" t="e">
        <f t="shared" si="3"/>
        <v>#N/A</v>
      </c>
      <c r="F65" t="e">
        <f t="shared" si="4"/>
        <v>#N/A</v>
      </c>
      <c r="G65" t="e">
        <f t="shared" si="5"/>
        <v>#N/A</v>
      </c>
      <c r="H65" t="e">
        <f t="shared" si="6"/>
        <v>#N/A</v>
      </c>
      <c r="I65" t="e">
        <f t="shared" si="7"/>
        <v>#N/A</v>
      </c>
      <c r="J65" t="e">
        <f t="shared" si="8"/>
        <v>#N/A</v>
      </c>
      <c r="K65">
        <f t="shared" si="9"/>
        <v>2.4383014504364612E-4</v>
      </c>
      <c r="L65" t="e">
        <f>IF(AND(ABS((ChartCalculations!A65-Calculations!$F$3)/Calculations!$F$4)&lt;5,OR(A65&lt;=Calculations!$F$7,A65&gt;=Calculations!$F$8)),0.2*_xlfn.NORM.DIST(100,100,15,FALSE)*_xlfn.NORM.DIST(A65,Calculations!$F$3,Calculations!$F$4,FALSE)/_xlfn.NORM.DIST(Calculations!$F$3,Calculations!$F$3,Calculations!$F$4,FALSE),NA())</f>
        <v>#N/A</v>
      </c>
      <c r="M65" t="e">
        <f>IF(AND(A65&gt;=Calculations!$F$7,A65&lt;=Calculations!$F$8),0.2*_xlfn.NORM.DIST(100,100,15,FALSE)*_xlfn.NORM.DIST(A65,Calculations!$F$3,Calculations!$F$4,FALSE)/_xlfn.NORM.DIST(Calculations!$F$3,Calculations!$F$3,Calculations!$F$4,FALSE),NA())</f>
        <v>#N/A</v>
      </c>
    </row>
    <row r="66" spans="1:13" x14ac:dyDescent="0.25">
      <c r="A66">
        <v>46.400000000000098</v>
      </c>
      <c r="B66">
        <f t="shared" si="0"/>
        <v>4.4887810108594003E-5</v>
      </c>
      <c r="C66" t="e">
        <f t="shared" si="1"/>
        <v>#N/A</v>
      </c>
      <c r="D66" t="e">
        <f t="shared" si="2"/>
        <v>#N/A</v>
      </c>
      <c r="E66" t="e">
        <f t="shared" si="3"/>
        <v>#N/A</v>
      </c>
      <c r="F66" t="e">
        <f t="shared" si="4"/>
        <v>#N/A</v>
      </c>
      <c r="G66" t="e">
        <f t="shared" si="5"/>
        <v>#N/A</v>
      </c>
      <c r="H66" t="e">
        <f t="shared" si="6"/>
        <v>#N/A</v>
      </c>
      <c r="I66" t="e">
        <f t="shared" si="7"/>
        <v>#N/A</v>
      </c>
      <c r="J66" t="e">
        <f t="shared" si="8"/>
        <v>#N/A</v>
      </c>
      <c r="K66">
        <f t="shared" si="9"/>
        <v>2.4488781010859403E-4</v>
      </c>
      <c r="L66" t="e">
        <f>IF(AND(ABS((ChartCalculations!A66-Calculations!$F$3)/Calculations!$F$4)&lt;5,OR(A66&lt;=Calculations!$F$7,A66&gt;=Calculations!$F$8)),0.2*_xlfn.NORM.DIST(100,100,15,FALSE)*_xlfn.NORM.DIST(A66,Calculations!$F$3,Calculations!$F$4,FALSE)/_xlfn.NORM.DIST(Calculations!$F$3,Calculations!$F$3,Calculations!$F$4,FALSE),NA())</f>
        <v>#N/A</v>
      </c>
      <c r="M66" t="e">
        <f>IF(AND(A66&gt;=Calculations!$F$7,A66&lt;=Calculations!$F$8),0.2*_xlfn.NORM.DIST(100,100,15,FALSE)*_xlfn.NORM.DIST(A66,Calculations!$F$3,Calculations!$F$4,FALSE)/_xlfn.NORM.DIST(Calculations!$F$3,Calculations!$F$3,Calculations!$F$4,FALSE),NA())</f>
        <v>#N/A</v>
      </c>
    </row>
    <row r="67" spans="1:13" x14ac:dyDescent="0.25">
      <c r="A67">
        <v>46.500000000000099</v>
      </c>
      <c r="B67">
        <f t="shared" ref="B67:B130" si="10">IF($A67&lt;=60,_xlfn.NORM.DIST($A67,100,15,FALSE),NA())</f>
        <v>4.5968954575190111E-5</v>
      </c>
      <c r="C67" t="e">
        <f t="shared" ref="C67:C130" si="11">IF(AND($A67&gt;=60,$A67&lt;=70),_xlfn.NORM.DIST($A67,100,15,FALSE),NA())</f>
        <v>#N/A</v>
      </c>
      <c r="D67" t="e">
        <f t="shared" ref="D67:D130" si="12">IF(AND($A67&gt;=70,$A67&lt;=80),_xlfn.NORM.DIST($A67,100,15,FALSE),NA())</f>
        <v>#N/A</v>
      </c>
      <c r="E67" t="e">
        <f t="shared" ref="E67:E130" si="13">IF(AND($A67&gt;=80,$A67&lt;=90),_xlfn.NORM.DIST($A67,100,15,FALSE),NA())</f>
        <v>#N/A</v>
      </c>
      <c r="F67" t="e">
        <f t="shared" ref="F67:F130" si="14">IF(AND($A67&gt;=90,$A67&lt;=110),_xlfn.NORM.DIST($A67,100,15,FALSE),NA())</f>
        <v>#N/A</v>
      </c>
      <c r="G67" t="e">
        <f t="shared" ref="G67:G130" si="15">IF(AND($A67&gt;=110,$A67&lt;=120),_xlfn.NORM.DIST($A67,100,15,FALSE),NA())</f>
        <v>#N/A</v>
      </c>
      <c r="H67" t="e">
        <f t="shared" ref="H67:H130" si="16">IF(AND($A67&gt;=120,$A67&lt;=130),_xlfn.NORM.DIST($A67,100,15,FALSE),NA())</f>
        <v>#N/A</v>
      </c>
      <c r="I67" t="e">
        <f t="shared" ref="I67:I130" si="17">IF(AND($A67&gt;=130,$A67&lt;=140),_xlfn.NORM.DIST($A67,100,15,FALSE),NA())</f>
        <v>#N/A</v>
      </c>
      <c r="J67" t="e">
        <f t="shared" ref="J67:J130" si="18">IF($A67&gt;=140,_xlfn.NORM.DIST($A67,100,15,FALSE),NA())</f>
        <v>#N/A</v>
      </c>
      <c r="K67">
        <f t="shared" ref="K67:K130" si="19">_xlfn.NORM.DIST($A67,100,15,FALSE)+0.0002</f>
        <v>2.4596895457519011E-4</v>
      </c>
      <c r="L67" t="e">
        <f>IF(AND(ABS((ChartCalculations!A67-Calculations!$F$3)/Calculations!$F$4)&lt;5,OR(A67&lt;=Calculations!$F$7,A67&gt;=Calculations!$F$8)),0.2*_xlfn.NORM.DIST(100,100,15,FALSE)*_xlfn.NORM.DIST(A67,Calculations!$F$3,Calculations!$F$4,FALSE)/_xlfn.NORM.DIST(Calculations!$F$3,Calculations!$F$3,Calculations!$F$4,FALSE),NA())</f>
        <v>#N/A</v>
      </c>
      <c r="M67" t="e">
        <f>IF(AND(A67&gt;=Calculations!$F$7,A67&lt;=Calculations!$F$8),0.2*_xlfn.NORM.DIST(100,100,15,FALSE)*_xlfn.NORM.DIST(A67,Calculations!$F$3,Calculations!$F$4,FALSE)/_xlfn.NORM.DIST(Calculations!$F$3,Calculations!$F$3,Calculations!$F$4,FALSE),NA())</f>
        <v>#N/A</v>
      </c>
    </row>
    <row r="68" spans="1:13" x14ac:dyDescent="0.25">
      <c r="A68">
        <v>46.600000000000101</v>
      </c>
      <c r="B68">
        <f t="shared" si="10"/>
        <v>4.7074046699203549E-5</v>
      </c>
      <c r="C68" t="e">
        <f t="shared" si="11"/>
        <v>#N/A</v>
      </c>
      <c r="D68" t="e">
        <f t="shared" si="12"/>
        <v>#N/A</v>
      </c>
      <c r="E68" t="e">
        <f t="shared" si="13"/>
        <v>#N/A</v>
      </c>
      <c r="F68" t="e">
        <f t="shared" si="14"/>
        <v>#N/A</v>
      </c>
      <c r="G68" t="e">
        <f t="shared" si="15"/>
        <v>#N/A</v>
      </c>
      <c r="H68" t="e">
        <f t="shared" si="16"/>
        <v>#N/A</v>
      </c>
      <c r="I68" t="e">
        <f t="shared" si="17"/>
        <v>#N/A</v>
      </c>
      <c r="J68" t="e">
        <f t="shared" si="18"/>
        <v>#N/A</v>
      </c>
      <c r="K68">
        <f t="shared" si="19"/>
        <v>2.4707404669920355E-4</v>
      </c>
      <c r="L68" t="e">
        <f>IF(AND(ABS((ChartCalculations!A68-Calculations!$F$3)/Calculations!$F$4)&lt;5,OR(A68&lt;=Calculations!$F$7,A68&gt;=Calculations!$F$8)),0.2*_xlfn.NORM.DIST(100,100,15,FALSE)*_xlfn.NORM.DIST(A68,Calculations!$F$3,Calculations!$F$4,FALSE)/_xlfn.NORM.DIST(Calculations!$F$3,Calculations!$F$3,Calculations!$F$4,FALSE),NA())</f>
        <v>#N/A</v>
      </c>
      <c r="M68" t="e">
        <f>IF(AND(A68&gt;=Calculations!$F$7,A68&lt;=Calculations!$F$8),0.2*_xlfn.NORM.DIST(100,100,15,FALSE)*_xlfn.NORM.DIST(A68,Calculations!$F$3,Calculations!$F$4,FALSE)/_xlfn.NORM.DIST(Calculations!$F$3,Calculations!$F$3,Calculations!$F$4,FALSE),NA())</f>
        <v>#N/A</v>
      </c>
    </row>
    <row r="69" spans="1:13" x14ac:dyDescent="0.25">
      <c r="A69">
        <v>46.700000000000102</v>
      </c>
      <c r="B69">
        <f t="shared" si="10"/>
        <v>4.8203562772584277E-5</v>
      </c>
      <c r="C69" t="e">
        <f t="shared" si="11"/>
        <v>#N/A</v>
      </c>
      <c r="D69" t="e">
        <f t="shared" si="12"/>
        <v>#N/A</v>
      </c>
      <c r="E69" t="e">
        <f t="shared" si="13"/>
        <v>#N/A</v>
      </c>
      <c r="F69" t="e">
        <f t="shared" si="14"/>
        <v>#N/A</v>
      </c>
      <c r="G69" t="e">
        <f t="shared" si="15"/>
        <v>#N/A</v>
      </c>
      <c r="H69" t="e">
        <f t="shared" si="16"/>
        <v>#N/A</v>
      </c>
      <c r="I69" t="e">
        <f t="shared" si="17"/>
        <v>#N/A</v>
      </c>
      <c r="J69" t="e">
        <f t="shared" si="18"/>
        <v>#N/A</v>
      </c>
      <c r="K69">
        <f t="shared" si="19"/>
        <v>2.4820356277258429E-4</v>
      </c>
      <c r="L69" t="e">
        <f>IF(AND(ABS((ChartCalculations!A69-Calculations!$F$3)/Calculations!$F$4)&lt;5,OR(A69&lt;=Calculations!$F$7,A69&gt;=Calculations!$F$8)),0.2*_xlfn.NORM.DIST(100,100,15,FALSE)*_xlfn.NORM.DIST(A69,Calculations!$F$3,Calculations!$F$4,FALSE)/_xlfn.NORM.DIST(Calculations!$F$3,Calculations!$F$3,Calculations!$F$4,FALSE),NA())</f>
        <v>#N/A</v>
      </c>
      <c r="M69" t="e">
        <f>IF(AND(A69&gt;=Calculations!$F$7,A69&lt;=Calculations!$F$8),0.2*_xlfn.NORM.DIST(100,100,15,FALSE)*_xlfn.NORM.DIST(A69,Calculations!$F$3,Calculations!$F$4,FALSE)/_xlfn.NORM.DIST(Calculations!$F$3,Calculations!$F$3,Calculations!$F$4,FALSE),NA())</f>
        <v>#N/A</v>
      </c>
    </row>
    <row r="70" spans="1:13" x14ac:dyDescent="0.25">
      <c r="A70">
        <v>46.800000000000097</v>
      </c>
      <c r="B70">
        <f t="shared" si="10"/>
        <v>4.9357987230965436E-5</v>
      </c>
      <c r="C70" t="e">
        <f t="shared" si="11"/>
        <v>#N/A</v>
      </c>
      <c r="D70" t="e">
        <f t="shared" si="12"/>
        <v>#N/A</v>
      </c>
      <c r="E70" t="e">
        <f t="shared" si="13"/>
        <v>#N/A</v>
      </c>
      <c r="F70" t="e">
        <f t="shared" si="14"/>
        <v>#N/A</v>
      </c>
      <c r="G70" t="e">
        <f t="shared" si="15"/>
        <v>#N/A</v>
      </c>
      <c r="H70" t="e">
        <f t="shared" si="16"/>
        <v>#N/A</v>
      </c>
      <c r="I70" t="e">
        <f t="shared" si="17"/>
        <v>#N/A</v>
      </c>
      <c r="J70" t="e">
        <f t="shared" si="18"/>
        <v>#N/A</v>
      </c>
      <c r="K70">
        <f t="shared" si="19"/>
        <v>2.4935798723096545E-4</v>
      </c>
      <c r="L70" t="e">
        <f>IF(AND(ABS((ChartCalculations!A70-Calculations!$F$3)/Calculations!$F$4)&lt;5,OR(A70&lt;=Calculations!$F$7,A70&gt;=Calculations!$F$8)),0.2*_xlfn.NORM.DIST(100,100,15,FALSE)*_xlfn.NORM.DIST(A70,Calculations!$F$3,Calculations!$F$4,FALSE)/_xlfn.NORM.DIST(Calculations!$F$3,Calculations!$F$3,Calculations!$F$4,FALSE),NA())</f>
        <v>#N/A</v>
      </c>
      <c r="M70" t="e">
        <f>IF(AND(A70&gt;=Calculations!$F$7,A70&lt;=Calculations!$F$8),0.2*_xlfn.NORM.DIST(100,100,15,FALSE)*_xlfn.NORM.DIST(A70,Calculations!$F$3,Calculations!$F$4,FALSE)/_xlfn.NORM.DIST(Calculations!$F$3,Calculations!$F$3,Calculations!$F$4,FALSE),NA())</f>
        <v>#N/A</v>
      </c>
    </row>
    <row r="71" spans="1:13" x14ac:dyDescent="0.25">
      <c r="A71">
        <v>46.900000000000098</v>
      </c>
      <c r="B71">
        <f t="shared" si="10"/>
        <v>5.0537812761915225E-5</v>
      </c>
      <c r="C71" t="e">
        <f t="shared" si="11"/>
        <v>#N/A</v>
      </c>
      <c r="D71" t="e">
        <f t="shared" si="12"/>
        <v>#N/A</v>
      </c>
      <c r="E71" t="e">
        <f t="shared" si="13"/>
        <v>#N/A</v>
      </c>
      <c r="F71" t="e">
        <f t="shared" si="14"/>
        <v>#N/A</v>
      </c>
      <c r="G71" t="e">
        <f t="shared" si="15"/>
        <v>#N/A</v>
      </c>
      <c r="H71" t="e">
        <f t="shared" si="16"/>
        <v>#N/A</v>
      </c>
      <c r="I71" t="e">
        <f t="shared" si="17"/>
        <v>#N/A</v>
      </c>
      <c r="J71" t="e">
        <f t="shared" si="18"/>
        <v>#N/A</v>
      </c>
      <c r="K71">
        <f t="shared" si="19"/>
        <v>2.5053781276191523E-4</v>
      </c>
      <c r="L71" t="e">
        <f>IF(AND(ABS((ChartCalculations!A71-Calculations!$F$3)/Calculations!$F$4)&lt;5,OR(A71&lt;=Calculations!$F$7,A71&gt;=Calculations!$F$8)),0.2*_xlfn.NORM.DIST(100,100,15,FALSE)*_xlfn.NORM.DIST(A71,Calculations!$F$3,Calculations!$F$4,FALSE)/_xlfn.NORM.DIST(Calculations!$F$3,Calculations!$F$3,Calculations!$F$4,FALSE),NA())</f>
        <v>#N/A</v>
      </c>
      <c r="M71" t="e">
        <f>IF(AND(A71&gt;=Calculations!$F$7,A71&lt;=Calculations!$F$8),0.2*_xlfn.NORM.DIST(100,100,15,FALSE)*_xlfn.NORM.DIST(A71,Calculations!$F$3,Calculations!$F$4,FALSE)/_xlfn.NORM.DIST(Calculations!$F$3,Calculations!$F$3,Calculations!$F$4,FALSE),NA())</f>
        <v>#N/A</v>
      </c>
    </row>
    <row r="72" spans="1:13" x14ac:dyDescent="0.25">
      <c r="A72">
        <v>47.000000000000099</v>
      </c>
      <c r="B72">
        <f t="shared" si="10"/>
        <v>5.1743540413928501E-5</v>
      </c>
      <c r="C72" t="e">
        <f t="shared" si="11"/>
        <v>#N/A</v>
      </c>
      <c r="D72" t="e">
        <f t="shared" si="12"/>
        <v>#N/A</v>
      </c>
      <c r="E72" t="e">
        <f t="shared" si="13"/>
        <v>#N/A</v>
      </c>
      <c r="F72" t="e">
        <f t="shared" si="14"/>
        <v>#N/A</v>
      </c>
      <c r="G72" t="e">
        <f t="shared" si="15"/>
        <v>#N/A</v>
      </c>
      <c r="H72" t="e">
        <f t="shared" si="16"/>
        <v>#N/A</v>
      </c>
      <c r="I72" t="e">
        <f t="shared" si="17"/>
        <v>#N/A</v>
      </c>
      <c r="J72" t="e">
        <f t="shared" si="18"/>
        <v>#N/A</v>
      </c>
      <c r="K72">
        <f t="shared" si="19"/>
        <v>2.5174354041392852E-4</v>
      </c>
      <c r="L72" t="e">
        <f>IF(AND(ABS((ChartCalculations!A72-Calculations!$F$3)/Calculations!$F$4)&lt;5,OR(A72&lt;=Calculations!$F$7,A72&gt;=Calculations!$F$8)),0.2*_xlfn.NORM.DIST(100,100,15,FALSE)*_xlfn.NORM.DIST(A72,Calculations!$F$3,Calculations!$F$4,FALSE)/_xlfn.NORM.DIST(Calculations!$F$3,Calculations!$F$3,Calculations!$F$4,FALSE),NA())</f>
        <v>#N/A</v>
      </c>
      <c r="M72" t="e">
        <f>IF(AND(A72&gt;=Calculations!$F$7,A72&lt;=Calculations!$F$8),0.2*_xlfn.NORM.DIST(100,100,15,FALSE)*_xlfn.NORM.DIST(A72,Calculations!$F$3,Calculations!$F$4,FALSE)/_xlfn.NORM.DIST(Calculations!$F$3,Calculations!$F$3,Calculations!$F$4,FALSE),NA())</f>
        <v>#N/A</v>
      </c>
    </row>
    <row r="73" spans="1:13" x14ac:dyDescent="0.25">
      <c r="A73">
        <v>47.100000000000101</v>
      </c>
      <c r="B73">
        <f t="shared" si="10"/>
        <v>5.297567970614588E-5</v>
      </c>
      <c r="C73" t="e">
        <f t="shared" si="11"/>
        <v>#N/A</v>
      </c>
      <c r="D73" t="e">
        <f t="shared" si="12"/>
        <v>#N/A</v>
      </c>
      <c r="E73" t="e">
        <f t="shared" si="13"/>
        <v>#N/A</v>
      </c>
      <c r="F73" t="e">
        <f t="shared" si="14"/>
        <v>#N/A</v>
      </c>
      <c r="G73" t="e">
        <f t="shared" si="15"/>
        <v>#N/A</v>
      </c>
      <c r="H73" t="e">
        <f t="shared" si="16"/>
        <v>#N/A</v>
      </c>
      <c r="I73" t="e">
        <f t="shared" si="17"/>
        <v>#N/A</v>
      </c>
      <c r="J73" t="e">
        <f t="shared" si="18"/>
        <v>#N/A</v>
      </c>
      <c r="K73">
        <f t="shared" si="19"/>
        <v>2.5297567970614587E-4</v>
      </c>
      <c r="L73" t="e">
        <f>IF(AND(ABS((ChartCalculations!A73-Calculations!$F$3)/Calculations!$F$4)&lt;5,OR(A73&lt;=Calculations!$F$7,A73&gt;=Calculations!$F$8)),0.2*_xlfn.NORM.DIST(100,100,15,FALSE)*_xlfn.NORM.DIST(A73,Calculations!$F$3,Calculations!$F$4,FALSE)/_xlfn.NORM.DIST(Calculations!$F$3,Calculations!$F$3,Calculations!$F$4,FALSE),NA())</f>
        <v>#N/A</v>
      </c>
      <c r="M73" t="e">
        <f>IF(AND(A73&gt;=Calculations!$F$7,A73&lt;=Calculations!$F$8),0.2*_xlfn.NORM.DIST(100,100,15,FALSE)*_xlfn.NORM.DIST(A73,Calculations!$F$3,Calculations!$F$4,FALSE)/_xlfn.NORM.DIST(Calculations!$F$3,Calculations!$F$3,Calculations!$F$4,FALSE),NA())</f>
        <v>#N/A</v>
      </c>
    </row>
    <row r="74" spans="1:13" x14ac:dyDescent="0.25">
      <c r="A74">
        <v>47.200000000000102</v>
      </c>
      <c r="B74">
        <f t="shared" si="10"/>
        <v>5.4234748738788475E-5</v>
      </c>
      <c r="C74" t="e">
        <f t="shared" si="11"/>
        <v>#N/A</v>
      </c>
      <c r="D74" t="e">
        <f t="shared" si="12"/>
        <v>#N/A</v>
      </c>
      <c r="E74" t="e">
        <f t="shared" si="13"/>
        <v>#N/A</v>
      </c>
      <c r="F74" t="e">
        <f t="shared" si="14"/>
        <v>#N/A</v>
      </c>
      <c r="G74" t="e">
        <f t="shared" si="15"/>
        <v>#N/A</v>
      </c>
      <c r="H74" t="e">
        <f t="shared" si="16"/>
        <v>#N/A</v>
      </c>
      <c r="I74" t="e">
        <f t="shared" si="17"/>
        <v>#N/A</v>
      </c>
      <c r="J74" t="e">
        <f t="shared" si="18"/>
        <v>#N/A</v>
      </c>
      <c r="K74">
        <f t="shared" si="19"/>
        <v>2.5423474873878846E-4</v>
      </c>
      <c r="L74" t="e">
        <f>IF(AND(ABS((ChartCalculations!A74-Calculations!$F$3)/Calculations!$F$4)&lt;5,OR(A74&lt;=Calculations!$F$7,A74&gt;=Calculations!$F$8)),0.2*_xlfn.NORM.DIST(100,100,15,FALSE)*_xlfn.NORM.DIST(A74,Calculations!$F$3,Calculations!$F$4,FALSE)/_xlfn.NORM.DIST(Calculations!$F$3,Calculations!$F$3,Calculations!$F$4,FALSE),NA())</f>
        <v>#N/A</v>
      </c>
      <c r="M74" t="e">
        <f>IF(AND(A74&gt;=Calculations!$F$7,A74&lt;=Calculations!$F$8),0.2*_xlfn.NORM.DIST(100,100,15,FALSE)*_xlfn.NORM.DIST(A74,Calculations!$F$3,Calculations!$F$4,FALSE)/_xlfn.NORM.DIST(Calculations!$F$3,Calculations!$F$3,Calculations!$F$4,FALSE),NA())</f>
        <v>#N/A</v>
      </c>
    </row>
    <row r="75" spans="1:13" x14ac:dyDescent="0.25">
      <c r="A75">
        <v>47.300000000000097</v>
      </c>
      <c r="B75">
        <f t="shared" si="10"/>
        <v>5.5521274304295511E-5</v>
      </c>
      <c r="C75" t="e">
        <f t="shared" si="11"/>
        <v>#N/A</v>
      </c>
      <c r="D75" t="e">
        <f t="shared" si="12"/>
        <v>#N/A</v>
      </c>
      <c r="E75" t="e">
        <f t="shared" si="13"/>
        <v>#N/A</v>
      </c>
      <c r="F75" t="e">
        <f t="shared" si="14"/>
        <v>#N/A</v>
      </c>
      <c r="G75" t="e">
        <f t="shared" si="15"/>
        <v>#N/A</v>
      </c>
      <c r="H75" t="e">
        <f t="shared" si="16"/>
        <v>#N/A</v>
      </c>
      <c r="I75" t="e">
        <f t="shared" si="17"/>
        <v>#N/A</v>
      </c>
      <c r="J75" t="e">
        <f t="shared" si="18"/>
        <v>#N/A</v>
      </c>
      <c r="K75">
        <f t="shared" si="19"/>
        <v>2.5552127430429551E-4</v>
      </c>
      <c r="L75" t="e">
        <f>IF(AND(ABS((ChartCalculations!A75-Calculations!$F$3)/Calculations!$F$4)&lt;5,OR(A75&lt;=Calculations!$F$7,A75&gt;=Calculations!$F$8)),0.2*_xlfn.NORM.DIST(100,100,15,FALSE)*_xlfn.NORM.DIST(A75,Calculations!$F$3,Calculations!$F$4,FALSE)/_xlfn.NORM.DIST(Calculations!$F$3,Calculations!$F$3,Calculations!$F$4,FALSE),NA())</f>
        <v>#N/A</v>
      </c>
      <c r="M75" t="e">
        <f>IF(AND(A75&gt;=Calculations!$F$7,A75&lt;=Calculations!$F$8),0.2*_xlfn.NORM.DIST(100,100,15,FALSE)*_xlfn.NORM.DIST(A75,Calculations!$F$3,Calculations!$F$4,FALSE)/_xlfn.NORM.DIST(Calculations!$F$3,Calculations!$F$3,Calculations!$F$4,FALSE),NA())</f>
        <v>#N/A</v>
      </c>
    </row>
    <row r="76" spans="1:13" x14ac:dyDescent="0.25">
      <c r="A76">
        <v>47.400000000000098</v>
      </c>
      <c r="B76">
        <f t="shared" si="10"/>
        <v>5.683579199915084E-5</v>
      </c>
      <c r="C76" t="e">
        <f t="shared" si="11"/>
        <v>#N/A</v>
      </c>
      <c r="D76" t="e">
        <f t="shared" si="12"/>
        <v>#N/A</v>
      </c>
      <c r="E76" t="e">
        <f t="shared" si="13"/>
        <v>#N/A</v>
      </c>
      <c r="F76" t="e">
        <f t="shared" si="14"/>
        <v>#N/A</v>
      </c>
      <c r="G76" t="e">
        <f t="shared" si="15"/>
        <v>#N/A</v>
      </c>
      <c r="H76" t="e">
        <f t="shared" si="16"/>
        <v>#N/A</v>
      </c>
      <c r="I76" t="e">
        <f t="shared" si="17"/>
        <v>#N/A</v>
      </c>
      <c r="J76" t="e">
        <f t="shared" si="18"/>
        <v>#N/A</v>
      </c>
      <c r="K76">
        <f t="shared" si="19"/>
        <v>2.5683579199915085E-4</v>
      </c>
      <c r="L76" t="e">
        <f>IF(AND(ABS((ChartCalculations!A76-Calculations!$F$3)/Calculations!$F$4)&lt;5,OR(A76&lt;=Calculations!$F$7,A76&gt;=Calculations!$F$8)),0.2*_xlfn.NORM.DIST(100,100,15,FALSE)*_xlfn.NORM.DIST(A76,Calculations!$F$3,Calculations!$F$4,FALSE)/_xlfn.NORM.DIST(Calculations!$F$3,Calculations!$F$3,Calculations!$F$4,FALSE),NA())</f>
        <v>#N/A</v>
      </c>
      <c r="M76" t="e">
        <f>IF(AND(A76&gt;=Calculations!$F$7,A76&lt;=Calculations!$F$8),0.2*_xlfn.NORM.DIST(100,100,15,FALSE)*_xlfn.NORM.DIST(A76,Calculations!$F$3,Calculations!$F$4,FALSE)/_xlfn.NORM.DIST(Calculations!$F$3,Calculations!$F$3,Calculations!$F$4,FALSE),NA())</f>
        <v>#N/A</v>
      </c>
    </row>
    <row r="77" spans="1:13" x14ac:dyDescent="0.25">
      <c r="A77">
        <v>47.500000000000099</v>
      </c>
      <c r="B77">
        <f t="shared" si="10"/>
        <v>5.8178846336385351E-5</v>
      </c>
      <c r="C77" t="e">
        <f t="shared" si="11"/>
        <v>#N/A</v>
      </c>
      <c r="D77" t="e">
        <f t="shared" si="12"/>
        <v>#N/A</v>
      </c>
      <c r="E77" t="e">
        <f t="shared" si="13"/>
        <v>#N/A</v>
      </c>
      <c r="F77" t="e">
        <f t="shared" si="14"/>
        <v>#N/A</v>
      </c>
      <c r="G77" t="e">
        <f t="shared" si="15"/>
        <v>#N/A</v>
      </c>
      <c r="H77" t="e">
        <f t="shared" si="16"/>
        <v>#N/A</v>
      </c>
      <c r="I77" t="e">
        <f t="shared" si="17"/>
        <v>#N/A</v>
      </c>
      <c r="J77" t="e">
        <f t="shared" si="18"/>
        <v>#N/A</v>
      </c>
      <c r="K77">
        <f t="shared" si="19"/>
        <v>2.5817884633638538E-4</v>
      </c>
      <c r="L77" t="e">
        <f>IF(AND(ABS((ChartCalculations!A77-Calculations!$F$3)/Calculations!$F$4)&lt;5,OR(A77&lt;=Calculations!$F$7,A77&gt;=Calculations!$F$8)),0.2*_xlfn.NORM.DIST(100,100,15,FALSE)*_xlfn.NORM.DIST(A77,Calculations!$F$3,Calculations!$F$4,FALSE)/_xlfn.NORM.DIST(Calculations!$F$3,Calculations!$F$3,Calculations!$F$4,FALSE),NA())</f>
        <v>#N/A</v>
      </c>
      <c r="M77" t="e">
        <f>IF(AND(A77&gt;=Calculations!$F$7,A77&lt;=Calculations!$F$8),0.2*_xlfn.NORM.DIST(100,100,15,FALSE)*_xlfn.NORM.DIST(A77,Calculations!$F$3,Calculations!$F$4,FALSE)/_xlfn.NORM.DIST(Calculations!$F$3,Calculations!$F$3,Calculations!$F$4,FALSE),NA())</f>
        <v>#N/A</v>
      </c>
    </row>
    <row r="78" spans="1:13" x14ac:dyDescent="0.25">
      <c r="A78">
        <v>47.600000000000101</v>
      </c>
      <c r="B78">
        <f t="shared" si="10"/>
        <v>5.9550990858741191E-5</v>
      </c>
      <c r="C78" t="e">
        <f t="shared" si="11"/>
        <v>#N/A</v>
      </c>
      <c r="D78" t="e">
        <f t="shared" si="12"/>
        <v>#N/A</v>
      </c>
      <c r="E78" t="e">
        <f t="shared" si="13"/>
        <v>#N/A</v>
      </c>
      <c r="F78" t="e">
        <f t="shared" si="14"/>
        <v>#N/A</v>
      </c>
      <c r="G78" t="e">
        <f t="shared" si="15"/>
        <v>#N/A</v>
      </c>
      <c r="H78" t="e">
        <f t="shared" si="16"/>
        <v>#N/A</v>
      </c>
      <c r="I78" t="e">
        <f t="shared" si="17"/>
        <v>#N/A</v>
      </c>
      <c r="J78" t="e">
        <f t="shared" si="18"/>
        <v>#N/A</v>
      </c>
      <c r="K78">
        <f t="shared" si="19"/>
        <v>2.5955099085874119E-4</v>
      </c>
      <c r="L78" t="e">
        <f>IF(AND(ABS((ChartCalculations!A78-Calculations!$F$3)/Calculations!$F$4)&lt;5,OR(A78&lt;=Calculations!$F$7,A78&gt;=Calculations!$F$8)),0.2*_xlfn.NORM.DIST(100,100,15,FALSE)*_xlfn.NORM.DIST(A78,Calculations!$F$3,Calculations!$F$4,FALSE)/_xlfn.NORM.DIST(Calculations!$F$3,Calculations!$F$3,Calculations!$F$4,FALSE),NA())</f>
        <v>#N/A</v>
      </c>
      <c r="M78" t="e">
        <f>IF(AND(A78&gt;=Calculations!$F$7,A78&lt;=Calculations!$F$8),0.2*_xlfn.NORM.DIST(100,100,15,FALSE)*_xlfn.NORM.DIST(A78,Calculations!$F$3,Calculations!$F$4,FALSE)/_xlfn.NORM.DIST(Calculations!$F$3,Calculations!$F$3,Calculations!$F$4,FALSE),NA())</f>
        <v>#N/A</v>
      </c>
    </row>
    <row r="79" spans="1:13" x14ac:dyDescent="0.25">
      <c r="A79">
        <v>47.700000000000102</v>
      </c>
      <c r="B79">
        <f t="shared" si="10"/>
        <v>6.095278825248183E-5</v>
      </c>
      <c r="C79" t="e">
        <f t="shared" si="11"/>
        <v>#N/A</v>
      </c>
      <c r="D79" t="e">
        <f t="shared" si="12"/>
        <v>#N/A</v>
      </c>
      <c r="E79" t="e">
        <f t="shared" si="13"/>
        <v>#N/A</v>
      </c>
      <c r="F79" t="e">
        <f t="shared" si="14"/>
        <v>#N/A</v>
      </c>
      <c r="G79" t="e">
        <f t="shared" si="15"/>
        <v>#N/A</v>
      </c>
      <c r="H79" t="e">
        <f t="shared" si="16"/>
        <v>#N/A</v>
      </c>
      <c r="I79" t="e">
        <f t="shared" si="17"/>
        <v>#N/A</v>
      </c>
      <c r="J79" t="e">
        <f t="shared" si="18"/>
        <v>#N/A</v>
      </c>
      <c r="K79">
        <f t="shared" si="19"/>
        <v>2.6095278825248185E-4</v>
      </c>
      <c r="L79" t="e">
        <f>IF(AND(ABS((ChartCalculations!A79-Calculations!$F$3)/Calculations!$F$4)&lt;5,OR(A79&lt;=Calculations!$F$7,A79&gt;=Calculations!$F$8)),0.2*_xlfn.NORM.DIST(100,100,15,FALSE)*_xlfn.NORM.DIST(A79,Calculations!$F$3,Calculations!$F$4,FALSE)/_xlfn.NORM.DIST(Calculations!$F$3,Calculations!$F$3,Calculations!$F$4,FALSE),NA())</f>
        <v>#N/A</v>
      </c>
      <c r="M79" t="e">
        <f>IF(AND(A79&gt;=Calculations!$F$7,A79&lt;=Calculations!$F$8),0.2*_xlfn.NORM.DIST(100,100,15,FALSE)*_xlfn.NORM.DIST(A79,Calculations!$F$3,Calculations!$F$4,FALSE)/_xlfn.NORM.DIST(Calculations!$F$3,Calculations!$F$3,Calculations!$F$4,FALSE),NA())</f>
        <v>#N/A</v>
      </c>
    </row>
    <row r="80" spans="1:13" x14ac:dyDescent="0.25">
      <c r="A80">
        <v>47.800000000000097</v>
      </c>
      <c r="B80">
        <f t="shared" si="10"/>
        <v>6.2384810461833364E-5</v>
      </c>
      <c r="C80" t="e">
        <f t="shared" si="11"/>
        <v>#N/A</v>
      </c>
      <c r="D80" t="e">
        <f t="shared" si="12"/>
        <v>#N/A</v>
      </c>
      <c r="E80" t="e">
        <f t="shared" si="13"/>
        <v>#N/A</v>
      </c>
      <c r="F80" t="e">
        <f t="shared" si="14"/>
        <v>#N/A</v>
      </c>
      <c r="G80" t="e">
        <f t="shared" si="15"/>
        <v>#N/A</v>
      </c>
      <c r="H80" t="e">
        <f t="shared" si="16"/>
        <v>#N/A</v>
      </c>
      <c r="I80" t="e">
        <f t="shared" si="17"/>
        <v>#N/A</v>
      </c>
      <c r="J80" t="e">
        <f t="shared" si="18"/>
        <v>#N/A</v>
      </c>
      <c r="K80">
        <f t="shared" si="19"/>
        <v>2.6238481046183339E-4</v>
      </c>
      <c r="L80" t="e">
        <f>IF(AND(ABS((ChartCalculations!A80-Calculations!$F$3)/Calculations!$F$4)&lt;5,OR(A80&lt;=Calculations!$F$7,A80&gt;=Calculations!$F$8)),0.2*_xlfn.NORM.DIST(100,100,15,FALSE)*_xlfn.NORM.DIST(A80,Calculations!$F$3,Calculations!$F$4,FALSE)/_xlfn.NORM.DIST(Calculations!$F$3,Calculations!$F$3,Calculations!$F$4,FALSE),NA())</f>
        <v>#N/A</v>
      </c>
      <c r="M80" t="e">
        <f>IF(AND(A80&gt;=Calculations!$F$7,A80&lt;=Calculations!$F$8),0.2*_xlfn.NORM.DIST(100,100,15,FALSE)*_xlfn.NORM.DIST(A80,Calculations!$F$3,Calculations!$F$4,FALSE)/_xlfn.NORM.DIST(Calculations!$F$3,Calculations!$F$3,Calculations!$F$4,FALSE),NA())</f>
        <v>#N/A</v>
      </c>
    </row>
    <row r="81" spans="1:13" x14ac:dyDescent="0.25">
      <c r="A81">
        <v>47.900000000000098</v>
      </c>
      <c r="B81">
        <f t="shared" si="10"/>
        <v>6.3847638804041674E-5</v>
      </c>
      <c r="C81" t="e">
        <f t="shared" si="11"/>
        <v>#N/A</v>
      </c>
      <c r="D81" t="e">
        <f t="shared" si="12"/>
        <v>#N/A</v>
      </c>
      <c r="E81" t="e">
        <f t="shared" si="13"/>
        <v>#N/A</v>
      </c>
      <c r="F81" t="e">
        <f t="shared" si="14"/>
        <v>#N/A</v>
      </c>
      <c r="G81" t="e">
        <f t="shared" si="15"/>
        <v>#N/A</v>
      </c>
      <c r="H81" t="e">
        <f t="shared" si="16"/>
        <v>#N/A</v>
      </c>
      <c r="I81" t="e">
        <f t="shared" si="17"/>
        <v>#N/A</v>
      </c>
      <c r="J81" t="e">
        <f t="shared" si="18"/>
        <v>#N/A</v>
      </c>
      <c r="K81">
        <f t="shared" si="19"/>
        <v>2.6384763880404167E-4</v>
      </c>
      <c r="L81" t="e">
        <f>IF(AND(ABS((ChartCalculations!A81-Calculations!$F$3)/Calculations!$F$4)&lt;5,OR(A81&lt;=Calculations!$F$7,A81&gt;=Calculations!$F$8)),0.2*_xlfn.NORM.DIST(100,100,15,FALSE)*_xlfn.NORM.DIST(A81,Calculations!$F$3,Calculations!$F$4,FALSE)/_xlfn.NORM.DIST(Calculations!$F$3,Calculations!$F$3,Calculations!$F$4,FALSE),NA())</f>
        <v>#N/A</v>
      </c>
      <c r="M81" t="e">
        <f>IF(AND(A81&gt;=Calculations!$F$7,A81&lt;=Calculations!$F$8),0.2*_xlfn.NORM.DIST(100,100,15,FALSE)*_xlfn.NORM.DIST(A81,Calculations!$F$3,Calculations!$F$4,FALSE)/_xlfn.NORM.DIST(Calculations!$F$3,Calculations!$F$3,Calculations!$F$4,FALSE),NA())</f>
        <v>#N/A</v>
      </c>
    </row>
    <row r="82" spans="1:13" x14ac:dyDescent="0.25">
      <c r="A82">
        <v>48.000000000000099</v>
      </c>
      <c r="B82">
        <f t="shared" si="10"/>
        <v>6.5341864085026292E-5</v>
      </c>
      <c r="C82" t="e">
        <f t="shared" si="11"/>
        <v>#N/A</v>
      </c>
      <c r="D82" t="e">
        <f t="shared" si="12"/>
        <v>#N/A</v>
      </c>
      <c r="E82" t="e">
        <f t="shared" si="13"/>
        <v>#N/A</v>
      </c>
      <c r="F82" t="e">
        <f t="shared" si="14"/>
        <v>#N/A</v>
      </c>
      <c r="G82" t="e">
        <f t="shared" si="15"/>
        <v>#N/A</v>
      </c>
      <c r="H82" t="e">
        <f t="shared" si="16"/>
        <v>#N/A</v>
      </c>
      <c r="I82" t="e">
        <f t="shared" si="17"/>
        <v>#N/A</v>
      </c>
      <c r="J82" t="e">
        <f t="shared" si="18"/>
        <v>#N/A</v>
      </c>
      <c r="K82">
        <f t="shared" si="19"/>
        <v>2.6534186408502629E-4</v>
      </c>
      <c r="L82" t="e">
        <f>IF(AND(ABS((ChartCalculations!A82-Calculations!$F$3)/Calculations!$F$4)&lt;5,OR(A82&lt;=Calculations!$F$7,A82&gt;=Calculations!$F$8)),0.2*_xlfn.NORM.DIST(100,100,15,FALSE)*_xlfn.NORM.DIST(A82,Calculations!$F$3,Calculations!$F$4,FALSE)/_xlfn.NORM.DIST(Calculations!$F$3,Calculations!$F$3,Calculations!$F$4,FALSE),NA())</f>
        <v>#N/A</v>
      </c>
      <c r="M82" t="e">
        <f>IF(AND(A82&gt;=Calculations!$F$7,A82&lt;=Calculations!$F$8),0.2*_xlfn.NORM.DIST(100,100,15,FALSE)*_xlfn.NORM.DIST(A82,Calculations!$F$3,Calculations!$F$4,FALSE)/_xlfn.NORM.DIST(Calculations!$F$3,Calculations!$F$3,Calculations!$F$4,FALSE),NA())</f>
        <v>#N/A</v>
      </c>
    </row>
    <row r="83" spans="1:13" x14ac:dyDescent="0.25">
      <c r="A83">
        <v>48.100000000000101</v>
      </c>
      <c r="B83">
        <f t="shared" si="10"/>
        <v>6.6868086715617377E-5</v>
      </c>
      <c r="C83" t="e">
        <f t="shared" si="11"/>
        <v>#N/A</v>
      </c>
      <c r="D83" t="e">
        <f t="shared" si="12"/>
        <v>#N/A</v>
      </c>
      <c r="E83" t="e">
        <f t="shared" si="13"/>
        <v>#N/A</v>
      </c>
      <c r="F83" t="e">
        <f t="shared" si="14"/>
        <v>#N/A</v>
      </c>
      <c r="G83" t="e">
        <f t="shared" si="15"/>
        <v>#N/A</v>
      </c>
      <c r="H83" t="e">
        <f t="shared" si="16"/>
        <v>#N/A</v>
      </c>
      <c r="I83" t="e">
        <f t="shared" si="17"/>
        <v>#N/A</v>
      </c>
      <c r="J83" t="e">
        <f t="shared" si="18"/>
        <v>#N/A</v>
      </c>
      <c r="K83">
        <f t="shared" si="19"/>
        <v>2.668680867156174E-4</v>
      </c>
      <c r="L83" t="e">
        <f>IF(AND(ABS((ChartCalculations!A83-Calculations!$F$3)/Calculations!$F$4)&lt;5,OR(A83&lt;=Calculations!$F$7,A83&gt;=Calculations!$F$8)),0.2*_xlfn.NORM.DIST(100,100,15,FALSE)*_xlfn.NORM.DIST(A83,Calculations!$F$3,Calculations!$F$4,FALSE)/_xlfn.NORM.DIST(Calculations!$F$3,Calculations!$F$3,Calculations!$F$4,FALSE),NA())</f>
        <v>#N/A</v>
      </c>
      <c r="M83" t="e">
        <f>IF(AND(A83&gt;=Calculations!$F$7,A83&lt;=Calculations!$F$8),0.2*_xlfn.NORM.DIST(100,100,15,FALSE)*_xlfn.NORM.DIST(A83,Calculations!$F$3,Calculations!$F$4,FALSE)/_xlfn.NORM.DIST(Calculations!$F$3,Calculations!$F$3,Calculations!$F$4,FALSE),NA())</f>
        <v>#N/A</v>
      </c>
    </row>
    <row r="84" spans="1:13" x14ac:dyDescent="0.25">
      <c r="A84">
        <v>48.200000000000102</v>
      </c>
      <c r="B84">
        <f t="shared" si="10"/>
        <v>6.8426916828355462E-5</v>
      </c>
      <c r="C84" t="e">
        <f t="shared" si="11"/>
        <v>#N/A</v>
      </c>
      <c r="D84" t="e">
        <f t="shared" si="12"/>
        <v>#N/A</v>
      </c>
      <c r="E84" t="e">
        <f t="shared" si="13"/>
        <v>#N/A</v>
      </c>
      <c r="F84" t="e">
        <f t="shared" si="14"/>
        <v>#N/A</v>
      </c>
      <c r="G84" t="e">
        <f t="shared" si="15"/>
        <v>#N/A</v>
      </c>
      <c r="H84" t="e">
        <f t="shared" si="16"/>
        <v>#N/A</v>
      </c>
      <c r="I84" t="e">
        <f t="shared" si="17"/>
        <v>#N/A</v>
      </c>
      <c r="J84" t="e">
        <f t="shared" si="18"/>
        <v>#N/A</v>
      </c>
      <c r="K84">
        <f t="shared" si="19"/>
        <v>2.6842691682835547E-4</v>
      </c>
      <c r="L84" t="e">
        <f>IF(AND(ABS((ChartCalculations!A84-Calculations!$F$3)/Calculations!$F$4)&lt;5,OR(A84&lt;=Calculations!$F$7,A84&gt;=Calculations!$F$8)),0.2*_xlfn.NORM.DIST(100,100,15,FALSE)*_xlfn.NORM.DIST(A84,Calculations!$F$3,Calculations!$F$4,FALSE)/_xlfn.NORM.DIST(Calculations!$F$3,Calculations!$F$3,Calculations!$F$4,FALSE),NA())</f>
        <v>#N/A</v>
      </c>
      <c r="M84" t="e">
        <f>IF(AND(A84&gt;=Calculations!$F$7,A84&lt;=Calculations!$F$8),0.2*_xlfn.NORM.DIST(100,100,15,FALSE)*_xlfn.NORM.DIST(A84,Calculations!$F$3,Calculations!$F$4,FALSE)/_xlfn.NORM.DIST(Calculations!$F$3,Calculations!$F$3,Calculations!$F$4,FALSE),NA())</f>
        <v>#N/A</v>
      </c>
    </row>
    <row r="85" spans="1:13" x14ac:dyDescent="0.25">
      <c r="A85">
        <v>48.300000000000097</v>
      </c>
      <c r="B85">
        <f t="shared" si="10"/>
        <v>7.001897439483647E-5</v>
      </c>
      <c r="C85" t="e">
        <f t="shared" si="11"/>
        <v>#N/A</v>
      </c>
      <c r="D85" t="e">
        <f t="shared" si="12"/>
        <v>#N/A</v>
      </c>
      <c r="E85" t="e">
        <f t="shared" si="13"/>
        <v>#N/A</v>
      </c>
      <c r="F85" t="e">
        <f t="shared" si="14"/>
        <v>#N/A</v>
      </c>
      <c r="G85" t="e">
        <f t="shared" si="15"/>
        <v>#N/A</v>
      </c>
      <c r="H85" t="e">
        <f t="shared" si="16"/>
        <v>#N/A</v>
      </c>
      <c r="I85" t="e">
        <f t="shared" si="17"/>
        <v>#N/A</v>
      </c>
      <c r="J85" t="e">
        <f t="shared" si="18"/>
        <v>#N/A</v>
      </c>
      <c r="K85">
        <f t="shared" si="19"/>
        <v>2.7001897439483648E-4</v>
      </c>
      <c r="L85" t="e">
        <f>IF(AND(ABS((ChartCalculations!A85-Calculations!$F$3)/Calculations!$F$4)&lt;5,OR(A85&lt;=Calculations!$F$7,A85&gt;=Calculations!$F$8)),0.2*_xlfn.NORM.DIST(100,100,15,FALSE)*_xlfn.NORM.DIST(A85,Calculations!$F$3,Calculations!$F$4,FALSE)/_xlfn.NORM.DIST(Calculations!$F$3,Calculations!$F$3,Calculations!$F$4,FALSE),NA())</f>
        <v>#N/A</v>
      </c>
      <c r="M85" t="e">
        <f>IF(AND(A85&gt;=Calculations!$F$7,A85&lt;=Calculations!$F$8),0.2*_xlfn.NORM.DIST(100,100,15,FALSE)*_xlfn.NORM.DIST(A85,Calculations!$F$3,Calculations!$F$4,FALSE)/_xlfn.NORM.DIST(Calculations!$F$3,Calculations!$F$3,Calculations!$F$4,FALSE),NA())</f>
        <v>#N/A</v>
      </c>
    </row>
    <row r="86" spans="1:13" x14ac:dyDescent="0.25">
      <c r="A86">
        <v>48.400000000000098</v>
      </c>
      <c r="B86">
        <f t="shared" si="10"/>
        <v>7.1644889343583972E-5</v>
      </c>
      <c r="C86" t="e">
        <f t="shared" si="11"/>
        <v>#N/A</v>
      </c>
      <c r="D86" t="e">
        <f t="shared" si="12"/>
        <v>#N/A</v>
      </c>
      <c r="E86" t="e">
        <f t="shared" si="13"/>
        <v>#N/A</v>
      </c>
      <c r="F86" t="e">
        <f t="shared" si="14"/>
        <v>#N/A</v>
      </c>
      <c r="G86" t="e">
        <f t="shared" si="15"/>
        <v>#N/A</v>
      </c>
      <c r="H86" t="e">
        <f t="shared" si="16"/>
        <v>#N/A</v>
      </c>
      <c r="I86" t="e">
        <f t="shared" si="17"/>
        <v>#N/A</v>
      </c>
      <c r="J86" t="e">
        <f t="shared" si="18"/>
        <v>#N/A</v>
      </c>
      <c r="K86">
        <f t="shared" si="19"/>
        <v>2.71644889343584E-4</v>
      </c>
      <c r="L86" t="e">
        <f>IF(AND(ABS((ChartCalculations!A86-Calculations!$F$3)/Calculations!$F$4)&lt;5,OR(A86&lt;=Calculations!$F$7,A86&gt;=Calculations!$F$8)),0.2*_xlfn.NORM.DIST(100,100,15,FALSE)*_xlfn.NORM.DIST(A86,Calculations!$F$3,Calculations!$F$4,FALSE)/_xlfn.NORM.DIST(Calculations!$F$3,Calculations!$F$3,Calculations!$F$4,FALSE),NA())</f>
        <v>#N/A</v>
      </c>
      <c r="M86" t="e">
        <f>IF(AND(A86&gt;=Calculations!$F$7,A86&lt;=Calculations!$F$8),0.2*_xlfn.NORM.DIST(100,100,15,FALSE)*_xlfn.NORM.DIST(A86,Calculations!$F$3,Calculations!$F$4,FALSE)/_xlfn.NORM.DIST(Calculations!$F$3,Calculations!$F$3,Calculations!$F$4,FALSE),NA())</f>
        <v>#N/A</v>
      </c>
    </row>
    <row r="87" spans="1:13" x14ac:dyDescent="0.25">
      <c r="A87">
        <v>48.500000000000099</v>
      </c>
      <c r="B87">
        <f t="shared" si="10"/>
        <v>7.3305301678426791E-5</v>
      </c>
      <c r="C87" t="e">
        <f t="shared" si="11"/>
        <v>#N/A</v>
      </c>
      <c r="D87" t="e">
        <f t="shared" si="12"/>
        <v>#N/A</v>
      </c>
      <c r="E87" t="e">
        <f t="shared" si="13"/>
        <v>#N/A</v>
      </c>
      <c r="F87" t="e">
        <f t="shared" si="14"/>
        <v>#N/A</v>
      </c>
      <c r="G87" t="e">
        <f t="shared" si="15"/>
        <v>#N/A</v>
      </c>
      <c r="H87" t="e">
        <f t="shared" si="16"/>
        <v>#N/A</v>
      </c>
      <c r="I87" t="e">
        <f t="shared" si="17"/>
        <v>#N/A</v>
      </c>
      <c r="J87" t="e">
        <f t="shared" si="18"/>
        <v>#N/A</v>
      </c>
      <c r="K87">
        <f t="shared" si="19"/>
        <v>2.7330530167842681E-4</v>
      </c>
      <c r="L87" t="e">
        <f>IF(AND(ABS((ChartCalculations!A87-Calculations!$F$3)/Calculations!$F$4)&lt;5,OR(A87&lt;=Calculations!$F$7,A87&gt;=Calculations!$F$8)),0.2*_xlfn.NORM.DIST(100,100,15,FALSE)*_xlfn.NORM.DIST(A87,Calculations!$F$3,Calculations!$F$4,FALSE)/_xlfn.NORM.DIST(Calculations!$F$3,Calculations!$F$3,Calculations!$F$4,FALSE),NA())</f>
        <v>#N/A</v>
      </c>
      <c r="M87" t="e">
        <f>IF(AND(A87&gt;=Calculations!$F$7,A87&lt;=Calculations!$F$8),0.2*_xlfn.NORM.DIST(100,100,15,FALSE)*_xlfn.NORM.DIST(A87,Calculations!$F$3,Calculations!$F$4,FALSE)/_xlfn.NORM.DIST(Calculations!$F$3,Calculations!$F$3,Calculations!$F$4,FALSE),NA())</f>
        <v>#N/A</v>
      </c>
    </row>
    <row r="88" spans="1:13" x14ac:dyDescent="0.25">
      <c r="A88">
        <v>48.600000000000101</v>
      </c>
      <c r="B88">
        <f t="shared" si="10"/>
        <v>7.5000861597365062E-5</v>
      </c>
      <c r="C88" t="e">
        <f t="shared" si="11"/>
        <v>#N/A</v>
      </c>
      <c r="D88" t="e">
        <f t="shared" si="12"/>
        <v>#N/A</v>
      </c>
      <c r="E88" t="e">
        <f t="shared" si="13"/>
        <v>#N/A</v>
      </c>
      <c r="F88" t="e">
        <f t="shared" si="14"/>
        <v>#N/A</v>
      </c>
      <c r="G88" t="e">
        <f t="shared" si="15"/>
        <v>#N/A</v>
      </c>
      <c r="H88" t="e">
        <f t="shared" si="16"/>
        <v>#N/A</v>
      </c>
      <c r="I88" t="e">
        <f t="shared" si="17"/>
        <v>#N/A</v>
      </c>
      <c r="J88" t="e">
        <f t="shared" si="18"/>
        <v>#N/A</v>
      </c>
      <c r="K88">
        <f t="shared" si="19"/>
        <v>2.7500086159736509E-4</v>
      </c>
      <c r="L88" t="e">
        <f>IF(AND(ABS((ChartCalculations!A88-Calculations!$F$3)/Calculations!$F$4)&lt;5,OR(A88&lt;=Calculations!$F$7,A88&gt;=Calculations!$F$8)),0.2*_xlfn.NORM.DIST(100,100,15,FALSE)*_xlfn.NORM.DIST(A88,Calculations!$F$3,Calculations!$F$4,FALSE)/_xlfn.NORM.DIST(Calculations!$F$3,Calculations!$F$3,Calculations!$F$4,FALSE),NA())</f>
        <v>#N/A</v>
      </c>
      <c r="M88" t="e">
        <f>IF(AND(A88&gt;=Calculations!$F$7,A88&lt;=Calculations!$F$8),0.2*_xlfn.NORM.DIST(100,100,15,FALSE)*_xlfn.NORM.DIST(A88,Calculations!$F$3,Calculations!$F$4,FALSE)/_xlfn.NORM.DIST(Calculations!$F$3,Calculations!$F$3,Calculations!$F$4,FALSE),NA())</f>
        <v>#N/A</v>
      </c>
    </row>
    <row r="89" spans="1:13" x14ac:dyDescent="0.25">
      <c r="A89">
        <v>48.700000000000102</v>
      </c>
      <c r="B89">
        <f t="shared" si="10"/>
        <v>7.673222961190067E-5</v>
      </c>
      <c r="C89" t="e">
        <f t="shared" si="11"/>
        <v>#N/A</v>
      </c>
      <c r="D89" t="e">
        <f t="shared" si="12"/>
        <v>#N/A</v>
      </c>
      <c r="E89" t="e">
        <f t="shared" si="13"/>
        <v>#N/A</v>
      </c>
      <c r="F89" t="e">
        <f t="shared" si="14"/>
        <v>#N/A</v>
      </c>
      <c r="G89" t="e">
        <f t="shared" si="15"/>
        <v>#N/A</v>
      </c>
      <c r="H89" t="e">
        <f t="shared" si="16"/>
        <v>#N/A</v>
      </c>
      <c r="I89" t="e">
        <f t="shared" si="17"/>
        <v>#N/A</v>
      </c>
      <c r="J89" t="e">
        <f t="shared" si="18"/>
        <v>#N/A</v>
      </c>
      <c r="K89">
        <f t="shared" si="19"/>
        <v>2.7673222961190069E-4</v>
      </c>
      <c r="L89" t="e">
        <f>IF(AND(ABS((ChartCalculations!A89-Calculations!$F$3)/Calculations!$F$4)&lt;5,OR(A89&lt;=Calculations!$F$7,A89&gt;=Calculations!$F$8)),0.2*_xlfn.NORM.DIST(100,100,15,FALSE)*_xlfn.NORM.DIST(A89,Calculations!$F$3,Calculations!$F$4,FALSE)/_xlfn.NORM.DIST(Calculations!$F$3,Calculations!$F$3,Calculations!$F$4,FALSE),NA())</f>
        <v>#N/A</v>
      </c>
      <c r="M89" t="e">
        <f>IF(AND(A89&gt;=Calculations!$F$7,A89&lt;=Calculations!$F$8),0.2*_xlfn.NORM.DIST(100,100,15,FALSE)*_xlfn.NORM.DIST(A89,Calculations!$F$3,Calculations!$F$4,FALSE)/_xlfn.NORM.DIST(Calculations!$F$3,Calculations!$F$3,Calculations!$F$4,FALSE),NA())</f>
        <v>#N/A</v>
      </c>
    </row>
    <row r="90" spans="1:13" x14ac:dyDescent="0.25">
      <c r="A90">
        <v>48.800000000000097</v>
      </c>
      <c r="B90">
        <f t="shared" si="10"/>
        <v>7.8500076666813466E-5</v>
      </c>
      <c r="C90" t="e">
        <f t="shared" si="11"/>
        <v>#N/A</v>
      </c>
      <c r="D90" t="e">
        <f t="shared" si="12"/>
        <v>#N/A</v>
      </c>
      <c r="E90" t="e">
        <f t="shared" si="13"/>
        <v>#N/A</v>
      </c>
      <c r="F90" t="e">
        <f t="shared" si="14"/>
        <v>#N/A</v>
      </c>
      <c r="G90" t="e">
        <f t="shared" si="15"/>
        <v>#N/A</v>
      </c>
      <c r="H90" t="e">
        <f t="shared" si="16"/>
        <v>#N/A</v>
      </c>
      <c r="I90" t="e">
        <f t="shared" si="17"/>
        <v>#N/A</v>
      </c>
      <c r="J90" t="e">
        <f t="shared" si="18"/>
        <v>#N/A</v>
      </c>
      <c r="K90">
        <f t="shared" si="19"/>
        <v>2.7850007666681346E-4</v>
      </c>
      <c r="L90" t="e">
        <f>IF(AND(ABS((ChartCalculations!A90-Calculations!$F$3)/Calculations!$F$4)&lt;5,OR(A90&lt;=Calculations!$F$7,A90&gt;=Calculations!$F$8)),0.2*_xlfn.NORM.DIST(100,100,15,FALSE)*_xlfn.NORM.DIST(A90,Calculations!$F$3,Calculations!$F$4,FALSE)/_xlfn.NORM.DIST(Calculations!$F$3,Calculations!$F$3,Calculations!$F$4,FALSE),NA())</f>
        <v>#N/A</v>
      </c>
      <c r="M90" t="e">
        <f>IF(AND(A90&gt;=Calculations!$F$7,A90&lt;=Calculations!$F$8),0.2*_xlfn.NORM.DIST(100,100,15,FALSE)*_xlfn.NORM.DIST(A90,Calculations!$F$3,Calculations!$F$4,FALSE)/_xlfn.NORM.DIST(Calculations!$F$3,Calculations!$F$3,Calculations!$F$4,FALSE),NA())</f>
        <v>#N/A</v>
      </c>
    </row>
    <row r="91" spans="1:13" x14ac:dyDescent="0.25">
      <c r="A91">
        <v>48.900000000000098</v>
      </c>
      <c r="B91">
        <f t="shared" si="10"/>
        <v>8.0305084260359728E-5</v>
      </c>
      <c r="C91" t="e">
        <f t="shared" si="11"/>
        <v>#N/A</v>
      </c>
      <c r="D91" t="e">
        <f t="shared" si="12"/>
        <v>#N/A</v>
      </c>
      <c r="E91" t="e">
        <f t="shared" si="13"/>
        <v>#N/A</v>
      </c>
      <c r="F91" t="e">
        <f t="shared" si="14"/>
        <v>#N/A</v>
      </c>
      <c r="G91" t="e">
        <f t="shared" si="15"/>
        <v>#N/A</v>
      </c>
      <c r="H91" t="e">
        <f t="shared" si="16"/>
        <v>#N/A</v>
      </c>
      <c r="I91" t="e">
        <f t="shared" si="17"/>
        <v>#N/A</v>
      </c>
      <c r="J91" t="e">
        <f t="shared" si="18"/>
        <v>#N/A</v>
      </c>
      <c r="K91">
        <f t="shared" si="19"/>
        <v>2.8030508426035976E-4</v>
      </c>
      <c r="L91" t="e">
        <f>IF(AND(ABS((ChartCalculations!A91-Calculations!$F$3)/Calculations!$F$4)&lt;5,OR(A91&lt;=Calculations!$F$7,A91&gt;=Calculations!$F$8)),0.2*_xlfn.NORM.DIST(100,100,15,FALSE)*_xlfn.NORM.DIST(A91,Calculations!$F$3,Calculations!$F$4,FALSE)/_xlfn.NORM.DIST(Calculations!$F$3,Calculations!$F$3,Calculations!$F$4,FALSE),NA())</f>
        <v>#N/A</v>
      </c>
      <c r="M91" t="e">
        <f>IF(AND(A91&gt;=Calculations!$F$7,A91&lt;=Calculations!$F$8),0.2*_xlfn.NORM.DIST(100,100,15,FALSE)*_xlfn.NORM.DIST(A91,Calculations!$F$3,Calculations!$F$4,FALSE)/_xlfn.NORM.DIST(Calculations!$F$3,Calculations!$F$3,Calculations!$F$4,FALSE),NA())</f>
        <v>#N/A</v>
      </c>
    </row>
    <row r="92" spans="1:13" x14ac:dyDescent="0.25">
      <c r="A92">
        <v>49.000000000000099</v>
      </c>
      <c r="B92">
        <f t="shared" si="10"/>
        <v>8.2147944564869813E-5</v>
      </c>
      <c r="C92" t="e">
        <f t="shared" si="11"/>
        <v>#N/A</v>
      </c>
      <c r="D92" t="e">
        <f t="shared" si="12"/>
        <v>#N/A</v>
      </c>
      <c r="E92" t="e">
        <f t="shared" si="13"/>
        <v>#N/A</v>
      </c>
      <c r="F92" t="e">
        <f t="shared" si="14"/>
        <v>#N/A</v>
      </c>
      <c r="G92" t="e">
        <f t="shared" si="15"/>
        <v>#N/A</v>
      </c>
      <c r="H92" t="e">
        <f t="shared" si="16"/>
        <v>#N/A</v>
      </c>
      <c r="I92" t="e">
        <f t="shared" si="17"/>
        <v>#N/A</v>
      </c>
      <c r="J92" t="e">
        <f t="shared" si="18"/>
        <v>#N/A</v>
      </c>
      <c r="K92">
        <f t="shared" si="19"/>
        <v>2.8214794456486985E-4</v>
      </c>
      <c r="L92" t="e">
        <f>IF(AND(ABS((ChartCalculations!A92-Calculations!$F$3)/Calculations!$F$4)&lt;5,OR(A92&lt;=Calculations!$F$7,A92&gt;=Calculations!$F$8)),0.2*_xlfn.NORM.DIST(100,100,15,FALSE)*_xlfn.NORM.DIST(A92,Calculations!$F$3,Calculations!$F$4,FALSE)/_xlfn.NORM.DIST(Calculations!$F$3,Calculations!$F$3,Calculations!$F$4,FALSE),NA())</f>
        <v>#N/A</v>
      </c>
      <c r="M92" t="e">
        <f>IF(AND(A92&gt;=Calculations!$F$7,A92&lt;=Calculations!$F$8),0.2*_xlfn.NORM.DIST(100,100,15,FALSE)*_xlfn.NORM.DIST(A92,Calculations!$F$3,Calculations!$F$4,FALSE)/_xlfn.NORM.DIST(Calculations!$F$3,Calculations!$F$3,Calculations!$F$4,FALSE),NA())</f>
        <v>#N/A</v>
      </c>
    </row>
    <row r="93" spans="1:13" x14ac:dyDescent="0.25">
      <c r="A93">
        <v>49.100000000000101</v>
      </c>
      <c r="B93">
        <f t="shared" si="10"/>
        <v>8.4029360547723463E-5</v>
      </c>
      <c r="C93" t="e">
        <f t="shared" si="11"/>
        <v>#N/A</v>
      </c>
      <c r="D93" t="e">
        <f t="shared" si="12"/>
        <v>#N/A</v>
      </c>
      <c r="E93" t="e">
        <f t="shared" si="13"/>
        <v>#N/A</v>
      </c>
      <c r="F93" t="e">
        <f t="shared" si="14"/>
        <v>#N/A</v>
      </c>
      <c r="G93" t="e">
        <f t="shared" si="15"/>
        <v>#N/A</v>
      </c>
      <c r="H93" t="e">
        <f t="shared" si="16"/>
        <v>#N/A</v>
      </c>
      <c r="I93" t="e">
        <f t="shared" si="17"/>
        <v>#N/A</v>
      </c>
      <c r="J93" t="e">
        <f t="shared" si="18"/>
        <v>#N/A</v>
      </c>
      <c r="K93">
        <f t="shared" si="19"/>
        <v>2.840293605477235E-4</v>
      </c>
      <c r="L93" t="e">
        <f>IF(AND(ABS((ChartCalculations!A93-Calculations!$F$3)/Calculations!$F$4)&lt;5,OR(A93&lt;=Calculations!$F$7,A93&gt;=Calculations!$F$8)),0.2*_xlfn.NORM.DIST(100,100,15,FALSE)*_xlfn.NORM.DIST(A93,Calculations!$F$3,Calculations!$F$4,FALSE)/_xlfn.NORM.DIST(Calculations!$F$3,Calculations!$F$3,Calculations!$F$4,FALSE),NA())</f>
        <v>#N/A</v>
      </c>
      <c r="M93" t="e">
        <f>IF(AND(A93&gt;=Calculations!$F$7,A93&lt;=Calculations!$F$8),0.2*_xlfn.NORM.DIST(100,100,15,FALSE)*_xlfn.NORM.DIST(A93,Calculations!$F$3,Calculations!$F$4,FALSE)/_xlfn.NORM.DIST(Calculations!$F$3,Calculations!$F$3,Calculations!$F$4,FALSE),NA())</f>
        <v>#N/A</v>
      </c>
    </row>
    <row r="94" spans="1:13" x14ac:dyDescent="0.25">
      <c r="A94">
        <v>49.200000000000102</v>
      </c>
      <c r="B94">
        <f t="shared" si="10"/>
        <v>8.5950046092676715E-5</v>
      </c>
      <c r="C94" t="e">
        <f t="shared" si="11"/>
        <v>#N/A</v>
      </c>
      <c r="D94" t="e">
        <f t="shared" si="12"/>
        <v>#N/A</v>
      </c>
      <c r="E94" t="e">
        <f t="shared" si="13"/>
        <v>#N/A</v>
      </c>
      <c r="F94" t="e">
        <f t="shared" si="14"/>
        <v>#N/A</v>
      </c>
      <c r="G94" t="e">
        <f t="shared" si="15"/>
        <v>#N/A</v>
      </c>
      <c r="H94" t="e">
        <f t="shared" si="16"/>
        <v>#N/A</v>
      </c>
      <c r="I94" t="e">
        <f t="shared" si="17"/>
        <v>#N/A</v>
      </c>
      <c r="J94" t="e">
        <f t="shared" si="18"/>
        <v>#N/A</v>
      </c>
      <c r="K94">
        <f t="shared" si="19"/>
        <v>2.8595004609267675E-4</v>
      </c>
      <c r="L94" t="e">
        <f>IF(AND(ABS((ChartCalculations!A94-Calculations!$F$3)/Calculations!$F$4)&lt;5,OR(A94&lt;=Calculations!$F$7,A94&gt;=Calculations!$F$8)),0.2*_xlfn.NORM.DIST(100,100,15,FALSE)*_xlfn.NORM.DIST(A94,Calculations!$F$3,Calculations!$F$4,FALSE)/_xlfn.NORM.DIST(Calculations!$F$3,Calculations!$F$3,Calculations!$F$4,FALSE),NA())</f>
        <v>#N/A</v>
      </c>
      <c r="M94" t="e">
        <f>IF(AND(A94&gt;=Calculations!$F$7,A94&lt;=Calculations!$F$8),0.2*_xlfn.NORM.DIST(100,100,15,FALSE)*_xlfn.NORM.DIST(A94,Calculations!$F$3,Calculations!$F$4,FALSE)/_xlfn.NORM.DIST(Calculations!$F$3,Calculations!$F$3,Calculations!$F$4,FALSE),NA())</f>
        <v>#N/A</v>
      </c>
    </row>
    <row r="95" spans="1:13" x14ac:dyDescent="0.25">
      <c r="A95">
        <v>49.300000000000097</v>
      </c>
      <c r="B95">
        <f t="shared" si="10"/>
        <v>8.7910726121517938E-5</v>
      </c>
      <c r="C95" t="e">
        <f t="shared" si="11"/>
        <v>#N/A</v>
      </c>
      <c r="D95" t="e">
        <f t="shared" si="12"/>
        <v>#N/A</v>
      </c>
      <c r="E95" t="e">
        <f t="shared" si="13"/>
        <v>#N/A</v>
      </c>
      <c r="F95" t="e">
        <f t="shared" si="14"/>
        <v>#N/A</v>
      </c>
      <c r="G95" t="e">
        <f t="shared" si="15"/>
        <v>#N/A</v>
      </c>
      <c r="H95" t="e">
        <f t="shared" si="16"/>
        <v>#N/A</v>
      </c>
      <c r="I95" t="e">
        <f t="shared" si="17"/>
        <v>#N/A</v>
      </c>
      <c r="J95" t="e">
        <f t="shared" si="18"/>
        <v>#N/A</v>
      </c>
      <c r="K95">
        <f t="shared" si="19"/>
        <v>2.8791072612151795E-4</v>
      </c>
      <c r="L95" t="e">
        <f>IF(AND(ABS((ChartCalculations!A95-Calculations!$F$3)/Calculations!$F$4)&lt;5,OR(A95&lt;=Calculations!$F$7,A95&gt;=Calculations!$F$8)),0.2*_xlfn.NORM.DIST(100,100,15,FALSE)*_xlfn.NORM.DIST(A95,Calculations!$F$3,Calculations!$F$4,FALSE)/_xlfn.NORM.DIST(Calculations!$F$3,Calculations!$F$3,Calculations!$F$4,FALSE),NA())</f>
        <v>#N/A</v>
      </c>
      <c r="M95" t="e">
        <f>IF(AND(A95&gt;=Calculations!$F$7,A95&lt;=Calculations!$F$8),0.2*_xlfn.NORM.DIST(100,100,15,FALSE)*_xlfn.NORM.DIST(A95,Calculations!$F$3,Calculations!$F$4,FALSE)/_xlfn.NORM.DIST(Calculations!$F$3,Calculations!$F$3,Calculations!$F$4,FALSE),NA())</f>
        <v>#N/A</v>
      </c>
    </row>
    <row r="96" spans="1:13" x14ac:dyDescent="0.25">
      <c r="A96">
        <v>49.400000000000098</v>
      </c>
      <c r="B96">
        <f t="shared" si="10"/>
        <v>8.9912136716025588E-5</v>
      </c>
      <c r="C96" t="e">
        <f t="shared" si="11"/>
        <v>#N/A</v>
      </c>
      <c r="D96" t="e">
        <f t="shared" si="12"/>
        <v>#N/A</v>
      </c>
      <c r="E96" t="e">
        <f t="shared" si="13"/>
        <v>#N/A</v>
      </c>
      <c r="F96" t="e">
        <f t="shared" si="14"/>
        <v>#N/A</v>
      </c>
      <c r="G96" t="e">
        <f t="shared" si="15"/>
        <v>#N/A</v>
      </c>
      <c r="H96" t="e">
        <f t="shared" si="16"/>
        <v>#N/A</v>
      </c>
      <c r="I96" t="e">
        <f t="shared" si="17"/>
        <v>#N/A</v>
      </c>
      <c r="J96" t="e">
        <f t="shared" si="18"/>
        <v>#N/A</v>
      </c>
      <c r="K96">
        <f t="shared" si="19"/>
        <v>2.8991213671602557E-4</v>
      </c>
      <c r="L96" t="e">
        <f>IF(AND(ABS((ChartCalculations!A96-Calculations!$F$3)/Calculations!$F$4)&lt;5,OR(A96&lt;=Calculations!$F$7,A96&gt;=Calculations!$F$8)),0.2*_xlfn.NORM.DIST(100,100,15,FALSE)*_xlfn.NORM.DIST(A96,Calculations!$F$3,Calculations!$F$4,FALSE)/_xlfn.NORM.DIST(Calculations!$F$3,Calculations!$F$3,Calculations!$F$4,FALSE),NA())</f>
        <v>#N/A</v>
      </c>
      <c r="M96" t="e">
        <f>IF(AND(A96&gt;=Calculations!$F$7,A96&lt;=Calculations!$F$8),0.2*_xlfn.NORM.DIST(100,100,15,FALSE)*_xlfn.NORM.DIST(A96,Calculations!$F$3,Calculations!$F$4,FALSE)/_xlfn.NORM.DIST(Calculations!$F$3,Calculations!$F$3,Calculations!$F$4,FALSE),NA())</f>
        <v>#N/A</v>
      </c>
    </row>
    <row r="97" spans="1:13" x14ac:dyDescent="0.25">
      <c r="A97">
        <v>49.500000000000099</v>
      </c>
      <c r="B97">
        <f t="shared" si="10"/>
        <v>9.1955025240202435E-5</v>
      </c>
      <c r="C97" t="e">
        <f t="shared" si="11"/>
        <v>#N/A</v>
      </c>
      <c r="D97" t="e">
        <f t="shared" si="12"/>
        <v>#N/A</v>
      </c>
      <c r="E97" t="e">
        <f t="shared" si="13"/>
        <v>#N/A</v>
      </c>
      <c r="F97" t="e">
        <f t="shared" si="14"/>
        <v>#N/A</v>
      </c>
      <c r="G97" t="e">
        <f t="shared" si="15"/>
        <v>#N/A</v>
      </c>
      <c r="H97" t="e">
        <f t="shared" si="16"/>
        <v>#N/A</v>
      </c>
      <c r="I97" t="e">
        <f t="shared" si="17"/>
        <v>#N/A</v>
      </c>
      <c r="J97" t="e">
        <f t="shared" si="18"/>
        <v>#N/A</v>
      </c>
      <c r="K97">
        <f t="shared" si="19"/>
        <v>2.9195502524020244E-4</v>
      </c>
      <c r="L97" t="e">
        <f>IF(AND(ABS((ChartCalculations!A97-Calculations!$F$3)/Calculations!$F$4)&lt;5,OR(A97&lt;=Calculations!$F$7,A97&gt;=Calculations!$F$8)),0.2*_xlfn.NORM.DIST(100,100,15,FALSE)*_xlfn.NORM.DIST(A97,Calculations!$F$3,Calculations!$F$4,FALSE)/_xlfn.NORM.DIST(Calculations!$F$3,Calculations!$F$3,Calculations!$F$4,FALSE),NA())</f>
        <v>#N/A</v>
      </c>
      <c r="M97" t="e">
        <f>IF(AND(A97&gt;=Calculations!$F$7,A97&lt;=Calculations!$F$8),0.2*_xlfn.NORM.DIST(100,100,15,FALSE)*_xlfn.NORM.DIST(A97,Calculations!$F$3,Calculations!$F$4,FALSE)/_xlfn.NORM.DIST(Calculations!$F$3,Calculations!$F$3,Calculations!$F$4,FALSE),NA())</f>
        <v>#N/A</v>
      </c>
    </row>
    <row r="98" spans="1:13" x14ac:dyDescent="0.25">
      <c r="A98">
        <v>49.600000000000101</v>
      </c>
      <c r="B98">
        <f t="shared" si="10"/>
        <v>9.404015046276108E-5</v>
      </c>
      <c r="C98" t="e">
        <f t="shared" si="11"/>
        <v>#N/A</v>
      </c>
      <c r="D98" t="e">
        <f t="shared" si="12"/>
        <v>#N/A</v>
      </c>
      <c r="E98" t="e">
        <f t="shared" si="13"/>
        <v>#N/A</v>
      </c>
      <c r="F98" t="e">
        <f t="shared" si="14"/>
        <v>#N/A</v>
      </c>
      <c r="G98" t="e">
        <f t="shared" si="15"/>
        <v>#N/A</v>
      </c>
      <c r="H98" t="e">
        <f t="shared" si="16"/>
        <v>#N/A</v>
      </c>
      <c r="I98" t="e">
        <f t="shared" si="17"/>
        <v>#N/A</v>
      </c>
      <c r="J98" t="e">
        <f t="shared" si="18"/>
        <v>#N/A</v>
      </c>
      <c r="K98">
        <f t="shared" si="19"/>
        <v>2.9404015046276109E-4</v>
      </c>
      <c r="L98" t="e">
        <f>IF(AND(ABS((ChartCalculations!A98-Calculations!$F$3)/Calculations!$F$4)&lt;5,OR(A98&lt;=Calculations!$F$7,A98&gt;=Calculations!$F$8)),0.2*_xlfn.NORM.DIST(100,100,15,FALSE)*_xlfn.NORM.DIST(A98,Calculations!$F$3,Calculations!$F$4,FALSE)/_xlfn.NORM.DIST(Calculations!$F$3,Calculations!$F$3,Calculations!$F$4,FALSE),NA())</f>
        <v>#N/A</v>
      </c>
      <c r="M98" t="e">
        <f>IF(AND(A98&gt;=Calculations!$F$7,A98&lt;=Calculations!$F$8),0.2*_xlfn.NORM.DIST(100,100,15,FALSE)*_xlfn.NORM.DIST(A98,Calculations!$F$3,Calculations!$F$4,FALSE)/_xlfn.NORM.DIST(Calculations!$F$3,Calculations!$F$3,Calculations!$F$4,FALSE),NA())</f>
        <v>#N/A</v>
      </c>
    </row>
    <row r="99" spans="1:13" x14ac:dyDescent="0.25">
      <c r="A99">
        <v>49.700000000000102</v>
      </c>
      <c r="B99">
        <f t="shared" si="10"/>
        <v>9.6168282679831208E-5</v>
      </c>
      <c r="C99" t="e">
        <f t="shared" si="11"/>
        <v>#N/A</v>
      </c>
      <c r="D99" t="e">
        <f t="shared" si="12"/>
        <v>#N/A</v>
      </c>
      <c r="E99" t="e">
        <f t="shared" si="13"/>
        <v>#N/A</v>
      </c>
      <c r="F99" t="e">
        <f t="shared" si="14"/>
        <v>#N/A</v>
      </c>
      <c r="G99" t="e">
        <f t="shared" si="15"/>
        <v>#N/A</v>
      </c>
      <c r="H99" t="e">
        <f t="shared" si="16"/>
        <v>#N/A</v>
      </c>
      <c r="I99" t="e">
        <f t="shared" si="17"/>
        <v>#N/A</v>
      </c>
      <c r="J99" t="e">
        <f t="shared" si="18"/>
        <v>#N/A</v>
      </c>
      <c r="K99">
        <f t="shared" si="19"/>
        <v>2.9616828267983123E-4</v>
      </c>
      <c r="L99" t="e">
        <f>IF(AND(ABS((ChartCalculations!A99-Calculations!$F$3)/Calculations!$F$4)&lt;5,OR(A99&lt;=Calculations!$F$7,A99&gt;=Calculations!$F$8)),0.2*_xlfn.NORM.DIST(100,100,15,FALSE)*_xlfn.NORM.DIST(A99,Calculations!$F$3,Calculations!$F$4,FALSE)/_xlfn.NORM.DIST(Calculations!$F$3,Calculations!$F$3,Calculations!$F$4,FALSE),NA())</f>
        <v>#N/A</v>
      </c>
      <c r="M99" t="e">
        <f>IF(AND(A99&gt;=Calculations!$F$7,A99&lt;=Calculations!$F$8),0.2*_xlfn.NORM.DIST(100,100,15,FALSE)*_xlfn.NORM.DIST(A99,Calculations!$F$3,Calculations!$F$4,FALSE)/_xlfn.NORM.DIST(Calculations!$F$3,Calculations!$F$3,Calculations!$F$4,FALSE),NA())</f>
        <v>#N/A</v>
      </c>
    </row>
    <row r="100" spans="1:13" x14ac:dyDescent="0.25">
      <c r="A100">
        <v>49.800000000000097</v>
      </c>
      <c r="B100">
        <f t="shared" si="10"/>
        <v>9.8340203837861707E-5</v>
      </c>
      <c r="C100" t="e">
        <f t="shared" si="11"/>
        <v>#N/A</v>
      </c>
      <c r="D100" t="e">
        <f t="shared" si="12"/>
        <v>#N/A</v>
      </c>
      <c r="E100" t="e">
        <f t="shared" si="13"/>
        <v>#N/A</v>
      </c>
      <c r="F100" t="e">
        <f t="shared" si="14"/>
        <v>#N/A</v>
      </c>
      <c r="G100" t="e">
        <f t="shared" si="15"/>
        <v>#N/A</v>
      </c>
      <c r="H100" t="e">
        <f t="shared" si="16"/>
        <v>#N/A</v>
      </c>
      <c r="I100" t="e">
        <f t="shared" si="17"/>
        <v>#N/A</v>
      </c>
      <c r="J100" t="e">
        <f t="shared" si="18"/>
        <v>#N/A</v>
      </c>
      <c r="K100">
        <f t="shared" si="19"/>
        <v>2.983402038378617E-4</v>
      </c>
      <c r="L100" t="e">
        <f>IF(AND(ABS((ChartCalculations!A100-Calculations!$F$3)/Calculations!$F$4)&lt;5,OR(A100&lt;=Calculations!$F$7,A100&gt;=Calculations!$F$8)),0.2*_xlfn.NORM.DIST(100,100,15,FALSE)*_xlfn.NORM.DIST(A100,Calculations!$F$3,Calculations!$F$4,FALSE)/_xlfn.NORM.DIST(Calculations!$F$3,Calculations!$F$3,Calculations!$F$4,FALSE),NA())</f>
        <v>#N/A</v>
      </c>
      <c r="M100" t="e">
        <f>IF(AND(A100&gt;=Calculations!$F$7,A100&lt;=Calculations!$F$8),0.2*_xlfn.NORM.DIST(100,100,15,FALSE)*_xlfn.NORM.DIST(A100,Calculations!$F$3,Calculations!$F$4,FALSE)/_xlfn.NORM.DIST(Calculations!$F$3,Calculations!$F$3,Calculations!$F$4,FALSE),NA())</f>
        <v>#N/A</v>
      </c>
    </row>
    <row r="101" spans="1:13" x14ac:dyDescent="0.25">
      <c r="A101">
        <v>49.900000000000098</v>
      </c>
      <c r="B101">
        <f t="shared" si="10"/>
        <v>1.005567076566893E-4</v>
      </c>
      <c r="C101" t="e">
        <f t="shared" si="11"/>
        <v>#N/A</v>
      </c>
      <c r="D101" t="e">
        <f t="shared" si="12"/>
        <v>#N/A</v>
      </c>
      <c r="E101" t="e">
        <f t="shared" si="13"/>
        <v>#N/A</v>
      </c>
      <c r="F101" t="e">
        <f t="shared" si="14"/>
        <v>#N/A</v>
      </c>
      <c r="G101" t="e">
        <f t="shared" si="15"/>
        <v>#N/A</v>
      </c>
      <c r="H101" t="e">
        <f t="shared" si="16"/>
        <v>#N/A</v>
      </c>
      <c r="I101" t="e">
        <f t="shared" si="17"/>
        <v>#N/A</v>
      </c>
      <c r="J101" t="e">
        <f t="shared" si="18"/>
        <v>#N/A</v>
      </c>
      <c r="K101">
        <f t="shared" si="19"/>
        <v>3.0055670765668932E-4</v>
      </c>
      <c r="L101" t="e">
        <f>IF(AND(ABS((ChartCalculations!A101-Calculations!$F$3)/Calculations!$F$4)&lt;5,OR(A101&lt;=Calculations!$F$7,A101&gt;=Calculations!$F$8)),0.2*_xlfn.NORM.DIST(100,100,15,FALSE)*_xlfn.NORM.DIST(A101,Calculations!$F$3,Calculations!$F$4,FALSE)/_xlfn.NORM.DIST(Calculations!$F$3,Calculations!$F$3,Calculations!$F$4,FALSE),NA())</f>
        <v>#N/A</v>
      </c>
      <c r="M101" t="e">
        <f>IF(AND(A101&gt;=Calculations!$F$7,A101&lt;=Calculations!$F$8),0.2*_xlfn.NORM.DIST(100,100,15,FALSE)*_xlfn.NORM.DIST(A101,Calculations!$F$3,Calculations!$F$4,FALSE)/_xlfn.NORM.DIST(Calculations!$F$3,Calculations!$F$3,Calculations!$F$4,FALSE),NA())</f>
        <v>#N/A</v>
      </c>
    </row>
    <row r="102" spans="1:13" x14ac:dyDescent="0.25">
      <c r="A102">
        <v>50.000000000000099</v>
      </c>
      <c r="B102">
        <f t="shared" si="10"/>
        <v>1.0281859975274264E-4</v>
      </c>
      <c r="C102" t="e">
        <f t="shared" si="11"/>
        <v>#N/A</v>
      </c>
      <c r="D102" t="e">
        <f t="shared" si="12"/>
        <v>#N/A</v>
      </c>
      <c r="E102" t="e">
        <f t="shared" si="13"/>
        <v>#N/A</v>
      </c>
      <c r="F102" t="e">
        <f t="shared" si="14"/>
        <v>#N/A</v>
      </c>
      <c r="G102" t="e">
        <f t="shared" si="15"/>
        <v>#N/A</v>
      </c>
      <c r="H102" t="e">
        <f t="shared" si="16"/>
        <v>#N/A</v>
      </c>
      <c r="I102" t="e">
        <f t="shared" si="17"/>
        <v>#N/A</v>
      </c>
      <c r="J102" t="e">
        <f t="shared" si="18"/>
        <v>#N/A</v>
      </c>
      <c r="K102">
        <f t="shared" si="19"/>
        <v>3.0281859975274264E-4</v>
      </c>
      <c r="L102" t="e">
        <f>IF(AND(ABS((ChartCalculations!A102-Calculations!$F$3)/Calculations!$F$4)&lt;5,OR(A102&lt;=Calculations!$F$7,A102&gt;=Calculations!$F$8)),0.2*_xlfn.NORM.DIST(100,100,15,FALSE)*_xlfn.NORM.DIST(A102,Calculations!$F$3,Calculations!$F$4,FALSE)/_xlfn.NORM.DIST(Calculations!$F$3,Calculations!$F$3,Calculations!$F$4,FALSE),NA())</f>
        <v>#N/A</v>
      </c>
      <c r="M102" t="e">
        <f>IF(AND(A102&gt;=Calculations!$F$7,A102&lt;=Calculations!$F$8),0.2*_xlfn.NORM.DIST(100,100,15,FALSE)*_xlfn.NORM.DIST(A102,Calculations!$F$3,Calculations!$F$4,FALSE)/_xlfn.NORM.DIST(Calculations!$F$3,Calculations!$F$3,Calculations!$F$4,FALSE),NA())</f>
        <v>#N/A</v>
      </c>
    </row>
    <row r="103" spans="1:13" x14ac:dyDescent="0.25">
      <c r="A103">
        <v>50.100000000000101</v>
      </c>
      <c r="B103">
        <f t="shared" si="10"/>
        <v>1.0512669776235366E-4</v>
      </c>
      <c r="C103" t="e">
        <f t="shared" si="11"/>
        <v>#N/A</v>
      </c>
      <c r="D103" t="e">
        <f t="shared" si="12"/>
        <v>#N/A</v>
      </c>
      <c r="E103" t="e">
        <f t="shared" si="13"/>
        <v>#N/A</v>
      </c>
      <c r="F103" t="e">
        <f t="shared" si="14"/>
        <v>#N/A</v>
      </c>
      <c r="G103" t="e">
        <f t="shared" si="15"/>
        <v>#N/A</v>
      </c>
      <c r="H103" t="e">
        <f t="shared" si="16"/>
        <v>#N/A</v>
      </c>
      <c r="I103" t="e">
        <f t="shared" si="17"/>
        <v>#N/A</v>
      </c>
      <c r="J103" t="e">
        <f t="shared" si="18"/>
        <v>#N/A</v>
      </c>
      <c r="K103">
        <f t="shared" si="19"/>
        <v>3.0512669776235367E-4</v>
      </c>
      <c r="L103" t="e">
        <f>IF(AND(ABS((ChartCalculations!A103-Calculations!$F$3)/Calculations!$F$4)&lt;5,OR(A103&lt;=Calculations!$F$7,A103&gt;=Calculations!$F$8)),0.2*_xlfn.NORM.DIST(100,100,15,FALSE)*_xlfn.NORM.DIST(A103,Calculations!$F$3,Calculations!$F$4,FALSE)/_xlfn.NORM.DIST(Calculations!$F$3,Calculations!$F$3,Calculations!$F$4,FALSE),NA())</f>
        <v>#N/A</v>
      </c>
      <c r="M103" t="e">
        <f>IF(AND(A103&gt;=Calculations!$F$7,A103&lt;=Calculations!$F$8),0.2*_xlfn.NORM.DIST(100,100,15,FALSE)*_xlfn.NORM.DIST(A103,Calculations!$F$3,Calculations!$F$4,FALSE)/_xlfn.NORM.DIST(Calculations!$F$3,Calculations!$F$3,Calculations!$F$4,FALSE),NA())</f>
        <v>#N/A</v>
      </c>
    </row>
    <row r="104" spans="1:13" x14ac:dyDescent="0.25">
      <c r="A104">
        <v>50.200000000000102</v>
      </c>
      <c r="B104">
        <f t="shared" si="10"/>
        <v>1.0748183146514403E-4</v>
      </c>
      <c r="C104" t="e">
        <f t="shared" si="11"/>
        <v>#N/A</v>
      </c>
      <c r="D104" t="e">
        <f t="shared" si="12"/>
        <v>#N/A</v>
      </c>
      <c r="E104" t="e">
        <f t="shared" si="13"/>
        <v>#N/A</v>
      </c>
      <c r="F104" t="e">
        <f t="shared" si="14"/>
        <v>#N/A</v>
      </c>
      <c r="G104" t="e">
        <f t="shared" si="15"/>
        <v>#N/A</v>
      </c>
      <c r="H104" t="e">
        <f t="shared" si="16"/>
        <v>#N/A</v>
      </c>
      <c r="I104" t="e">
        <f t="shared" si="17"/>
        <v>#N/A</v>
      </c>
      <c r="J104" t="e">
        <f t="shared" si="18"/>
        <v>#N/A</v>
      </c>
      <c r="K104">
        <f t="shared" si="19"/>
        <v>3.0748183146514404E-4</v>
      </c>
      <c r="L104" t="e">
        <f>IF(AND(ABS((ChartCalculations!A104-Calculations!$F$3)/Calculations!$F$4)&lt;5,OR(A104&lt;=Calculations!$F$7,A104&gt;=Calculations!$F$8)),0.2*_xlfn.NORM.DIST(100,100,15,FALSE)*_xlfn.NORM.DIST(A104,Calculations!$F$3,Calculations!$F$4,FALSE)/_xlfn.NORM.DIST(Calculations!$F$3,Calculations!$F$3,Calculations!$F$4,FALSE),NA())</f>
        <v>#N/A</v>
      </c>
      <c r="M104" t="e">
        <f>IF(AND(A104&gt;=Calculations!$F$7,A104&lt;=Calculations!$F$8),0.2*_xlfn.NORM.DIST(100,100,15,FALSE)*_xlfn.NORM.DIST(A104,Calculations!$F$3,Calculations!$F$4,FALSE)/_xlfn.NORM.DIST(Calculations!$F$3,Calculations!$F$3,Calculations!$F$4,FALSE),NA())</f>
        <v>#N/A</v>
      </c>
    </row>
    <row r="105" spans="1:13" x14ac:dyDescent="0.25">
      <c r="A105">
        <v>50.300000000000097</v>
      </c>
      <c r="B105">
        <f t="shared" si="10"/>
        <v>1.0988484290745592E-4</v>
      </c>
      <c r="C105" t="e">
        <f t="shared" si="11"/>
        <v>#N/A</v>
      </c>
      <c r="D105" t="e">
        <f t="shared" si="12"/>
        <v>#N/A</v>
      </c>
      <c r="E105" t="e">
        <f t="shared" si="13"/>
        <v>#N/A</v>
      </c>
      <c r="F105" t="e">
        <f t="shared" si="14"/>
        <v>#N/A</v>
      </c>
      <c r="G105" t="e">
        <f t="shared" si="15"/>
        <v>#N/A</v>
      </c>
      <c r="H105" t="e">
        <f t="shared" si="16"/>
        <v>#N/A</v>
      </c>
      <c r="I105" t="e">
        <f t="shared" si="17"/>
        <v>#N/A</v>
      </c>
      <c r="J105" t="e">
        <f t="shared" si="18"/>
        <v>#N/A</v>
      </c>
      <c r="K105">
        <f t="shared" si="19"/>
        <v>3.0988484290745593E-4</v>
      </c>
      <c r="L105" t="e">
        <f>IF(AND(ABS((ChartCalculations!A105-Calculations!$F$3)/Calculations!$F$4)&lt;5,OR(A105&lt;=Calculations!$F$7,A105&gt;=Calculations!$F$8)),0.2*_xlfn.NORM.DIST(100,100,15,FALSE)*_xlfn.NORM.DIST(A105,Calculations!$F$3,Calculations!$F$4,FALSE)/_xlfn.NORM.DIST(Calculations!$F$3,Calculations!$F$3,Calculations!$F$4,FALSE),NA())</f>
        <v>#N/A</v>
      </c>
      <c r="M105" t="e">
        <f>IF(AND(A105&gt;=Calculations!$F$7,A105&lt;=Calculations!$F$8),0.2*_xlfn.NORM.DIST(100,100,15,FALSE)*_xlfn.NORM.DIST(A105,Calculations!$F$3,Calculations!$F$4,FALSE)/_xlfn.NORM.DIST(Calculations!$F$3,Calculations!$F$3,Calculations!$F$4,FALSE),NA())</f>
        <v>#N/A</v>
      </c>
    </row>
    <row r="106" spans="1:13" x14ac:dyDescent="0.25">
      <c r="A106">
        <v>50.400000000000098</v>
      </c>
      <c r="B106">
        <f t="shared" si="10"/>
        <v>1.1233658652579446E-4</v>
      </c>
      <c r="C106" t="e">
        <f t="shared" si="11"/>
        <v>#N/A</v>
      </c>
      <c r="D106" t="e">
        <f t="shared" si="12"/>
        <v>#N/A</v>
      </c>
      <c r="E106" t="e">
        <f t="shared" si="13"/>
        <v>#N/A</v>
      </c>
      <c r="F106" t="e">
        <f t="shared" si="14"/>
        <v>#N/A</v>
      </c>
      <c r="G106" t="e">
        <f t="shared" si="15"/>
        <v>#N/A</v>
      </c>
      <c r="H106" t="e">
        <f t="shared" si="16"/>
        <v>#N/A</v>
      </c>
      <c r="I106" t="e">
        <f t="shared" si="17"/>
        <v>#N/A</v>
      </c>
      <c r="J106" t="e">
        <f t="shared" si="18"/>
        <v>#N/A</v>
      </c>
      <c r="K106">
        <f t="shared" si="19"/>
        <v>3.1233658652579448E-4</v>
      </c>
      <c r="L106" t="e">
        <f>IF(AND(ABS((ChartCalculations!A106-Calculations!$F$3)/Calculations!$F$4)&lt;5,OR(A106&lt;=Calculations!$F$7,A106&gt;=Calculations!$F$8)),0.2*_xlfn.NORM.DIST(100,100,15,FALSE)*_xlfn.NORM.DIST(A106,Calculations!$F$3,Calculations!$F$4,FALSE)/_xlfn.NORM.DIST(Calculations!$F$3,Calculations!$F$3,Calculations!$F$4,FALSE),NA())</f>
        <v>#N/A</v>
      </c>
      <c r="M106" t="e">
        <f>IF(AND(A106&gt;=Calculations!$F$7,A106&lt;=Calculations!$F$8),0.2*_xlfn.NORM.DIST(100,100,15,FALSE)*_xlfn.NORM.DIST(A106,Calculations!$F$3,Calculations!$F$4,FALSE)/_xlfn.NORM.DIST(Calculations!$F$3,Calculations!$F$3,Calculations!$F$4,FALSE),NA())</f>
        <v>#N/A</v>
      </c>
    </row>
    <row r="107" spans="1:13" x14ac:dyDescent="0.25">
      <c r="A107">
        <v>50.500000000000099</v>
      </c>
      <c r="B107">
        <f t="shared" si="10"/>
        <v>1.1483792927024798E-4</v>
      </c>
      <c r="C107" t="e">
        <f t="shared" si="11"/>
        <v>#N/A</v>
      </c>
      <c r="D107" t="e">
        <f t="shared" si="12"/>
        <v>#N/A</v>
      </c>
      <c r="E107" t="e">
        <f t="shared" si="13"/>
        <v>#N/A</v>
      </c>
      <c r="F107" t="e">
        <f t="shared" si="14"/>
        <v>#N/A</v>
      </c>
      <c r="G107" t="e">
        <f t="shared" si="15"/>
        <v>#N/A</v>
      </c>
      <c r="H107" t="e">
        <f t="shared" si="16"/>
        <v>#N/A</v>
      </c>
      <c r="I107" t="e">
        <f t="shared" si="17"/>
        <v>#N/A</v>
      </c>
      <c r="J107" t="e">
        <f t="shared" si="18"/>
        <v>#N/A</v>
      </c>
      <c r="K107">
        <f t="shared" si="19"/>
        <v>3.1483792927024799E-4</v>
      </c>
      <c r="L107" t="e">
        <f>IF(AND(ABS((ChartCalculations!A107-Calculations!$F$3)/Calculations!$F$4)&lt;5,OR(A107&lt;=Calculations!$F$7,A107&gt;=Calculations!$F$8)),0.2*_xlfn.NORM.DIST(100,100,15,FALSE)*_xlfn.NORM.DIST(A107,Calculations!$F$3,Calculations!$F$4,FALSE)/_xlfn.NORM.DIST(Calculations!$F$3,Calculations!$F$3,Calculations!$F$4,FALSE),NA())</f>
        <v>#N/A</v>
      </c>
      <c r="M107" t="e">
        <f>IF(AND(A107&gt;=Calculations!$F$7,A107&lt;=Calculations!$F$8),0.2*_xlfn.NORM.DIST(100,100,15,FALSE)*_xlfn.NORM.DIST(A107,Calculations!$F$3,Calculations!$F$4,FALSE)/_xlfn.NORM.DIST(Calculations!$F$3,Calculations!$F$3,Calculations!$F$4,FALSE),NA())</f>
        <v>#N/A</v>
      </c>
    </row>
    <row r="108" spans="1:13" x14ac:dyDescent="0.25">
      <c r="A108">
        <v>50.6000000000002</v>
      </c>
      <c r="B108">
        <f t="shared" si="10"/>
        <v>1.1738975072785657E-4</v>
      </c>
      <c r="C108" t="e">
        <f t="shared" si="11"/>
        <v>#N/A</v>
      </c>
      <c r="D108" t="e">
        <f t="shared" si="12"/>
        <v>#N/A</v>
      </c>
      <c r="E108" t="e">
        <f t="shared" si="13"/>
        <v>#N/A</v>
      </c>
      <c r="F108" t="e">
        <f t="shared" si="14"/>
        <v>#N/A</v>
      </c>
      <c r="G108" t="e">
        <f t="shared" si="15"/>
        <v>#N/A</v>
      </c>
      <c r="H108" t="e">
        <f t="shared" si="16"/>
        <v>#N/A</v>
      </c>
      <c r="I108" t="e">
        <f t="shared" si="17"/>
        <v>#N/A</v>
      </c>
      <c r="J108" t="e">
        <f t="shared" si="18"/>
        <v>#N/A</v>
      </c>
      <c r="K108">
        <f t="shared" si="19"/>
        <v>3.1738975072785657E-4</v>
      </c>
      <c r="L108" t="e">
        <f>IF(AND(ABS((ChartCalculations!A108-Calculations!$F$3)/Calculations!$F$4)&lt;5,OR(A108&lt;=Calculations!$F$7,A108&gt;=Calculations!$F$8)),0.2*_xlfn.NORM.DIST(100,100,15,FALSE)*_xlfn.NORM.DIST(A108,Calculations!$F$3,Calculations!$F$4,FALSE)/_xlfn.NORM.DIST(Calculations!$F$3,Calculations!$F$3,Calculations!$F$4,FALSE),NA())</f>
        <v>#N/A</v>
      </c>
      <c r="M108" t="e">
        <f>IF(AND(A108&gt;=Calculations!$F$7,A108&lt;=Calculations!$F$8),0.2*_xlfn.NORM.DIST(100,100,15,FALSE)*_xlfn.NORM.DIST(A108,Calculations!$F$3,Calculations!$F$4,FALSE)/_xlfn.NORM.DIST(Calculations!$F$3,Calculations!$F$3,Calculations!$F$4,FALSE),NA())</f>
        <v>#N/A</v>
      </c>
    </row>
    <row r="109" spans="1:13" x14ac:dyDescent="0.25">
      <c r="A109">
        <v>50.700000000000202</v>
      </c>
      <c r="B109">
        <f t="shared" si="10"/>
        <v>1.1999294324587896E-4</v>
      </c>
      <c r="C109" t="e">
        <f t="shared" si="11"/>
        <v>#N/A</v>
      </c>
      <c r="D109" t="e">
        <f t="shared" si="12"/>
        <v>#N/A</v>
      </c>
      <c r="E109" t="e">
        <f t="shared" si="13"/>
        <v>#N/A</v>
      </c>
      <c r="F109" t="e">
        <f t="shared" si="14"/>
        <v>#N/A</v>
      </c>
      <c r="G109" t="e">
        <f t="shared" si="15"/>
        <v>#N/A</v>
      </c>
      <c r="H109" t="e">
        <f t="shared" si="16"/>
        <v>#N/A</v>
      </c>
      <c r="I109" t="e">
        <f t="shared" si="17"/>
        <v>#N/A</v>
      </c>
      <c r="J109" t="e">
        <f t="shared" si="18"/>
        <v>#N/A</v>
      </c>
      <c r="K109">
        <f t="shared" si="19"/>
        <v>3.1999294324587898E-4</v>
      </c>
      <c r="L109" t="e">
        <f>IF(AND(ABS((ChartCalculations!A109-Calculations!$F$3)/Calculations!$F$4)&lt;5,OR(A109&lt;=Calculations!$F$7,A109&gt;=Calculations!$F$8)),0.2*_xlfn.NORM.DIST(100,100,15,FALSE)*_xlfn.NORM.DIST(A109,Calculations!$F$3,Calculations!$F$4,FALSE)/_xlfn.NORM.DIST(Calculations!$F$3,Calculations!$F$3,Calculations!$F$4,FALSE),NA())</f>
        <v>#N/A</v>
      </c>
      <c r="M109" t="e">
        <f>IF(AND(A109&gt;=Calculations!$F$7,A109&lt;=Calculations!$F$8),0.2*_xlfn.NORM.DIST(100,100,15,FALSE)*_xlfn.NORM.DIST(A109,Calculations!$F$3,Calculations!$F$4,FALSE)/_xlfn.NORM.DIST(Calculations!$F$3,Calculations!$F$3,Calculations!$F$4,FALSE),NA())</f>
        <v>#N/A</v>
      </c>
    </row>
    <row r="110" spans="1:13" x14ac:dyDescent="0.25">
      <c r="A110">
        <v>50.800000000000203</v>
      </c>
      <c r="B110">
        <f t="shared" si="10"/>
        <v>1.226484120549574E-4</v>
      </c>
      <c r="C110" t="e">
        <f t="shared" si="11"/>
        <v>#N/A</v>
      </c>
      <c r="D110" t="e">
        <f t="shared" si="12"/>
        <v>#N/A</v>
      </c>
      <c r="E110" t="e">
        <f t="shared" si="13"/>
        <v>#N/A</v>
      </c>
      <c r="F110" t="e">
        <f t="shared" si="14"/>
        <v>#N/A</v>
      </c>
      <c r="G110" t="e">
        <f t="shared" si="15"/>
        <v>#N/A</v>
      </c>
      <c r="H110" t="e">
        <f t="shared" si="16"/>
        <v>#N/A</v>
      </c>
      <c r="I110" t="e">
        <f t="shared" si="17"/>
        <v>#N/A</v>
      </c>
      <c r="J110" t="e">
        <f t="shared" si="18"/>
        <v>#N/A</v>
      </c>
      <c r="K110">
        <f t="shared" si="19"/>
        <v>3.2264841205495741E-4</v>
      </c>
      <c r="L110" t="e">
        <f>IF(AND(ABS((ChartCalculations!A110-Calculations!$F$3)/Calculations!$F$4)&lt;5,OR(A110&lt;=Calculations!$F$7,A110&gt;=Calculations!$F$8)),0.2*_xlfn.NORM.DIST(100,100,15,FALSE)*_xlfn.NORM.DIST(A110,Calculations!$F$3,Calculations!$F$4,FALSE)/_xlfn.NORM.DIST(Calculations!$F$3,Calculations!$F$3,Calculations!$F$4,FALSE),NA())</f>
        <v>#N/A</v>
      </c>
      <c r="M110" t="e">
        <f>IF(AND(A110&gt;=Calculations!$F$7,A110&lt;=Calculations!$F$8),0.2*_xlfn.NORM.DIST(100,100,15,FALSE)*_xlfn.NORM.DIST(A110,Calculations!$F$3,Calculations!$F$4,FALSE)/_xlfn.NORM.DIST(Calculations!$F$3,Calculations!$F$3,Calculations!$F$4,FALSE),NA())</f>
        <v>#N/A</v>
      </c>
    </row>
    <row r="111" spans="1:13" x14ac:dyDescent="0.25">
      <c r="A111">
        <v>50.900000000000198</v>
      </c>
      <c r="B111">
        <f t="shared" si="10"/>
        <v>1.2535707539209934E-4</v>
      </c>
      <c r="C111" t="e">
        <f t="shared" si="11"/>
        <v>#N/A</v>
      </c>
      <c r="D111" t="e">
        <f t="shared" si="12"/>
        <v>#N/A</v>
      </c>
      <c r="E111" t="e">
        <f t="shared" si="13"/>
        <v>#N/A</v>
      </c>
      <c r="F111" t="e">
        <f t="shared" si="14"/>
        <v>#N/A</v>
      </c>
      <c r="G111" t="e">
        <f t="shared" si="15"/>
        <v>#N/A</v>
      </c>
      <c r="H111" t="e">
        <f t="shared" si="16"/>
        <v>#N/A</v>
      </c>
      <c r="I111" t="e">
        <f t="shared" si="17"/>
        <v>#N/A</v>
      </c>
      <c r="J111" t="e">
        <f t="shared" si="18"/>
        <v>#N/A</v>
      </c>
      <c r="K111">
        <f t="shared" si="19"/>
        <v>3.2535707539209932E-4</v>
      </c>
      <c r="L111" t="e">
        <f>IF(AND(ABS((ChartCalculations!A111-Calculations!$F$3)/Calculations!$F$4)&lt;5,OR(A111&lt;=Calculations!$F$7,A111&gt;=Calculations!$F$8)),0.2*_xlfn.NORM.DIST(100,100,15,FALSE)*_xlfn.NORM.DIST(A111,Calculations!$F$3,Calculations!$F$4,FALSE)/_xlfn.NORM.DIST(Calculations!$F$3,Calculations!$F$3,Calculations!$F$4,FALSE),NA())</f>
        <v>#N/A</v>
      </c>
      <c r="M111" t="e">
        <f>IF(AND(A111&gt;=Calculations!$F$7,A111&lt;=Calculations!$F$8),0.2*_xlfn.NORM.DIST(100,100,15,FALSE)*_xlfn.NORM.DIST(A111,Calculations!$F$3,Calculations!$F$4,FALSE)/_xlfn.NORM.DIST(Calculations!$F$3,Calculations!$F$3,Calculations!$F$4,FALSE),NA())</f>
        <v>#N/A</v>
      </c>
    </row>
    <row r="112" spans="1:13" x14ac:dyDescent="0.25">
      <c r="A112">
        <v>51.000000000000199</v>
      </c>
      <c r="B112">
        <f t="shared" si="10"/>
        <v>1.2811986462347283E-4</v>
      </c>
      <c r="C112" t="e">
        <f t="shared" si="11"/>
        <v>#N/A</v>
      </c>
      <c r="D112" t="e">
        <f t="shared" si="12"/>
        <v>#N/A</v>
      </c>
      <c r="E112" t="e">
        <f t="shared" si="13"/>
        <v>#N/A</v>
      </c>
      <c r="F112" t="e">
        <f t="shared" si="14"/>
        <v>#N/A</v>
      </c>
      <c r="G112" t="e">
        <f t="shared" si="15"/>
        <v>#N/A</v>
      </c>
      <c r="H112" t="e">
        <f t="shared" si="16"/>
        <v>#N/A</v>
      </c>
      <c r="I112" t="e">
        <f t="shared" si="17"/>
        <v>#N/A</v>
      </c>
      <c r="J112" t="e">
        <f t="shared" si="18"/>
        <v>#N/A</v>
      </c>
      <c r="K112">
        <f t="shared" si="19"/>
        <v>3.2811986462347284E-4</v>
      </c>
      <c r="L112" t="e">
        <f>IF(AND(ABS((ChartCalculations!A112-Calculations!$F$3)/Calculations!$F$4)&lt;5,OR(A112&lt;=Calculations!$F$7,A112&gt;=Calculations!$F$8)),0.2*_xlfn.NORM.DIST(100,100,15,FALSE)*_xlfn.NORM.DIST(A112,Calculations!$F$3,Calculations!$F$4,FALSE)/_xlfn.NORM.DIST(Calculations!$F$3,Calculations!$F$3,Calculations!$F$4,FALSE),NA())</f>
        <v>#N/A</v>
      </c>
      <c r="M112" t="e">
        <f>IF(AND(A112&gt;=Calculations!$F$7,A112&lt;=Calculations!$F$8),0.2*_xlfn.NORM.DIST(100,100,15,FALSE)*_xlfn.NORM.DIST(A112,Calculations!$F$3,Calculations!$F$4,FALSE)/_xlfn.NORM.DIST(Calculations!$F$3,Calculations!$F$3,Calculations!$F$4,FALSE),NA())</f>
        <v>#N/A</v>
      </c>
    </row>
    <row r="113" spans="1:13" x14ac:dyDescent="0.25">
      <c r="A113">
        <v>51.1000000000002</v>
      </c>
      <c r="B113">
        <f t="shared" si="10"/>
        <v>1.3093772436696409E-4</v>
      </c>
      <c r="C113" t="e">
        <f t="shared" si="11"/>
        <v>#N/A</v>
      </c>
      <c r="D113" t="e">
        <f t="shared" si="12"/>
        <v>#N/A</v>
      </c>
      <c r="E113" t="e">
        <f t="shared" si="13"/>
        <v>#N/A</v>
      </c>
      <c r="F113" t="e">
        <f t="shared" si="14"/>
        <v>#N/A</v>
      </c>
      <c r="G113" t="e">
        <f t="shared" si="15"/>
        <v>#N/A</v>
      </c>
      <c r="H113" t="e">
        <f t="shared" si="16"/>
        <v>#N/A</v>
      </c>
      <c r="I113" t="e">
        <f t="shared" si="17"/>
        <v>#N/A</v>
      </c>
      <c r="J113" t="e">
        <f t="shared" si="18"/>
        <v>#N/A</v>
      </c>
      <c r="K113">
        <f t="shared" si="19"/>
        <v>3.309377243669641E-4</v>
      </c>
      <c r="L113" t="e">
        <f>IF(AND(ABS((ChartCalculations!A113-Calculations!$F$3)/Calculations!$F$4)&lt;5,OR(A113&lt;=Calculations!$F$7,A113&gt;=Calculations!$F$8)),0.2*_xlfn.NORM.DIST(100,100,15,FALSE)*_xlfn.NORM.DIST(A113,Calculations!$F$3,Calculations!$F$4,FALSE)/_xlfn.NORM.DIST(Calculations!$F$3,Calculations!$F$3,Calculations!$F$4,FALSE),NA())</f>
        <v>#N/A</v>
      </c>
      <c r="M113" t="e">
        <f>IF(AND(A113&gt;=Calculations!$F$7,A113&lt;=Calculations!$F$8),0.2*_xlfn.NORM.DIST(100,100,15,FALSE)*_xlfn.NORM.DIST(A113,Calculations!$F$3,Calculations!$F$4,FALSE)/_xlfn.NORM.DIST(Calculations!$F$3,Calculations!$F$3,Calculations!$F$4,FALSE),NA())</f>
        <v>#N/A</v>
      </c>
    </row>
    <row r="114" spans="1:13" x14ac:dyDescent="0.25">
      <c r="A114">
        <v>51.200000000000202</v>
      </c>
      <c r="B114">
        <f t="shared" si="10"/>
        <v>1.3381161261446218E-4</v>
      </c>
      <c r="C114" t="e">
        <f t="shared" si="11"/>
        <v>#N/A</v>
      </c>
      <c r="D114" t="e">
        <f t="shared" si="12"/>
        <v>#N/A</v>
      </c>
      <c r="E114" t="e">
        <f t="shared" si="13"/>
        <v>#N/A</v>
      </c>
      <c r="F114" t="e">
        <f t="shared" si="14"/>
        <v>#N/A</v>
      </c>
      <c r="G114" t="e">
        <f t="shared" si="15"/>
        <v>#N/A</v>
      </c>
      <c r="H114" t="e">
        <f t="shared" si="16"/>
        <v>#N/A</v>
      </c>
      <c r="I114" t="e">
        <f t="shared" si="17"/>
        <v>#N/A</v>
      </c>
      <c r="J114" t="e">
        <f t="shared" si="18"/>
        <v>#N/A</v>
      </c>
      <c r="K114">
        <f t="shared" si="19"/>
        <v>3.3381161261446219E-4</v>
      </c>
      <c r="L114" t="e">
        <f>IF(AND(ABS((ChartCalculations!A114-Calculations!$F$3)/Calculations!$F$4)&lt;5,OR(A114&lt;=Calculations!$F$7,A114&gt;=Calculations!$F$8)),0.2*_xlfn.NORM.DIST(100,100,15,FALSE)*_xlfn.NORM.DIST(A114,Calculations!$F$3,Calculations!$F$4,FALSE)/_xlfn.NORM.DIST(Calculations!$F$3,Calculations!$F$3,Calculations!$F$4,FALSE),NA())</f>
        <v>#N/A</v>
      </c>
      <c r="M114" t="e">
        <f>IF(AND(A114&gt;=Calculations!$F$7,A114&lt;=Calculations!$F$8),0.2*_xlfn.NORM.DIST(100,100,15,FALSE)*_xlfn.NORM.DIST(A114,Calculations!$F$3,Calculations!$F$4,FALSE)/_xlfn.NORM.DIST(Calculations!$F$3,Calculations!$F$3,Calculations!$F$4,FALSE),NA())</f>
        <v>#N/A</v>
      </c>
    </row>
    <row r="115" spans="1:13" x14ac:dyDescent="0.25">
      <c r="A115">
        <v>51.300000000000203</v>
      </c>
      <c r="B115">
        <f t="shared" si="10"/>
        <v>1.3674250085383245E-4</v>
      </c>
      <c r="C115" t="e">
        <f t="shared" si="11"/>
        <v>#N/A</v>
      </c>
      <c r="D115" t="e">
        <f t="shared" si="12"/>
        <v>#N/A</v>
      </c>
      <c r="E115" t="e">
        <f t="shared" si="13"/>
        <v>#N/A</v>
      </c>
      <c r="F115" t="e">
        <f t="shared" si="14"/>
        <v>#N/A</v>
      </c>
      <c r="G115" t="e">
        <f t="shared" si="15"/>
        <v>#N/A</v>
      </c>
      <c r="H115" t="e">
        <f t="shared" si="16"/>
        <v>#N/A</v>
      </c>
      <c r="I115" t="e">
        <f t="shared" si="17"/>
        <v>#N/A</v>
      </c>
      <c r="J115" t="e">
        <f t="shared" si="18"/>
        <v>#N/A</v>
      </c>
      <c r="K115">
        <f t="shared" si="19"/>
        <v>3.3674250085383248E-4</v>
      </c>
      <c r="L115" t="e">
        <f>IF(AND(ABS((ChartCalculations!A115-Calculations!$F$3)/Calculations!$F$4)&lt;5,OR(A115&lt;=Calculations!$F$7,A115&gt;=Calculations!$F$8)),0.2*_xlfn.NORM.DIST(100,100,15,FALSE)*_xlfn.NORM.DIST(A115,Calculations!$F$3,Calculations!$F$4,FALSE)/_xlfn.NORM.DIST(Calculations!$F$3,Calculations!$F$3,Calculations!$F$4,FALSE),NA())</f>
        <v>#N/A</v>
      </c>
      <c r="M115" t="e">
        <f>IF(AND(A115&gt;=Calculations!$F$7,A115&lt;=Calculations!$F$8),0.2*_xlfn.NORM.DIST(100,100,15,FALSE)*_xlfn.NORM.DIST(A115,Calculations!$F$3,Calculations!$F$4,FALSE)/_xlfn.NORM.DIST(Calculations!$F$3,Calculations!$F$3,Calculations!$F$4,FALSE),NA())</f>
        <v>#N/A</v>
      </c>
    </row>
    <row r="116" spans="1:13" x14ac:dyDescent="0.25">
      <c r="A116">
        <v>51.400000000000198</v>
      </c>
      <c r="B116">
        <f t="shared" si="10"/>
        <v>1.3973137419053555E-4</v>
      </c>
      <c r="C116" t="e">
        <f t="shared" si="11"/>
        <v>#N/A</v>
      </c>
      <c r="D116" t="e">
        <f t="shared" si="12"/>
        <v>#N/A</v>
      </c>
      <c r="E116" t="e">
        <f t="shared" si="13"/>
        <v>#N/A</v>
      </c>
      <c r="F116" t="e">
        <f t="shared" si="14"/>
        <v>#N/A</v>
      </c>
      <c r="G116" t="e">
        <f t="shared" si="15"/>
        <v>#N/A</v>
      </c>
      <c r="H116" t="e">
        <f t="shared" si="16"/>
        <v>#N/A</v>
      </c>
      <c r="I116" t="e">
        <f t="shared" si="17"/>
        <v>#N/A</v>
      </c>
      <c r="J116" t="e">
        <f t="shared" si="18"/>
        <v>#N/A</v>
      </c>
      <c r="K116">
        <f t="shared" si="19"/>
        <v>3.3973137419053556E-4</v>
      </c>
      <c r="L116" t="e">
        <f>IF(AND(ABS((ChartCalculations!A116-Calculations!$F$3)/Calculations!$F$4)&lt;5,OR(A116&lt;=Calculations!$F$7,A116&gt;=Calculations!$F$8)),0.2*_xlfn.NORM.DIST(100,100,15,FALSE)*_xlfn.NORM.DIST(A116,Calculations!$F$3,Calculations!$F$4,FALSE)/_xlfn.NORM.DIST(Calculations!$F$3,Calculations!$F$3,Calculations!$F$4,FALSE),NA())</f>
        <v>#N/A</v>
      </c>
      <c r="M116" t="e">
        <f>IF(AND(A116&gt;=Calculations!$F$7,A116&lt;=Calculations!$F$8),0.2*_xlfn.NORM.DIST(100,100,15,FALSE)*_xlfn.NORM.DIST(A116,Calculations!$F$3,Calculations!$F$4,FALSE)/_xlfn.NORM.DIST(Calculations!$F$3,Calculations!$F$3,Calculations!$F$4,FALSE),NA())</f>
        <v>#N/A</v>
      </c>
    </row>
    <row r="117" spans="1:13" x14ac:dyDescent="0.25">
      <c r="A117">
        <v>51.500000000000199</v>
      </c>
      <c r="B117">
        <f t="shared" si="10"/>
        <v>1.4277923146885729E-4</v>
      </c>
      <c r="C117" t="e">
        <f t="shared" si="11"/>
        <v>#N/A</v>
      </c>
      <c r="D117" t="e">
        <f t="shared" si="12"/>
        <v>#N/A</v>
      </c>
      <c r="E117" t="e">
        <f t="shared" si="13"/>
        <v>#N/A</v>
      </c>
      <c r="F117" t="e">
        <f t="shared" si="14"/>
        <v>#N/A</v>
      </c>
      <c r="G117" t="e">
        <f t="shared" si="15"/>
        <v>#N/A</v>
      </c>
      <c r="H117" t="e">
        <f t="shared" si="16"/>
        <v>#N/A</v>
      </c>
      <c r="I117" t="e">
        <f t="shared" si="17"/>
        <v>#N/A</v>
      </c>
      <c r="J117" t="e">
        <f t="shared" si="18"/>
        <v>#N/A</v>
      </c>
      <c r="K117">
        <f t="shared" si="19"/>
        <v>3.427792314688573E-4</v>
      </c>
      <c r="L117" t="e">
        <f>IF(AND(ABS((ChartCalculations!A117-Calculations!$F$3)/Calculations!$F$4)&lt;5,OR(A117&lt;=Calculations!$F$7,A117&gt;=Calculations!$F$8)),0.2*_xlfn.NORM.DIST(100,100,15,FALSE)*_xlfn.NORM.DIST(A117,Calculations!$F$3,Calculations!$F$4,FALSE)/_xlfn.NORM.DIST(Calculations!$F$3,Calculations!$F$3,Calculations!$F$4,FALSE),NA())</f>
        <v>#N/A</v>
      </c>
      <c r="M117" t="e">
        <f>IF(AND(A117&gt;=Calculations!$F$7,A117&lt;=Calculations!$F$8),0.2*_xlfn.NORM.DIST(100,100,15,FALSE)*_xlfn.NORM.DIST(A117,Calculations!$F$3,Calculations!$F$4,FALSE)/_xlfn.NORM.DIST(Calculations!$F$3,Calculations!$F$3,Calculations!$F$4,FALSE),NA())</f>
        <v>#N/A</v>
      </c>
    </row>
    <row r="118" spans="1:13" x14ac:dyDescent="0.25">
      <c r="A118">
        <v>51.6000000000002</v>
      </c>
      <c r="B118">
        <f t="shared" si="10"/>
        <v>1.4588708539270154E-4</v>
      </c>
      <c r="C118" t="e">
        <f t="shared" si="11"/>
        <v>#N/A</v>
      </c>
      <c r="D118" t="e">
        <f t="shared" si="12"/>
        <v>#N/A</v>
      </c>
      <c r="E118" t="e">
        <f t="shared" si="13"/>
        <v>#N/A</v>
      </c>
      <c r="F118" t="e">
        <f t="shared" si="14"/>
        <v>#N/A</v>
      </c>
      <c r="G118" t="e">
        <f t="shared" si="15"/>
        <v>#N/A</v>
      </c>
      <c r="H118" t="e">
        <f t="shared" si="16"/>
        <v>#N/A</v>
      </c>
      <c r="I118" t="e">
        <f t="shared" si="17"/>
        <v>#N/A</v>
      </c>
      <c r="J118" t="e">
        <f t="shared" si="18"/>
        <v>#N/A</v>
      </c>
      <c r="K118">
        <f t="shared" si="19"/>
        <v>3.4588708539270155E-4</v>
      </c>
      <c r="L118" t="e">
        <f>IF(AND(ABS((ChartCalculations!A118-Calculations!$F$3)/Calculations!$F$4)&lt;5,OR(A118&lt;=Calculations!$F$7,A118&gt;=Calculations!$F$8)),0.2*_xlfn.NORM.DIST(100,100,15,FALSE)*_xlfn.NORM.DIST(A118,Calculations!$F$3,Calculations!$F$4,FALSE)/_xlfn.NORM.DIST(Calculations!$F$3,Calculations!$F$3,Calculations!$F$4,FALSE),NA())</f>
        <v>#N/A</v>
      </c>
      <c r="M118" t="e">
        <f>IF(AND(A118&gt;=Calculations!$F$7,A118&lt;=Calculations!$F$8),0.2*_xlfn.NORM.DIST(100,100,15,FALSE)*_xlfn.NORM.DIST(A118,Calculations!$F$3,Calculations!$F$4,FALSE)/_xlfn.NORM.DIST(Calculations!$F$3,Calculations!$F$3,Calculations!$F$4,FALSE),NA())</f>
        <v>#N/A</v>
      </c>
    </row>
    <row r="119" spans="1:13" x14ac:dyDescent="0.25">
      <c r="A119">
        <v>51.700000000000202</v>
      </c>
      <c r="B119">
        <f t="shared" si="10"/>
        <v>1.4905596264590918E-4</v>
      </c>
      <c r="C119" t="e">
        <f t="shared" si="11"/>
        <v>#N/A</v>
      </c>
      <c r="D119" t="e">
        <f t="shared" si="12"/>
        <v>#N/A</v>
      </c>
      <c r="E119" t="e">
        <f t="shared" si="13"/>
        <v>#N/A</v>
      </c>
      <c r="F119" t="e">
        <f t="shared" si="14"/>
        <v>#N/A</v>
      </c>
      <c r="G119" t="e">
        <f t="shared" si="15"/>
        <v>#N/A</v>
      </c>
      <c r="H119" t="e">
        <f t="shared" si="16"/>
        <v>#N/A</v>
      </c>
      <c r="I119" t="e">
        <f t="shared" si="17"/>
        <v>#N/A</v>
      </c>
      <c r="J119" t="e">
        <f t="shared" si="18"/>
        <v>#N/A</v>
      </c>
      <c r="K119">
        <f t="shared" si="19"/>
        <v>3.4905596264590919E-4</v>
      </c>
      <c r="L119" t="e">
        <f>IF(AND(ABS((ChartCalculations!A119-Calculations!$F$3)/Calculations!$F$4)&lt;5,OR(A119&lt;=Calculations!$F$7,A119&gt;=Calculations!$F$8)),0.2*_xlfn.NORM.DIST(100,100,15,FALSE)*_xlfn.NORM.DIST(A119,Calculations!$F$3,Calculations!$F$4,FALSE)/_xlfn.NORM.DIST(Calculations!$F$3,Calculations!$F$3,Calculations!$F$4,FALSE),NA())</f>
        <v>#N/A</v>
      </c>
      <c r="M119" t="e">
        <f>IF(AND(A119&gt;=Calculations!$F$7,A119&lt;=Calculations!$F$8),0.2*_xlfn.NORM.DIST(100,100,15,FALSE)*_xlfn.NORM.DIST(A119,Calculations!$F$3,Calculations!$F$4,FALSE)/_xlfn.NORM.DIST(Calculations!$F$3,Calculations!$F$3,Calculations!$F$4,FALSE),NA())</f>
        <v>#N/A</v>
      </c>
    </row>
    <row r="120" spans="1:13" x14ac:dyDescent="0.25">
      <c r="A120">
        <v>51.800000000000203</v>
      </c>
      <c r="B120">
        <f t="shared" si="10"/>
        <v>1.5228690401205815E-4</v>
      </c>
      <c r="C120" t="e">
        <f t="shared" si="11"/>
        <v>#N/A</v>
      </c>
      <c r="D120" t="e">
        <f t="shared" si="12"/>
        <v>#N/A</v>
      </c>
      <c r="E120" t="e">
        <f t="shared" si="13"/>
        <v>#N/A</v>
      </c>
      <c r="F120" t="e">
        <f t="shared" si="14"/>
        <v>#N/A</v>
      </c>
      <c r="G120" t="e">
        <f t="shared" si="15"/>
        <v>#N/A</v>
      </c>
      <c r="H120" t="e">
        <f t="shared" si="16"/>
        <v>#N/A</v>
      </c>
      <c r="I120" t="e">
        <f t="shared" si="17"/>
        <v>#N/A</v>
      </c>
      <c r="J120" t="e">
        <f t="shared" si="18"/>
        <v>#N/A</v>
      </c>
      <c r="K120">
        <f t="shared" si="19"/>
        <v>3.5228690401205819E-4</v>
      </c>
      <c r="L120" t="e">
        <f>IF(AND(ABS((ChartCalculations!A120-Calculations!$F$3)/Calculations!$F$4)&lt;5,OR(A120&lt;=Calculations!$F$7,A120&gt;=Calculations!$F$8)),0.2*_xlfn.NORM.DIST(100,100,15,FALSE)*_xlfn.NORM.DIST(A120,Calculations!$F$3,Calculations!$F$4,FALSE)/_xlfn.NORM.DIST(Calculations!$F$3,Calculations!$F$3,Calculations!$F$4,FALSE),NA())</f>
        <v>#N/A</v>
      </c>
      <c r="M120" t="e">
        <f>IF(AND(A120&gt;=Calculations!$F$7,A120&lt;=Calculations!$F$8),0.2*_xlfn.NORM.DIST(100,100,15,FALSE)*_xlfn.NORM.DIST(A120,Calculations!$F$3,Calculations!$F$4,FALSE)/_xlfn.NORM.DIST(Calculations!$F$3,Calculations!$F$3,Calculations!$F$4,FALSE),NA())</f>
        <v>#N/A</v>
      </c>
    </row>
    <row r="121" spans="1:13" x14ac:dyDescent="0.25">
      <c r="A121">
        <v>51.900000000000198</v>
      </c>
      <c r="B121">
        <f t="shared" si="10"/>
        <v>1.5558096449370081E-4</v>
      </c>
      <c r="C121" t="e">
        <f t="shared" si="11"/>
        <v>#N/A</v>
      </c>
      <c r="D121" t="e">
        <f t="shared" si="12"/>
        <v>#N/A</v>
      </c>
      <c r="E121" t="e">
        <f t="shared" si="13"/>
        <v>#N/A</v>
      </c>
      <c r="F121" t="e">
        <f t="shared" si="14"/>
        <v>#N/A</v>
      </c>
      <c r="G121" t="e">
        <f t="shared" si="15"/>
        <v>#N/A</v>
      </c>
      <c r="H121" t="e">
        <f t="shared" si="16"/>
        <v>#N/A</v>
      </c>
      <c r="I121" t="e">
        <f t="shared" si="17"/>
        <v>#N/A</v>
      </c>
      <c r="J121" t="e">
        <f t="shared" si="18"/>
        <v>#N/A</v>
      </c>
      <c r="K121">
        <f t="shared" si="19"/>
        <v>3.5558096449370081E-4</v>
      </c>
      <c r="L121" t="e">
        <f>IF(AND(ABS((ChartCalculations!A121-Calculations!$F$3)/Calculations!$F$4)&lt;5,OR(A121&lt;=Calculations!$F$7,A121&gt;=Calculations!$F$8)),0.2*_xlfn.NORM.DIST(100,100,15,FALSE)*_xlfn.NORM.DIST(A121,Calculations!$F$3,Calculations!$F$4,FALSE)/_xlfn.NORM.DIST(Calculations!$F$3,Calculations!$F$3,Calculations!$F$4,FALSE),NA())</f>
        <v>#N/A</v>
      </c>
      <c r="M121" t="e">
        <f>IF(AND(A121&gt;=Calculations!$F$7,A121&lt;=Calculations!$F$8),0.2*_xlfn.NORM.DIST(100,100,15,FALSE)*_xlfn.NORM.DIST(A121,Calculations!$F$3,Calculations!$F$4,FALSE)/_xlfn.NORM.DIST(Calculations!$F$3,Calculations!$F$3,Calculations!$F$4,FALSE),NA())</f>
        <v>#N/A</v>
      </c>
    </row>
    <row r="122" spans="1:13" x14ac:dyDescent="0.25">
      <c r="A122">
        <v>52.000000000000199</v>
      </c>
      <c r="B122">
        <f t="shared" si="10"/>
        <v>1.5893921343099613E-4</v>
      </c>
      <c r="C122" t="e">
        <f t="shared" si="11"/>
        <v>#N/A</v>
      </c>
      <c r="D122" t="e">
        <f t="shared" si="12"/>
        <v>#N/A</v>
      </c>
      <c r="E122" t="e">
        <f t="shared" si="13"/>
        <v>#N/A</v>
      </c>
      <c r="F122" t="e">
        <f t="shared" si="14"/>
        <v>#N/A</v>
      </c>
      <c r="G122" t="e">
        <f t="shared" si="15"/>
        <v>#N/A</v>
      </c>
      <c r="H122" t="e">
        <f t="shared" si="16"/>
        <v>#N/A</v>
      </c>
      <c r="I122" t="e">
        <f t="shared" si="17"/>
        <v>#N/A</v>
      </c>
      <c r="J122" t="e">
        <f t="shared" si="18"/>
        <v>#N/A</v>
      </c>
      <c r="K122">
        <f t="shared" si="19"/>
        <v>3.5893921343099614E-4</v>
      </c>
      <c r="L122" t="e">
        <f>IF(AND(ABS((ChartCalculations!A122-Calculations!$F$3)/Calculations!$F$4)&lt;5,OR(A122&lt;=Calculations!$F$7,A122&gt;=Calculations!$F$8)),0.2*_xlfn.NORM.DIST(100,100,15,FALSE)*_xlfn.NORM.DIST(A122,Calculations!$F$3,Calculations!$F$4,FALSE)/_xlfn.NORM.DIST(Calculations!$F$3,Calculations!$F$3,Calculations!$F$4,FALSE),NA())</f>
        <v>#N/A</v>
      </c>
      <c r="M122" t="e">
        <f>IF(AND(A122&gt;=Calculations!$F$7,A122&lt;=Calculations!$F$8),0.2*_xlfn.NORM.DIST(100,100,15,FALSE)*_xlfn.NORM.DIST(A122,Calculations!$F$3,Calculations!$F$4,FALSE)/_xlfn.NORM.DIST(Calculations!$F$3,Calculations!$F$3,Calculations!$F$4,FALSE),NA())</f>
        <v>#N/A</v>
      </c>
    </row>
    <row r="123" spans="1:13" x14ac:dyDescent="0.25">
      <c r="A123">
        <v>52.1000000000002</v>
      </c>
      <c r="B123">
        <f t="shared" si="10"/>
        <v>1.6236273461968788E-4</v>
      </c>
      <c r="C123" t="e">
        <f t="shared" si="11"/>
        <v>#N/A</v>
      </c>
      <c r="D123" t="e">
        <f t="shared" si="12"/>
        <v>#N/A</v>
      </c>
      <c r="E123" t="e">
        <f t="shared" si="13"/>
        <v>#N/A</v>
      </c>
      <c r="F123" t="e">
        <f t="shared" si="14"/>
        <v>#N/A</v>
      </c>
      <c r="G123" t="e">
        <f t="shared" si="15"/>
        <v>#N/A</v>
      </c>
      <c r="H123" t="e">
        <f t="shared" si="16"/>
        <v>#N/A</v>
      </c>
      <c r="I123" t="e">
        <f t="shared" si="17"/>
        <v>#N/A</v>
      </c>
      <c r="J123" t="e">
        <f t="shared" si="18"/>
        <v>#N/A</v>
      </c>
      <c r="K123">
        <f t="shared" si="19"/>
        <v>3.6236273461968786E-4</v>
      </c>
      <c r="L123" t="e">
        <f>IF(AND(ABS((ChartCalculations!A123-Calculations!$F$3)/Calculations!$F$4)&lt;5,OR(A123&lt;=Calculations!$F$7,A123&gt;=Calculations!$F$8)),0.2*_xlfn.NORM.DIST(100,100,15,FALSE)*_xlfn.NORM.DIST(A123,Calculations!$F$3,Calculations!$F$4,FALSE)/_xlfn.NORM.DIST(Calculations!$F$3,Calculations!$F$3,Calculations!$F$4,FALSE),NA())</f>
        <v>#N/A</v>
      </c>
      <c r="M123" t="e">
        <f>IF(AND(A123&gt;=Calculations!$F$7,A123&lt;=Calculations!$F$8),0.2*_xlfn.NORM.DIST(100,100,15,FALSE)*_xlfn.NORM.DIST(A123,Calculations!$F$3,Calculations!$F$4,FALSE)/_xlfn.NORM.DIST(Calculations!$F$3,Calculations!$F$3,Calculations!$F$4,FALSE),NA())</f>
        <v>#N/A</v>
      </c>
    </row>
    <row r="124" spans="1:13" x14ac:dyDescent="0.25">
      <c r="A124">
        <v>52.200000000000202</v>
      </c>
      <c r="B124">
        <f t="shared" si="10"/>
        <v>1.6585262642838667E-4</v>
      </c>
      <c r="C124" t="e">
        <f t="shared" si="11"/>
        <v>#N/A</v>
      </c>
      <c r="D124" t="e">
        <f t="shared" si="12"/>
        <v>#N/A</v>
      </c>
      <c r="E124" t="e">
        <f t="shared" si="13"/>
        <v>#N/A</v>
      </c>
      <c r="F124" t="e">
        <f t="shared" si="14"/>
        <v>#N/A</v>
      </c>
      <c r="G124" t="e">
        <f t="shared" si="15"/>
        <v>#N/A</v>
      </c>
      <c r="H124" t="e">
        <f t="shared" si="16"/>
        <v>#N/A</v>
      </c>
      <c r="I124" t="e">
        <f t="shared" si="17"/>
        <v>#N/A</v>
      </c>
      <c r="J124" t="e">
        <f t="shared" si="18"/>
        <v>#N/A</v>
      </c>
      <c r="K124">
        <f t="shared" si="19"/>
        <v>3.6585262642838665E-4</v>
      </c>
      <c r="L124" t="e">
        <f>IF(AND(ABS((ChartCalculations!A124-Calculations!$F$3)/Calculations!$F$4)&lt;5,OR(A124&lt;=Calculations!$F$7,A124&gt;=Calculations!$F$8)),0.2*_xlfn.NORM.DIST(100,100,15,FALSE)*_xlfn.NORM.DIST(A124,Calculations!$F$3,Calculations!$F$4,FALSE)/_xlfn.NORM.DIST(Calculations!$F$3,Calculations!$F$3,Calculations!$F$4,FALSE),NA())</f>
        <v>#N/A</v>
      </c>
      <c r="M124" t="e">
        <f>IF(AND(A124&gt;=Calculations!$F$7,A124&lt;=Calculations!$F$8),0.2*_xlfn.NORM.DIST(100,100,15,FALSE)*_xlfn.NORM.DIST(A124,Calculations!$F$3,Calculations!$F$4,FALSE)/_xlfn.NORM.DIST(Calculations!$F$3,Calculations!$F$3,Calculations!$F$4,FALSE),NA())</f>
        <v>#N/A</v>
      </c>
    </row>
    <row r="125" spans="1:13" x14ac:dyDescent="0.25">
      <c r="A125">
        <v>52.300000000000203</v>
      </c>
      <c r="B125">
        <f t="shared" si="10"/>
        <v>1.694100019151088E-4</v>
      </c>
      <c r="C125" t="e">
        <f t="shared" si="11"/>
        <v>#N/A</v>
      </c>
      <c r="D125" t="e">
        <f t="shared" si="12"/>
        <v>#N/A</v>
      </c>
      <c r="E125" t="e">
        <f t="shared" si="13"/>
        <v>#N/A</v>
      </c>
      <c r="F125" t="e">
        <f t="shared" si="14"/>
        <v>#N/A</v>
      </c>
      <c r="G125" t="e">
        <f t="shared" si="15"/>
        <v>#N/A</v>
      </c>
      <c r="H125" t="e">
        <f t="shared" si="16"/>
        <v>#N/A</v>
      </c>
      <c r="I125" t="e">
        <f t="shared" si="17"/>
        <v>#N/A</v>
      </c>
      <c r="J125" t="e">
        <f t="shared" si="18"/>
        <v>#N/A</v>
      </c>
      <c r="K125">
        <f t="shared" si="19"/>
        <v>3.6941000191510883E-4</v>
      </c>
      <c r="L125" t="e">
        <f>IF(AND(ABS((ChartCalculations!A125-Calculations!$F$3)/Calculations!$F$4)&lt;5,OR(A125&lt;=Calculations!$F$7,A125&gt;=Calculations!$F$8)),0.2*_xlfn.NORM.DIST(100,100,15,FALSE)*_xlfn.NORM.DIST(A125,Calculations!$F$3,Calculations!$F$4,FALSE)/_xlfn.NORM.DIST(Calculations!$F$3,Calculations!$F$3,Calculations!$F$4,FALSE),NA())</f>
        <v>#N/A</v>
      </c>
      <c r="M125" t="e">
        <f>IF(AND(A125&gt;=Calculations!$F$7,A125&lt;=Calculations!$F$8),0.2*_xlfn.NORM.DIST(100,100,15,FALSE)*_xlfn.NORM.DIST(A125,Calculations!$F$3,Calculations!$F$4,FALSE)/_xlfn.NORM.DIST(Calculations!$F$3,Calculations!$F$3,Calculations!$F$4,FALSE),NA())</f>
        <v>#N/A</v>
      </c>
    </row>
    <row r="126" spans="1:13" x14ac:dyDescent="0.25">
      <c r="A126">
        <v>52.400000000000198</v>
      </c>
      <c r="B126">
        <f t="shared" si="10"/>
        <v>1.7303598894302099E-4</v>
      </c>
      <c r="C126" t="e">
        <f t="shared" si="11"/>
        <v>#N/A</v>
      </c>
      <c r="D126" t="e">
        <f t="shared" si="12"/>
        <v>#N/A</v>
      </c>
      <c r="E126" t="e">
        <f t="shared" si="13"/>
        <v>#N/A</v>
      </c>
      <c r="F126" t="e">
        <f t="shared" si="14"/>
        <v>#N/A</v>
      </c>
      <c r="G126" t="e">
        <f t="shared" si="15"/>
        <v>#N/A</v>
      </c>
      <c r="H126" t="e">
        <f t="shared" si="16"/>
        <v>#N/A</v>
      </c>
      <c r="I126" t="e">
        <f t="shared" si="17"/>
        <v>#N/A</v>
      </c>
      <c r="J126" t="e">
        <f t="shared" si="18"/>
        <v>#N/A</v>
      </c>
      <c r="K126">
        <f t="shared" si="19"/>
        <v>3.7303598894302098E-4</v>
      </c>
      <c r="L126" t="e">
        <f>IF(AND(ABS((ChartCalculations!A126-Calculations!$F$3)/Calculations!$F$4)&lt;5,OR(A126&lt;=Calculations!$F$7,A126&gt;=Calculations!$F$8)),0.2*_xlfn.NORM.DIST(100,100,15,FALSE)*_xlfn.NORM.DIST(A126,Calculations!$F$3,Calculations!$F$4,FALSE)/_xlfn.NORM.DIST(Calculations!$F$3,Calculations!$F$3,Calculations!$F$4,FALSE),NA())</f>
        <v>#N/A</v>
      </c>
      <c r="M126" t="e">
        <f>IF(AND(A126&gt;=Calculations!$F$7,A126&lt;=Calculations!$F$8),0.2*_xlfn.NORM.DIST(100,100,15,FALSE)*_xlfn.NORM.DIST(A126,Calculations!$F$3,Calculations!$F$4,FALSE)/_xlfn.NORM.DIST(Calculations!$F$3,Calculations!$F$3,Calculations!$F$4,FALSE),NA())</f>
        <v>#N/A</v>
      </c>
    </row>
    <row r="127" spans="1:13" x14ac:dyDescent="0.25">
      <c r="A127">
        <v>52.500000000000199</v>
      </c>
      <c r="B127">
        <f t="shared" si="10"/>
        <v>1.7673173029534773E-4</v>
      </c>
      <c r="C127" t="e">
        <f t="shared" si="11"/>
        <v>#N/A</v>
      </c>
      <c r="D127" t="e">
        <f t="shared" si="12"/>
        <v>#N/A</v>
      </c>
      <c r="E127" t="e">
        <f t="shared" si="13"/>
        <v>#N/A</v>
      </c>
      <c r="F127" t="e">
        <f t="shared" si="14"/>
        <v>#N/A</v>
      </c>
      <c r="G127" t="e">
        <f t="shared" si="15"/>
        <v>#N/A</v>
      </c>
      <c r="H127" t="e">
        <f t="shared" si="16"/>
        <v>#N/A</v>
      </c>
      <c r="I127" t="e">
        <f t="shared" si="17"/>
        <v>#N/A</v>
      </c>
      <c r="J127" t="e">
        <f t="shared" si="18"/>
        <v>#N/A</v>
      </c>
      <c r="K127">
        <f t="shared" si="19"/>
        <v>3.7673173029534774E-4</v>
      </c>
      <c r="L127" t="e">
        <f>IF(AND(ABS((ChartCalculations!A127-Calculations!$F$3)/Calculations!$F$4)&lt;5,OR(A127&lt;=Calculations!$F$7,A127&gt;=Calculations!$F$8)),0.2*_xlfn.NORM.DIST(100,100,15,FALSE)*_xlfn.NORM.DIST(A127,Calculations!$F$3,Calculations!$F$4,FALSE)/_xlfn.NORM.DIST(Calculations!$F$3,Calculations!$F$3,Calculations!$F$4,FALSE),NA())</f>
        <v>#N/A</v>
      </c>
      <c r="M127" t="e">
        <f>IF(AND(A127&gt;=Calculations!$F$7,A127&lt;=Calculations!$F$8),0.2*_xlfn.NORM.DIST(100,100,15,FALSE)*_xlfn.NORM.DIST(A127,Calculations!$F$3,Calculations!$F$4,FALSE)/_xlfn.NORM.DIST(Calculations!$F$3,Calculations!$F$3,Calculations!$F$4,FALSE),NA())</f>
        <v>#N/A</v>
      </c>
    </row>
    <row r="128" spans="1:13" x14ac:dyDescent="0.25">
      <c r="A128">
        <v>52.6000000000002</v>
      </c>
      <c r="B128">
        <f t="shared" si="10"/>
        <v>1.8049838378938769E-4</v>
      </c>
      <c r="C128" t="e">
        <f t="shared" si="11"/>
        <v>#N/A</v>
      </c>
      <c r="D128" t="e">
        <f t="shared" si="12"/>
        <v>#N/A</v>
      </c>
      <c r="E128" t="e">
        <f t="shared" si="13"/>
        <v>#N/A</v>
      </c>
      <c r="F128" t="e">
        <f t="shared" si="14"/>
        <v>#N/A</v>
      </c>
      <c r="G128" t="e">
        <f t="shared" si="15"/>
        <v>#N/A</v>
      </c>
      <c r="H128" t="e">
        <f t="shared" si="16"/>
        <v>#N/A</v>
      </c>
      <c r="I128" t="e">
        <f t="shared" si="17"/>
        <v>#N/A</v>
      </c>
      <c r="J128" t="e">
        <f t="shared" si="18"/>
        <v>#N/A</v>
      </c>
      <c r="K128">
        <f t="shared" si="19"/>
        <v>3.804983837893877E-4</v>
      </c>
      <c r="L128" t="e">
        <f>IF(AND(ABS((ChartCalculations!A128-Calculations!$F$3)/Calculations!$F$4)&lt;5,OR(A128&lt;=Calculations!$F$7,A128&gt;=Calculations!$F$8)),0.2*_xlfn.NORM.DIST(100,100,15,FALSE)*_xlfn.NORM.DIST(A128,Calculations!$F$3,Calculations!$F$4,FALSE)/_xlfn.NORM.DIST(Calculations!$F$3,Calculations!$F$3,Calculations!$F$4,FALSE),NA())</f>
        <v>#N/A</v>
      </c>
      <c r="M128" t="e">
        <f>IF(AND(A128&gt;=Calculations!$F$7,A128&lt;=Calculations!$F$8),0.2*_xlfn.NORM.DIST(100,100,15,FALSE)*_xlfn.NORM.DIST(A128,Calculations!$F$3,Calculations!$F$4,FALSE)/_xlfn.NORM.DIST(Calculations!$F$3,Calculations!$F$3,Calculations!$F$4,FALSE),NA())</f>
        <v>#N/A</v>
      </c>
    </row>
    <row r="129" spans="1:13" x14ac:dyDescent="0.25">
      <c r="A129">
        <v>52.700000000000202</v>
      </c>
      <c r="B129">
        <f t="shared" si="10"/>
        <v>1.8433712238959303E-4</v>
      </c>
      <c r="C129" t="e">
        <f t="shared" si="11"/>
        <v>#N/A</v>
      </c>
      <c r="D129" t="e">
        <f t="shared" si="12"/>
        <v>#N/A</v>
      </c>
      <c r="E129" t="e">
        <f t="shared" si="13"/>
        <v>#N/A</v>
      </c>
      <c r="F129" t="e">
        <f t="shared" si="14"/>
        <v>#N/A</v>
      </c>
      <c r="G129" t="e">
        <f t="shared" si="15"/>
        <v>#N/A</v>
      </c>
      <c r="H129" t="e">
        <f t="shared" si="16"/>
        <v>#N/A</v>
      </c>
      <c r="I129" t="e">
        <f t="shared" si="17"/>
        <v>#N/A</v>
      </c>
      <c r="J129" t="e">
        <f t="shared" si="18"/>
        <v>#N/A</v>
      </c>
      <c r="K129">
        <f t="shared" si="19"/>
        <v>3.8433712238959304E-4</v>
      </c>
      <c r="L129" t="e">
        <f>IF(AND(ABS((ChartCalculations!A129-Calculations!$F$3)/Calculations!$F$4)&lt;5,OR(A129&lt;=Calculations!$F$7,A129&gt;=Calculations!$F$8)),0.2*_xlfn.NORM.DIST(100,100,15,FALSE)*_xlfn.NORM.DIST(A129,Calculations!$F$3,Calculations!$F$4,FALSE)/_xlfn.NORM.DIST(Calculations!$F$3,Calculations!$F$3,Calculations!$F$4,FALSE),NA())</f>
        <v>#N/A</v>
      </c>
      <c r="M129" t="e">
        <f>IF(AND(A129&gt;=Calculations!$F$7,A129&lt;=Calculations!$F$8),0.2*_xlfn.NORM.DIST(100,100,15,FALSE)*_xlfn.NORM.DIST(A129,Calculations!$F$3,Calculations!$F$4,FALSE)/_xlfn.NORM.DIST(Calculations!$F$3,Calculations!$F$3,Calculations!$F$4,FALSE),NA())</f>
        <v>#N/A</v>
      </c>
    </row>
    <row r="130" spans="1:13" x14ac:dyDescent="0.25">
      <c r="A130">
        <v>52.800000000000203</v>
      </c>
      <c r="B130">
        <f t="shared" si="10"/>
        <v>1.8824913431965854E-4</v>
      </c>
      <c r="C130" t="e">
        <f t="shared" si="11"/>
        <v>#N/A</v>
      </c>
      <c r="D130" t="e">
        <f t="shared" si="12"/>
        <v>#N/A</v>
      </c>
      <c r="E130" t="e">
        <f t="shared" si="13"/>
        <v>#N/A</v>
      </c>
      <c r="F130" t="e">
        <f t="shared" si="14"/>
        <v>#N/A</v>
      </c>
      <c r="G130" t="e">
        <f t="shared" si="15"/>
        <v>#N/A</v>
      </c>
      <c r="H130" t="e">
        <f t="shared" si="16"/>
        <v>#N/A</v>
      </c>
      <c r="I130" t="e">
        <f t="shared" si="17"/>
        <v>#N/A</v>
      </c>
      <c r="J130" t="e">
        <f t="shared" si="18"/>
        <v>#N/A</v>
      </c>
      <c r="K130">
        <f t="shared" si="19"/>
        <v>3.8824913431965855E-4</v>
      </c>
      <c r="L130" t="e">
        <f>IF(AND(ABS((ChartCalculations!A130-Calculations!$F$3)/Calculations!$F$4)&lt;5,OR(A130&lt;=Calculations!$F$7,A130&gt;=Calculations!$F$8)),0.2*_xlfn.NORM.DIST(100,100,15,FALSE)*_xlfn.NORM.DIST(A130,Calculations!$F$3,Calculations!$F$4,FALSE)/_xlfn.NORM.DIST(Calculations!$F$3,Calculations!$F$3,Calculations!$F$4,FALSE),NA())</f>
        <v>#N/A</v>
      </c>
      <c r="M130" t="e">
        <f>IF(AND(A130&gt;=Calculations!$F$7,A130&lt;=Calculations!$F$8),0.2*_xlfn.NORM.DIST(100,100,15,FALSE)*_xlfn.NORM.DIST(A130,Calculations!$F$3,Calculations!$F$4,FALSE)/_xlfn.NORM.DIST(Calculations!$F$3,Calculations!$F$3,Calculations!$F$4,FALSE),NA())</f>
        <v>#N/A</v>
      </c>
    </row>
    <row r="131" spans="1:13" x14ac:dyDescent="0.25">
      <c r="A131">
        <v>52.900000000000198</v>
      </c>
      <c r="B131">
        <f t="shared" ref="B131:B194" si="20">IF($A131&lt;=60,_xlfn.NORM.DIST($A131,100,15,FALSE),NA())</f>
        <v>1.9223562317357063E-4</v>
      </c>
      <c r="C131" t="e">
        <f t="shared" ref="C131:C194" si="21">IF(AND($A131&gt;=60,$A131&lt;=70),_xlfn.NORM.DIST($A131,100,15,FALSE),NA())</f>
        <v>#N/A</v>
      </c>
      <c r="D131" t="e">
        <f t="shared" ref="D131:D194" si="22">IF(AND($A131&gt;=70,$A131&lt;=80),_xlfn.NORM.DIST($A131,100,15,FALSE),NA())</f>
        <v>#N/A</v>
      </c>
      <c r="E131" t="e">
        <f t="shared" ref="E131:E194" si="23">IF(AND($A131&gt;=80,$A131&lt;=90),_xlfn.NORM.DIST($A131,100,15,FALSE),NA())</f>
        <v>#N/A</v>
      </c>
      <c r="F131" t="e">
        <f t="shared" ref="F131:F194" si="24">IF(AND($A131&gt;=90,$A131&lt;=110),_xlfn.NORM.DIST($A131,100,15,FALSE),NA())</f>
        <v>#N/A</v>
      </c>
      <c r="G131" t="e">
        <f t="shared" ref="G131:G194" si="25">IF(AND($A131&gt;=110,$A131&lt;=120),_xlfn.NORM.DIST($A131,100,15,FALSE),NA())</f>
        <v>#N/A</v>
      </c>
      <c r="H131" t="e">
        <f t="shared" ref="H131:H194" si="26">IF(AND($A131&gt;=120,$A131&lt;=130),_xlfn.NORM.DIST($A131,100,15,FALSE),NA())</f>
        <v>#N/A</v>
      </c>
      <c r="I131" t="e">
        <f t="shared" ref="I131:I194" si="27">IF(AND($A131&gt;=130,$A131&lt;=140),_xlfn.NORM.DIST($A131,100,15,FALSE),NA())</f>
        <v>#N/A</v>
      </c>
      <c r="J131" t="e">
        <f t="shared" ref="J131:J194" si="28">IF($A131&gt;=140,_xlfn.NORM.DIST($A131,100,15,FALSE),NA())</f>
        <v>#N/A</v>
      </c>
      <c r="K131">
        <f t="shared" ref="K131:K194" si="29">_xlfn.NORM.DIST($A131,100,15,FALSE)+0.0002</f>
        <v>3.9223562317357064E-4</v>
      </c>
      <c r="L131" t="e">
        <f>IF(AND(ABS((ChartCalculations!A131-Calculations!$F$3)/Calculations!$F$4)&lt;5,OR(A131&lt;=Calculations!$F$7,A131&gt;=Calculations!$F$8)),0.2*_xlfn.NORM.DIST(100,100,15,FALSE)*_xlfn.NORM.DIST(A131,Calculations!$F$3,Calculations!$F$4,FALSE)/_xlfn.NORM.DIST(Calculations!$F$3,Calculations!$F$3,Calculations!$F$4,FALSE),NA())</f>
        <v>#N/A</v>
      </c>
      <c r="M131" t="e">
        <f>IF(AND(A131&gt;=Calculations!$F$7,A131&lt;=Calculations!$F$8),0.2*_xlfn.NORM.DIST(100,100,15,FALSE)*_xlfn.NORM.DIST(A131,Calculations!$F$3,Calculations!$F$4,FALSE)/_xlfn.NORM.DIST(Calculations!$F$3,Calculations!$F$3,Calculations!$F$4,FALSE),NA())</f>
        <v>#N/A</v>
      </c>
    </row>
    <row r="132" spans="1:13" x14ac:dyDescent="0.25">
      <c r="A132">
        <v>53.000000000000199</v>
      </c>
      <c r="B132">
        <f t="shared" si="20"/>
        <v>1.9629780802556546E-4</v>
      </c>
      <c r="C132" t="e">
        <f t="shared" si="21"/>
        <v>#N/A</v>
      </c>
      <c r="D132" t="e">
        <f t="shared" si="22"/>
        <v>#N/A</v>
      </c>
      <c r="E132" t="e">
        <f t="shared" si="23"/>
        <v>#N/A</v>
      </c>
      <c r="F132" t="e">
        <f t="shared" si="24"/>
        <v>#N/A</v>
      </c>
      <c r="G132" t="e">
        <f t="shared" si="25"/>
        <v>#N/A</v>
      </c>
      <c r="H132" t="e">
        <f t="shared" si="26"/>
        <v>#N/A</v>
      </c>
      <c r="I132" t="e">
        <f t="shared" si="27"/>
        <v>#N/A</v>
      </c>
      <c r="J132" t="e">
        <f t="shared" si="28"/>
        <v>#N/A</v>
      </c>
      <c r="K132">
        <f t="shared" si="29"/>
        <v>3.962978080255655E-4</v>
      </c>
      <c r="L132" t="e">
        <f>IF(AND(ABS((ChartCalculations!A132-Calculations!$F$3)/Calculations!$F$4)&lt;5,OR(A132&lt;=Calculations!$F$7,A132&gt;=Calculations!$F$8)),0.2*_xlfn.NORM.DIST(100,100,15,FALSE)*_xlfn.NORM.DIST(A132,Calculations!$F$3,Calculations!$F$4,FALSE)/_xlfn.NORM.DIST(Calculations!$F$3,Calculations!$F$3,Calculations!$F$4,FALSE),NA())</f>
        <v>#N/A</v>
      </c>
      <c r="M132" t="e">
        <f>IF(AND(A132&gt;=Calculations!$F$7,A132&lt;=Calculations!$F$8),0.2*_xlfn.NORM.DIST(100,100,15,FALSE)*_xlfn.NORM.DIST(A132,Calculations!$F$3,Calculations!$F$4,FALSE)/_xlfn.NORM.DIST(Calculations!$F$3,Calculations!$F$3,Calculations!$F$4,FALSE),NA())</f>
        <v>#N/A</v>
      </c>
    </row>
    <row r="133" spans="1:13" x14ac:dyDescent="0.25">
      <c r="A133">
        <v>53.1000000000002</v>
      </c>
      <c r="B133">
        <f t="shared" si="20"/>
        <v>2.0043692353893862E-4</v>
      </c>
      <c r="C133" t="e">
        <f t="shared" si="21"/>
        <v>#N/A</v>
      </c>
      <c r="D133" t="e">
        <f t="shared" si="22"/>
        <v>#N/A</v>
      </c>
      <c r="E133" t="e">
        <f t="shared" si="23"/>
        <v>#N/A</v>
      </c>
      <c r="F133" t="e">
        <f t="shared" si="24"/>
        <v>#N/A</v>
      </c>
      <c r="G133" t="e">
        <f t="shared" si="25"/>
        <v>#N/A</v>
      </c>
      <c r="H133" t="e">
        <f t="shared" si="26"/>
        <v>#N/A</v>
      </c>
      <c r="I133" t="e">
        <f t="shared" si="27"/>
        <v>#N/A</v>
      </c>
      <c r="J133" t="e">
        <f t="shared" si="28"/>
        <v>#N/A</v>
      </c>
      <c r="K133">
        <f t="shared" si="29"/>
        <v>4.0043692353893863E-4</v>
      </c>
      <c r="L133" t="e">
        <f>IF(AND(ABS((ChartCalculations!A133-Calculations!$F$3)/Calculations!$F$4)&lt;5,OR(A133&lt;=Calculations!$F$7,A133&gt;=Calculations!$F$8)),0.2*_xlfn.NORM.DIST(100,100,15,FALSE)*_xlfn.NORM.DIST(A133,Calculations!$F$3,Calculations!$F$4,FALSE)/_xlfn.NORM.DIST(Calculations!$F$3,Calculations!$F$3,Calculations!$F$4,FALSE),NA())</f>
        <v>#N/A</v>
      </c>
      <c r="M133" t="e">
        <f>IF(AND(A133&gt;=Calculations!$F$7,A133&lt;=Calculations!$F$8),0.2*_xlfn.NORM.DIST(100,100,15,FALSE)*_xlfn.NORM.DIST(A133,Calculations!$F$3,Calculations!$F$4,FALSE)/_xlfn.NORM.DIST(Calculations!$F$3,Calculations!$F$3,Calculations!$F$4,FALSE),NA())</f>
        <v>#N/A</v>
      </c>
    </row>
    <row r="134" spans="1:13" x14ac:dyDescent="0.25">
      <c r="A134">
        <v>53.200000000000202</v>
      </c>
      <c r="B134">
        <f t="shared" si="20"/>
        <v>2.0465422007365813E-4</v>
      </c>
      <c r="C134" t="e">
        <f t="shared" si="21"/>
        <v>#N/A</v>
      </c>
      <c r="D134" t="e">
        <f t="shared" si="22"/>
        <v>#N/A</v>
      </c>
      <c r="E134" t="e">
        <f t="shared" si="23"/>
        <v>#N/A</v>
      </c>
      <c r="F134" t="e">
        <f t="shared" si="24"/>
        <v>#N/A</v>
      </c>
      <c r="G134" t="e">
        <f t="shared" si="25"/>
        <v>#N/A</v>
      </c>
      <c r="H134" t="e">
        <f t="shared" si="26"/>
        <v>#N/A</v>
      </c>
      <c r="I134" t="e">
        <f t="shared" si="27"/>
        <v>#N/A</v>
      </c>
      <c r="J134" t="e">
        <f t="shared" si="28"/>
        <v>#N/A</v>
      </c>
      <c r="K134">
        <f t="shared" si="29"/>
        <v>4.0465422007365814E-4</v>
      </c>
      <c r="L134" t="e">
        <f>IF(AND(ABS((ChartCalculations!A134-Calculations!$F$3)/Calculations!$F$4)&lt;5,OR(A134&lt;=Calculations!$F$7,A134&gt;=Calculations!$F$8)),0.2*_xlfn.NORM.DIST(100,100,15,FALSE)*_xlfn.NORM.DIST(A134,Calculations!$F$3,Calculations!$F$4,FALSE)/_xlfn.NORM.DIST(Calculations!$F$3,Calculations!$F$3,Calculations!$F$4,FALSE),NA())</f>
        <v>#N/A</v>
      </c>
      <c r="M134" t="e">
        <f>IF(AND(A134&gt;=Calculations!$F$7,A134&lt;=Calculations!$F$8),0.2*_xlfn.NORM.DIST(100,100,15,FALSE)*_xlfn.NORM.DIST(A134,Calculations!$F$3,Calculations!$F$4,FALSE)/_xlfn.NORM.DIST(Calculations!$F$3,Calculations!$F$3,Calculations!$F$4,FALSE),NA())</f>
        <v>#N/A</v>
      </c>
    </row>
    <row r="135" spans="1:13" x14ac:dyDescent="0.25">
      <c r="A135">
        <v>53.300000000000203</v>
      </c>
      <c r="B135">
        <f t="shared" si="20"/>
        <v>2.0895096379272454E-4</v>
      </c>
      <c r="C135" t="e">
        <f t="shared" si="21"/>
        <v>#N/A</v>
      </c>
      <c r="D135" t="e">
        <f t="shared" si="22"/>
        <v>#N/A</v>
      </c>
      <c r="E135" t="e">
        <f t="shared" si="23"/>
        <v>#N/A</v>
      </c>
      <c r="F135" t="e">
        <f t="shared" si="24"/>
        <v>#N/A</v>
      </c>
      <c r="G135" t="e">
        <f t="shared" si="25"/>
        <v>#N/A</v>
      </c>
      <c r="H135" t="e">
        <f t="shared" si="26"/>
        <v>#N/A</v>
      </c>
      <c r="I135" t="e">
        <f t="shared" si="27"/>
        <v>#N/A</v>
      </c>
      <c r="J135" t="e">
        <f t="shared" si="28"/>
        <v>#N/A</v>
      </c>
      <c r="K135">
        <f t="shared" si="29"/>
        <v>4.0895096379272455E-4</v>
      </c>
      <c r="L135" t="e">
        <f>IF(AND(ABS((ChartCalculations!A135-Calculations!$F$3)/Calculations!$F$4)&lt;5,OR(A135&lt;=Calculations!$F$7,A135&gt;=Calculations!$F$8)),0.2*_xlfn.NORM.DIST(100,100,15,FALSE)*_xlfn.NORM.DIST(A135,Calculations!$F$3,Calculations!$F$4,FALSE)/_xlfn.NORM.DIST(Calculations!$F$3,Calculations!$F$3,Calculations!$F$4,FALSE),NA())</f>
        <v>#N/A</v>
      </c>
      <c r="M135" t="e">
        <f>IF(AND(A135&gt;=Calculations!$F$7,A135&lt;=Calculations!$F$8),0.2*_xlfn.NORM.DIST(100,100,15,FALSE)*_xlfn.NORM.DIST(A135,Calculations!$F$3,Calculations!$F$4,FALSE)/_xlfn.NORM.DIST(Calculations!$F$3,Calculations!$F$3,Calculations!$F$4,FALSE),NA())</f>
        <v>#N/A</v>
      </c>
    </row>
    <row r="136" spans="1:13" x14ac:dyDescent="0.25">
      <c r="A136">
        <v>53.400000000000198</v>
      </c>
      <c r="B136">
        <f t="shared" si="20"/>
        <v>2.1332843676722163E-4</v>
      </c>
      <c r="C136" t="e">
        <f t="shared" si="21"/>
        <v>#N/A</v>
      </c>
      <c r="D136" t="e">
        <f t="shared" si="22"/>
        <v>#N/A</v>
      </c>
      <c r="E136" t="e">
        <f t="shared" si="23"/>
        <v>#N/A</v>
      </c>
      <c r="F136" t="e">
        <f t="shared" si="24"/>
        <v>#N/A</v>
      </c>
      <c r="G136" t="e">
        <f t="shared" si="25"/>
        <v>#N/A</v>
      </c>
      <c r="H136" t="e">
        <f t="shared" si="26"/>
        <v>#N/A</v>
      </c>
      <c r="I136" t="e">
        <f t="shared" si="27"/>
        <v>#N/A</v>
      </c>
      <c r="J136" t="e">
        <f t="shared" si="28"/>
        <v>#N/A</v>
      </c>
      <c r="K136">
        <f t="shared" si="29"/>
        <v>4.1332843676722164E-4</v>
      </c>
      <c r="L136" t="e">
        <f>IF(AND(ABS((ChartCalculations!A136-Calculations!$F$3)/Calculations!$F$4)&lt;5,OR(A136&lt;=Calculations!$F$7,A136&gt;=Calculations!$F$8)),0.2*_xlfn.NORM.DIST(100,100,15,FALSE)*_xlfn.NORM.DIST(A136,Calculations!$F$3,Calculations!$F$4,FALSE)/_xlfn.NORM.DIST(Calculations!$F$3,Calculations!$F$3,Calculations!$F$4,FALSE),NA())</f>
        <v>#N/A</v>
      </c>
      <c r="M136" t="e">
        <f>IF(AND(A136&gt;=Calculations!$F$7,A136&lt;=Calculations!$F$8),0.2*_xlfn.NORM.DIST(100,100,15,FALSE)*_xlfn.NORM.DIST(A136,Calculations!$F$3,Calculations!$F$4,FALSE)/_xlfn.NORM.DIST(Calculations!$F$3,Calculations!$F$3,Calculations!$F$4,FALSE),NA())</f>
        <v>#N/A</v>
      </c>
    </row>
    <row r="137" spans="1:13" x14ac:dyDescent="0.25">
      <c r="A137">
        <v>53.500000000000199</v>
      </c>
      <c r="B137">
        <f t="shared" si="20"/>
        <v>2.1778793708000365E-4</v>
      </c>
      <c r="C137" t="e">
        <f t="shared" si="21"/>
        <v>#N/A</v>
      </c>
      <c r="D137" t="e">
        <f t="shared" si="22"/>
        <v>#N/A</v>
      </c>
      <c r="E137" t="e">
        <f t="shared" si="23"/>
        <v>#N/A</v>
      </c>
      <c r="F137" t="e">
        <f t="shared" si="24"/>
        <v>#N/A</v>
      </c>
      <c r="G137" t="e">
        <f t="shared" si="25"/>
        <v>#N/A</v>
      </c>
      <c r="H137" t="e">
        <f t="shared" si="26"/>
        <v>#N/A</v>
      </c>
      <c r="I137" t="e">
        <f t="shared" si="27"/>
        <v>#N/A</v>
      </c>
      <c r="J137" t="e">
        <f t="shared" si="28"/>
        <v>#N/A</v>
      </c>
      <c r="K137">
        <f t="shared" si="29"/>
        <v>4.1778793708000363E-4</v>
      </c>
      <c r="L137" t="e">
        <f>IF(AND(ABS((ChartCalculations!A137-Calculations!$F$3)/Calculations!$F$4)&lt;5,OR(A137&lt;=Calculations!$F$7,A137&gt;=Calculations!$F$8)),0.2*_xlfn.NORM.DIST(100,100,15,FALSE)*_xlfn.NORM.DIST(A137,Calculations!$F$3,Calculations!$F$4,FALSE)/_xlfn.NORM.DIST(Calculations!$F$3,Calculations!$F$3,Calculations!$F$4,FALSE),NA())</f>
        <v>#N/A</v>
      </c>
      <c r="M137" t="e">
        <f>IF(AND(A137&gt;=Calculations!$F$7,A137&lt;=Calculations!$F$8),0.2*_xlfn.NORM.DIST(100,100,15,FALSE)*_xlfn.NORM.DIST(A137,Calculations!$F$3,Calculations!$F$4,FALSE)/_xlfn.NORM.DIST(Calculations!$F$3,Calculations!$F$3,Calculations!$F$4,FALSE),NA())</f>
        <v>#N/A</v>
      </c>
    </row>
    <row r="138" spans="1:13" x14ac:dyDescent="0.25">
      <c r="A138">
        <v>53.6000000000002</v>
      </c>
      <c r="B138">
        <f t="shared" si="20"/>
        <v>2.2233077892796073E-4</v>
      </c>
      <c r="C138" t="e">
        <f t="shared" si="21"/>
        <v>#N/A</v>
      </c>
      <c r="D138" t="e">
        <f t="shared" si="22"/>
        <v>#N/A</v>
      </c>
      <c r="E138" t="e">
        <f t="shared" si="23"/>
        <v>#N/A</v>
      </c>
      <c r="F138" t="e">
        <f t="shared" si="24"/>
        <v>#N/A</v>
      </c>
      <c r="G138" t="e">
        <f t="shared" si="25"/>
        <v>#N/A</v>
      </c>
      <c r="H138" t="e">
        <f t="shared" si="26"/>
        <v>#N/A</v>
      </c>
      <c r="I138" t="e">
        <f t="shared" si="27"/>
        <v>#N/A</v>
      </c>
      <c r="J138" t="e">
        <f t="shared" si="28"/>
        <v>#N/A</v>
      </c>
      <c r="K138">
        <f t="shared" si="29"/>
        <v>4.2233077892796071E-4</v>
      </c>
      <c r="L138" t="e">
        <f>IF(AND(ABS((ChartCalculations!A138-Calculations!$F$3)/Calculations!$F$4)&lt;5,OR(A138&lt;=Calculations!$F$7,A138&gt;=Calculations!$F$8)),0.2*_xlfn.NORM.DIST(100,100,15,FALSE)*_xlfn.NORM.DIST(A138,Calculations!$F$3,Calculations!$F$4,FALSE)/_xlfn.NORM.DIST(Calculations!$F$3,Calculations!$F$3,Calculations!$F$4,FALSE),NA())</f>
        <v>#N/A</v>
      </c>
      <c r="M138" t="e">
        <f>IF(AND(A138&gt;=Calculations!$F$7,A138&lt;=Calculations!$F$8),0.2*_xlfn.NORM.DIST(100,100,15,FALSE)*_xlfn.NORM.DIST(A138,Calculations!$F$3,Calculations!$F$4,FALSE)/_xlfn.NORM.DIST(Calculations!$F$3,Calculations!$F$3,Calculations!$F$4,FALSE),NA())</f>
        <v>#N/A</v>
      </c>
    </row>
    <row r="139" spans="1:13" x14ac:dyDescent="0.25">
      <c r="A139">
        <v>53.700000000000202</v>
      </c>
      <c r="B139">
        <f t="shared" si="20"/>
        <v>2.2695829272280843E-4</v>
      </c>
      <c r="C139" t="e">
        <f t="shared" si="21"/>
        <v>#N/A</v>
      </c>
      <c r="D139" t="e">
        <f t="shared" si="22"/>
        <v>#N/A</v>
      </c>
      <c r="E139" t="e">
        <f t="shared" si="23"/>
        <v>#N/A</v>
      </c>
      <c r="F139" t="e">
        <f t="shared" si="24"/>
        <v>#N/A</v>
      </c>
      <c r="G139" t="e">
        <f t="shared" si="25"/>
        <v>#N/A</v>
      </c>
      <c r="H139" t="e">
        <f t="shared" si="26"/>
        <v>#N/A</v>
      </c>
      <c r="I139" t="e">
        <f t="shared" si="27"/>
        <v>#N/A</v>
      </c>
      <c r="J139" t="e">
        <f t="shared" si="28"/>
        <v>#N/A</v>
      </c>
      <c r="K139">
        <f t="shared" si="29"/>
        <v>4.2695829272280841E-4</v>
      </c>
      <c r="L139" t="e">
        <f>IF(AND(ABS((ChartCalculations!A139-Calculations!$F$3)/Calculations!$F$4)&lt;5,OR(A139&lt;=Calculations!$F$7,A139&gt;=Calculations!$F$8)),0.2*_xlfn.NORM.DIST(100,100,15,FALSE)*_xlfn.NORM.DIST(A139,Calculations!$F$3,Calculations!$F$4,FALSE)/_xlfn.NORM.DIST(Calculations!$F$3,Calculations!$F$3,Calculations!$F$4,FALSE),NA())</f>
        <v>#N/A</v>
      </c>
      <c r="M139" t="e">
        <f>IF(AND(A139&gt;=Calculations!$F$7,A139&lt;=Calculations!$F$8),0.2*_xlfn.NORM.DIST(100,100,15,FALSE)*_xlfn.NORM.DIST(A139,Calculations!$F$3,Calculations!$F$4,FALSE)/_xlfn.NORM.DIST(Calculations!$F$3,Calculations!$F$3,Calculations!$F$4,FALSE),NA())</f>
        <v>#N/A</v>
      </c>
    </row>
    <row r="140" spans="1:13" x14ac:dyDescent="0.25">
      <c r="A140">
        <v>53.800000000000203</v>
      </c>
      <c r="B140">
        <f t="shared" si="20"/>
        <v>2.3167182519033886E-4</v>
      </c>
      <c r="C140" t="e">
        <f t="shared" si="21"/>
        <v>#N/A</v>
      </c>
      <c r="D140" t="e">
        <f t="shared" si="22"/>
        <v>#N/A</v>
      </c>
      <c r="E140" t="e">
        <f t="shared" si="23"/>
        <v>#N/A</v>
      </c>
      <c r="F140" t="e">
        <f t="shared" si="24"/>
        <v>#N/A</v>
      </c>
      <c r="G140" t="e">
        <f t="shared" si="25"/>
        <v>#N/A</v>
      </c>
      <c r="H140" t="e">
        <f t="shared" si="26"/>
        <v>#N/A</v>
      </c>
      <c r="I140" t="e">
        <f t="shared" si="27"/>
        <v>#N/A</v>
      </c>
      <c r="J140" t="e">
        <f t="shared" si="28"/>
        <v>#N/A</v>
      </c>
      <c r="K140">
        <f t="shared" si="29"/>
        <v>4.3167182519033887E-4</v>
      </c>
      <c r="L140" t="e">
        <f>IF(AND(ABS((ChartCalculations!A140-Calculations!$F$3)/Calculations!$F$4)&lt;5,OR(A140&lt;=Calculations!$F$7,A140&gt;=Calculations!$F$8)),0.2*_xlfn.NORM.DIST(100,100,15,FALSE)*_xlfn.NORM.DIST(A140,Calculations!$F$3,Calculations!$F$4,FALSE)/_xlfn.NORM.DIST(Calculations!$F$3,Calculations!$F$3,Calculations!$F$4,FALSE),NA())</f>
        <v>#N/A</v>
      </c>
      <c r="M140" t="e">
        <f>IF(AND(A140&gt;=Calculations!$F$7,A140&lt;=Calculations!$F$8),0.2*_xlfn.NORM.DIST(100,100,15,FALSE)*_xlfn.NORM.DIST(A140,Calculations!$F$3,Calculations!$F$4,FALSE)/_xlfn.NORM.DIST(Calculations!$F$3,Calculations!$F$3,Calculations!$F$4,FALSE),NA())</f>
        <v>#N/A</v>
      </c>
    </row>
    <row r="141" spans="1:13" x14ac:dyDescent="0.25">
      <c r="A141">
        <v>53.900000000000198</v>
      </c>
      <c r="B141">
        <f t="shared" si="20"/>
        <v>2.3647273946807919E-4</v>
      </c>
      <c r="C141" t="e">
        <f t="shared" si="21"/>
        <v>#N/A</v>
      </c>
      <c r="D141" t="e">
        <f t="shared" si="22"/>
        <v>#N/A</v>
      </c>
      <c r="E141" t="e">
        <f t="shared" si="23"/>
        <v>#N/A</v>
      </c>
      <c r="F141" t="e">
        <f t="shared" si="24"/>
        <v>#N/A</v>
      </c>
      <c r="G141" t="e">
        <f t="shared" si="25"/>
        <v>#N/A</v>
      </c>
      <c r="H141" t="e">
        <f t="shared" si="26"/>
        <v>#N/A</v>
      </c>
      <c r="I141" t="e">
        <f t="shared" si="27"/>
        <v>#N/A</v>
      </c>
      <c r="J141" t="e">
        <f t="shared" si="28"/>
        <v>#N/A</v>
      </c>
      <c r="K141">
        <f t="shared" si="29"/>
        <v>4.3647273946807919E-4</v>
      </c>
      <c r="L141" t="e">
        <f>IF(AND(ABS((ChartCalculations!A141-Calculations!$F$3)/Calculations!$F$4)&lt;5,OR(A141&lt;=Calculations!$F$7,A141&gt;=Calculations!$F$8)),0.2*_xlfn.NORM.DIST(100,100,15,FALSE)*_xlfn.NORM.DIST(A141,Calculations!$F$3,Calculations!$F$4,FALSE)/_xlfn.NORM.DIST(Calculations!$F$3,Calculations!$F$3,Calculations!$F$4,FALSE),NA())</f>
        <v>#N/A</v>
      </c>
      <c r="M141" t="e">
        <f>IF(AND(A141&gt;=Calculations!$F$7,A141&lt;=Calculations!$F$8),0.2*_xlfn.NORM.DIST(100,100,15,FALSE)*_xlfn.NORM.DIST(A141,Calculations!$F$3,Calculations!$F$4,FALSE)/_xlfn.NORM.DIST(Calculations!$F$3,Calculations!$F$3,Calculations!$F$4,FALSE),NA())</f>
        <v>#N/A</v>
      </c>
    </row>
    <row r="142" spans="1:13" x14ac:dyDescent="0.25">
      <c r="A142">
        <v>54.000000000000199</v>
      </c>
      <c r="B142">
        <f t="shared" si="20"/>
        <v>2.4136241520129564E-4</v>
      </c>
      <c r="C142" t="e">
        <f t="shared" si="21"/>
        <v>#N/A</v>
      </c>
      <c r="D142" t="e">
        <f t="shared" si="22"/>
        <v>#N/A</v>
      </c>
      <c r="E142" t="e">
        <f t="shared" si="23"/>
        <v>#N/A</v>
      </c>
      <c r="F142" t="e">
        <f t="shared" si="24"/>
        <v>#N/A</v>
      </c>
      <c r="G142" t="e">
        <f t="shared" si="25"/>
        <v>#N/A</v>
      </c>
      <c r="H142" t="e">
        <f t="shared" si="26"/>
        <v>#N/A</v>
      </c>
      <c r="I142" t="e">
        <f t="shared" si="27"/>
        <v>#N/A</v>
      </c>
      <c r="J142" t="e">
        <f t="shared" si="28"/>
        <v>#N/A</v>
      </c>
      <c r="K142">
        <f t="shared" si="29"/>
        <v>4.4136241520129565E-4</v>
      </c>
      <c r="L142" t="e">
        <f>IF(AND(ABS((ChartCalculations!A142-Calculations!$F$3)/Calculations!$F$4)&lt;5,OR(A142&lt;=Calculations!$F$7,A142&gt;=Calculations!$F$8)),0.2*_xlfn.NORM.DIST(100,100,15,FALSE)*_xlfn.NORM.DIST(A142,Calculations!$F$3,Calculations!$F$4,FALSE)/_xlfn.NORM.DIST(Calculations!$F$3,Calculations!$F$3,Calculations!$F$4,FALSE),NA())</f>
        <v>#N/A</v>
      </c>
      <c r="M142" t="e">
        <f>IF(AND(A142&gt;=Calculations!$F$7,A142&lt;=Calculations!$F$8),0.2*_xlfn.NORM.DIST(100,100,15,FALSE)*_xlfn.NORM.DIST(A142,Calculations!$F$3,Calculations!$F$4,FALSE)/_xlfn.NORM.DIST(Calculations!$F$3,Calculations!$F$3,Calculations!$F$4,FALSE),NA())</f>
        <v>#N/A</v>
      </c>
    </row>
    <row r="143" spans="1:13" x14ac:dyDescent="0.25">
      <c r="A143">
        <v>54.1000000000002</v>
      </c>
      <c r="B143">
        <f t="shared" si="20"/>
        <v>2.4634224863727904E-4</v>
      </c>
      <c r="C143" t="e">
        <f t="shared" si="21"/>
        <v>#N/A</v>
      </c>
      <c r="D143" t="e">
        <f t="shared" si="22"/>
        <v>#N/A</v>
      </c>
      <c r="E143" t="e">
        <f t="shared" si="23"/>
        <v>#N/A</v>
      </c>
      <c r="F143" t="e">
        <f t="shared" si="24"/>
        <v>#N/A</v>
      </c>
      <c r="G143" t="e">
        <f t="shared" si="25"/>
        <v>#N/A</v>
      </c>
      <c r="H143" t="e">
        <f t="shared" si="26"/>
        <v>#N/A</v>
      </c>
      <c r="I143" t="e">
        <f t="shared" si="27"/>
        <v>#N/A</v>
      </c>
      <c r="J143" t="e">
        <f t="shared" si="28"/>
        <v>#N/A</v>
      </c>
      <c r="K143">
        <f t="shared" si="29"/>
        <v>4.4634224863727902E-4</v>
      </c>
      <c r="L143" t="e">
        <f>IF(AND(ABS((ChartCalculations!A143-Calculations!$F$3)/Calculations!$F$4)&lt;5,OR(A143&lt;=Calculations!$F$7,A143&gt;=Calculations!$F$8)),0.2*_xlfn.NORM.DIST(100,100,15,FALSE)*_xlfn.NORM.DIST(A143,Calculations!$F$3,Calculations!$F$4,FALSE)/_xlfn.NORM.DIST(Calculations!$F$3,Calculations!$F$3,Calculations!$F$4,FALSE),NA())</f>
        <v>#N/A</v>
      </c>
      <c r="M143" t="e">
        <f>IF(AND(A143&gt;=Calculations!$F$7,A143&lt;=Calculations!$F$8),0.2*_xlfn.NORM.DIST(100,100,15,FALSE)*_xlfn.NORM.DIST(A143,Calculations!$F$3,Calculations!$F$4,FALSE)/_xlfn.NORM.DIST(Calculations!$F$3,Calculations!$F$3,Calculations!$F$4,FALSE),NA())</f>
        <v>#N/A</v>
      </c>
    </row>
    <row r="144" spans="1:13" x14ac:dyDescent="0.25">
      <c r="A144">
        <v>54.200000000000202</v>
      </c>
      <c r="B144">
        <f t="shared" si="20"/>
        <v>2.5141365271786047E-4</v>
      </c>
      <c r="C144" t="e">
        <f t="shared" si="21"/>
        <v>#N/A</v>
      </c>
      <c r="D144" t="e">
        <f t="shared" si="22"/>
        <v>#N/A</v>
      </c>
      <c r="E144" t="e">
        <f t="shared" si="23"/>
        <v>#N/A</v>
      </c>
      <c r="F144" t="e">
        <f t="shared" si="24"/>
        <v>#N/A</v>
      </c>
      <c r="G144" t="e">
        <f t="shared" si="25"/>
        <v>#N/A</v>
      </c>
      <c r="H144" t="e">
        <f t="shared" si="26"/>
        <v>#N/A</v>
      </c>
      <c r="I144" t="e">
        <f t="shared" si="27"/>
        <v>#N/A</v>
      </c>
      <c r="J144" t="e">
        <f t="shared" si="28"/>
        <v>#N/A</v>
      </c>
      <c r="K144">
        <f t="shared" si="29"/>
        <v>4.5141365271786046E-4</v>
      </c>
      <c r="L144" t="e">
        <f>IF(AND(ABS((ChartCalculations!A144-Calculations!$F$3)/Calculations!$F$4)&lt;5,OR(A144&lt;=Calculations!$F$7,A144&gt;=Calculations!$F$8)),0.2*_xlfn.NORM.DIST(100,100,15,FALSE)*_xlfn.NORM.DIST(A144,Calculations!$F$3,Calculations!$F$4,FALSE)/_xlfn.NORM.DIST(Calculations!$F$3,Calculations!$F$3,Calculations!$F$4,FALSE),NA())</f>
        <v>#N/A</v>
      </c>
      <c r="M144" t="e">
        <f>IF(AND(A144&gt;=Calculations!$F$7,A144&lt;=Calculations!$F$8),0.2*_xlfn.NORM.DIST(100,100,15,FALSE)*_xlfn.NORM.DIST(A144,Calculations!$F$3,Calculations!$F$4,FALSE)/_xlfn.NORM.DIST(Calculations!$F$3,Calculations!$F$3,Calculations!$F$4,FALSE),NA())</f>
        <v>#N/A</v>
      </c>
    </row>
    <row r="145" spans="1:13" x14ac:dyDescent="0.25">
      <c r="A145">
        <v>54.300000000000203</v>
      </c>
      <c r="B145">
        <f t="shared" si="20"/>
        <v>2.5657805717008652E-4</v>
      </c>
      <c r="C145" t="e">
        <f t="shared" si="21"/>
        <v>#N/A</v>
      </c>
      <c r="D145" t="e">
        <f t="shared" si="22"/>
        <v>#N/A</v>
      </c>
      <c r="E145" t="e">
        <f t="shared" si="23"/>
        <v>#N/A</v>
      </c>
      <c r="F145" t="e">
        <f t="shared" si="24"/>
        <v>#N/A</v>
      </c>
      <c r="G145" t="e">
        <f t="shared" si="25"/>
        <v>#N/A</v>
      </c>
      <c r="H145" t="e">
        <f t="shared" si="26"/>
        <v>#N/A</v>
      </c>
      <c r="I145" t="e">
        <f t="shared" si="27"/>
        <v>#N/A</v>
      </c>
      <c r="J145" t="e">
        <f t="shared" si="28"/>
        <v>#N/A</v>
      </c>
      <c r="K145">
        <f t="shared" si="29"/>
        <v>4.565780571700865E-4</v>
      </c>
      <c r="L145" t="e">
        <f>IF(AND(ABS((ChartCalculations!A145-Calculations!$F$3)/Calculations!$F$4)&lt;5,OR(A145&lt;=Calculations!$F$7,A145&gt;=Calculations!$F$8)),0.2*_xlfn.NORM.DIST(100,100,15,FALSE)*_xlfn.NORM.DIST(A145,Calculations!$F$3,Calculations!$F$4,FALSE)/_xlfn.NORM.DIST(Calculations!$F$3,Calculations!$F$3,Calculations!$F$4,FALSE),NA())</f>
        <v>#N/A</v>
      </c>
      <c r="M145" t="e">
        <f>IF(AND(A145&gt;=Calculations!$F$7,A145&lt;=Calculations!$F$8),0.2*_xlfn.NORM.DIST(100,100,15,FALSE)*_xlfn.NORM.DIST(A145,Calculations!$F$3,Calculations!$F$4,FALSE)/_xlfn.NORM.DIST(Calculations!$F$3,Calculations!$F$3,Calculations!$F$4,FALSE),NA())</f>
        <v>#N/A</v>
      </c>
    </row>
    <row r="146" spans="1:13" x14ac:dyDescent="0.25">
      <c r="A146">
        <v>54.400000000000198</v>
      </c>
      <c r="B146">
        <f t="shared" si="20"/>
        <v>2.6183690859499578E-4</v>
      </c>
      <c r="C146" t="e">
        <f t="shared" si="21"/>
        <v>#N/A</v>
      </c>
      <c r="D146" t="e">
        <f t="shared" si="22"/>
        <v>#N/A</v>
      </c>
      <c r="E146" t="e">
        <f t="shared" si="23"/>
        <v>#N/A</v>
      </c>
      <c r="F146" t="e">
        <f t="shared" si="24"/>
        <v>#N/A</v>
      </c>
      <c r="G146" t="e">
        <f t="shared" si="25"/>
        <v>#N/A</v>
      </c>
      <c r="H146" t="e">
        <f t="shared" si="26"/>
        <v>#N/A</v>
      </c>
      <c r="I146" t="e">
        <f t="shared" si="27"/>
        <v>#N/A</v>
      </c>
      <c r="J146" t="e">
        <f t="shared" si="28"/>
        <v>#N/A</v>
      </c>
      <c r="K146">
        <f t="shared" si="29"/>
        <v>4.6183690859499576E-4</v>
      </c>
      <c r="L146" t="e">
        <f>IF(AND(ABS((ChartCalculations!A146-Calculations!$F$3)/Calculations!$F$4)&lt;5,OR(A146&lt;=Calculations!$F$7,A146&gt;=Calculations!$F$8)),0.2*_xlfn.NORM.DIST(100,100,15,FALSE)*_xlfn.NORM.DIST(A146,Calculations!$F$3,Calculations!$F$4,FALSE)/_xlfn.NORM.DIST(Calculations!$F$3,Calculations!$F$3,Calculations!$F$4,FALSE),NA())</f>
        <v>#N/A</v>
      </c>
      <c r="M146" t="e">
        <f>IF(AND(A146&gt;=Calculations!$F$7,A146&lt;=Calculations!$F$8),0.2*_xlfn.NORM.DIST(100,100,15,FALSE)*_xlfn.NORM.DIST(A146,Calculations!$F$3,Calculations!$F$4,FALSE)/_xlfn.NORM.DIST(Calculations!$F$3,Calculations!$F$3,Calculations!$F$4,FALSE),NA())</f>
        <v>#N/A</v>
      </c>
    </row>
    <row r="147" spans="1:13" x14ac:dyDescent="0.25">
      <c r="A147">
        <v>54.500000000000199</v>
      </c>
      <c r="B147">
        <f t="shared" si="20"/>
        <v>2.6719167055443393E-4</v>
      </c>
      <c r="C147" t="e">
        <f t="shared" si="21"/>
        <v>#N/A</v>
      </c>
      <c r="D147" t="e">
        <f t="shared" si="22"/>
        <v>#N/A</v>
      </c>
      <c r="E147" t="e">
        <f t="shared" si="23"/>
        <v>#N/A</v>
      </c>
      <c r="F147" t="e">
        <f t="shared" si="24"/>
        <v>#N/A</v>
      </c>
      <c r="G147" t="e">
        <f t="shared" si="25"/>
        <v>#N/A</v>
      </c>
      <c r="H147" t="e">
        <f t="shared" si="26"/>
        <v>#N/A</v>
      </c>
      <c r="I147" t="e">
        <f t="shared" si="27"/>
        <v>#N/A</v>
      </c>
      <c r="J147" t="e">
        <f t="shared" si="28"/>
        <v>#N/A</v>
      </c>
      <c r="K147">
        <f t="shared" si="29"/>
        <v>4.6719167055443397E-4</v>
      </c>
      <c r="L147" t="e">
        <f>IF(AND(ABS((ChartCalculations!A147-Calculations!$F$3)/Calculations!$F$4)&lt;5,OR(A147&lt;=Calculations!$F$7,A147&gt;=Calculations!$F$8)),0.2*_xlfn.NORM.DIST(100,100,15,FALSE)*_xlfn.NORM.DIST(A147,Calculations!$F$3,Calculations!$F$4,FALSE)/_xlfn.NORM.DIST(Calculations!$F$3,Calculations!$F$3,Calculations!$F$4,FALSE),NA())</f>
        <v>#N/A</v>
      </c>
      <c r="M147" t="e">
        <f>IF(AND(A147&gt;=Calculations!$F$7,A147&lt;=Calculations!$F$8),0.2*_xlfn.NORM.DIST(100,100,15,FALSE)*_xlfn.NORM.DIST(A147,Calculations!$F$3,Calculations!$F$4,FALSE)/_xlfn.NORM.DIST(Calculations!$F$3,Calculations!$F$3,Calculations!$F$4,FALSE),NA())</f>
        <v>#N/A</v>
      </c>
    </row>
    <row r="148" spans="1:13" x14ac:dyDescent="0.25">
      <c r="A148">
        <v>54.6000000000002</v>
      </c>
      <c r="B148">
        <f t="shared" si="20"/>
        <v>2.7264382365583894E-4</v>
      </c>
      <c r="C148" t="e">
        <f t="shared" si="21"/>
        <v>#N/A</v>
      </c>
      <c r="D148" t="e">
        <f t="shared" si="22"/>
        <v>#N/A</v>
      </c>
      <c r="E148" t="e">
        <f t="shared" si="23"/>
        <v>#N/A</v>
      </c>
      <c r="F148" t="e">
        <f t="shared" si="24"/>
        <v>#N/A</v>
      </c>
      <c r="G148" t="e">
        <f t="shared" si="25"/>
        <v>#N/A</v>
      </c>
      <c r="H148" t="e">
        <f t="shared" si="26"/>
        <v>#N/A</v>
      </c>
      <c r="I148" t="e">
        <f t="shared" si="27"/>
        <v>#N/A</v>
      </c>
      <c r="J148" t="e">
        <f t="shared" si="28"/>
        <v>#N/A</v>
      </c>
      <c r="K148">
        <f t="shared" si="29"/>
        <v>4.7264382365583898E-4</v>
      </c>
      <c r="L148" t="e">
        <f>IF(AND(ABS((ChartCalculations!A148-Calculations!$F$3)/Calculations!$F$4)&lt;5,OR(A148&lt;=Calculations!$F$7,A148&gt;=Calculations!$F$8)),0.2*_xlfn.NORM.DIST(100,100,15,FALSE)*_xlfn.NORM.DIST(A148,Calculations!$F$3,Calculations!$F$4,FALSE)/_xlfn.NORM.DIST(Calculations!$F$3,Calculations!$F$3,Calculations!$F$4,FALSE),NA())</f>
        <v>#N/A</v>
      </c>
      <c r="M148" t="e">
        <f>IF(AND(A148&gt;=Calculations!$F$7,A148&lt;=Calculations!$F$8),0.2*_xlfn.NORM.DIST(100,100,15,FALSE)*_xlfn.NORM.DIST(A148,Calculations!$F$3,Calculations!$F$4,FALSE)/_xlfn.NORM.DIST(Calculations!$F$3,Calculations!$F$3,Calculations!$F$4,FALSE),NA())</f>
        <v>#N/A</v>
      </c>
    </row>
    <row r="149" spans="1:13" x14ac:dyDescent="0.25">
      <c r="A149">
        <v>54.700000000000202</v>
      </c>
      <c r="B149">
        <f t="shared" si="20"/>
        <v>2.7819486563494193E-4</v>
      </c>
      <c r="C149" t="e">
        <f t="shared" si="21"/>
        <v>#N/A</v>
      </c>
      <c r="D149" t="e">
        <f t="shared" si="22"/>
        <v>#N/A</v>
      </c>
      <c r="E149" t="e">
        <f t="shared" si="23"/>
        <v>#N/A</v>
      </c>
      <c r="F149" t="e">
        <f t="shared" si="24"/>
        <v>#N/A</v>
      </c>
      <c r="G149" t="e">
        <f t="shared" si="25"/>
        <v>#N/A</v>
      </c>
      <c r="H149" t="e">
        <f t="shared" si="26"/>
        <v>#N/A</v>
      </c>
      <c r="I149" t="e">
        <f t="shared" si="27"/>
        <v>#N/A</v>
      </c>
      <c r="J149" t="e">
        <f t="shared" si="28"/>
        <v>#N/A</v>
      </c>
      <c r="K149">
        <f t="shared" si="29"/>
        <v>4.7819486563494191E-4</v>
      </c>
      <c r="L149" t="e">
        <f>IF(AND(ABS((ChartCalculations!A149-Calculations!$F$3)/Calculations!$F$4)&lt;5,OR(A149&lt;=Calculations!$F$7,A149&gt;=Calculations!$F$8)),0.2*_xlfn.NORM.DIST(100,100,15,FALSE)*_xlfn.NORM.DIST(A149,Calculations!$F$3,Calculations!$F$4,FALSE)/_xlfn.NORM.DIST(Calculations!$F$3,Calculations!$F$3,Calculations!$F$4,FALSE),NA())</f>
        <v>#N/A</v>
      </c>
      <c r="M149" t="e">
        <f>IF(AND(A149&gt;=Calculations!$F$7,A149&lt;=Calculations!$F$8),0.2*_xlfn.NORM.DIST(100,100,15,FALSE)*_xlfn.NORM.DIST(A149,Calculations!$F$3,Calculations!$F$4,FALSE)/_xlfn.NORM.DIST(Calculations!$F$3,Calculations!$F$3,Calculations!$F$4,FALSE),NA())</f>
        <v>#N/A</v>
      </c>
    </row>
    <row r="150" spans="1:13" x14ac:dyDescent="0.25">
      <c r="A150">
        <v>54.800000000000203</v>
      </c>
      <c r="B150">
        <f t="shared" si="20"/>
        <v>2.8384631143630679E-4</v>
      </c>
      <c r="C150" t="e">
        <f t="shared" si="21"/>
        <v>#N/A</v>
      </c>
      <c r="D150" t="e">
        <f t="shared" si="22"/>
        <v>#N/A</v>
      </c>
      <c r="E150" t="e">
        <f t="shared" si="23"/>
        <v>#N/A</v>
      </c>
      <c r="F150" t="e">
        <f t="shared" si="24"/>
        <v>#N/A</v>
      </c>
      <c r="G150" t="e">
        <f t="shared" si="25"/>
        <v>#N/A</v>
      </c>
      <c r="H150" t="e">
        <f t="shared" si="26"/>
        <v>#N/A</v>
      </c>
      <c r="I150" t="e">
        <f t="shared" si="27"/>
        <v>#N/A</v>
      </c>
      <c r="J150" t="e">
        <f t="shared" si="28"/>
        <v>#N/A</v>
      </c>
      <c r="K150">
        <f t="shared" si="29"/>
        <v>4.8384631143630677E-4</v>
      </c>
      <c r="L150" t="e">
        <f>IF(AND(ABS((ChartCalculations!A150-Calculations!$F$3)/Calculations!$F$4)&lt;5,OR(A150&lt;=Calculations!$F$7,A150&gt;=Calculations!$F$8)),0.2*_xlfn.NORM.DIST(100,100,15,FALSE)*_xlfn.NORM.DIST(A150,Calculations!$F$3,Calculations!$F$4,FALSE)/_xlfn.NORM.DIST(Calculations!$F$3,Calculations!$F$3,Calculations!$F$4,FALSE),NA())</f>
        <v>#N/A</v>
      </c>
      <c r="M150" t="e">
        <f>IF(AND(A150&gt;=Calculations!$F$7,A150&lt;=Calculations!$F$8),0.2*_xlfn.NORM.DIST(100,100,15,FALSE)*_xlfn.NORM.DIST(A150,Calculations!$F$3,Calculations!$F$4,FALSE)/_xlfn.NORM.DIST(Calculations!$F$3,Calculations!$F$3,Calculations!$F$4,FALSE),NA())</f>
        <v>#N/A</v>
      </c>
    </row>
    <row r="151" spans="1:13" x14ac:dyDescent="0.25">
      <c r="A151">
        <v>54.900000000000198</v>
      </c>
      <c r="B151">
        <f t="shared" si="20"/>
        <v>2.8959969329165068E-4</v>
      </c>
      <c r="C151" t="e">
        <f t="shared" si="21"/>
        <v>#N/A</v>
      </c>
      <c r="D151" t="e">
        <f t="shared" si="22"/>
        <v>#N/A</v>
      </c>
      <c r="E151" t="e">
        <f t="shared" si="23"/>
        <v>#N/A</v>
      </c>
      <c r="F151" t="e">
        <f t="shared" si="24"/>
        <v>#N/A</v>
      </c>
      <c r="G151" t="e">
        <f t="shared" si="25"/>
        <v>#N/A</v>
      </c>
      <c r="H151" t="e">
        <f t="shared" si="26"/>
        <v>#N/A</v>
      </c>
      <c r="I151" t="e">
        <f t="shared" si="27"/>
        <v>#N/A</v>
      </c>
      <c r="J151" t="e">
        <f t="shared" si="28"/>
        <v>#N/A</v>
      </c>
      <c r="K151">
        <f t="shared" si="29"/>
        <v>4.8959969329165072E-4</v>
      </c>
      <c r="L151" t="e">
        <f>IF(AND(ABS((ChartCalculations!A151-Calculations!$F$3)/Calculations!$F$4)&lt;5,OR(A151&lt;=Calculations!$F$7,A151&gt;=Calculations!$F$8)),0.2*_xlfn.NORM.DIST(100,100,15,FALSE)*_xlfn.NORM.DIST(A151,Calculations!$F$3,Calculations!$F$4,FALSE)/_xlfn.NORM.DIST(Calculations!$F$3,Calculations!$F$3,Calculations!$F$4,FALSE),NA())</f>
        <v>#N/A</v>
      </c>
      <c r="M151" t="e">
        <f>IF(AND(A151&gt;=Calculations!$F$7,A151&lt;=Calculations!$F$8),0.2*_xlfn.NORM.DIST(100,100,15,FALSE)*_xlfn.NORM.DIST(A151,Calculations!$F$3,Calculations!$F$4,FALSE)/_xlfn.NORM.DIST(Calculations!$F$3,Calculations!$F$3,Calculations!$F$4,FALSE),NA())</f>
        <v>#N/A</v>
      </c>
    </row>
    <row r="152" spans="1:13" x14ac:dyDescent="0.25">
      <c r="A152">
        <v>55.000000000000199</v>
      </c>
      <c r="B152">
        <f t="shared" si="20"/>
        <v>2.9545656079587896E-4</v>
      </c>
      <c r="C152" t="e">
        <f t="shared" si="21"/>
        <v>#N/A</v>
      </c>
      <c r="D152" t="e">
        <f t="shared" si="22"/>
        <v>#N/A</v>
      </c>
      <c r="E152" t="e">
        <f t="shared" si="23"/>
        <v>#N/A</v>
      </c>
      <c r="F152" t="e">
        <f t="shared" si="24"/>
        <v>#N/A</v>
      </c>
      <c r="G152" t="e">
        <f t="shared" si="25"/>
        <v>#N/A</v>
      </c>
      <c r="H152" t="e">
        <f t="shared" si="26"/>
        <v>#N/A</v>
      </c>
      <c r="I152" t="e">
        <f t="shared" si="27"/>
        <v>#N/A</v>
      </c>
      <c r="J152" t="e">
        <f t="shared" si="28"/>
        <v>#N/A</v>
      </c>
      <c r="K152">
        <f t="shared" si="29"/>
        <v>4.9545656079587894E-4</v>
      </c>
      <c r="L152" t="e">
        <f>IF(AND(ABS((ChartCalculations!A152-Calculations!$F$3)/Calculations!$F$4)&lt;5,OR(A152&lt;=Calculations!$F$7,A152&gt;=Calculations!$F$8)),0.2*_xlfn.NORM.DIST(100,100,15,FALSE)*_xlfn.NORM.DIST(A152,Calculations!$F$3,Calculations!$F$4,FALSE)/_xlfn.NORM.DIST(Calculations!$F$3,Calculations!$F$3,Calculations!$F$4,FALSE),NA())</f>
        <v>#N/A</v>
      </c>
      <c r="M152" t="e">
        <f>IF(AND(A152&gt;=Calculations!$F$7,A152&lt;=Calculations!$F$8),0.2*_xlfn.NORM.DIST(100,100,15,FALSE)*_xlfn.NORM.DIST(A152,Calculations!$F$3,Calculations!$F$4,FALSE)/_xlfn.NORM.DIST(Calculations!$F$3,Calculations!$F$3,Calculations!$F$4,FALSE),NA())</f>
        <v>#N/A</v>
      </c>
    </row>
    <row r="153" spans="1:13" x14ac:dyDescent="0.25">
      <c r="A153">
        <v>55.1000000000002</v>
      </c>
      <c r="B153">
        <f t="shared" si="20"/>
        <v>3.0141848098076132E-4</v>
      </c>
      <c r="C153" t="e">
        <f t="shared" si="21"/>
        <v>#N/A</v>
      </c>
      <c r="D153" t="e">
        <f t="shared" si="22"/>
        <v>#N/A</v>
      </c>
      <c r="E153" t="e">
        <f t="shared" si="23"/>
        <v>#N/A</v>
      </c>
      <c r="F153" t="e">
        <f t="shared" si="24"/>
        <v>#N/A</v>
      </c>
      <c r="G153" t="e">
        <f t="shared" si="25"/>
        <v>#N/A</v>
      </c>
      <c r="H153" t="e">
        <f t="shared" si="26"/>
        <v>#N/A</v>
      </c>
      <c r="I153" t="e">
        <f t="shared" si="27"/>
        <v>#N/A</v>
      </c>
      <c r="J153" t="e">
        <f t="shared" si="28"/>
        <v>#N/A</v>
      </c>
      <c r="K153">
        <f t="shared" si="29"/>
        <v>5.014184809807613E-4</v>
      </c>
      <c r="L153" t="e">
        <f>IF(AND(ABS((ChartCalculations!A153-Calculations!$F$3)/Calculations!$F$4)&lt;5,OR(A153&lt;=Calculations!$F$7,A153&gt;=Calculations!$F$8)),0.2*_xlfn.NORM.DIST(100,100,15,FALSE)*_xlfn.NORM.DIST(A153,Calculations!$F$3,Calculations!$F$4,FALSE)/_xlfn.NORM.DIST(Calculations!$F$3,Calculations!$F$3,Calculations!$F$4,FALSE),NA())</f>
        <v>#N/A</v>
      </c>
      <c r="M153" t="e">
        <f>IF(AND(A153&gt;=Calculations!$F$7,A153&lt;=Calculations!$F$8),0.2*_xlfn.NORM.DIST(100,100,15,FALSE)*_xlfn.NORM.DIST(A153,Calculations!$F$3,Calculations!$F$4,FALSE)/_xlfn.NORM.DIST(Calculations!$F$3,Calculations!$F$3,Calculations!$F$4,FALSE),NA())</f>
        <v>#N/A</v>
      </c>
    </row>
    <row r="154" spans="1:13" x14ac:dyDescent="0.25">
      <c r="A154">
        <v>55.200000000000202</v>
      </c>
      <c r="B154">
        <f t="shared" si="20"/>
        <v>3.0748703838618985E-4</v>
      </c>
      <c r="C154" t="e">
        <f t="shared" si="21"/>
        <v>#N/A</v>
      </c>
      <c r="D154" t="e">
        <f t="shared" si="22"/>
        <v>#N/A</v>
      </c>
      <c r="E154" t="e">
        <f t="shared" si="23"/>
        <v>#N/A</v>
      </c>
      <c r="F154" t="e">
        <f t="shared" si="24"/>
        <v>#N/A</v>
      </c>
      <c r="G154" t="e">
        <f t="shared" si="25"/>
        <v>#N/A</v>
      </c>
      <c r="H154" t="e">
        <f t="shared" si="26"/>
        <v>#N/A</v>
      </c>
      <c r="I154" t="e">
        <f t="shared" si="27"/>
        <v>#N/A</v>
      </c>
      <c r="J154" t="e">
        <f t="shared" si="28"/>
        <v>#N/A</v>
      </c>
      <c r="K154">
        <f t="shared" si="29"/>
        <v>5.0748703838618989E-4</v>
      </c>
      <c r="L154" t="e">
        <f>IF(AND(ABS((ChartCalculations!A154-Calculations!$F$3)/Calculations!$F$4)&lt;5,OR(A154&lt;=Calculations!$F$7,A154&gt;=Calculations!$F$8)),0.2*_xlfn.NORM.DIST(100,100,15,FALSE)*_xlfn.NORM.DIST(A154,Calculations!$F$3,Calculations!$F$4,FALSE)/_xlfn.NORM.DIST(Calculations!$F$3,Calculations!$F$3,Calculations!$F$4,FALSE),NA())</f>
        <v>#N/A</v>
      </c>
      <c r="M154" t="e">
        <f>IF(AND(A154&gt;=Calculations!$F$7,A154&lt;=Calculations!$F$8),0.2*_xlfn.NORM.DIST(100,100,15,FALSE)*_xlfn.NORM.DIST(A154,Calculations!$F$3,Calculations!$F$4,FALSE)/_xlfn.NORM.DIST(Calculations!$F$3,Calculations!$F$3,Calculations!$F$4,FALSE),NA())</f>
        <v>#N/A</v>
      </c>
    </row>
    <row r="155" spans="1:13" x14ac:dyDescent="0.25">
      <c r="A155">
        <v>55.300000000000203</v>
      </c>
      <c r="B155">
        <f t="shared" si="20"/>
        <v>3.1366383512894451E-4</v>
      </c>
      <c r="C155" t="e">
        <f t="shared" si="21"/>
        <v>#N/A</v>
      </c>
      <c r="D155" t="e">
        <f t="shared" si="22"/>
        <v>#N/A</v>
      </c>
      <c r="E155" t="e">
        <f t="shared" si="23"/>
        <v>#N/A</v>
      </c>
      <c r="F155" t="e">
        <f t="shared" si="24"/>
        <v>#N/A</v>
      </c>
      <c r="G155" t="e">
        <f t="shared" si="25"/>
        <v>#N/A</v>
      </c>
      <c r="H155" t="e">
        <f t="shared" si="26"/>
        <v>#N/A</v>
      </c>
      <c r="I155" t="e">
        <f t="shared" si="27"/>
        <v>#N/A</v>
      </c>
      <c r="J155" t="e">
        <f t="shared" si="28"/>
        <v>#N/A</v>
      </c>
      <c r="K155">
        <f t="shared" si="29"/>
        <v>5.1366383512894455E-4</v>
      </c>
      <c r="L155" t="e">
        <f>IF(AND(ABS((ChartCalculations!A155-Calculations!$F$3)/Calculations!$F$4)&lt;5,OR(A155&lt;=Calculations!$F$7,A155&gt;=Calculations!$F$8)),0.2*_xlfn.NORM.DIST(100,100,15,FALSE)*_xlfn.NORM.DIST(A155,Calculations!$F$3,Calculations!$F$4,FALSE)/_xlfn.NORM.DIST(Calculations!$F$3,Calculations!$F$3,Calculations!$F$4,FALSE),NA())</f>
        <v>#N/A</v>
      </c>
      <c r="M155" t="e">
        <f>IF(AND(A155&gt;=Calculations!$F$7,A155&lt;=Calculations!$F$8),0.2*_xlfn.NORM.DIST(100,100,15,FALSE)*_xlfn.NORM.DIST(A155,Calculations!$F$3,Calculations!$F$4,FALSE)/_xlfn.NORM.DIST(Calculations!$F$3,Calculations!$F$3,Calculations!$F$4,FALSE),NA())</f>
        <v>#N/A</v>
      </c>
    </row>
    <row r="156" spans="1:13" x14ac:dyDescent="0.25">
      <c r="A156">
        <v>55.400000000000198</v>
      </c>
      <c r="B156">
        <f t="shared" si="20"/>
        <v>3.1995049096890052E-4</v>
      </c>
      <c r="C156" t="e">
        <f t="shared" si="21"/>
        <v>#N/A</v>
      </c>
      <c r="D156" t="e">
        <f t="shared" si="22"/>
        <v>#N/A</v>
      </c>
      <c r="E156" t="e">
        <f t="shared" si="23"/>
        <v>#N/A</v>
      </c>
      <c r="F156" t="e">
        <f t="shared" si="24"/>
        <v>#N/A</v>
      </c>
      <c r="G156" t="e">
        <f t="shared" si="25"/>
        <v>#N/A</v>
      </c>
      <c r="H156" t="e">
        <f t="shared" si="26"/>
        <v>#N/A</v>
      </c>
      <c r="I156" t="e">
        <f t="shared" si="27"/>
        <v>#N/A</v>
      </c>
      <c r="J156" t="e">
        <f t="shared" si="28"/>
        <v>#N/A</v>
      </c>
      <c r="K156">
        <f t="shared" si="29"/>
        <v>5.1995049096890055E-4</v>
      </c>
      <c r="L156" t="e">
        <f>IF(AND(ABS((ChartCalculations!A156-Calculations!$F$3)/Calculations!$F$4)&lt;5,OR(A156&lt;=Calculations!$F$7,A156&gt;=Calculations!$F$8)),0.2*_xlfn.NORM.DIST(100,100,15,FALSE)*_xlfn.NORM.DIST(A156,Calculations!$F$3,Calculations!$F$4,FALSE)/_xlfn.NORM.DIST(Calculations!$F$3,Calculations!$F$3,Calculations!$F$4,FALSE),NA())</f>
        <v>#N/A</v>
      </c>
      <c r="M156" t="e">
        <f>IF(AND(A156&gt;=Calculations!$F$7,A156&lt;=Calculations!$F$8),0.2*_xlfn.NORM.DIST(100,100,15,FALSE)*_xlfn.NORM.DIST(A156,Calculations!$F$3,Calculations!$F$4,FALSE)/_xlfn.NORM.DIST(Calculations!$F$3,Calculations!$F$3,Calculations!$F$4,FALSE),NA())</f>
        <v>#N/A</v>
      </c>
    </row>
    <row r="157" spans="1:13" x14ac:dyDescent="0.25">
      <c r="A157">
        <v>55.500000000000199</v>
      </c>
      <c r="B157">
        <f t="shared" si="20"/>
        <v>3.2634864337260851E-4</v>
      </c>
      <c r="C157" t="e">
        <f t="shared" si="21"/>
        <v>#N/A</v>
      </c>
      <c r="D157" t="e">
        <f t="shared" si="22"/>
        <v>#N/A</v>
      </c>
      <c r="E157" t="e">
        <f t="shared" si="23"/>
        <v>#N/A</v>
      </c>
      <c r="F157" t="e">
        <f t="shared" si="24"/>
        <v>#N/A</v>
      </c>
      <c r="G157" t="e">
        <f t="shared" si="25"/>
        <v>#N/A</v>
      </c>
      <c r="H157" t="e">
        <f t="shared" si="26"/>
        <v>#N/A</v>
      </c>
      <c r="I157" t="e">
        <f t="shared" si="27"/>
        <v>#N/A</v>
      </c>
      <c r="J157" t="e">
        <f t="shared" si="28"/>
        <v>#N/A</v>
      </c>
      <c r="K157">
        <f t="shared" si="29"/>
        <v>5.2634864337260849E-4</v>
      </c>
      <c r="L157" t="e">
        <f>IF(AND(ABS((ChartCalculations!A157-Calculations!$F$3)/Calculations!$F$4)&lt;5,OR(A157&lt;=Calculations!$F$7,A157&gt;=Calculations!$F$8)),0.2*_xlfn.NORM.DIST(100,100,15,FALSE)*_xlfn.NORM.DIST(A157,Calculations!$F$3,Calculations!$F$4,FALSE)/_xlfn.NORM.DIST(Calculations!$F$3,Calculations!$F$3,Calculations!$F$4,FALSE),NA())</f>
        <v>#N/A</v>
      </c>
      <c r="M157" t="e">
        <f>IF(AND(A157&gt;=Calculations!$F$7,A157&lt;=Calculations!$F$8),0.2*_xlfn.NORM.DIST(100,100,15,FALSE)*_xlfn.NORM.DIST(A157,Calculations!$F$3,Calculations!$F$4,FALSE)/_xlfn.NORM.DIST(Calculations!$F$3,Calculations!$F$3,Calculations!$F$4,FALSE),NA())</f>
        <v>#N/A</v>
      </c>
    </row>
    <row r="158" spans="1:13" x14ac:dyDescent="0.25">
      <c r="A158">
        <v>55.6000000000002</v>
      </c>
      <c r="B158">
        <f t="shared" si="20"/>
        <v>3.3285994757417138E-4</v>
      </c>
      <c r="C158" t="e">
        <f t="shared" si="21"/>
        <v>#N/A</v>
      </c>
      <c r="D158" t="e">
        <f t="shared" si="22"/>
        <v>#N/A</v>
      </c>
      <c r="E158" t="e">
        <f t="shared" si="23"/>
        <v>#N/A</v>
      </c>
      <c r="F158" t="e">
        <f t="shared" si="24"/>
        <v>#N/A</v>
      </c>
      <c r="G158" t="e">
        <f t="shared" si="25"/>
        <v>#N/A</v>
      </c>
      <c r="H158" t="e">
        <f t="shared" si="26"/>
        <v>#N/A</v>
      </c>
      <c r="I158" t="e">
        <f t="shared" si="27"/>
        <v>#N/A</v>
      </c>
      <c r="J158" t="e">
        <f t="shared" si="28"/>
        <v>#N/A</v>
      </c>
      <c r="K158">
        <f t="shared" si="29"/>
        <v>5.3285994757417137E-4</v>
      </c>
      <c r="L158" t="e">
        <f>IF(AND(ABS((ChartCalculations!A158-Calculations!$F$3)/Calculations!$F$4)&lt;5,OR(A158&lt;=Calculations!$F$7,A158&gt;=Calculations!$F$8)),0.2*_xlfn.NORM.DIST(100,100,15,FALSE)*_xlfn.NORM.DIST(A158,Calculations!$F$3,Calculations!$F$4,FALSE)/_xlfn.NORM.DIST(Calculations!$F$3,Calculations!$F$3,Calculations!$F$4,FALSE),NA())</f>
        <v>#N/A</v>
      </c>
      <c r="M158" t="e">
        <f>IF(AND(A158&gt;=Calculations!$F$7,A158&lt;=Calculations!$F$8),0.2*_xlfn.NORM.DIST(100,100,15,FALSE)*_xlfn.NORM.DIST(A158,Calculations!$F$3,Calculations!$F$4,FALSE)/_xlfn.NORM.DIST(Calculations!$F$3,Calculations!$F$3,Calculations!$F$4,FALSE),NA())</f>
        <v>#N/A</v>
      </c>
    </row>
    <row r="159" spans="1:13" x14ac:dyDescent="0.25">
      <c r="A159">
        <v>55.700000000000202</v>
      </c>
      <c r="B159">
        <f t="shared" si="20"/>
        <v>3.3948607663336026E-4</v>
      </c>
      <c r="C159" t="e">
        <f t="shared" si="21"/>
        <v>#N/A</v>
      </c>
      <c r="D159" t="e">
        <f t="shared" si="22"/>
        <v>#N/A</v>
      </c>
      <c r="E159" t="e">
        <f t="shared" si="23"/>
        <v>#N/A</v>
      </c>
      <c r="F159" t="e">
        <f t="shared" si="24"/>
        <v>#N/A</v>
      </c>
      <c r="G159" t="e">
        <f t="shared" si="25"/>
        <v>#N/A</v>
      </c>
      <c r="H159" t="e">
        <f t="shared" si="26"/>
        <v>#N/A</v>
      </c>
      <c r="I159" t="e">
        <f t="shared" si="27"/>
        <v>#N/A</v>
      </c>
      <c r="J159" t="e">
        <f t="shared" si="28"/>
        <v>#N/A</v>
      </c>
      <c r="K159">
        <f t="shared" si="29"/>
        <v>5.3948607663336029E-4</v>
      </c>
      <c r="L159" t="e">
        <f>IF(AND(ABS((ChartCalculations!A159-Calculations!$F$3)/Calculations!$F$4)&lt;5,OR(A159&lt;=Calculations!$F$7,A159&gt;=Calculations!$F$8)),0.2*_xlfn.NORM.DIST(100,100,15,FALSE)*_xlfn.NORM.DIST(A159,Calculations!$F$3,Calculations!$F$4,FALSE)/_xlfn.NORM.DIST(Calculations!$F$3,Calculations!$F$3,Calculations!$F$4,FALSE),NA())</f>
        <v>#N/A</v>
      </c>
      <c r="M159" t="e">
        <f>IF(AND(A159&gt;=Calculations!$F$7,A159&lt;=Calculations!$F$8),0.2*_xlfn.NORM.DIST(100,100,15,FALSE)*_xlfn.NORM.DIST(A159,Calculations!$F$3,Calculations!$F$4,FALSE)/_xlfn.NORM.DIST(Calculations!$F$3,Calculations!$F$3,Calculations!$F$4,FALSE),NA())</f>
        <v>#N/A</v>
      </c>
    </row>
    <row r="160" spans="1:13" x14ac:dyDescent="0.25">
      <c r="A160">
        <v>55.800000000000203</v>
      </c>
      <c r="B160">
        <f t="shared" si="20"/>
        <v>3.4622872149088371E-4</v>
      </c>
      <c r="C160" t="e">
        <f t="shared" si="21"/>
        <v>#N/A</v>
      </c>
      <c r="D160" t="e">
        <f t="shared" si="22"/>
        <v>#N/A</v>
      </c>
      <c r="E160" t="e">
        <f t="shared" si="23"/>
        <v>#N/A</v>
      </c>
      <c r="F160" t="e">
        <f t="shared" si="24"/>
        <v>#N/A</v>
      </c>
      <c r="G160" t="e">
        <f t="shared" si="25"/>
        <v>#N/A</v>
      </c>
      <c r="H160" t="e">
        <f t="shared" si="26"/>
        <v>#N/A</v>
      </c>
      <c r="I160" t="e">
        <f t="shared" si="27"/>
        <v>#N/A</v>
      </c>
      <c r="J160" t="e">
        <f t="shared" si="28"/>
        <v>#N/A</v>
      </c>
      <c r="K160">
        <f t="shared" si="29"/>
        <v>5.462287214908837E-4</v>
      </c>
      <c r="L160" t="e">
        <f>IF(AND(ABS((ChartCalculations!A160-Calculations!$F$3)/Calculations!$F$4)&lt;5,OR(A160&lt;=Calculations!$F$7,A160&gt;=Calculations!$F$8)),0.2*_xlfn.NORM.DIST(100,100,15,FALSE)*_xlfn.NORM.DIST(A160,Calculations!$F$3,Calculations!$F$4,FALSE)/_xlfn.NORM.DIST(Calculations!$F$3,Calculations!$F$3,Calculations!$F$4,FALSE),NA())</f>
        <v>#N/A</v>
      </c>
      <c r="M160" t="e">
        <f>IF(AND(A160&gt;=Calculations!$F$7,A160&lt;=Calculations!$F$8),0.2*_xlfn.NORM.DIST(100,100,15,FALSE)*_xlfn.NORM.DIST(A160,Calculations!$F$3,Calculations!$F$4,FALSE)/_xlfn.NORM.DIST(Calculations!$F$3,Calculations!$F$3,Calculations!$F$4,FALSE),NA())</f>
        <v>#N/A</v>
      </c>
    </row>
    <row r="161" spans="1:13" x14ac:dyDescent="0.25">
      <c r="A161">
        <v>55.900000000000198</v>
      </c>
      <c r="B161">
        <f t="shared" si="20"/>
        <v>3.5308959102074846E-4</v>
      </c>
      <c r="C161" t="e">
        <f t="shared" si="21"/>
        <v>#N/A</v>
      </c>
      <c r="D161" t="e">
        <f t="shared" si="22"/>
        <v>#N/A</v>
      </c>
      <c r="E161" t="e">
        <f t="shared" si="23"/>
        <v>#N/A</v>
      </c>
      <c r="F161" t="e">
        <f t="shared" si="24"/>
        <v>#N/A</v>
      </c>
      <c r="G161" t="e">
        <f t="shared" si="25"/>
        <v>#N/A</v>
      </c>
      <c r="H161" t="e">
        <f t="shared" si="26"/>
        <v>#N/A</v>
      </c>
      <c r="I161" t="e">
        <f t="shared" si="27"/>
        <v>#N/A</v>
      </c>
      <c r="J161" t="e">
        <f t="shared" si="28"/>
        <v>#N/A</v>
      </c>
      <c r="K161">
        <f t="shared" si="29"/>
        <v>5.530895910207485E-4</v>
      </c>
      <c r="L161" t="e">
        <f>IF(AND(ABS((ChartCalculations!A161-Calculations!$F$3)/Calculations!$F$4)&lt;5,OR(A161&lt;=Calculations!$F$7,A161&gt;=Calculations!$F$8)),0.2*_xlfn.NORM.DIST(100,100,15,FALSE)*_xlfn.NORM.DIST(A161,Calculations!$F$3,Calculations!$F$4,FALSE)/_xlfn.NORM.DIST(Calculations!$F$3,Calculations!$F$3,Calculations!$F$4,FALSE),NA())</f>
        <v>#N/A</v>
      </c>
      <c r="M161" t="e">
        <f>IF(AND(A161&gt;=Calculations!$F$7,A161&lt;=Calculations!$F$8),0.2*_xlfn.NORM.DIST(100,100,15,FALSE)*_xlfn.NORM.DIST(A161,Calculations!$F$3,Calculations!$F$4,FALSE)/_xlfn.NORM.DIST(Calculations!$F$3,Calculations!$F$3,Calculations!$F$4,FALSE),NA())</f>
        <v>#N/A</v>
      </c>
    </row>
    <row r="162" spans="1:13" x14ac:dyDescent="0.25">
      <c r="A162">
        <v>56.000000000000199</v>
      </c>
      <c r="B162">
        <f t="shared" si="20"/>
        <v>3.6007041207963879E-4</v>
      </c>
      <c r="C162" t="e">
        <f t="shared" si="21"/>
        <v>#N/A</v>
      </c>
      <c r="D162" t="e">
        <f t="shared" si="22"/>
        <v>#N/A</v>
      </c>
      <c r="E162" t="e">
        <f t="shared" si="23"/>
        <v>#N/A</v>
      </c>
      <c r="F162" t="e">
        <f t="shared" si="24"/>
        <v>#N/A</v>
      </c>
      <c r="G162" t="e">
        <f t="shared" si="25"/>
        <v>#N/A</v>
      </c>
      <c r="H162" t="e">
        <f t="shared" si="26"/>
        <v>#N/A</v>
      </c>
      <c r="I162" t="e">
        <f t="shared" si="27"/>
        <v>#N/A</v>
      </c>
      <c r="J162" t="e">
        <f t="shared" si="28"/>
        <v>#N/A</v>
      </c>
      <c r="K162">
        <f t="shared" si="29"/>
        <v>5.6007041207963883E-4</v>
      </c>
      <c r="L162" t="e">
        <f>IF(AND(ABS((ChartCalculations!A162-Calculations!$F$3)/Calculations!$F$4)&lt;5,OR(A162&lt;=Calculations!$F$7,A162&gt;=Calculations!$F$8)),0.2*_xlfn.NORM.DIST(100,100,15,FALSE)*_xlfn.NORM.DIST(A162,Calculations!$F$3,Calculations!$F$4,FALSE)/_xlfn.NORM.DIST(Calculations!$F$3,Calculations!$F$3,Calculations!$F$4,FALSE),NA())</f>
        <v>#N/A</v>
      </c>
      <c r="M162" t="e">
        <f>IF(AND(A162&gt;=Calculations!$F$7,A162&lt;=Calculations!$F$8),0.2*_xlfn.NORM.DIST(100,100,15,FALSE)*_xlfn.NORM.DIST(A162,Calculations!$F$3,Calculations!$F$4,FALSE)/_xlfn.NORM.DIST(Calculations!$F$3,Calculations!$F$3,Calculations!$F$4,FALSE),NA())</f>
        <v>#N/A</v>
      </c>
    </row>
    <row r="163" spans="1:13" x14ac:dyDescent="0.25">
      <c r="A163">
        <v>56.1000000000002</v>
      </c>
      <c r="B163">
        <f t="shared" si="20"/>
        <v>3.6717292955323687E-4</v>
      </c>
      <c r="C163" t="e">
        <f t="shared" si="21"/>
        <v>#N/A</v>
      </c>
      <c r="D163" t="e">
        <f t="shared" si="22"/>
        <v>#N/A</v>
      </c>
      <c r="E163" t="e">
        <f t="shared" si="23"/>
        <v>#N/A</v>
      </c>
      <c r="F163" t="e">
        <f t="shared" si="24"/>
        <v>#N/A</v>
      </c>
      <c r="G163" t="e">
        <f t="shared" si="25"/>
        <v>#N/A</v>
      </c>
      <c r="H163" t="e">
        <f t="shared" si="26"/>
        <v>#N/A</v>
      </c>
      <c r="I163" t="e">
        <f t="shared" si="27"/>
        <v>#N/A</v>
      </c>
      <c r="J163" t="e">
        <f t="shared" si="28"/>
        <v>#N/A</v>
      </c>
      <c r="K163">
        <f t="shared" si="29"/>
        <v>5.6717292955323691E-4</v>
      </c>
      <c r="L163" t="e">
        <f>IF(AND(ABS((ChartCalculations!A163-Calculations!$F$3)/Calculations!$F$4)&lt;5,OR(A163&lt;=Calculations!$F$7,A163&gt;=Calculations!$F$8)),0.2*_xlfn.NORM.DIST(100,100,15,FALSE)*_xlfn.NORM.DIST(A163,Calculations!$F$3,Calculations!$F$4,FALSE)/_xlfn.NORM.DIST(Calculations!$F$3,Calculations!$F$3,Calculations!$F$4,FALSE),NA())</f>
        <v>#N/A</v>
      </c>
      <c r="M163" t="e">
        <f>IF(AND(A163&gt;=Calculations!$F$7,A163&lt;=Calculations!$F$8),0.2*_xlfn.NORM.DIST(100,100,15,FALSE)*_xlfn.NORM.DIST(A163,Calculations!$F$3,Calculations!$F$4,FALSE)/_xlfn.NORM.DIST(Calculations!$F$3,Calculations!$F$3,Calculations!$F$4,FALSE),NA())</f>
        <v>#N/A</v>
      </c>
    </row>
    <row r="164" spans="1:13" x14ac:dyDescent="0.25">
      <c r="A164">
        <v>56.200000000000202</v>
      </c>
      <c r="B164">
        <f t="shared" si="20"/>
        <v>3.7439890639941219E-4</v>
      </c>
      <c r="C164" t="e">
        <f t="shared" si="21"/>
        <v>#N/A</v>
      </c>
      <c r="D164" t="e">
        <f t="shared" si="22"/>
        <v>#N/A</v>
      </c>
      <c r="E164" t="e">
        <f t="shared" si="23"/>
        <v>#N/A</v>
      </c>
      <c r="F164" t="e">
        <f t="shared" si="24"/>
        <v>#N/A</v>
      </c>
      <c r="G164" t="e">
        <f t="shared" si="25"/>
        <v>#N/A</v>
      </c>
      <c r="H164" t="e">
        <f t="shared" si="26"/>
        <v>#N/A</v>
      </c>
      <c r="I164" t="e">
        <f t="shared" si="27"/>
        <v>#N/A</v>
      </c>
      <c r="J164" t="e">
        <f t="shared" si="28"/>
        <v>#N/A</v>
      </c>
      <c r="K164">
        <f t="shared" si="29"/>
        <v>5.7439890639941218E-4</v>
      </c>
      <c r="L164" t="e">
        <f>IF(AND(ABS((ChartCalculations!A164-Calculations!$F$3)/Calculations!$F$4)&lt;5,OR(A164&lt;=Calculations!$F$7,A164&gt;=Calculations!$F$8)),0.2*_xlfn.NORM.DIST(100,100,15,FALSE)*_xlfn.NORM.DIST(A164,Calculations!$F$3,Calculations!$F$4,FALSE)/_xlfn.NORM.DIST(Calculations!$F$3,Calculations!$F$3,Calculations!$F$4,FALSE),NA())</f>
        <v>#N/A</v>
      </c>
      <c r="M164" t="e">
        <f>IF(AND(A164&gt;=Calculations!$F$7,A164&lt;=Calculations!$F$8),0.2*_xlfn.NORM.DIST(100,100,15,FALSE)*_xlfn.NORM.DIST(A164,Calculations!$F$3,Calculations!$F$4,FALSE)/_xlfn.NORM.DIST(Calculations!$F$3,Calculations!$F$3,Calculations!$F$4,FALSE),NA())</f>
        <v>#N/A</v>
      </c>
    </row>
    <row r="165" spans="1:13" x14ac:dyDescent="0.25">
      <c r="A165">
        <v>56.300000000000203</v>
      </c>
      <c r="B165">
        <f t="shared" si="20"/>
        <v>3.8175012368821612E-4</v>
      </c>
      <c r="C165" t="e">
        <f t="shared" si="21"/>
        <v>#N/A</v>
      </c>
      <c r="D165" t="e">
        <f t="shared" si="22"/>
        <v>#N/A</v>
      </c>
      <c r="E165" t="e">
        <f t="shared" si="23"/>
        <v>#N/A</v>
      </c>
      <c r="F165" t="e">
        <f t="shared" si="24"/>
        <v>#N/A</v>
      </c>
      <c r="G165" t="e">
        <f t="shared" si="25"/>
        <v>#N/A</v>
      </c>
      <c r="H165" t="e">
        <f t="shared" si="26"/>
        <v>#N/A</v>
      </c>
      <c r="I165" t="e">
        <f t="shared" si="27"/>
        <v>#N/A</v>
      </c>
      <c r="J165" t="e">
        <f t="shared" si="28"/>
        <v>#N/A</v>
      </c>
      <c r="K165">
        <f t="shared" si="29"/>
        <v>5.8175012368821616E-4</v>
      </c>
      <c r="L165" t="e">
        <f>IF(AND(ABS((ChartCalculations!A165-Calculations!$F$3)/Calculations!$F$4)&lt;5,OR(A165&lt;=Calculations!$F$7,A165&gt;=Calculations!$F$8)),0.2*_xlfn.NORM.DIST(100,100,15,FALSE)*_xlfn.NORM.DIST(A165,Calculations!$F$3,Calculations!$F$4,FALSE)/_xlfn.NORM.DIST(Calculations!$F$3,Calculations!$F$3,Calculations!$F$4,FALSE),NA())</f>
        <v>#N/A</v>
      </c>
      <c r="M165" t="e">
        <f>IF(AND(A165&gt;=Calculations!$F$7,A165&lt;=Calculations!$F$8),0.2*_xlfn.NORM.DIST(100,100,15,FALSE)*_xlfn.NORM.DIST(A165,Calculations!$F$3,Calculations!$F$4,FALSE)/_xlfn.NORM.DIST(Calculations!$F$3,Calculations!$F$3,Calculations!$F$4,FALSE),NA())</f>
        <v>#N/A</v>
      </c>
    </row>
    <row r="166" spans="1:13" x14ac:dyDescent="0.25">
      <c r="A166">
        <v>56.400000000000198</v>
      </c>
      <c r="B166">
        <f t="shared" si="20"/>
        <v>3.8922838063859154E-4</v>
      </c>
      <c r="C166" t="e">
        <f t="shared" si="21"/>
        <v>#N/A</v>
      </c>
      <c r="D166" t="e">
        <f t="shared" si="22"/>
        <v>#N/A</v>
      </c>
      <c r="E166" t="e">
        <f t="shared" si="23"/>
        <v>#N/A</v>
      </c>
      <c r="F166" t="e">
        <f t="shared" si="24"/>
        <v>#N/A</v>
      </c>
      <c r="G166" t="e">
        <f t="shared" si="25"/>
        <v>#N/A</v>
      </c>
      <c r="H166" t="e">
        <f t="shared" si="26"/>
        <v>#N/A</v>
      </c>
      <c r="I166" t="e">
        <f t="shared" si="27"/>
        <v>#N/A</v>
      </c>
      <c r="J166" t="e">
        <f t="shared" si="28"/>
        <v>#N/A</v>
      </c>
      <c r="K166">
        <f t="shared" si="29"/>
        <v>5.8922838063859152E-4</v>
      </c>
      <c r="L166" t="e">
        <f>IF(AND(ABS((ChartCalculations!A166-Calculations!$F$3)/Calculations!$F$4)&lt;5,OR(A166&lt;=Calculations!$F$7,A166&gt;=Calculations!$F$8)),0.2*_xlfn.NORM.DIST(100,100,15,FALSE)*_xlfn.NORM.DIST(A166,Calculations!$F$3,Calculations!$F$4,FALSE)/_xlfn.NORM.DIST(Calculations!$F$3,Calculations!$F$3,Calculations!$F$4,FALSE),NA())</f>
        <v>#N/A</v>
      </c>
      <c r="M166" t="e">
        <f>IF(AND(A166&gt;=Calculations!$F$7,A166&lt;=Calculations!$F$8),0.2*_xlfn.NORM.DIST(100,100,15,FALSE)*_xlfn.NORM.DIST(A166,Calculations!$F$3,Calculations!$F$4,FALSE)/_xlfn.NORM.DIST(Calculations!$F$3,Calculations!$F$3,Calculations!$F$4,FALSE),NA())</f>
        <v>#N/A</v>
      </c>
    </row>
    <row r="167" spans="1:13" x14ac:dyDescent="0.25">
      <c r="A167">
        <v>56.500000000000199</v>
      </c>
      <c r="B167">
        <f t="shared" si="20"/>
        <v>3.9683549465173906E-4</v>
      </c>
      <c r="C167" t="e">
        <f t="shared" si="21"/>
        <v>#N/A</v>
      </c>
      <c r="D167" t="e">
        <f t="shared" si="22"/>
        <v>#N/A</v>
      </c>
      <c r="E167" t="e">
        <f t="shared" si="23"/>
        <v>#N/A</v>
      </c>
      <c r="F167" t="e">
        <f t="shared" si="24"/>
        <v>#N/A</v>
      </c>
      <c r="G167" t="e">
        <f t="shared" si="25"/>
        <v>#N/A</v>
      </c>
      <c r="H167" t="e">
        <f t="shared" si="26"/>
        <v>#N/A</v>
      </c>
      <c r="I167" t="e">
        <f t="shared" si="27"/>
        <v>#N/A</v>
      </c>
      <c r="J167" t="e">
        <f t="shared" si="28"/>
        <v>#N/A</v>
      </c>
      <c r="K167">
        <f t="shared" si="29"/>
        <v>5.9683549465173904E-4</v>
      </c>
      <c r="L167" t="e">
        <f>IF(AND(ABS((ChartCalculations!A167-Calculations!$F$3)/Calculations!$F$4)&lt;5,OR(A167&lt;=Calculations!$F$7,A167&gt;=Calculations!$F$8)),0.2*_xlfn.NORM.DIST(100,100,15,FALSE)*_xlfn.NORM.DIST(A167,Calculations!$F$3,Calculations!$F$4,FALSE)/_xlfn.NORM.DIST(Calculations!$F$3,Calculations!$F$3,Calculations!$F$4,FALSE),NA())</f>
        <v>#N/A</v>
      </c>
      <c r="M167" t="e">
        <f>IF(AND(A167&gt;=Calculations!$F$7,A167&lt;=Calculations!$F$8),0.2*_xlfn.NORM.DIST(100,100,15,FALSE)*_xlfn.NORM.DIST(A167,Calculations!$F$3,Calculations!$F$4,FALSE)/_xlfn.NORM.DIST(Calculations!$F$3,Calculations!$F$3,Calculations!$F$4,FALSE),NA())</f>
        <v>#N/A</v>
      </c>
    </row>
    <row r="168" spans="1:13" x14ac:dyDescent="0.25">
      <c r="A168">
        <v>56.6000000000002</v>
      </c>
      <c r="B168">
        <f t="shared" si="20"/>
        <v>4.0457330134105072E-4</v>
      </c>
      <c r="C168" t="e">
        <f t="shared" si="21"/>
        <v>#N/A</v>
      </c>
      <c r="D168" t="e">
        <f t="shared" si="22"/>
        <v>#N/A</v>
      </c>
      <c r="E168" t="e">
        <f t="shared" si="23"/>
        <v>#N/A</v>
      </c>
      <c r="F168" t="e">
        <f t="shared" si="24"/>
        <v>#N/A</v>
      </c>
      <c r="G168" t="e">
        <f t="shared" si="25"/>
        <v>#N/A</v>
      </c>
      <c r="H168" t="e">
        <f t="shared" si="26"/>
        <v>#N/A</v>
      </c>
      <c r="I168" t="e">
        <f t="shared" si="27"/>
        <v>#N/A</v>
      </c>
      <c r="J168" t="e">
        <f t="shared" si="28"/>
        <v>#N/A</v>
      </c>
      <c r="K168">
        <f t="shared" si="29"/>
        <v>6.045733013410507E-4</v>
      </c>
      <c r="L168" t="e">
        <f>IF(AND(ABS((ChartCalculations!A168-Calculations!$F$3)/Calculations!$F$4)&lt;5,OR(A168&lt;=Calculations!$F$7,A168&gt;=Calculations!$F$8)),0.2*_xlfn.NORM.DIST(100,100,15,FALSE)*_xlfn.NORM.DIST(A168,Calculations!$F$3,Calculations!$F$4,FALSE)/_xlfn.NORM.DIST(Calculations!$F$3,Calculations!$F$3,Calculations!$F$4,FALSE),NA())</f>
        <v>#N/A</v>
      </c>
      <c r="M168" t="e">
        <f>IF(AND(A168&gt;=Calculations!$F$7,A168&lt;=Calculations!$F$8),0.2*_xlfn.NORM.DIST(100,100,15,FALSE)*_xlfn.NORM.DIST(A168,Calculations!$F$3,Calculations!$F$4,FALSE)/_xlfn.NORM.DIST(Calculations!$F$3,Calculations!$F$3,Calculations!$F$4,FALSE),NA())</f>
        <v>#N/A</v>
      </c>
    </row>
    <row r="169" spans="1:13" x14ac:dyDescent="0.25">
      <c r="A169">
        <v>56.700000000000202</v>
      </c>
      <c r="B169">
        <f t="shared" si="20"/>
        <v>4.1244365455854828E-4</v>
      </c>
      <c r="C169" t="e">
        <f t="shared" si="21"/>
        <v>#N/A</v>
      </c>
      <c r="D169" t="e">
        <f t="shared" si="22"/>
        <v>#N/A</v>
      </c>
      <c r="E169" t="e">
        <f t="shared" si="23"/>
        <v>#N/A</v>
      </c>
      <c r="F169" t="e">
        <f t="shared" si="24"/>
        <v>#N/A</v>
      </c>
      <c r="G169" t="e">
        <f t="shared" si="25"/>
        <v>#N/A</v>
      </c>
      <c r="H169" t="e">
        <f t="shared" si="26"/>
        <v>#N/A</v>
      </c>
      <c r="I169" t="e">
        <f t="shared" si="27"/>
        <v>#N/A</v>
      </c>
      <c r="J169" t="e">
        <f t="shared" si="28"/>
        <v>#N/A</v>
      </c>
      <c r="K169">
        <f t="shared" si="29"/>
        <v>6.1244365455854826E-4</v>
      </c>
      <c r="L169" t="e">
        <f>IF(AND(ABS((ChartCalculations!A169-Calculations!$F$3)/Calculations!$F$4)&lt;5,OR(A169&lt;=Calculations!$F$7,A169&gt;=Calculations!$F$8)),0.2*_xlfn.NORM.DIST(100,100,15,FALSE)*_xlfn.NORM.DIST(A169,Calculations!$F$3,Calculations!$F$4,FALSE)/_xlfn.NORM.DIST(Calculations!$F$3,Calculations!$F$3,Calculations!$F$4,FALSE),NA())</f>
        <v>#N/A</v>
      </c>
      <c r="M169" t="e">
        <f>IF(AND(A169&gt;=Calculations!$F$7,A169&lt;=Calculations!$F$8),0.2*_xlfn.NORM.DIST(100,100,15,FALSE)*_xlfn.NORM.DIST(A169,Calculations!$F$3,Calculations!$F$4,FALSE)/_xlfn.NORM.DIST(Calculations!$F$3,Calculations!$F$3,Calculations!$F$4,FALSE),NA())</f>
        <v>#N/A</v>
      </c>
    </row>
    <row r="170" spans="1:13" x14ac:dyDescent="0.25">
      <c r="A170">
        <v>56.800000000000203</v>
      </c>
      <c r="B170">
        <f t="shared" si="20"/>
        <v>4.2044842641774456E-4</v>
      </c>
      <c r="C170" t="e">
        <f t="shared" si="21"/>
        <v>#N/A</v>
      </c>
      <c r="D170" t="e">
        <f t="shared" si="22"/>
        <v>#N/A</v>
      </c>
      <c r="E170" t="e">
        <f t="shared" si="23"/>
        <v>#N/A</v>
      </c>
      <c r="F170" t="e">
        <f t="shared" si="24"/>
        <v>#N/A</v>
      </c>
      <c r="G170" t="e">
        <f t="shared" si="25"/>
        <v>#N/A</v>
      </c>
      <c r="H170" t="e">
        <f t="shared" si="26"/>
        <v>#N/A</v>
      </c>
      <c r="I170" t="e">
        <f t="shared" si="27"/>
        <v>#N/A</v>
      </c>
      <c r="J170" t="e">
        <f t="shared" si="28"/>
        <v>#N/A</v>
      </c>
      <c r="K170">
        <f t="shared" si="29"/>
        <v>6.2044842641774455E-4</v>
      </c>
      <c r="L170" t="e">
        <f>IF(AND(ABS((ChartCalculations!A170-Calculations!$F$3)/Calculations!$F$4)&lt;5,OR(A170&lt;=Calculations!$F$7,A170&gt;=Calculations!$F$8)),0.2*_xlfn.NORM.DIST(100,100,15,FALSE)*_xlfn.NORM.DIST(A170,Calculations!$F$3,Calculations!$F$4,FALSE)/_xlfn.NORM.DIST(Calculations!$F$3,Calculations!$F$3,Calculations!$F$4,FALSE),NA())</f>
        <v>#N/A</v>
      </c>
      <c r="M170" t="e">
        <f>IF(AND(A170&gt;=Calculations!$F$7,A170&lt;=Calculations!$F$8),0.2*_xlfn.NORM.DIST(100,100,15,FALSE)*_xlfn.NORM.DIST(A170,Calculations!$F$3,Calculations!$F$4,FALSE)/_xlfn.NORM.DIST(Calculations!$F$3,Calculations!$F$3,Calculations!$F$4,FALSE),NA())</f>
        <v>#N/A</v>
      </c>
    </row>
    <row r="171" spans="1:13" x14ac:dyDescent="0.25">
      <c r="A171">
        <v>56.900000000000198</v>
      </c>
      <c r="B171">
        <f t="shared" si="20"/>
        <v>4.2858950731284944E-4</v>
      </c>
      <c r="C171" t="e">
        <f t="shared" si="21"/>
        <v>#N/A</v>
      </c>
      <c r="D171" t="e">
        <f t="shared" si="22"/>
        <v>#N/A</v>
      </c>
      <c r="E171" t="e">
        <f t="shared" si="23"/>
        <v>#N/A</v>
      </c>
      <c r="F171" t="e">
        <f t="shared" si="24"/>
        <v>#N/A</v>
      </c>
      <c r="G171" t="e">
        <f t="shared" si="25"/>
        <v>#N/A</v>
      </c>
      <c r="H171" t="e">
        <f t="shared" si="26"/>
        <v>#N/A</v>
      </c>
      <c r="I171" t="e">
        <f t="shared" si="27"/>
        <v>#N/A</v>
      </c>
      <c r="J171" t="e">
        <f t="shared" si="28"/>
        <v>#N/A</v>
      </c>
      <c r="K171">
        <f t="shared" si="29"/>
        <v>6.2858950731284943E-4</v>
      </c>
      <c r="L171" t="e">
        <f>IF(AND(ABS((ChartCalculations!A171-Calculations!$F$3)/Calculations!$F$4)&lt;5,OR(A171&lt;=Calculations!$F$7,A171&gt;=Calculations!$F$8)),0.2*_xlfn.NORM.DIST(100,100,15,FALSE)*_xlfn.NORM.DIST(A171,Calculations!$F$3,Calculations!$F$4,FALSE)/_xlfn.NORM.DIST(Calculations!$F$3,Calculations!$F$3,Calculations!$F$4,FALSE),NA())</f>
        <v>#N/A</v>
      </c>
      <c r="M171" t="e">
        <f>IF(AND(A171&gt;=Calculations!$F$7,A171&lt;=Calculations!$F$8),0.2*_xlfn.NORM.DIST(100,100,15,FALSE)*_xlfn.NORM.DIST(A171,Calculations!$F$3,Calculations!$F$4,FALSE)/_xlfn.NORM.DIST(Calculations!$F$3,Calculations!$F$3,Calculations!$F$4,FALSE),NA())</f>
        <v>#N/A</v>
      </c>
    </row>
    <row r="172" spans="1:13" x14ac:dyDescent="0.25">
      <c r="A172">
        <v>57.000000000000199</v>
      </c>
      <c r="B172">
        <f t="shared" si="20"/>
        <v>4.3686880593425144E-4</v>
      </c>
      <c r="C172" t="e">
        <f t="shared" si="21"/>
        <v>#N/A</v>
      </c>
      <c r="D172" t="e">
        <f t="shared" si="22"/>
        <v>#N/A</v>
      </c>
      <c r="E172" t="e">
        <f t="shared" si="23"/>
        <v>#N/A</v>
      </c>
      <c r="F172" t="e">
        <f t="shared" si="24"/>
        <v>#N/A</v>
      </c>
      <c r="G172" t="e">
        <f t="shared" si="25"/>
        <v>#N/A</v>
      </c>
      <c r="H172" t="e">
        <f t="shared" si="26"/>
        <v>#N/A</v>
      </c>
      <c r="I172" t="e">
        <f t="shared" si="27"/>
        <v>#N/A</v>
      </c>
      <c r="J172" t="e">
        <f t="shared" si="28"/>
        <v>#N/A</v>
      </c>
      <c r="K172">
        <f t="shared" si="29"/>
        <v>6.3686880593425148E-4</v>
      </c>
      <c r="L172" t="e">
        <f>IF(AND(ABS((ChartCalculations!A172-Calculations!$F$3)/Calculations!$F$4)&lt;5,OR(A172&lt;=Calculations!$F$7,A172&gt;=Calculations!$F$8)),0.2*_xlfn.NORM.DIST(100,100,15,FALSE)*_xlfn.NORM.DIST(A172,Calculations!$F$3,Calculations!$F$4,FALSE)/_xlfn.NORM.DIST(Calculations!$F$3,Calculations!$F$3,Calculations!$F$4,FALSE),NA())</f>
        <v>#N/A</v>
      </c>
      <c r="M172" t="e">
        <f>IF(AND(A172&gt;=Calculations!$F$7,A172&lt;=Calculations!$F$8),0.2*_xlfn.NORM.DIST(100,100,15,FALSE)*_xlfn.NORM.DIST(A172,Calculations!$F$3,Calculations!$F$4,FALSE)/_xlfn.NORM.DIST(Calculations!$F$3,Calculations!$F$3,Calculations!$F$4,FALSE),NA())</f>
        <v>#N/A</v>
      </c>
    </row>
    <row r="173" spans="1:13" x14ac:dyDescent="0.25">
      <c r="A173">
        <v>57.1000000000002</v>
      </c>
      <c r="B173">
        <f t="shared" si="20"/>
        <v>4.4528824928019171E-4</v>
      </c>
      <c r="C173" t="e">
        <f t="shared" si="21"/>
        <v>#N/A</v>
      </c>
      <c r="D173" t="e">
        <f t="shared" si="22"/>
        <v>#N/A</v>
      </c>
      <c r="E173" t="e">
        <f t="shared" si="23"/>
        <v>#N/A</v>
      </c>
      <c r="F173" t="e">
        <f t="shared" si="24"/>
        <v>#N/A</v>
      </c>
      <c r="G173" t="e">
        <f t="shared" si="25"/>
        <v>#N/A</v>
      </c>
      <c r="H173" t="e">
        <f t="shared" si="26"/>
        <v>#N/A</v>
      </c>
      <c r="I173" t="e">
        <f t="shared" si="27"/>
        <v>#N/A</v>
      </c>
      <c r="J173" t="e">
        <f t="shared" si="28"/>
        <v>#N/A</v>
      </c>
      <c r="K173">
        <f t="shared" si="29"/>
        <v>6.452882492801917E-4</v>
      </c>
      <c r="L173" t="e">
        <f>IF(AND(ABS((ChartCalculations!A173-Calculations!$F$3)/Calculations!$F$4)&lt;5,OR(A173&lt;=Calculations!$F$7,A173&gt;=Calculations!$F$8)),0.2*_xlfn.NORM.DIST(100,100,15,FALSE)*_xlfn.NORM.DIST(A173,Calculations!$F$3,Calculations!$F$4,FALSE)/_xlfn.NORM.DIST(Calculations!$F$3,Calculations!$F$3,Calculations!$F$4,FALSE),NA())</f>
        <v>#N/A</v>
      </c>
      <c r="M173" t="e">
        <f>IF(AND(A173&gt;=Calculations!$F$7,A173&lt;=Calculations!$F$8),0.2*_xlfn.NORM.DIST(100,100,15,FALSE)*_xlfn.NORM.DIST(A173,Calculations!$F$3,Calculations!$F$4,FALSE)/_xlfn.NORM.DIST(Calculations!$F$3,Calculations!$F$3,Calculations!$F$4,FALSE),NA())</f>
        <v>#N/A</v>
      </c>
    </row>
    <row r="174" spans="1:13" x14ac:dyDescent="0.25">
      <c r="A174">
        <v>57.200000000000202</v>
      </c>
      <c r="B174">
        <f t="shared" si="20"/>
        <v>4.5384978266455695E-4</v>
      </c>
      <c r="C174" t="e">
        <f t="shared" si="21"/>
        <v>#N/A</v>
      </c>
      <c r="D174" t="e">
        <f t="shared" si="22"/>
        <v>#N/A</v>
      </c>
      <c r="E174" t="e">
        <f t="shared" si="23"/>
        <v>#N/A</v>
      </c>
      <c r="F174" t="e">
        <f t="shared" si="24"/>
        <v>#N/A</v>
      </c>
      <c r="G174" t="e">
        <f t="shared" si="25"/>
        <v>#N/A</v>
      </c>
      <c r="H174" t="e">
        <f t="shared" si="26"/>
        <v>#N/A</v>
      </c>
      <c r="I174" t="e">
        <f t="shared" si="27"/>
        <v>#N/A</v>
      </c>
      <c r="J174" t="e">
        <f t="shared" si="28"/>
        <v>#N/A</v>
      </c>
      <c r="K174">
        <f t="shared" si="29"/>
        <v>6.5384978266455694E-4</v>
      </c>
      <c r="L174" t="e">
        <f>IF(AND(ABS((ChartCalculations!A174-Calculations!$F$3)/Calculations!$F$4)&lt;5,OR(A174&lt;=Calculations!$F$7,A174&gt;=Calculations!$F$8)),0.2*_xlfn.NORM.DIST(100,100,15,FALSE)*_xlfn.NORM.DIST(A174,Calculations!$F$3,Calculations!$F$4,FALSE)/_xlfn.NORM.DIST(Calculations!$F$3,Calculations!$F$3,Calculations!$F$4,FALSE),NA())</f>
        <v>#N/A</v>
      </c>
      <c r="M174" t="e">
        <f>IF(AND(A174&gt;=Calculations!$F$7,A174&lt;=Calculations!$F$8),0.2*_xlfn.NORM.DIST(100,100,15,FALSE)*_xlfn.NORM.DIST(A174,Calculations!$F$3,Calculations!$F$4,FALSE)/_xlfn.NORM.DIST(Calculations!$F$3,Calculations!$F$3,Calculations!$F$4,FALSE),NA())</f>
        <v>#N/A</v>
      </c>
    </row>
    <row r="175" spans="1:13" x14ac:dyDescent="0.25">
      <c r="A175">
        <v>57.300000000000203</v>
      </c>
      <c r="B175">
        <f t="shared" si="20"/>
        <v>4.625553697207156E-4</v>
      </c>
      <c r="C175" t="e">
        <f t="shared" si="21"/>
        <v>#N/A</v>
      </c>
      <c r="D175" t="e">
        <f t="shared" si="22"/>
        <v>#N/A</v>
      </c>
      <c r="E175" t="e">
        <f t="shared" si="23"/>
        <v>#N/A</v>
      </c>
      <c r="F175" t="e">
        <f t="shared" si="24"/>
        <v>#N/A</v>
      </c>
      <c r="G175" t="e">
        <f t="shared" si="25"/>
        <v>#N/A</v>
      </c>
      <c r="H175" t="e">
        <f t="shared" si="26"/>
        <v>#N/A</v>
      </c>
      <c r="I175" t="e">
        <f t="shared" si="27"/>
        <v>#N/A</v>
      </c>
      <c r="J175" t="e">
        <f t="shared" si="28"/>
        <v>#N/A</v>
      </c>
      <c r="K175">
        <f t="shared" si="29"/>
        <v>6.6255536972071563E-4</v>
      </c>
      <c r="L175" t="e">
        <f>IF(AND(ABS((ChartCalculations!A175-Calculations!$F$3)/Calculations!$F$4)&lt;5,OR(A175&lt;=Calculations!$F$7,A175&gt;=Calculations!$F$8)),0.2*_xlfn.NORM.DIST(100,100,15,FALSE)*_xlfn.NORM.DIST(A175,Calculations!$F$3,Calculations!$F$4,FALSE)/_xlfn.NORM.DIST(Calculations!$F$3,Calculations!$F$3,Calculations!$F$4,FALSE),NA())</f>
        <v>#N/A</v>
      </c>
      <c r="M175" t="e">
        <f>IF(AND(A175&gt;=Calculations!$F$7,A175&lt;=Calculations!$F$8),0.2*_xlfn.NORM.DIST(100,100,15,FALSE)*_xlfn.NORM.DIST(A175,Calculations!$F$3,Calculations!$F$4,FALSE)/_xlfn.NORM.DIST(Calculations!$F$3,Calculations!$F$3,Calculations!$F$4,FALSE),NA())</f>
        <v>#N/A</v>
      </c>
    </row>
    <row r="176" spans="1:13" x14ac:dyDescent="0.25">
      <c r="A176">
        <v>57.400000000000198</v>
      </c>
      <c r="B176">
        <f t="shared" si="20"/>
        <v>4.7140699240131424E-4</v>
      </c>
      <c r="C176" t="e">
        <f t="shared" si="21"/>
        <v>#N/A</v>
      </c>
      <c r="D176" t="e">
        <f t="shared" si="22"/>
        <v>#N/A</v>
      </c>
      <c r="E176" t="e">
        <f t="shared" si="23"/>
        <v>#N/A</v>
      </c>
      <c r="F176" t="e">
        <f t="shared" si="24"/>
        <v>#N/A</v>
      </c>
      <c r="G176" t="e">
        <f t="shared" si="25"/>
        <v>#N/A</v>
      </c>
      <c r="H176" t="e">
        <f t="shared" si="26"/>
        <v>#N/A</v>
      </c>
      <c r="I176" t="e">
        <f t="shared" si="27"/>
        <v>#N/A</v>
      </c>
      <c r="J176" t="e">
        <f t="shared" si="28"/>
        <v>#N/A</v>
      </c>
      <c r="K176">
        <f t="shared" si="29"/>
        <v>6.7140699240131427E-4</v>
      </c>
      <c r="L176" t="e">
        <f>IF(AND(ABS((ChartCalculations!A176-Calculations!$F$3)/Calculations!$F$4)&lt;5,OR(A176&lt;=Calculations!$F$7,A176&gt;=Calculations!$F$8)),0.2*_xlfn.NORM.DIST(100,100,15,FALSE)*_xlfn.NORM.DIST(A176,Calculations!$F$3,Calculations!$F$4,FALSE)/_xlfn.NORM.DIST(Calculations!$F$3,Calculations!$F$3,Calculations!$F$4,FALSE),NA())</f>
        <v>#N/A</v>
      </c>
      <c r="M176" t="e">
        <f>IF(AND(A176&gt;=Calculations!$F$7,A176&lt;=Calculations!$F$8),0.2*_xlfn.NORM.DIST(100,100,15,FALSE)*_xlfn.NORM.DIST(A176,Calculations!$F$3,Calculations!$F$4,FALSE)/_xlfn.NORM.DIST(Calculations!$F$3,Calculations!$F$3,Calculations!$F$4,FALSE),NA())</f>
        <v>#N/A</v>
      </c>
    </row>
    <row r="177" spans="1:13" x14ac:dyDescent="0.25">
      <c r="A177">
        <v>57.500000000000199</v>
      </c>
      <c r="B177">
        <f t="shared" si="20"/>
        <v>4.8040665097396609E-4</v>
      </c>
      <c r="C177" t="e">
        <f t="shared" si="21"/>
        <v>#N/A</v>
      </c>
      <c r="D177" t="e">
        <f t="shared" si="22"/>
        <v>#N/A</v>
      </c>
      <c r="E177" t="e">
        <f t="shared" si="23"/>
        <v>#N/A</v>
      </c>
      <c r="F177" t="e">
        <f t="shared" si="24"/>
        <v>#N/A</v>
      </c>
      <c r="G177" t="e">
        <f t="shared" si="25"/>
        <v>#N/A</v>
      </c>
      <c r="H177" t="e">
        <f t="shared" si="26"/>
        <v>#N/A</v>
      </c>
      <c r="I177" t="e">
        <f t="shared" si="27"/>
        <v>#N/A</v>
      </c>
      <c r="J177" t="e">
        <f t="shared" si="28"/>
        <v>#N/A</v>
      </c>
      <c r="K177">
        <f t="shared" si="29"/>
        <v>6.8040665097396607E-4</v>
      </c>
      <c r="L177" t="e">
        <f>IF(AND(ABS((ChartCalculations!A177-Calculations!$F$3)/Calculations!$F$4)&lt;5,OR(A177&lt;=Calculations!$F$7,A177&gt;=Calculations!$F$8)),0.2*_xlfn.NORM.DIST(100,100,15,FALSE)*_xlfn.NORM.DIST(A177,Calculations!$F$3,Calculations!$F$4,FALSE)/_xlfn.NORM.DIST(Calculations!$F$3,Calculations!$F$3,Calculations!$F$4,FALSE),NA())</f>
        <v>#N/A</v>
      </c>
      <c r="M177" t="e">
        <f>IF(AND(A177&gt;=Calculations!$F$7,A177&lt;=Calculations!$F$8),0.2*_xlfn.NORM.DIST(100,100,15,FALSE)*_xlfn.NORM.DIST(A177,Calculations!$F$3,Calculations!$F$4,FALSE)/_xlfn.NORM.DIST(Calculations!$F$3,Calculations!$F$3,Calculations!$F$4,FALSE),NA())</f>
        <v>#N/A</v>
      </c>
    </row>
    <row r="178" spans="1:13" x14ac:dyDescent="0.25">
      <c r="A178">
        <v>57.6000000000003</v>
      </c>
      <c r="B178">
        <f t="shared" si="20"/>
        <v>4.8955636401275021E-4</v>
      </c>
      <c r="C178" t="e">
        <f t="shared" si="21"/>
        <v>#N/A</v>
      </c>
      <c r="D178" t="e">
        <f t="shared" si="22"/>
        <v>#N/A</v>
      </c>
      <c r="E178" t="e">
        <f t="shared" si="23"/>
        <v>#N/A</v>
      </c>
      <c r="F178" t="e">
        <f t="shared" si="24"/>
        <v>#N/A</v>
      </c>
      <c r="G178" t="e">
        <f t="shared" si="25"/>
        <v>#N/A</v>
      </c>
      <c r="H178" t="e">
        <f t="shared" si="26"/>
        <v>#N/A</v>
      </c>
      <c r="I178" t="e">
        <f t="shared" si="27"/>
        <v>#N/A</v>
      </c>
      <c r="J178" t="e">
        <f t="shared" si="28"/>
        <v>#N/A</v>
      </c>
      <c r="K178">
        <f t="shared" si="29"/>
        <v>6.895563640127502E-4</v>
      </c>
      <c r="L178" t="e">
        <f>IF(AND(ABS((ChartCalculations!A178-Calculations!$F$3)/Calculations!$F$4)&lt;5,OR(A178&lt;=Calculations!$F$7,A178&gt;=Calculations!$F$8)),0.2*_xlfn.NORM.DIST(100,100,15,FALSE)*_xlfn.NORM.DIST(A178,Calculations!$F$3,Calculations!$F$4,FALSE)/_xlfn.NORM.DIST(Calculations!$F$3,Calculations!$F$3,Calculations!$F$4,FALSE),NA())</f>
        <v>#N/A</v>
      </c>
      <c r="M178" t="e">
        <f>IF(AND(A178&gt;=Calculations!$F$7,A178&lt;=Calculations!$F$8),0.2*_xlfn.NORM.DIST(100,100,15,FALSE)*_xlfn.NORM.DIST(A178,Calculations!$F$3,Calculations!$F$4,FALSE)/_xlfn.NORM.DIST(Calculations!$F$3,Calculations!$F$3,Calculations!$F$4,FALSE),NA())</f>
        <v>#N/A</v>
      </c>
    </row>
    <row r="179" spans="1:13" x14ac:dyDescent="0.25">
      <c r="A179">
        <v>57.700000000000301</v>
      </c>
      <c r="B179">
        <f t="shared" si="20"/>
        <v>4.9885816838539908E-4</v>
      </c>
      <c r="C179" t="e">
        <f t="shared" si="21"/>
        <v>#N/A</v>
      </c>
      <c r="D179" t="e">
        <f t="shared" si="22"/>
        <v>#N/A</v>
      </c>
      <c r="E179" t="e">
        <f t="shared" si="23"/>
        <v>#N/A</v>
      </c>
      <c r="F179" t="e">
        <f t="shared" si="24"/>
        <v>#N/A</v>
      </c>
      <c r="G179" t="e">
        <f t="shared" si="25"/>
        <v>#N/A</v>
      </c>
      <c r="H179" t="e">
        <f t="shared" si="26"/>
        <v>#N/A</v>
      </c>
      <c r="I179" t="e">
        <f t="shared" si="27"/>
        <v>#N/A</v>
      </c>
      <c r="J179" t="e">
        <f t="shared" si="28"/>
        <v>#N/A</v>
      </c>
      <c r="K179">
        <f t="shared" si="29"/>
        <v>6.9885816838539906E-4</v>
      </c>
      <c r="L179" t="e">
        <f>IF(AND(ABS((ChartCalculations!A179-Calculations!$F$3)/Calculations!$F$4)&lt;5,OR(A179&lt;=Calculations!$F$7,A179&gt;=Calculations!$F$8)),0.2*_xlfn.NORM.DIST(100,100,15,FALSE)*_xlfn.NORM.DIST(A179,Calculations!$F$3,Calculations!$F$4,FALSE)/_xlfn.NORM.DIST(Calculations!$F$3,Calculations!$F$3,Calculations!$F$4,FALSE),NA())</f>
        <v>#N/A</v>
      </c>
      <c r="M179" t="e">
        <f>IF(AND(A179&gt;=Calculations!$F$7,A179&lt;=Calculations!$F$8),0.2*_xlfn.NORM.DIST(100,100,15,FALSE)*_xlfn.NORM.DIST(A179,Calculations!$F$3,Calculations!$F$4,FALSE)/_xlfn.NORM.DIST(Calculations!$F$3,Calculations!$F$3,Calculations!$F$4,FALSE),NA())</f>
        <v>#N/A</v>
      </c>
    </row>
    <row r="180" spans="1:13" x14ac:dyDescent="0.25">
      <c r="A180">
        <v>57.800000000000303</v>
      </c>
      <c r="B180">
        <f t="shared" si="20"/>
        <v>5.0831411923623227E-4</v>
      </c>
      <c r="C180" t="e">
        <f t="shared" si="21"/>
        <v>#N/A</v>
      </c>
      <c r="D180" t="e">
        <f t="shared" si="22"/>
        <v>#N/A</v>
      </c>
      <c r="E180" t="e">
        <f t="shared" si="23"/>
        <v>#N/A</v>
      </c>
      <c r="F180" t="e">
        <f t="shared" si="24"/>
        <v>#N/A</v>
      </c>
      <c r="G180" t="e">
        <f t="shared" si="25"/>
        <v>#N/A</v>
      </c>
      <c r="H180" t="e">
        <f t="shared" si="26"/>
        <v>#N/A</v>
      </c>
      <c r="I180" t="e">
        <f t="shared" si="27"/>
        <v>#N/A</v>
      </c>
      <c r="J180" t="e">
        <f t="shared" si="28"/>
        <v>#N/A</v>
      </c>
      <c r="K180">
        <f t="shared" si="29"/>
        <v>7.0831411923623225E-4</v>
      </c>
      <c r="L180" t="e">
        <f>IF(AND(ABS((ChartCalculations!A180-Calculations!$F$3)/Calculations!$F$4)&lt;5,OR(A180&lt;=Calculations!$F$7,A180&gt;=Calculations!$F$8)),0.2*_xlfn.NORM.DIST(100,100,15,FALSE)*_xlfn.NORM.DIST(A180,Calculations!$F$3,Calculations!$F$4,FALSE)/_xlfn.NORM.DIST(Calculations!$F$3,Calculations!$F$3,Calculations!$F$4,FALSE),NA())</f>
        <v>#N/A</v>
      </c>
      <c r="M180" t="e">
        <f>IF(AND(A180&gt;=Calculations!$F$7,A180&lt;=Calculations!$F$8),0.2*_xlfn.NORM.DIST(100,100,15,FALSE)*_xlfn.NORM.DIST(A180,Calculations!$F$3,Calculations!$F$4,FALSE)/_xlfn.NORM.DIST(Calculations!$F$3,Calculations!$F$3,Calculations!$F$4,FALSE),NA())</f>
        <v>#N/A</v>
      </c>
    </row>
    <row r="181" spans="1:13" x14ac:dyDescent="0.25">
      <c r="A181">
        <v>57.900000000000297</v>
      </c>
      <c r="B181">
        <f t="shared" si="20"/>
        <v>5.1792628996457063E-4</v>
      </c>
      <c r="C181" t="e">
        <f t="shared" si="21"/>
        <v>#N/A</v>
      </c>
      <c r="D181" t="e">
        <f t="shared" si="22"/>
        <v>#N/A</v>
      </c>
      <c r="E181" t="e">
        <f t="shared" si="23"/>
        <v>#N/A</v>
      </c>
      <c r="F181" t="e">
        <f t="shared" si="24"/>
        <v>#N/A</v>
      </c>
      <c r="G181" t="e">
        <f t="shared" si="25"/>
        <v>#N/A</v>
      </c>
      <c r="H181" t="e">
        <f t="shared" si="26"/>
        <v>#N/A</v>
      </c>
      <c r="I181" t="e">
        <f t="shared" si="27"/>
        <v>#N/A</v>
      </c>
      <c r="J181" t="e">
        <f t="shared" si="28"/>
        <v>#N/A</v>
      </c>
      <c r="K181">
        <f t="shared" si="29"/>
        <v>7.1792628996457061E-4</v>
      </c>
      <c r="L181" t="e">
        <f>IF(AND(ABS((ChartCalculations!A181-Calculations!$F$3)/Calculations!$F$4)&lt;5,OR(A181&lt;=Calculations!$F$7,A181&gt;=Calculations!$F$8)),0.2*_xlfn.NORM.DIST(100,100,15,FALSE)*_xlfn.NORM.DIST(A181,Calculations!$F$3,Calculations!$F$4,FALSE)/_xlfn.NORM.DIST(Calculations!$F$3,Calculations!$F$3,Calculations!$F$4,FALSE),NA())</f>
        <v>#N/A</v>
      </c>
      <c r="M181" t="e">
        <f>IF(AND(A181&gt;=Calculations!$F$7,A181&lt;=Calculations!$F$8),0.2*_xlfn.NORM.DIST(100,100,15,FALSE)*_xlfn.NORM.DIST(A181,Calculations!$F$3,Calculations!$F$4,FALSE)/_xlfn.NORM.DIST(Calculations!$F$3,Calculations!$F$3,Calculations!$F$4,FALSE),NA())</f>
        <v>#N/A</v>
      </c>
    </row>
    <row r="182" spans="1:13" x14ac:dyDescent="0.25">
      <c r="A182">
        <v>58.000000000000298</v>
      </c>
      <c r="B182">
        <f t="shared" si="20"/>
        <v>5.2769677219869336E-4</v>
      </c>
      <c r="C182" t="e">
        <f t="shared" si="21"/>
        <v>#N/A</v>
      </c>
      <c r="D182" t="e">
        <f t="shared" si="22"/>
        <v>#N/A</v>
      </c>
      <c r="E182" t="e">
        <f t="shared" si="23"/>
        <v>#N/A</v>
      </c>
      <c r="F182" t="e">
        <f t="shared" si="24"/>
        <v>#N/A</v>
      </c>
      <c r="G182" t="e">
        <f t="shared" si="25"/>
        <v>#N/A</v>
      </c>
      <c r="H182" t="e">
        <f t="shared" si="26"/>
        <v>#N/A</v>
      </c>
      <c r="I182" t="e">
        <f t="shared" si="27"/>
        <v>#N/A</v>
      </c>
      <c r="J182" t="e">
        <f t="shared" si="28"/>
        <v>#N/A</v>
      </c>
      <c r="K182">
        <f t="shared" si="29"/>
        <v>7.2769677219869334E-4</v>
      </c>
      <c r="L182" t="e">
        <f>IF(AND(ABS((ChartCalculations!A182-Calculations!$F$3)/Calculations!$F$4)&lt;5,OR(A182&lt;=Calculations!$F$7,A182&gt;=Calculations!$F$8)),0.2*_xlfn.NORM.DIST(100,100,15,FALSE)*_xlfn.NORM.DIST(A182,Calculations!$F$3,Calculations!$F$4,FALSE)/_xlfn.NORM.DIST(Calculations!$F$3,Calculations!$F$3,Calculations!$F$4,FALSE),NA())</f>
        <v>#N/A</v>
      </c>
      <c r="M182" t="e">
        <f>IF(AND(A182&gt;=Calculations!$F$7,A182&lt;=Calculations!$F$8),0.2*_xlfn.NORM.DIST(100,100,15,FALSE)*_xlfn.NORM.DIST(A182,Calculations!$F$3,Calculations!$F$4,FALSE)/_xlfn.NORM.DIST(Calculations!$F$3,Calculations!$F$3,Calculations!$F$4,FALSE),NA())</f>
        <v>#N/A</v>
      </c>
    </row>
    <row r="183" spans="1:13" x14ac:dyDescent="0.25">
      <c r="A183">
        <v>58.1000000000003</v>
      </c>
      <c r="B183">
        <f t="shared" si="20"/>
        <v>5.376276757652035E-4</v>
      </c>
      <c r="C183" t="e">
        <f t="shared" si="21"/>
        <v>#N/A</v>
      </c>
      <c r="D183" t="e">
        <f t="shared" si="22"/>
        <v>#N/A</v>
      </c>
      <c r="E183" t="e">
        <f t="shared" si="23"/>
        <v>#N/A</v>
      </c>
      <c r="F183" t="e">
        <f t="shared" si="24"/>
        <v>#N/A</v>
      </c>
      <c r="G183" t="e">
        <f t="shared" si="25"/>
        <v>#N/A</v>
      </c>
      <c r="H183" t="e">
        <f t="shared" si="26"/>
        <v>#N/A</v>
      </c>
      <c r="I183" t="e">
        <f t="shared" si="27"/>
        <v>#N/A</v>
      </c>
      <c r="J183" t="e">
        <f t="shared" si="28"/>
        <v>#N/A</v>
      </c>
      <c r="K183">
        <f t="shared" si="29"/>
        <v>7.3762767576520348E-4</v>
      </c>
      <c r="L183" t="e">
        <f>IF(AND(ABS((ChartCalculations!A183-Calculations!$F$3)/Calculations!$F$4)&lt;5,OR(A183&lt;=Calculations!$F$7,A183&gt;=Calculations!$F$8)),0.2*_xlfn.NORM.DIST(100,100,15,FALSE)*_xlfn.NORM.DIST(A183,Calculations!$F$3,Calculations!$F$4,FALSE)/_xlfn.NORM.DIST(Calculations!$F$3,Calculations!$F$3,Calculations!$F$4,FALSE),NA())</f>
        <v>#N/A</v>
      </c>
      <c r="M183" t="e">
        <f>IF(AND(A183&gt;=Calculations!$F$7,A183&lt;=Calculations!$F$8),0.2*_xlfn.NORM.DIST(100,100,15,FALSE)*_xlfn.NORM.DIST(A183,Calculations!$F$3,Calculations!$F$4,FALSE)/_xlfn.NORM.DIST(Calculations!$F$3,Calculations!$F$3,Calculations!$F$4,FALSE),NA())</f>
        <v>#N/A</v>
      </c>
    </row>
    <row r="184" spans="1:13" x14ac:dyDescent="0.25">
      <c r="A184">
        <v>58.200000000000301</v>
      </c>
      <c r="B184">
        <f t="shared" si="20"/>
        <v>5.4772112865373093E-4</v>
      </c>
      <c r="C184" t="e">
        <f t="shared" si="21"/>
        <v>#N/A</v>
      </c>
      <c r="D184" t="e">
        <f t="shared" si="22"/>
        <v>#N/A</v>
      </c>
      <c r="E184" t="e">
        <f t="shared" si="23"/>
        <v>#N/A</v>
      </c>
      <c r="F184" t="e">
        <f t="shared" si="24"/>
        <v>#N/A</v>
      </c>
      <c r="G184" t="e">
        <f t="shared" si="25"/>
        <v>#N/A</v>
      </c>
      <c r="H184" t="e">
        <f t="shared" si="26"/>
        <v>#N/A</v>
      </c>
      <c r="I184" t="e">
        <f t="shared" si="27"/>
        <v>#N/A</v>
      </c>
      <c r="J184" t="e">
        <f t="shared" si="28"/>
        <v>#N/A</v>
      </c>
      <c r="K184">
        <f t="shared" si="29"/>
        <v>7.4772112865373092E-4</v>
      </c>
      <c r="L184" t="e">
        <f>IF(AND(ABS((ChartCalculations!A184-Calculations!$F$3)/Calculations!$F$4)&lt;5,OR(A184&lt;=Calculations!$F$7,A184&gt;=Calculations!$F$8)),0.2*_xlfn.NORM.DIST(100,100,15,FALSE)*_xlfn.NORM.DIST(A184,Calculations!$F$3,Calculations!$F$4,FALSE)/_xlfn.NORM.DIST(Calculations!$F$3,Calculations!$F$3,Calculations!$F$4,FALSE),NA())</f>
        <v>#N/A</v>
      </c>
      <c r="M184" t="e">
        <f>IF(AND(A184&gt;=Calculations!$F$7,A184&lt;=Calculations!$F$8),0.2*_xlfn.NORM.DIST(100,100,15,FALSE)*_xlfn.NORM.DIST(A184,Calculations!$F$3,Calculations!$F$4,FALSE)/_xlfn.NORM.DIST(Calculations!$F$3,Calculations!$F$3,Calculations!$F$4,FALSE),NA())</f>
        <v>#N/A</v>
      </c>
    </row>
    <row r="185" spans="1:13" x14ac:dyDescent="0.25">
      <c r="A185">
        <v>58.300000000000303</v>
      </c>
      <c r="B185">
        <f t="shared" si="20"/>
        <v>5.5797927697689986E-4</v>
      </c>
      <c r="C185" t="e">
        <f t="shared" si="21"/>
        <v>#N/A</v>
      </c>
      <c r="D185" t="e">
        <f t="shared" si="22"/>
        <v>#N/A</v>
      </c>
      <c r="E185" t="e">
        <f t="shared" si="23"/>
        <v>#N/A</v>
      </c>
      <c r="F185" t="e">
        <f t="shared" si="24"/>
        <v>#N/A</v>
      </c>
      <c r="G185" t="e">
        <f t="shared" si="25"/>
        <v>#N/A</v>
      </c>
      <c r="H185" t="e">
        <f t="shared" si="26"/>
        <v>#N/A</v>
      </c>
      <c r="I185" t="e">
        <f t="shared" si="27"/>
        <v>#N/A</v>
      </c>
      <c r="J185" t="e">
        <f t="shared" si="28"/>
        <v>#N/A</v>
      </c>
      <c r="K185">
        <f t="shared" si="29"/>
        <v>7.5797927697689985E-4</v>
      </c>
      <c r="L185" t="e">
        <f>IF(AND(ABS((ChartCalculations!A185-Calculations!$F$3)/Calculations!$F$4)&lt;5,OR(A185&lt;=Calculations!$F$7,A185&gt;=Calculations!$F$8)),0.2*_xlfn.NORM.DIST(100,100,15,FALSE)*_xlfn.NORM.DIST(A185,Calculations!$F$3,Calculations!$F$4,FALSE)/_xlfn.NORM.DIST(Calculations!$F$3,Calculations!$F$3,Calculations!$F$4,FALSE),NA())</f>
        <v>#N/A</v>
      </c>
      <c r="M185" t="e">
        <f>IF(AND(A185&gt;=Calculations!$F$7,A185&lt;=Calculations!$F$8),0.2*_xlfn.NORM.DIST(100,100,15,FALSE)*_xlfn.NORM.DIST(A185,Calculations!$F$3,Calculations!$F$4,FALSE)/_xlfn.NORM.DIST(Calculations!$F$3,Calculations!$F$3,Calculations!$F$4,FALSE),NA())</f>
        <v>#N/A</v>
      </c>
    </row>
    <row r="186" spans="1:13" x14ac:dyDescent="0.25">
      <c r="A186">
        <v>58.400000000000297</v>
      </c>
      <c r="B186">
        <f t="shared" si="20"/>
        <v>5.6840428492547699E-4</v>
      </c>
      <c r="C186" t="e">
        <f t="shared" si="21"/>
        <v>#N/A</v>
      </c>
      <c r="D186" t="e">
        <f t="shared" si="22"/>
        <v>#N/A</v>
      </c>
      <c r="E186" t="e">
        <f t="shared" si="23"/>
        <v>#N/A</v>
      </c>
      <c r="F186" t="e">
        <f t="shared" si="24"/>
        <v>#N/A</v>
      </c>
      <c r="G186" t="e">
        <f t="shared" si="25"/>
        <v>#N/A</v>
      </c>
      <c r="H186" t="e">
        <f t="shared" si="26"/>
        <v>#N/A</v>
      </c>
      <c r="I186" t="e">
        <f t="shared" si="27"/>
        <v>#N/A</v>
      </c>
      <c r="J186" t="e">
        <f t="shared" si="28"/>
        <v>#N/A</v>
      </c>
      <c r="K186">
        <f t="shared" si="29"/>
        <v>7.6840428492547697E-4</v>
      </c>
      <c r="L186" t="e">
        <f>IF(AND(ABS((ChartCalculations!A186-Calculations!$F$3)/Calculations!$F$4)&lt;5,OR(A186&lt;=Calculations!$F$7,A186&gt;=Calculations!$F$8)),0.2*_xlfn.NORM.DIST(100,100,15,FALSE)*_xlfn.NORM.DIST(A186,Calculations!$F$3,Calculations!$F$4,FALSE)/_xlfn.NORM.DIST(Calculations!$F$3,Calculations!$F$3,Calculations!$F$4,FALSE),NA())</f>
        <v>#N/A</v>
      </c>
      <c r="M186" t="e">
        <f>IF(AND(A186&gt;=Calculations!$F$7,A186&lt;=Calculations!$F$8),0.2*_xlfn.NORM.DIST(100,100,15,FALSE)*_xlfn.NORM.DIST(A186,Calculations!$F$3,Calculations!$F$4,FALSE)/_xlfn.NORM.DIST(Calculations!$F$3,Calculations!$F$3,Calculations!$F$4,FALSE),NA())</f>
        <v>#N/A</v>
      </c>
    </row>
    <row r="187" spans="1:13" x14ac:dyDescent="0.25">
      <c r="A187">
        <v>58.500000000000298</v>
      </c>
      <c r="B187">
        <f t="shared" si="20"/>
        <v>5.7899833471862549E-4</v>
      </c>
      <c r="C187" t="e">
        <f t="shared" si="21"/>
        <v>#N/A</v>
      </c>
      <c r="D187" t="e">
        <f t="shared" si="22"/>
        <v>#N/A</v>
      </c>
      <c r="E187" t="e">
        <f t="shared" si="23"/>
        <v>#N/A</v>
      </c>
      <c r="F187" t="e">
        <f t="shared" si="24"/>
        <v>#N/A</v>
      </c>
      <c r="G187" t="e">
        <f t="shared" si="25"/>
        <v>#N/A</v>
      </c>
      <c r="H187" t="e">
        <f t="shared" si="26"/>
        <v>#N/A</v>
      </c>
      <c r="I187" t="e">
        <f t="shared" si="27"/>
        <v>#N/A</v>
      </c>
      <c r="J187" t="e">
        <f t="shared" si="28"/>
        <v>#N/A</v>
      </c>
      <c r="K187">
        <f t="shared" si="29"/>
        <v>7.7899833471862547E-4</v>
      </c>
      <c r="L187" t="e">
        <f>IF(AND(ABS((ChartCalculations!A187-Calculations!$F$3)/Calculations!$F$4)&lt;5,OR(A187&lt;=Calculations!$F$7,A187&gt;=Calculations!$F$8)),0.2*_xlfn.NORM.DIST(100,100,15,FALSE)*_xlfn.NORM.DIST(A187,Calculations!$F$3,Calculations!$F$4,FALSE)/_xlfn.NORM.DIST(Calculations!$F$3,Calculations!$F$3,Calculations!$F$4,FALSE),NA())</f>
        <v>#N/A</v>
      </c>
      <c r="M187" t="e">
        <f>IF(AND(A187&gt;=Calculations!$F$7,A187&lt;=Calculations!$F$8),0.2*_xlfn.NORM.DIST(100,100,15,FALSE)*_xlfn.NORM.DIST(A187,Calculations!$F$3,Calculations!$F$4,FALSE)/_xlfn.NORM.DIST(Calculations!$F$3,Calculations!$F$3,Calculations!$F$4,FALSE),NA())</f>
        <v>#N/A</v>
      </c>
    </row>
    <row r="188" spans="1:13" x14ac:dyDescent="0.25">
      <c r="A188">
        <v>58.6000000000003</v>
      </c>
      <c r="B188">
        <f t="shared" si="20"/>
        <v>5.8976362654918112E-4</v>
      </c>
      <c r="C188" t="e">
        <f t="shared" si="21"/>
        <v>#N/A</v>
      </c>
      <c r="D188" t="e">
        <f t="shared" si="22"/>
        <v>#N/A</v>
      </c>
      <c r="E188" t="e">
        <f t="shared" si="23"/>
        <v>#N/A</v>
      </c>
      <c r="F188" t="e">
        <f t="shared" si="24"/>
        <v>#N/A</v>
      </c>
      <c r="G188" t="e">
        <f t="shared" si="25"/>
        <v>#N/A</v>
      </c>
      <c r="H188" t="e">
        <f t="shared" si="26"/>
        <v>#N/A</v>
      </c>
      <c r="I188" t="e">
        <f t="shared" si="27"/>
        <v>#N/A</v>
      </c>
      <c r="J188" t="e">
        <f t="shared" si="28"/>
        <v>#N/A</v>
      </c>
      <c r="K188">
        <f t="shared" si="29"/>
        <v>7.897636265491811E-4</v>
      </c>
      <c r="L188" t="e">
        <f>IF(AND(ABS((ChartCalculations!A188-Calculations!$F$3)/Calculations!$F$4)&lt;5,OR(A188&lt;=Calculations!$F$7,A188&gt;=Calculations!$F$8)),0.2*_xlfn.NORM.DIST(100,100,15,FALSE)*_xlfn.NORM.DIST(A188,Calculations!$F$3,Calculations!$F$4,FALSE)/_xlfn.NORM.DIST(Calculations!$F$3,Calculations!$F$3,Calculations!$F$4,FALSE),NA())</f>
        <v>#N/A</v>
      </c>
      <c r="M188" t="e">
        <f>IF(AND(A188&gt;=Calculations!$F$7,A188&lt;=Calculations!$F$8),0.2*_xlfn.NORM.DIST(100,100,15,FALSE)*_xlfn.NORM.DIST(A188,Calculations!$F$3,Calculations!$F$4,FALSE)/_xlfn.NORM.DIST(Calculations!$F$3,Calculations!$F$3,Calculations!$F$4,FALSE),NA())</f>
        <v>#N/A</v>
      </c>
    </row>
    <row r="189" spans="1:13" x14ac:dyDescent="0.25">
      <c r="A189">
        <v>58.700000000000301</v>
      </c>
      <c r="B189">
        <f t="shared" si="20"/>
        <v>6.0070237852387939E-4</v>
      </c>
      <c r="C189" t="e">
        <f t="shared" si="21"/>
        <v>#N/A</v>
      </c>
      <c r="D189" t="e">
        <f t="shared" si="22"/>
        <v>#N/A</v>
      </c>
      <c r="E189" t="e">
        <f t="shared" si="23"/>
        <v>#N/A</v>
      </c>
      <c r="F189" t="e">
        <f t="shared" si="24"/>
        <v>#N/A</v>
      </c>
      <c r="G189" t="e">
        <f t="shared" si="25"/>
        <v>#N/A</v>
      </c>
      <c r="H189" t="e">
        <f t="shared" si="26"/>
        <v>#N/A</v>
      </c>
      <c r="I189" t="e">
        <f t="shared" si="27"/>
        <v>#N/A</v>
      </c>
      <c r="J189" t="e">
        <f t="shared" si="28"/>
        <v>#N/A</v>
      </c>
      <c r="K189">
        <f t="shared" si="29"/>
        <v>8.0070237852387937E-4</v>
      </c>
      <c r="L189" t="e">
        <f>IF(AND(ABS((ChartCalculations!A189-Calculations!$F$3)/Calculations!$F$4)&lt;5,OR(A189&lt;=Calculations!$F$7,A189&gt;=Calculations!$F$8)),0.2*_xlfn.NORM.DIST(100,100,15,FALSE)*_xlfn.NORM.DIST(A189,Calculations!$F$3,Calculations!$F$4,FALSE)/_xlfn.NORM.DIST(Calculations!$F$3,Calculations!$F$3,Calculations!$F$4,FALSE),NA())</f>
        <v>#N/A</v>
      </c>
      <c r="M189" t="e">
        <f>IF(AND(A189&gt;=Calculations!$F$7,A189&lt;=Calculations!$F$8),0.2*_xlfn.NORM.DIST(100,100,15,FALSE)*_xlfn.NORM.DIST(A189,Calculations!$F$3,Calculations!$F$4,FALSE)/_xlfn.NORM.DIST(Calculations!$F$3,Calculations!$F$3,Calculations!$F$4,FALSE),NA())</f>
        <v>#N/A</v>
      </c>
    </row>
    <row r="190" spans="1:13" x14ac:dyDescent="0.25">
      <c r="A190">
        <v>58.800000000000303</v>
      </c>
      <c r="B190">
        <f t="shared" si="20"/>
        <v>6.1181682659845369E-4</v>
      </c>
      <c r="C190" t="e">
        <f t="shared" si="21"/>
        <v>#N/A</v>
      </c>
      <c r="D190" t="e">
        <f t="shared" si="22"/>
        <v>#N/A</v>
      </c>
      <c r="E190" t="e">
        <f t="shared" si="23"/>
        <v>#N/A</v>
      </c>
      <c r="F190" t="e">
        <f t="shared" si="24"/>
        <v>#N/A</v>
      </c>
      <c r="G190" t="e">
        <f t="shared" si="25"/>
        <v>#N/A</v>
      </c>
      <c r="H190" t="e">
        <f t="shared" si="26"/>
        <v>#N/A</v>
      </c>
      <c r="I190" t="e">
        <f t="shared" si="27"/>
        <v>#N/A</v>
      </c>
      <c r="J190" t="e">
        <f t="shared" si="28"/>
        <v>#N/A</v>
      </c>
      <c r="K190">
        <f t="shared" si="29"/>
        <v>8.1181682659845367E-4</v>
      </c>
      <c r="L190" t="e">
        <f>IF(AND(ABS((ChartCalculations!A190-Calculations!$F$3)/Calculations!$F$4)&lt;5,OR(A190&lt;=Calculations!$F$7,A190&gt;=Calculations!$F$8)),0.2*_xlfn.NORM.DIST(100,100,15,FALSE)*_xlfn.NORM.DIST(A190,Calculations!$F$3,Calculations!$F$4,FALSE)/_xlfn.NORM.DIST(Calculations!$F$3,Calculations!$F$3,Calculations!$F$4,FALSE),NA())</f>
        <v>#N/A</v>
      </c>
      <c r="M190" t="e">
        <f>IF(AND(A190&gt;=Calculations!$F$7,A190&lt;=Calculations!$F$8),0.2*_xlfn.NORM.DIST(100,100,15,FALSE)*_xlfn.NORM.DIST(A190,Calculations!$F$3,Calculations!$F$4,FALSE)/_xlfn.NORM.DIST(Calculations!$F$3,Calculations!$F$3,Calculations!$F$4,FALSE),NA())</f>
        <v>#N/A</v>
      </c>
    </row>
    <row r="191" spans="1:13" x14ac:dyDescent="0.25">
      <c r="A191">
        <v>58.900000000000297</v>
      </c>
      <c r="B191">
        <f t="shared" si="20"/>
        <v>6.2310922450751962E-4</v>
      </c>
      <c r="C191" t="e">
        <f t="shared" si="21"/>
        <v>#N/A</v>
      </c>
      <c r="D191" t="e">
        <f t="shared" si="22"/>
        <v>#N/A</v>
      </c>
      <c r="E191" t="e">
        <f t="shared" si="23"/>
        <v>#N/A</v>
      </c>
      <c r="F191" t="e">
        <f t="shared" si="24"/>
        <v>#N/A</v>
      </c>
      <c r="G191" t="e">
        <f t="shared" si="25"/>
        <v>#N/A</v>
      </c>
      <c r="H191" t="e">
        <f t="shared" si="26"/>
        <v>#N/A</v>
      </c>
      <c r="I191" t="e">
        <f t="shared" si="27"/>
        <v>#N/A</v>
      </c>
      <c r="J191" t="e">
        <f t="shared" si="28"/>
        <v>#N/A</v>
      </c>
      <c r="K191">
        <f t="shared" si="29"/>
        <v>8.231092245075196E-4</v>
      </c>
      <c r="L191" t="e">
        <f>IF(AND(ABS((ChartCalculations!A191-Calculations!$F$3)/Calculations!$F$4)&lt;5,OR(A191&lt;=Calculations!$F$7,A191&gt;=Calculations!$F$8)),0.2*_xlfn.NORM.DIST(100,100,15,FALSE)*_xlfn.NORM.DIST(A191,Calculations!$F$3,Calculations!$F$4,FALSE)/_xlfn.NORM.DIST(Calculations!$F$3,Calculations!$F$3,Calculations!$F$4,FALSE),NA())</f>
        <v>#N/A</v>
      </c>
      <c r="M191" t="e">
        <f>IF(AND(A191&gt;=Calculations!$F$7,A191&lt;=Calculations!$F$8),0.2*_xlfn.NORM.DIST(100,100,15,FALSE)*_xlfn.NORM.DIST(A191,Calculations!$F$3,Calculations!$F$4,FALSE)/_xlfn.NORM.DIST(Calculations!$F$3,Calculations!$F$3,Calculations!$F$4,FALSE),NA())</f>
        <v>#N/A</v>
      </c>
    </row>
    <row r="192" spans="1:13" x14ac:dyDescent="0.25">
      <c r="A192">
        <v>59.000000000000298</v>
      </c>
      <c r="B192">
        <f t="shared" si="20"/>
        <v>6.3458184368918064E-4</v>
      </c>
      <c r="C192" t="e">
        <f t="shared" si="21"/>
        <v>#N/A</v>
      </c>
      <c r="D192" t="e">
        <f t="shared" si="22"/>
        <v>#N/A</v>
      </c>
      <c r="E192" t="e">
        <f t="shared" si="23"/>
        <v>#N/A</v>
      </c>
      <c r="F192" t="e">
        <f t="shared" si="24"/>
        <v>#N/A</v>
      </c>
      <c r="G192" t="e">
        <f t="shared" si="25"/>
        <v>#N/A</v>
      </c>
      <c r="H192" t="e">
        <f t="shared" si="26"/>
        <v>#N/A</v>
      </c>
      <c r="I192" t="e">
        <f t="shared" si="27"/>
        <v>#N/A</v>
      </c>
      <c r="J192" t="e">
        <f t="shared" si="28"/>
        <v>#N/A</v>
      </c>
      <c r="K192">
        <f t="shared" si="29"/>
        <v>8.3458184368918062E-4</v>
      </c>
      <c r="L192" t="e">
        <f>IF(AND(ABS((ChartCalculations!A192-Calculations!$F$3)/Calculations!$F$4)&lt;5,OR(A192&lt;=Calculations!$F$7,A192&gt;=Calculations!$F$8)),0.2*_xlfn.NORM.DIST(100,100,15,FALSE)*_xlfn.NORM.DIST(A192,Calculations!$F$3,Calculations!$F$4,FALSE)/_xlfn.NORM.DIST(Calculations!$F$3,Calculations!$F$3,Calculations!$F$4,FALSE),NA())</f>
        <v>#N/A</v>
      </c>
      <c r="M192" t="e">
        <f>IF(AND(A192&gt;=Calculations!$F$7,A192&lt;=Calculations!$F$8),0.2*_xlfn.NORM.DIST(100,100,15,FALSE)*_xlfn.NORM.DIST(A192,Calculations!$F$3,Calculations!$F$4,FALSE)/_xlfn.NORM.DIST(Calculations!$F$3,Calculations!$F$3,Calculations!$F$4,FALSE),NA())</f>
        <v>#N/A</v>
      </c>
    </row>
    <row r="193" spans="1:13" x14ac:dyDescent="0.25">
      <c r="A193">
        <v>59.1000000000003</v>
      </c>
      <c r="B193">
        <f t="shared" si="20"/>
        <v>6.462369732042622E-4</v>
      </c>
      <c r="C193" t="e">
        <f t="shared" si="21"/>
        <v>#N/A</v>
      </c>
      <c r="D193" t="e">
        <f t="shared" si="22"/>
        <v>#N/A</v>
      </c>
      <c r="E193" t="e">
        <f t="shared" si="23"/>
        <v>#N/A</v>
      </c>
      <c r="F193" t="e">
        <f t="shared" si="24"/>
        <v>#N/A</v>
      </c>
      <c r="G193" t="e">
        <f t="shared" si="25"/>
        <v>#N/A</v>
      </c>
      <c r="H193" t="e">
        <f t="shared" si="26"/>
        <v>#N/A</v>
      </c>
      <c r="I193" t="e">
        <f t="shared" si="27"/>
        <v>#N/A</v>
      </c>
      <c r="J193" t="e">
        <f t="shared" si="28"/>
        <v>#N/A</v>
      </c>
      <c r="K193">
        <f t="shared" si="29"/>
        <v>8.4623697320426218E-4</v>
      </c>
      <c r="L193" t="e">
        <f>IF(AND(ABS((ChartCalculations!A193-Calculations!$F$3)/Calculations!$F$4)&lt;5,OR(A193&lt;=Calculations!$F$7,A193&gt;=Calculations!$F$8)),0.2*_xlfn.NORM.DIST(100,100,15,FALSE)*_xlfn.NORM.DIST(A193,Calculations!$F$3,Calculations!$F$4,FALSE)/_xlfn.NORM.DIST(Calculations!$F$3,Calculations!$F$3,Calculations!$F$4,FALSE),NA())</f>
        <v>#N/A</v>
      </c>
      <c r="M193" t="e">
        <f>IF(AND(A193&gt;=Calculations!$F$7,A193&lt;=Calculations!$F$8),0.2*_xlfn.NORM.DIST(100,100,15,FALSE)*_xlfn.NORM.DIST(A193,Calculations!$F$3,Calculations!$F$4,FALSE)/_xlfn.NORM.DIST(Calculations!$F$3,Calculations!$F$3,Calculations!$F$4,FALSE),NA())</f>
        <v>#N/A</v>
      </c>
    </row>
    <row r="194" spans="1:13" x14ac:dyDescent="0.25">
      <c r="A194">
        <v>59.200000000000301</v>
      </c>
      <c r="B194">
        <f t="shared" si="20"/>
        <v>6.580769196501122E-4</v>
      </c>
      <c r="C194" t="e">
        <f t="shared" si="21"/>
        <v>#N/A</v>
      </c>
      <c r="D194" t="e">
        <f t="shared" si="22"/>
        <v>#N/A</v>
      </c>
      <c r="E194" t="e">
        <f t="shared" si="23"/>
        <v>#N/A</v>
      </c>
      <c r="F194" t="e">
        <f t="shared" si="24"/>
        <v>#N/A</v>
      </c>
      <c r="G194" t="e">
        <f t="shared" si="25"/>
        <v>#N/A</v>
      </c>
      <c r="H194" t="e">
        <f t="shared" si="26"/>
        <v>#N/A</v>
      </c>
      <c r="I194" t="e">
        <f t="shared" si="27"/>
        <v>#N/A</v>
      </c>
      <c r="J194" t="e">
        <f t="shared" si="28"/>
        <v>#N/A</v>
      </c>
      <c r="K194">
        <f t="shared" si="29"/>
        <v>8.5807691965011218E-4</v>
      </c>
      <c r="L194" t="e">
        <f>IF(AND(ABS((ChartCalculations!A194-Calculations!$F$3)/Calculations!$F$4)&lt;5,OR(A194&lt;=Calculations!$F$7,A194&gt;=Calculations!$F$8)),0.2*_xlfn.NORM.DIST(100,100,15,FALSE)*_xlfn.NORM.DIST(A194,Calculations!$F$3,Calculations!$F$4,FALSE)/_xlfn.NORM.DIST(Calculations!$F$3,Calculations!$F$3,Calculations!$F$4,FALSE),NA())</f>
        <v>#N/A</v>
      </c>
      <c r="M194" t="e">
        <f>IF(AND(A194&gt;=Calculations!$F$7,A194&lt;=Calculations!$F$8),0.2*_xlfn.NORM.DIST(100,100,15,FALSE)*_xlfn.NORM.DIST(A194,Calculations!$F$3,Calculations!$F$4,FALSE)/_xlfn.NORM.DIST(Calculations!$F$3,Calculations!$F$3,Calculations!$F$4,FALSE),NA())</f>
        <v>#N/A</v>
      </c>
    </row>
    <row r="195" spans="1:13" x14ac:dyDescent="0.25">
      <c r="A195">
        <v>59.300000000000303</v>
      </c>
      <c r="B195">
        <f t="shared" ref="B195:B258" si="30">IF($A195&lt;=60,_xlfn.NORM.DIST($A195,100,15,FALSE),NA())</f>
        <v>6.701040070688797E-4</v>
      </c>
      <c r="C195" t="e">
        <f t="shared" ref="C195:C258" si="31">IF(AND($A195&gt;=60,$A195&lt;=70),_xlfn.NORM.DIST($A195,100,15,FALSE),NA())</f>
        <v>#N/A</v>
      </c>
      <c r="D195" t="e">
        <f t="shared" ref="D195:D258" si="32">IF(AND($A195&gt;=70,$A195&lt;=80),_xlfn.NORM.DIST($A195,100,15,FALSE),NA())</f>
        <v>#N/A</v>
      </c>
      <c r="E195" t="e">
        <f t="shared" ref="E195:E258" si="33">IF(AND($A195&gt;=80,$A195&lt;=90),_xlfn.NORM.DIST($A195,100,15,FALSE),NA())</f>
        <v>#N/A</v>
      </c>
      <c r="F195" t="e">
        <f t="shared" ref="F195:F258" si="34">IF(AND($A195&gt;=90,$A195&lt;=110),_xlfn.NORM.DIST($A195,100,15,FALSE),NA())</f>
        <v>#N/A</v>
      </c>
      <c r="G195" t="e">
        <f t="shared" ref="G195:G258" si="35">IF(AND($A195&gt;=110,$A195&lt;=120),_xlfn.NORM.DIST($A195,100,15,FALSE),NA())</f>
        <v>#N/A</v>
      </c>
      <c r="H195" t="e">
        <f t="shared" ref="H195:H258" si="36">IF(AND($A195&gt;=120,$A195&lt;=130),_xlfn.NORM.DIST($A195,100,15,FALSE),NA())</f>
        <v>#N/A</v>
      </c>
      <c r="I195" t="e">
        <f t="shared" ref="I195:I258" si="37">IF(AND($A195&gt;=130,$A195&lt;=140),_xlfn.NORM.DIST($A195,100,15,FALSE),NA())</f>
        <v>#N/A</v>
      </c>
      <c r="J195" t="e">
        <f t="shared" ref="J195:J258" si="38">IF($A195&gt;=140,_xlfn.NORM.DIST($A195,100,15,FALSE),NA())</f>
        <v>#N/A</v>
      </c>
      <c r="K195">
        <f t="shared" ref="K195:K258" si="39">_xlfn.NORM.DIST($A195,100,15,FALSE)+0.0002</f>
        <v>8.7010400706887968E-4</v>
      </c>
      <c r="L195" t="e">
        <f>IF(AND(ABS((ChartCalculations!A195-Calculations!$F$3)/Calculations!$F$4)&lt;5,OR(A195&lt;=Calculations!$F$7,A195&gt;=Calculations!$F$8)),0.2*_xlfn.NORM.DIST(100,100,15,FALSE)*_xlfn.NORM.DIST(A195,Calculations!$F$3,Calculations!$F$4,FALSE)/_xlfn.NORM.DIST(Calculations!$F$3,Calculations!$F$3,Calculations!$F$4,FALSE),NA())</f>
        <v>#N/A</v>
      </c>
      <c r="M195" t="e">
        <f>IF(AND(A195&gt;=Calculations!$F$7,A195&lt;=Calculations!$F$8),0.2*_xlfn.NORM.DIST(100,100,15,FALSE)*_xlfn.NORM.DIST(A195,Calculations!$F$3,Calculations!$F$4,FALSE)/_xlfn.NORM.DIST(Calculations!$F$3,Calculations!$F$3,Calculations!$F$4,FALSE),NA())</f>
        <v>#N/A</v>
      </c>
    </row>
    <row r="196" spans="1:13" x14ac:dyDescent="0.25">
      <c r="A196">
        <v>59.400000000000297</v>
      </c>
      <c r="B196">
        <f t="shared" si="30"/>
        <v>6.8232057685019894E-4</v>
      </c>
      <c r="C196" t="e">
        <f t="shared" si="31"/>
        <v>#N/A</v>
      </c>
      <c r="D196" t="e">
        <f t="shared" si="32"/>
        <v>#N/A</v>
      </c>
      <c r="E196" t="e">
        <f t="shared" si="33"/>
        <v>#N/A</v>
      </c>
      <c r="F196" t="e">
        <f t="shared" si="34"/>
        <v>#N/A</v>
      </c>
      <c r="G196" t="e">
        <f t="shared" si="35"/>
        <v>#N/A</v>
      </c>
      <c r="H196" t="e">
        <f t="shared" si="36"/>
        <v>#N/A</v>
      </c>
      <c r="I196" t="e">
        <f t="shared" si="37"/>
        <v>#N/A</v>
      </c>
      <c r="J196" t="e">
        <f t="shared" si="38"/>
        <v>#N/A</v>
      </c>
      <c r="K196">
        <f t="shared" si="39"/>
        <v>8.8232057685019892E-4</v>
      </c>
      <c r="L196" t="e">
        <f>IF(AND(ABS((ChartCalculations!A196-Calculations!$F$3)/Calculations!$F$4)&lt;5,OR(A196&lt;=Calculations!$F$7,A196&gt;=Calculations!$F$8)),0.2*_xlfn.NORM.DIST(100,100,15,FALSE)*_xlfn.NORM.DIST(A196,Calculations!$F$3,Calculations!$F$4,FALSE)/_xlfn.NORM.DIST(Calculations!$F$3,Calculations!$F$3,Calculations!$F$4,FALSE),NA())</f>
        <v>#N/A</v>
      </c>
      <c r="M196" t="e">
        <f>IF(AND(A196&gt;=Calculations!$F$7,A196&lt;=Calculations!$F$8),0.2*_xlfn.NORM.DIST(100,100,15,FALSE)*_xlfn.NORM.DIST(A196,Calculations!$F$3,Calculations!$F$4,FALSE)/_xlfn.NORM.DIST(Calculations!$F$3,Calculations!$F$3,Calculations!$F$4,FALSE),NA())</f>
        <v>#N/A</v>
      </c>
    </row>
    <row r="197" spans="1:13" x14ac:dyDescent="0.25">
      <c r="A197">
        <v>59.500000000000298</v>
      </c>
      <c r="B197">
        <f t="shared" si="30"/>
        <v>6.9472898762820993E-4</v>
      </c>
      <c r="C197" t="e">
        <f t="shared" si="31"/>
        <v>#N/A</v>
      </c>
      <c r="D197" t="e">
        <f t="shared" si="32"/>
        <v>#N/A</v>
      </c>
      <c r="E197" t="e">
        <f t="shared" si="33"/>
        <v>#N/A</v>
      </c>
      <c r="F197" t="e">
        <f t="shared" si="34"/>
        <v>#N/A</v>
      </c>
      <c r="G197" t="e">
        <f t="shared" si="35"/>
        <v>#N/A</v>
      </c>
      <c r="H197" t="e">
        <f t="shared" si="36"/>
        <v>#N/A</v>
      </c>
      <c r="I197" t="e">
        <f t="shared" si="37"/>
        <v>#N/A</v>
      </c>
      <c r="J197" t="e">
        <f t="shared" si="38"/>
        <v>#N/A</v>
      </c>
      <c r="K197">
        <f t="shared" si="39"/>
        <v>8.9472898762820992E-4</v>
      </c>
      <c r="L197" t="e">
        <f>IF(AND(ABS((ChartCalculations!A197-Calculations!$F$3)/Calculations!$F$4)&lt;5,OR(A197&lt;=Calculations!$F$7,A197&gt;=Calculations!$F$8)),0.2*_xlfn.NORM.DIST(100,100,15,FALSE)*_xlfn.NORM.DIST(A197,Calculations!$F$3,Calculations!$F$4,FALSE)/_xlfn.NORM.DIST(Calculations!$F$3,Calculations!$F$3,Calculations!$F$4,FALSE),NA())</f>
        <v>#N/A</v>
      </c>
      <c r="M197" t="e">
        <f>IF(AND(A197&gt;=Calculations!$F$7,A197&lt;=Calculations!$F$8),0.2*_xlfn.NORM.DIST(100,100,15,FALSE)*_xlfn.NORM.DIST(A197,Calculations!$F$3,Calculations!$F$4,FALSE)/_xlfn.NORM.DIST(Calculations!$F$3,Calculations!$F$3,Calculations!$F$4,FALSE),NA())</f>
        <v>#N/A</v>
      </c>
    </row>
    <row r="198" spans="1:13" x14ac:dyDescent="0.25">
      <c r="A198">
        <v>59.6000000000003</v>
      </c>
      <c r="B198">
        <f t="shared" si="30"/>
        <v>7.0733161517281856E-4</v>
      </c>
      <c r="C198" t="e">
        <f t="shared" si="31"/>
        <v>#N/A</v>
      </c>
      <c r="D198" t="e">
        <f t="shared" si="32"/>
        <v>#N/A</v>
      </c>
      <c r="E198" t="e">
        <f t="shared" si="33"/>
        <v>#N/A</v>
      </c>
      <c r="F198" t="e">
        <f t="shared" si="34"/>
        <v>#N/A</v>
      </c>
      <c r="G198" t="e">
        <f t="shared" si="35"/>
        <v>#N/A</v>
      </c>
      <c r="H198" t="e">
        <f t="shared" si="36"/>
        <v>#N/A</v>
      </c>
      <c r="I198" t="e">
        <f t="shared" si="37"/>
        <v>#N/A</v>
      </c>
      <c r="J198" t="e">
        <f t="shared" si="38"/>
        <v>#N/A</v>
      </c>
      <c r="K198">
        <f t="shared" si="39"/>
        <v>9.0733161517281855E-4</v>
      </c>
      <c r="L198" t="e">
        <f>IF(AND(ABS((ChartCalculations!A198-Calculations!$F$3)/Calculations!$F$4)&lt;5,OR(A198&lt;=Calculations!$F$7,A198&gt;=Calculations!$F$8)),0.2*_xlfn.NORM.DIST(100,100,15,FALSE)*_xlfn.NORM.DIST(A198,Calculations!$F$3,Calculations!$F$4,FALSE)/_xlfn.NORM.DIST(Calculations!$F$3,Calculations!$F$3,Calculations!$F$4,FALSE),NA())</f>
        <v>#N/A</v>
      </c>
      <c r="M198" t="e">
        <f>IF(AND(A198&gt;=Calculations!$F$7,A198&lt;=Calculations!$F$8),0.2*_xlfn.NORM.DIST(100,100,15,FALSE)*_xlfn.NORM.DIST(A198,Calculations!$F$3,Calculations!$F$4,FALSE)/_xlfn.NORM.DIST(Calculations!$F$3,Calculations!$F$3,Calculations!$F$4,FALSE),NA())</f>
        <v>#N/A</v>
      </c>
    </row>
    <row r="199" spans="1:13" x14ac:dyDescent="0.25">
      <c r="A199">
        <v>59.700000000000301</v>
      </c>
      <c r="B199">
        <f t="shared" si="30"/>
        <v>7.2013085227514611E-4</v>
      </c>
      <c r="C199" t="e">
        <f t="shared" si="31"/>
        <v>#N/A</v>
      </c>
      <c r="D199" t="e">
        <f t="shared" si="32"/>
        <v>#N/A</v>
      </c>
      <c r="E199" t="e">
        <f t="shared" si="33"/>
        <v>#N/A</v>
      </c>
      <c r="F199" t="e">
        <f t="shared" si="34"/>
        <v>#N/A</v>
      </c>
      <c r="G199" t="e">
        <f t="shared" si="35"/>
        <v>#N/A</v>
      </c>
      <c r="H199" t="e">
        <f t="shared" si="36"/>
        <v>#N/A</v>
      </c>
      <c r="I199" t="e">
        <f t="shared" si="37"/>
        <v>#N/A</v>
      </c>
      <c r="J199" t="e">
        <f t="shared" si="38"/>
        <v>#N/A</v>
      </c>
      <c r="K199">
        <f t="shared" si="39"/>
        <v>9.2013085227514609E-4</v>
      </c>
      <c r="L199" t="e">
        <f>IF(AND(ABS((ChartCalculations!A199-Calculations!$F$3)/Calculations!$F$4)&lt;5,OR(A199&lt;=Calculations!$F$7,A199&gt;=Calculations!$F$8)),0.2*_xlfn.NORM.DIST(100,100,15,FALSE)*_xlfn.NORM.DIST(A199,Calculations!$F$3,Calculations!$F$4,FALSE)/_xlfn.NORM.DIST(Calculations!$F$3,Calculations!$F$3,Calculations!$F$4,FALSE),NA())</f>
        <v>#N/A</v>
      </c>
      <c r="M199" t="e">
        <f>IF(AND(A199&gt;=Calculations!$F$7,A199&lt;=Calculations!$F$8),0.2*_xlfn.NORM.DIST(100,100,15,FALSE)*_xlfn.NORM.DIST(A199,Calculations!$F$3,Calculations!$F$4,FALSE)/_xlfn.NORM.DIST(Calculations!$F$3,Calculations!$F$3,Calculations!$F$4,FALSE),NA())</f>
        <v>#N/A</v>
      </c>
    </row>
    <row r="200" spans="1:13" x14ac:dyDescent="0.25">
      <c r="A200">
        <v>59.800000000000303</v>
      </c>
      <c r="B200">
        <f t="shared" si="30"/>
        <v>7.3312910862707859E-4</v>
      </c>
      <c r="C200" t="e">
        <f t="shared" si="31"/>
        <v>#N/A</v>
      </c>
      <c r="D200" t="e">
        <f t="shared" si="32"/>
        <v>#N/A</v>
      </c>
      <c r="E200" t="e">
        <f t="shared" si="33"/>
        <v>#N/A</v>
      </c>
      <c r="F200" t="e">
        <f t="shared" si="34"/>
        <v>#N/A</v>
      </c>
      <c r="G200" t="e">
        <f t="shared" si="35"/>
        <v>#N/A</v>
      </c>
      <c r="H200" t="e">
        <f t="shared" si="36"/>
        <v>#N/A</v>
      </c>
      <c r="I200" t="e">
        <f t="shared" si="37"/>
        <v>#N/A</v>
      </c>
      <c r="J200" t="e">
        <f t="shared" si="38"/>
        <v>#N/A</v>
      </c>
      <c r="K200">
        <f t="shared" si="39"/>
        <v>9.3312910862707857E-4</v>
      </c>
      <c r="L200" t="e">
        <f>IF(AND(ABS((ChartCalculations!A200-Calculations!$F$3)/Calculations!$F$4)&lt;5,OR(A200&lt;=Calculations!$F$7,A200&gt;=Calculations!$F$8)),0.2*_xlfn.NORM.DIST(100,100,15,FALSE)*_xlfn.NORM.DIST(A200,Calculations!$F$3,Calculations!$F$4,FALSE)/_xlfn.NORM.DIST(Calculations!$F$3,Calculations!$F$3,Calculations!$F$4,FALSE),NA())</f>
        <v>#N/A</v>
      </c>
      <c r="M200" t="e">
        <f>IF(AND(A200&gt;=Calculations!$F$7,A200&lt;=Calculations!$F$8),0.2*_xlfn.NORM.DIST(100,100,15,FALSE)*_xlfn.NORM.DIST(A200,Calculations!$F$3,Calculations!$F$4,FALSE)/_xlfn.NORM.DIST(Calculations!$F$3,Calculations!$F$3,Calculations!$F$4,FALSE),NA())</f>
        <v>#N/A</v>
      </c>
    </row>
    <row r="201" spans="1:13" x14ac:dyDescent="0.25">
      <c r="A201">
        <v>59.900000000000297</v>
      </c>
      <c r="B201">
        <f t="shared" si="30"/>
        <v>7.4632881069484154E-4</v>
      </c>
      <c r="C201" t="e">
        <f t="shared" si="31"/>
        <v>#N/A</v>
      </c>
      <c r="D201" t="e">
        <f t="shared" si="32"/>
        <v>#N/A</v>
      </c>
      <c r="E201" t="e">
        <f t="shared" si="33"/>
        <v>#N/A</v>
      </c>
      <c r="F201" t="e">
        <f t="shared" si="34"/>
        <v>#N/A</v>
      </c>
      <c r="G201" t="e">
        <f t="shared" si="35"/>
        <v>#N/A</v>
      </c>
      <c r="H201" t="e">
        <f t="shared" si="36"/>
        <v>#N/A</v>
      </c>
      <c r="I201" t="e">
        <f t="shared" si="37"/>
        <v>#N/A</v>
      </c>
      <c r="J201" t="e">
        <f t="shared" si="38"/>
        <v>#N/A</v>
      </c>
      <c r="K201">
        <f t="shared" si="39"/>
        <v>9.4632881069484152E-4</v>
      </c>
      <c r="L201" t="e">
        <f>IF(AND(ABS((ChartCalculations!A201-Calculations!$F$3)/Calculations!$F$4)&lt;5,OR(A201&lt;=Calculations!$F$7,A201&gt;=Calculations!$F$8)),0.2*_xlfn.NORM.DIST(100,100,15,FALSE)*_xlfn.NORM.DIST(A201,Calculations!$F$3,Calculations!$F$4,FALSE)/_xlfn.NORM.DIST(Calculations!$F$3,Calculations!$F$3,Calculations!$F$4,FALSE),NA())</f>
        <v>#N/A</v>
      </c>
      <c r="M201" t="e">
        <f>IF(AND(A201&gt;=Calculations!$F$7,A201&lt;=Calculations!$F$8),0.2*_xlfn.NORM.DIST(100,100,15,FALSE)*_xlfn.NORM.DIST(A201,Calculations!$F$3,Calculations!$F$4,FALSE)/_xlfn.NORM.DIST(Calculations!$F$3,Calculations!$F$3,Calculations!$F$4,FALSE),NA())</f>
        <v>#N/A</v>
      </c>
    </row>
    <row r="202" spans="1:13" x14ac:dyDescent="0.25">
      <c r="A202">
        <v>60.000000000000298</v>
      </c>
      <c r="B202" t="e">
        <f t="shared" si="30"/>
        <v>#N/A</v>
      </c>
      <c r="C202">
        <f t="shared" si="31"/>
        <v>7.5973240158653599E-4</v>
      </c>
      <c r="D202" t="e">
        <f t="shared" si="32"/>
        <v>#N/A</v>
      </c>
      <c r="E202" t="e">
        <f t="shared" si="33"/>
        <v>#N/A</v>
      </c>
      <c r="F202" t="e">
        <f t="shared" si="34"/>
        <v>#N/A</v>
      </c>
      <c r="G202" t="e">
        <f t="shared" si="35"/>
        <v>#N/A</v>
      </c>
      <c r="H202" t="e">
        <f t="shared" si="36"/>
        <v>#N/A</v>
      </c>
      <c r="I202" t="e">
        <f t="shared" si="37"/>
        <v>#N/A</v>
      </c>
      <c r="J202" t="e">
        <f t="shared" si="38"/>
        <v>#N/A</v>
      </c>
      <c r="K202">
        <f t="shared" si="39"/>
        <v>9.5973240158653598E-4</v>
      </c>
      <c r="L202" t="e">
        <f>IF(AND(ABS((ChartCalculations!A202-Calculations!$F$3)/Calculations!$F$4)&lt;5,OR(A202&lt;=Calculations!$F$7,A202&gt;=Calculations!$F$8)),0.2*_xlfn.NORM.DIST(100,100,15,FALSE)*_xlfn.NORM.DIST(A202,Calculations!$F$3,Calculations!$F$4,FALSE)/_xlfn.NORM.DIST(Calculations!$F$3,Calculations!$F$3,Calculations!$F$4,FALSE),NA())</f>
        <v>#N/A</v>
      </c>
      <c r="M202" t="e">
        <f>IF(AND(A202&gt;=Calculations!$F$7,A202&lt;=Calculations!$F$8),0.2*_xlfn.NORM.DIST(100,100,15,FALSE)*_xlfn.NORM.DIST(A202,Calculations!$F$3,Calculations!$F$4,FALSE)/_xlfn.NORM.DIST(Calculations!$F$3,Calculations!$F$3,Calculations!$F$4,FALSE),NA())</f>
        <v>#N/A</v>
      </c>
    </row>
    <row r="203" spans="1:13" x14ac:dyDescent="0.25">
      <c r="A203">
        <v>60.1000000000003</v>
      </c>
      <c r="B203" t="e">
        <f t="shared" si="30"/>
        <v>#N/A</v>
      </c>
      <c r="C203">
        <f t="shared" si="31"/>
        <v>7.7334234091354489E-4</v>
      </c>
      <c r="D203" t="e">
        <f t="shared" si="32"/>
        <v>#N/A</v>
      </c>
      <c r="E203" t="e">
        <f t="shared" si="33"/>
        <v>#N/A</v>
      </c>
      <c r="F203" t="e">
        <f t="shared" si="34"/>
        <v>#N/A</v>
      </c>
      <c r="G203" t="e">
        <f t="shared" si="35"/>
        <v>#N/A</v>
      </c>
      <c r="H203" t="e">
        <f t="shared" si="36"/>
        <v>#N/A</v>
      </c>
      <c r="I203" t="e">
        <f t="shared" si="37"/>
        <v>#N/A</v>
      </c>
      <c r="J203" t="e">
        <f t="shared" si="38"/>
        <v>#N/A</v>
      </c>
      <c r="K203">
        <f t="shared" si="39"/>
        <v>9.7334234091354488E-4</v>
      </c>
      <c r="L203" t="e">
        <f>IF(AND(ABS((ChartCalculations!A203-Calculations!$F$3)/Calculations!$F$4)&lt;5,OR(A203&lt;=Calculations!$F$7,A203&gt;=Calculations!$F$8)),0.2*_xlfn.NORM.DIST(100,100,15,FALSE)*_xlfn.NORM.DIST(A203,Calculations!$F$3,Calculations!$F$4,FALSE)/_xlfn.NORM.DIST(Calculations!$F$3,Calculations!$F$3,Calculations!$F$4,FALSE),NA())</f>
        <v>#N/A</v>
      </c>
      <c r="M203" t="e">
        <f>IF(AND(A203&gt;=Calculations!$F$7,A203&lt;=Calculations!$F$8),0.2*_xlfn.NORM.DIST(100,100,15,FALSE)*_xlfn.NORM.DIST(A203,Calculations!$F$3,Calculations!$F$4,FALSE)/_xlfn.NORM.DIST(Calculations!$F$3,Calculations!$F$3,Calculations!$F$4,FALSE),NA())</f>
        <v>#N/A</v>
      </c>
    </row>
    <row r="204" spans="1:13" x14ac:dyDescent="0.25">
      <c r="A204">
        <v>60.200000000000301</v>
      </c>
      <c r="B204" t="e">
        <f t="shared" si="30"/>
        <v>#N/A</v>
      </c>
      <c r="C204">
        <f t="shared" si="31"/>
        <v>7.8716110464575558E-4</v>
      </c>
      <c r="D204" t="e">
        <f t="shared" si="32"/>
        <v>#N/A</v>
      </c>
      <c r="E204" t="e">
        <f t="shared" si="33"/>
        <v>#N/A</v>
      </c>
      <c r="F204" t="e">
        <f t="shared" si="34"/>
        <v>#N/A</v>
      </c>
      <c r="G204" t="e">
        <f t="shared" si="35"/>
        <v>#N/A</v>
      </c>
      <c r="H204" t="e">
        <f t="shared" si="36"/>
        <v>#N/A</v>
      </c>
      <c r="I204" t="e">
        <f t="shared" si="37"/>
        <v>#N/A</v>
      </c>
      <c r="J204" t="e">
        <f t="shared" si="38"/>
        <v>#N/A</v>
      </c>
      <c r="K204">
        <f t="shared" si="39"/>
        <v>9.8716110464575567E-4</v>
      </c>
      <c r="L204" t="e">
        <f>IF(AND(ABS((ChartCalculations!A204-Calculations!$F$3)/Calculations!$F$4)&lt;5,OR(A204&lt;=Calculations!$F$7,A204&gt;=Calculations!$F$8)),0.2*_xlfn.NORM.DIST(100,100,15,FALSE)*_xlfn.NORM.DIST(A204,Calculations!$F$3,Calculations!$F$4,FALSE)/_xlfn.NORM.DIST(Calculations!$F$3,Calculations!$F$3,Calculations!$F$4,FALSE),NA())</f>
        <v>#N/A</v>
      </c>
      <c r="M204" t="e">
        <f>IF(AND(A204&gt;=Calculations!$F$7,A204&lt;=Calculations!$F$8),0.2*_xlfn.NORM.DIST(100,100,15,FALSE)*_xlfn.NORM.DIST(A204,Calculations!$F$3,Calculations!$F$4,FALSE)/_xlfn.NORM.DIST(Calculations!$F$3,Calculations!$F$3,Calculations!$F$4,FALSE),NA())</f>
        <v>#N/A</v>
      </c>
    </row>
    <row r="205" spans="1:13" x14ac:dyDescent="0.25">
      <c r="A205">
        <v>60.300000000000303</v>
      </c>
      <c r="B205" t="e">
        <f t="shared" si="30"/>
        <v>#N/A</v>
      </c>
      <c r="C205">
        <f t="shared" si="31"/>
        <v>8.0119118496051287E-4</v>
      </c>
      <c r="D205" t="e">
        <f t="shared" si="32"/>
        <v>#N/A</v>
      </c>
      <c r="E205" t="e">
        <f t="shared" si="33"/>
        <v>#N/A</v>
      </c>
      <c r="F205" t="e">
        <f t="shared" si="34"/>
        <v>#N/A</v>
      </c>
      <c r="G205" t="e">
        <f t="shared" si="35"/>
        <v>#N/A</v>
      </c>
      <c r="H205" t="e">
        <f t="shared" si="36"/>
        <v>#N/A</v>
      </c>
      <c r="I205" t="e">
        <f t="shared" si="37"/>
        <v>#N/A</v>
      </c>
      <c r="J205" t="e">
        <f t="shared" si="38"/>
        <v>#N/A</v>
      </c>
      <c r="K205">
        <f t="shared" si="39"/>
        <v>1.0011911849605129E-3</v>
      </c>
      <c r="L205">
        <f>IF(AND(ABS((ChartCalculations!A205-Calculations!$F$3)/Calculations!$F$4)&lt;5,OR(A205&lt;=Calculations!$F$7,A205&gt;=Calculations!$F$8)),0.2*_xlfn.NORM.DIST(100,100,15,FALSE)*_xlfn.NORM.DIST(A205,Calculations!$F$3,Calculations!$F$4,FALSE)/_xlfn.NORM.DIST(Calculations!$F$3,Calculations!$F$3,Calculations!$F$4,FALSE),NA())</f>
        <v>2.3805851748911605E-8</v>
      </c>
      <c r="M205" t="e">
        <f>IF(AND(A205&gt;=Calculations!$F$7,A205&lt;=Calculations!$F$8),0.2*_xlfn.NORM.DIST(100,100,15,FALSE)*_xlfn.NORM.DIST(A205,Calculations!$F$3,Calculations!$F$4,FALSE)/_xlfn.NORM.DIST(Calculations!$F$3,Calculations!$F$3,Calculations!$F$4,FALSE),NA())</f>
        <v>#N/A</v>
      </c>
    </row>
    <row r="206" spans="1:13" x14ac:dyDescent="0.25">
      <c r="A206">
        <v>60.400000000000297</v>
      </c>
      <c r="B206" t="e">
        <f t="shared" si="30"/>
        <v>#N/A</v>
      </c>
      <c r="C206">
        <f t="shared" si="31"/>
        <v>8.1543509008524112E-4</v>
      </c>
      <c r="D206" t="e">
        <f t="shared" si="32"/>
        <v>#N/A</v>
      </c>
      <c r="E206" t="e">
        <f t="shared" si="33"/>
        <v>#N/A</v>
      </c>
      <c r="F206" t="e">
        <f t="shared" si="34"/>
        <v>#N/A</v>
      </c>
      <c r="G206" t="e">
        <f t="shared" si="35"/>
        <v>#N/A</v>
      </c>
      <c r="H206" t="e">
        <f t="shared" si="36"/>
        <v>#N/A</v>
      </c>
      <c r="I206" t="e">
        <f t="shared" si="37"/>
        <v>#N/A</v>
      </c>
      <c r="J206" t="e">
        <f t="shared" si="38"/>
        <v>#N/A</v>
      </c>
      <c r="K206">
        <f t="shared" si="39"/>
        <v>1.0154350900852412E-3</v>
      </c>
      <c r="L206">
        <f>IF(AND(ABS((ChartCalculations!A206-Calculations!$F$3)/Calculations!$F$4)&lt;5,OR(A206&lt;=Calculations!$F$7,A206&gt;=Calculations!$F$8)),0.2*_xlfn.NORM.DIST(100,100,15,FALSE)*_xlfn.NORM.DIST(A206,Calculations!$F$3,Calculations!$F$4,FALSE)/_xlfn.NORM.DIST(Calculations!$F$3,Calculations!$F$3,Calculations!$F$4,FALSE),NA())</f>
        <v>3.4819876811639309E-8</v>
      </c>
      <c r="M206" t="e">
        <f>IF(AND(A206&gt;=Calculations!$F$7,A206&lt;=Calculations!$F$8),0.2*_xlfn.NORM.DIST(100,100,15,FALSE)*_xlfn.NORM.DIST(A206,Calculations!$F$3,Calculations!$F$4,FALSE)/_xlfn.NORM.DIST(Calculations!$F$3,Calculations!$F$3,Calculations!$F$4,FALSE),NA())</f>
        <v>#N/A</v>
      </c>
    </row>
    <row r="207" spans="1:13" x14ac:dyDescent="0.25">
      <c r="A207">
        <v>60.500000000000298</v>
      </c>
      <c r="B207" t="e">
        <f t="shared" si="30"/>
        <v>#N/A</v>
      </c>
      <c r="C207">
        <f t="shared" si="31"/>
        <v>8.2989534413365721E-4</v>
      </c>
      <c r="D207" t="e">
        <f t="shared" si="32"/>
        <v>#N/A</v>
      </c>
      <c r="E207" t="e">
        <f t="shared" si="33"/>
        <v>#N/A</v>
      </c>
      <c r="F207" t="e">
        <f t="shared" si="34"/>
        <v>#N/A</v>
      </c>
      <c r="G207" t="e">
        <f t="shared" si="35"/>
        <v>#N/A</v>
      </c>
      <c r="H207" t="e">
        <f t="shared" si="36"/>
        <v>#N/A</v>
      </c>
      <c r="I207" t="e">
        <f t="shared" si="37"/>
        <v>#N/A</v>
      </c>
      <c r="J207" t="e">
        <f t="shared" si="38"/>
        <v>#N/A</v>
      </c>
      <c r="K207">
        <f t="shared" si="39"/>
        <v>1.0298953441336572E-3</v>
      </c>
      <c r="L207">
        <f>IF(AND(ABS((ChartCalculations!A207-Calculations!$F$3)/Calculations!$F$4)&lt;5,OR(A207&lt;=Calculations!$F$7,A207&gt;=Calculations!$F$8)),0.2*_xlfn.NORM.DIST(100,100,15,FALSE)*_xlfn.NORM.DIST(A207,Calculations!$F$3,Calculations!$F$4,FALSE)/_xlfn.NORM.DIST(Calculations!$F$3,Calculations!$F$3,Calculations!$F$4,FALSE),NA())</f>
        <v>5.0626906481441262E-8</v>
      </c>
      <c r="M207" t="e">
        <f>IF(AND(A207&gt;=Calculations!$F$7,A207&lt;=Calculations!$F$8),0.2*_xlfn.NORM.DIST(100,100,15,FALSE)*_xlfn.NORM.DIST(A207,Calculations!$F$3,Calculations!$F$4,FALSE)/_xlfn.NORM.DIST(Calculations!$F$3,Calculations!$F$3,Calculations!$F$4,FALSE),NA())</f>
        <v>#N/A</v>
      </c>
    </row>
    <row r="208" spans="1:13" x14ac:dyDescent="0.25">
      <c r="A208">
        <v>60.6000000000003</v>
      </c>
      <c r="B208" t="e">
        <f t="shared" si="30"/>
        <v>#N/A</v>
      </c>
      <c r="C208">
        <f t="shared" si="31"/>
        <v>8.4457448693550218E-4</v>
      </c>
      <c r="D208" t="e">
        <f t="shared" si="32"/>
        <v>#N/A</v>
      </c>
      <c r="E208" t="e">
        <f t="shared" si="33"/>
        <v>#N/A</v>
      </c>
      <c r="F208" t="e">
        <f t="shared" si="34"/>
        <v>#N/A</v>
      </c>
      <c r="G208" t="e">
        <f t="shared" si="35"/>
        <v>#N/A</v>
      </c>
      <c r="H208" t="e">
        <f t="shared" si="36"/>
        <v>#N/A</v>
      </c>
      <c r="I208" t="e">
        <f t="shared" si="37"/>
        <v>#N/A</v>
      </c>
      <c r="J208" t="e">
        <f t="shared" si="38"/>
        <v>#N/A</v>
      </c>
      <c r="K208">
        <f t="shared" si="39"/>
        <v>1.0445744869355023E-3</v>
      </c>
      <c r="L208">
        <f>IF(AND(ABS((ChartCalculations!A208-Calculations!$F$3)/Calculations!$F$4)&lt;5,OR(A208&lt;=Calculations!$F$7,A208&gt;=Calculations!$F$8)),0.2*_xlfn.NORM.DIST(100,100,15,FALSE)*_xlfn.NORM.DIST(A208,Calculations!$F$3,Calculations!$F$4,FALSE)/_xlfn.NORM.DIST(Calculations!$F$3,Calculations!$F$3,Calculations!$F$4,FALSE),NA())</f>
        <v>7.3172215824488676E-8</v>
      </c>
      <c r="M208" t="e">
        <f>IF(AND(A208&gt;=Calculations!$F$7,A208&lt;=Calculations!$F$8),0.2*_xlfn.NORM.DIST(100,100,15,FALSE)*_xlfn.NORM.DIST(A208,Calculations!$F$3,Calculations!$F$4,FALSE)/_xlfn.NORM.DIST(Calculations!$F$3,Calculations!$F$3,Calculations!$F$4,FALSE),NA())</f>
        <v>#N/A</v>
      </c>
    </row>
    <row r="209" spans="1:13" x14ac:dyDescent="0.25">
      <c r="A209">
        <v>60.700000000000301</v>
      </c>
      <c r="B209" t="e">
        <f t="shared" si="30"/>
        <v>#N/A</v>
      </c>
      <c r="C209">
        <f t="shared" si="31"/>
        <v>8.5947507385973187E-4</v>
      </c>
      <c r="D209" t="e">
        <f t="shared" si="32"/>
        <v>#N/A</v>
      </c>
      <c r="E209" t="e">
        <f t="shared" si="33"/>
        <v>#N/A</v>
      </c>
      <c r="F209" t="e">
        <f t="shared" si="34"/>
        <v>#N/A</v>
      </c>
      <c r="G209" t="e">
        <f t="shared" si="35"/>
        <v>#N/A</v>
      </c>
      <c r="H209" t="e">
        <f t="shared" si="36"/>
        <v>#N/A</v>
      </c>
      <c r="I209" t="e">
        <f t="shared" si="37"/>
        <v>#N/A</v>
      </c>
      <c r="J209" t="e">
        <f t="shared" si="38"/>
        <v>#N/A</v>
      </c>
      <c r="K209">
        <f t="shared" si="39"/>
        <v>1.059475073859732E-3</v>
      </c>
      <c r="L209">
        <f>IF(AND(ABS((ChartCalculations!A209-Calculations!$F$3)/Calculations!$F$4)&lt;5,OR(A209&lt;=Calculations!$F$7,A209&gt;=Calculations!$F$8)),0.2*_xlfn.NORM.DIST(100,100,15,FALSE)*_xlfn.NORM.DIST(A209,Calculations!$F$3,Calculations!$F$4,FALSE)/_xlfn.NORM.DIST(Calculations!$F$3,Calculations!$F$3,Calculations!$F$4,FALSE),NA())</f>
        <v>1.0512879280731645E-7</v>
      </c>
      <c r="M209" t="e">
        <f>IF(AND(A209&gt;=Calculations!$F$7,A209&lt;=Calculations!$F$8),0.2*_xlfn.NORM.DIST(100,100,15,FALSE)*_xlfn.NORM.DIST(A209,Calculations!$F$3,Calculations!$F$4,FALSE)/_xlfn.NORM.DIST(Calculations!$F$3,Calculations!$F$3,Calculations!$F$4,FALSE),NA())</f>
        <v>#N/A</v>
      </c>
    </row>
    <row r="210" spans="1:13" x14ac:dyDescent="0.25">
      <c r="A210">
        <v>60.800000000000303</v>
      </c>
      <c r="B210" t="e">
        <f t="shared" si="30"/>
        <v>#N/A</v>
      </c>
      <c r="C210">
        <f t="shared" si="31"/>
        <v>8.7459967563109533E-4</v>
      </c>
      <c r="D210" t="e">
        <f t="shared" si="32"/>
        <v>#N/A</v>
      </c>
      <c r="E210" t="e">
        <f t="shared" si="33"/>
        <v>#N/A</v>
      </c>
      <c r="F210" t="e">
        <f t="shared" si="34"/>
        <v>#N/A</v>
      </c>
      <c r="G210" t="e">
        <f t="shared" si="35"/>
        <v>#N/A</v>
      </c>
      <c r="H210" t="e">
        <f t="shared" si="36"/>
        <v>#N/A</v>
      </c>
      <c r="I210" t="e">
        <f t="shared" si="37"/>
        <v>#N/A</v>
      </c>
      <c r="J210" t="e">
        <f t="shared" si="38"/>
        <v>#N/A</v>
      </c>
      <c r="K210">
        <f t="shared" si="39"/>
        <v>1.0745996756310954E-3</v>
      </c>
      <c r="L210">
        <f>IF(AND(ABS((ChartCalculations!A210-Calculations!$F$3)/Calculations!$F$4)&lt;5,OR(A210&lt;=Calculations!$F$7,A210&gt;=Calculations!$F$8)),0.2*_xlfn.NORM.DIST(100,100,15,FALSE)*_xlfn.NORM.DIST(A210,Calculations!$F$3,Calculations!$F$4,FALSE)/_xlfn.NORM.DIST(Calculations!$F$3,Calculations!$F$3,Calculations!$F$4,FALSE),NA())</f>
        <v>1.5014393828948943E-7</v>
      </c>
      <c r="M210" t="e">
        <f>IF(AND(A210&gt;=Calculations!$F$7,A210&lt;=Calculations!$F$8),0.2*_xlfn.NORM.DIST(100,100,15,FALSE)*_xlfn.NORM.DIST(A210,Calculations!$F$3,Calculations!$F$4,FALSE)/_xlfn.NORM.DIST(Calculations!$F$3,Calculations!$F$3,Calculations!$F$4,FALSE),NA())</f>
        <v>#N/A</v>
      </c>
    </row>
    <row r="211" spans="1:13" x14ac:dyDescent="0.25">
      <c r="A211">
        <v>60.900000000000297</v>
      </c>
      <c r="B211" t="e">
        <f t="shared" si="30"/>
        <v>#N/A</v>
      </c>
      <c r="C211">
        <f t="shared" si="31"/>
        <v>8.8995087814001841E-4</v>
      </c>
      <c r="D211" t="e">
        <f t="shared" si="32"/>
        <v>#N/A</v>
      </c>
      <c r="E211" t="e">
        <f t="shared" si="33"/>
        <v>#N/A</v>
      </c>
      <c r="F211" t="e">
        <f t="shared" si="34"/>
        <v>#N/A</v>
      </c>
      <c r="G211" t="e">
        <f t="shared" si="35"/>
        <v>#N/A</v>
      </c>
      <c r="H211" t="e">
        <f t="shared" si="36"/>
        <v>#N/A</v>
      </c>
      <c r="I211" t="e">
        <f t="shared" si="37"/>
        <v>#N/A</v>
      </c>
      <c r="J211" t="e">
        <f t="shared" si="38"/>
        <v>#N/A</v>
      </c>
      <c r="K211">
        <f t="shared" si="39"/>
        <v>1.0899508781400185E-3</v>
      </c>
      <c r="L211">
        <f>IF(AND(ABS((ChartCalculations!A211-Calculations!$F$3)/Calculations!$F$4)&lt;5,OR(A211&lt;=Calculations!$F$7,A211&gt;=Calculations!$F$8)),0.2*_xlfn.NORM.DIST(100,100,15,FALSE)*_xlfn.NORM.DIST(A211,Calculations!$F$3,Calculations!$F$4,FALSE)/_xlfn.NORM.DIST(Calculations!$F$3,Calculations!$F$3,Calculations!$F$4,FALSE),NA())</f>
        <v>2.1315944663648844E-7</v>
      </c>
      <c r="M211" t="e">
        <f>IF(AND(A211&gt;=Calculations!$F$7,A211&lt;=Calculations!$F$8),0.2*_xlfn.NORM.DIST(100,100,15,FALSE)*_xlfn.NORM.DIST(A211,Calculations!$F$3,Calculations!$F$4,FALSE)/_xlfn.NORM.DIST(Calculations!$F$3,Calculations!$F$3,Calculations!$F$4,FALSE),NA())</f>
        <v>#N/A</v>
      </c>
    </row>
    <row r="212" spans="1:13" x14ac:dyDescent="0.25">
      <c r="A212">
        <v>61.000000000000298</v>
      </c>
      <c r="B212" t="e">
        <f t="shared" si="30"/>
        <v>#N/A</v>
      </c>
      <c r="C212">
        <f t="shared" si="31"/>
        <v>9.0553128224575455E-4</v>
      </c>
      <c r="D212" t="e">
        <f t="shared" si="32"/>
        <v>#N/A</v>
      </c>
      <c r="E212" t="e">
        <f t="shared" si="33"/>
        <v>#N/A</v>
      </c>
      <c r="F212" t="e">
        <f t="shared" si="34"/>
        <v>#N/A</v>
      </c>
      <c r="G212" t="e">
        <f t="shared" si="35"/>
        <v>#N/A</v>
      </c>
      <c r="H212" t="e">
        <f t="shared" si="36"/>
        <v>#N/A</v>
      </c>
      <c r="I212" t="e">
        <f t="shared" si="37"/>
        <v>#N/A</v>
      </c>
      <c r="J212" t="e">
        <f t="shared" si="38"/>
        <v>#N/A</v>
      </c>
      <c r="K212">
        <f t="shared" si="39"/>
        <v>1.1055312822457546E-3</v>
      </c>
      <c r="L212">
        <f>IF(AND(ABS((ChartCalculations!A212-Calculations!$F$3)/Calculations!$F$4)&lt;5,OR(A212&lt;=Calculations!$F$7,A212&gt;=Calculations!$F$8)),0.2*_xlfn.NORM.DIST(100,100,15,FALSE)*_xlfn.NORM.DIST(A212,Calculations!$F$3,Calculations!$F$4,FALSE)/_xlfn.NORM.DIST(Calculations!$F$3,Calculations!$F$3,Calculations!$F$4,FALSE),NA())</f>
        <v>3.0082368024412636E-7</v>
      </c>
      <c r="M212" t="e">
        <f>IF(AND(A212&gt;=Calculations!$F$7,A212&lt;=Calculations!$F$8),0.2*_xlfn.NORM.DIST(100,100,15,FALSE)*_xlfn.NORM.DIST(A212,Calculations!$F$3,Calculations!$F$4,FALSE)/_xlfn.NORM.DIST(Calculations!$F$3,Calculations!$F$3,Calculations!$F$4,FALSE),NA())</f>
        <v>#N/A</v>
      </c>
    </row>
    <row r="213" spans="1:13" x14ac:dyDescent="0.25">
      <c r="A213">
        <v>61.1000000000003</v>
      </c>
      <c r="B213" t="e">
        <f t="shared" si="30"/>
        <v>#N/A</v>
      </c>
      <c r="C213">
        <f t="shared" si="31"/>
        <v>9.2134350357270614E-4</v>
      </c>
      <c r="D213" t="e">
        <f t="shared" si="32"/>
        <v>#N/A</v>
      </c>
      <c r="E213" t="e">
        <f t="shared" si="33"/>
        <v>#N/A</v>
      </c>
      <c r="F213" t="e">
        <f t="shared" si="34"/>
        <v>#N/A</v>
      </c>
      <c r="G213" t="e">
        <f t="shared" si="35"/>
        <v>#N/A</v>
      </c>
      <c r="H213" t="e">
        <f t="shared" si="36"/>
        <v>#N/A</v>
      </c>
      <c r="I213" t="e">
        <f t="shared" si="37"/>
        <v>#N/A</v>
      </c>
      <c r="J213" t="e">
        <f t="shared" si="38"/>
        <v>#N/A</v>
      </c>
      <c r="K213">
        <f t="shared" si="39"/>
        <v>1.1213435035727062E-3</v>
      </c>
      <c r="L213">
        <f>IF(AND(ABS((ChartCalculations!A213-Calculations!$F$3)/Calculations!$F$4)&lt;5,OR(A213&lt;=Calculations!$F$7,A213&gt;=Calculations!$F$8)),0.2*_xlfn.NORM.DIST(100,100,15,FALSE)*_xlfn.NORM.DIST(A213,Calculations!$F$3,Calculations!$F$4,FALSE)/_xlfn.NORM.DIST(Calculations!$F$3,Calculations!$F$3,Calculations!$F$4,FALSE),NA())</f>
        <v>4.2201716049416298E-7</v>
      </c>
      <c r="M213" t="e">
        <f>IF(AND(A213&gt;=Calculations!$F$7,A213&lt;=Calculations!$F$8),0.2*_xlfn.NORM.DIST(100,100,15,FALSE)*_xlfn.NORM.DIST(A213,Calculations!$F$3,Calculations!$F$4,FALSE)/_xlfn.NORM.DIST(Calculations!$F$3,Calculations!$F$3,Calculations!$F$4,FALSE),NA())</f>
        <v>#N/A</v>
      </c>
    </row>
    <row r="214" spans="1:13" x14ac:dyDescent="0.25">
      <c r="A214">
        <v>61.200000000000301</v>
      </c>
      <c r="B214" t="e">
        <f t="shared" si="30"/>
        <v>#N/A</v>
      </c>
      <c r="C214">
        <f t="shared" si="31"/>
        <v>9.3739017229987453E-4</v>
      </c>
      <c r="D214" t="e">
        <f t="shared" si="32"/>
        <v>#N/A</v>
      </c>
      <c r="E214" t="e">
        <f t="shared" si="33"/>
        <v>#N/A</v>
      </c>
      <c r="F214" t="e">
        <f t="shared" si="34"/>
        <v>#N/A</v>
      </c>
      <c r="G214" t="e">
        <f t="shared" si="35"/>
        <v>#N/A</v>
      </c>
      <c r="H214" t="e">
        <f t="shared" si="36"/>
        <v>#N/A</v>
      </c>
      <c r="I214" t="e">
        <f t="shared" si="37"/>
        <v>#N/A</v>
      </c>
      <c r="J214" t="e">
        <f t="shared" si="38"/>
        <v>#N/A</v>
      </c>
      <c r="K214">
        <f t="shared" si="39"/>
        <v>1.1373901722998745E-3</v>
      </c>
      <c r="L214">
        <f>IF(AND(ABS((ChartCalculations!A214-Calculations!$F$3)/Calculations!$F$4)&lt;5,OR(A214&lt;=Calculations!$F$7,A214&gt;=Calculations!$F$8)),0.2*_xlfn.NORM.DIST(100,100,15,FALSE)*_xlfn.NORM.DIST(A214,Calculations!$F$3,Calculations!$F$4,FALSE)/_xlfn.NORM.DIST(Calculations!$F$3,Calculations!$F$3,Calculations!$F$4,FALSE),NA())</f>
        <v>5.8851678944261736E-7</v>
      </c>
      <c r="M214" t="e">
        <f>IF(AND(A214&gt;=Calculations!$F$7,A214&lt;=Calculations!$F$8),0.2*_xlfn.NORM.DIST(100,100,15,FALSE)*_xlfn.NORM.DIST(A214,Calculations!$F$3,Calculations!$F$4,FALSE)/_xlfn.NORM.DIST(Calculations!$F$3,Calculations!$F$3,Calculations!$F$4,FALSE),NA())</f>
        <v>#N/A</v>
      </c>
    </row>
    <row r="215" spans="1:13" x14ac:dyDescent="0.25">
      <c r="A215">
        <v>61.300000000000303</v>
      </c>
      <c r="B215" t="e">
        <f t="shared" si="30"/>
        <v>#N/A</v>
      </c>
      <c r="C215">
        <f t="shared" si="31"/>
        <v>9.5367393294336301E-4</v>
      </c>
      <c r="D215" t="e">
        <f t="shared" si="32"/>
        <v>#N/A</v>
      </c>
      <c r="E215" t="e">
        <f t="shared" si="33"/>
        <v>#N/A</v>
      </c>
      <c r="F215" t="e">
        <f t="shared" si="34"/>
        <v>#N/A</v>
      </c>
      <c r="G215" t="e">
        <f t="shared" si="35"/>
        <v>#N/A</v>
      </c>
      <c r="H215" t="e">
        <f t="shared" si="36"/>
        <v>#N/A</v>
      </c>
      <c r="I215" t="e">
        <f t="shared" si="37"/>
        <v>#N/A</v>
      </c>
      <c r="J215" t="e">
        <f t="shared" si="38"/>
        <v>#N/A</v>
      </c>
      <c r="K215">
        <f t="shared" si="39"/>
        <v>1.153673932943363E-3</v>
      </c>
      <c r="L215">
        <f>IF(AND(ABS((ChartCalculations!A215-Calculations!$F$3)/Calculations!$F$4)&lt;5,OR(A215&lt;=Calculations!$F$7,A215&gt;=Calculations!$F$8)),0.2*_xlfn.NORM.DIST(100,100,15,FALSE)*_xlfn.NORM.DIST(A215,Calculations!$F$3,Calculations!$F$4,FALSE)/_xlfn.NORM.DIST(Calculations!$F$3,Calculations!$F$3,Calculations!$F$4,FALSE),NA())</f>
        <v>8.1582734539761121E-7</v>
      </c>
      <c r="M215" t="e">
        <f>IF(AND(A215&gt;=Calculations!$F$7,A215&lt;=Calculations!$F$8),0.2*_xlfn.NORM.DIST(100,100,15,FALSE)*_xlfn.NORM.DIST(A215,Calculations!$F$3,Calculations!$F$4,FALSE)/_xlfn.NORM.DIST(Calculations!$F$3,Calculations!$F$3,Calculations!$F$4,FALSE),NA())</f>
        <v>#N/A</v>
      </c>
    </row>
    <row r="216" spans="1:13" x14ac:dyDescent="0.25">
      <c r="A216">
        <v>61.400000000000297</v>
      </c>
      <c r="B216" t="e">
        <f t="shared" si="30"/>
        <v>#N/A</v>
      </c>
      <c r="C216">
        <f t="shared" si="31"/>
        <v>9.701974441318718E-4</v>
      </c>
      <c r="D216" t="e">
        <f t="shared" si="32"/>
        <v>#N/A</v>
      </c>
      <c r="E216" t="e">
        <f t="shared" si="33"/>
        <v>#N/A</v>
      </c>
      <c r="F216" t="e">
        <f t="shared" si="34"/>
        <v>#N/A</v>
      </c>
      <c r="G216" t="e">
        <f t="shared" si="35"/>
        <v>#N/A</v>
      </c>
      <c r="H216" t="e">
        <f t="shared" si="36"/>
        <v>#N/A</v>
      </c>
      <c r="I216" t="e">
        <f t="shared" si="37"/>
        <v>#N/A</v>
      </c>
      <c r="J216" t="e">
        <f t="shared" si="38"/>
        <v>#N/A</v>
      </c>
      <c r="K216">
        <f t="shared" si="39"/>
        <v>1.1701974441318719E-3</v>
      </c>
      <c r="L216">
        <f>IF(AND(ABS((ChartCalculations!A216-Calculations!$F$3)/Calculations!$F$4)&lt;5,OR(A216&lt;=Calculations!$F$7,A216&gt;=Calculations!$F$8)),0.2*_xlfn.NORM.DIST(100,100,15,FALSE)*_xlfn.NORM.DIST(A216,Calculations!$F$3,Calculations!$F$4,FALSE)/_xlfn.NORM.DIST(Calculations!$F$3,Calculations!$F$3,Calculations!$F$4,FALSE),NA())</f>
        <v>1.1242122526756279E-6</v>
      </c>
      <c r="M216" t="e">
        <f>IF(AND(A216&gt;=Calculations!$F$7,A216&lt;=Calculations!$F$8),0.2*_xlfn.NORM.DIST(100,100,15,FALSE)*_xlfn.NORM.DIST(A216,Calculations!$F$3,Calculations!$F$4,FALSE)/_xlfn.NORM.DIST(Calculations!$F$3,Calculations!$F$3,Calculations!$F$4,FALSE),NA())</f>
        <v>#N/A</v>
      </c>
    </row>
    <row r="217" spans="1:13" x14ac:dyDescent="0.25">
      <c r="A217">
        <v>61.500000000000298</v>
      </c>
      <c r="B217" t="e">
        <f t="shared" si="30"/>
        <v>#N/A</v>
      </c>
      <c r="C217">
        <f t="shared" si="31"/>
        <v>9.8696337837513655E-4</v>
      </c>
      <c r="D217" t="e">
        <f t="shared" si="32"/>
        <v>#N/A</v>
      </c>
      <c r="E217" t="e">
        <f t="shared" si="33"/>
        <v>#N/A</v>
      </c>
      <c r="F217" t="e">
        <f t="shared" si="34"/>
        <v>#N/A</v>
      </c>
      <c r="G217" t="e">
        <f t="shared" si="35"/>
        <v>#N/A</v>
      </c>
      <c r="H217" t="e">
        <f t="shared" si="36"/>
        <v>#N/A</v>
      </c>
      <c r="I217" t="e">
        <f t="shared" si="37"/>
        <v>#N/A</v>
      </c>
      <c r="J217" t="e">
        <f t="shared" si="38"/>
        <v>#N/A</v>
      </c>
      <c r="K217">
        <f t="shared" si="39"/>
        <v>1.1869633783751366E-3</v>
      </c>
      <c r="L217">
        <f>IF(AND(ABS((ChartCalculations!A217-Calculations!$F$3)/Calculations!$F$4)&lt;5,OR(A217&lt;=Calculations!$F$7,A217&gt;=Calculations!$F$8)),0.2*_xlfn.NORM.DIST(100,100,15,FALSE)*_xlfn.NORM.DIST(A217,Calculations!$F$3,Calculations!$F$4,FALSE)/_xlfn.NORM.DIST(Calculations!$F$3,Calculations!$F$3,Calculations!$F$4,FALSE),NA())</f>
        <v>1.5399585291541923E-6</v>
      </c>
      <c r="M217" t="e">
        <f>IF(AND(A217&gt;=Calculations!$F$7,A217&lt;=Calculations!$F$8),0.2*_xlfn.NORM.DIST(100,100,15,FALSE)*_xlfn.NORM.DIST(A217,Calculations!$F$3,Calculations!$F$4,FALSE)/_xlfn.NORM.DIST(Calculations!$F$3,Calculations!$F$3,Calculations!$F$4,FALSE),NA())</f>
        <v>#N/A</v>
      </c>
    </row>
    <row r="218" spans="1:13" x14ac:dyDescent="0.25">
      <c r="A218">
        <v>61.6000000000003</v>
      </c>
      <c r="B218" t="e">
        <f t="shared" si="30"/>
        <v>#N/A</v>
      </c>
      <c r="C218">
        <f t="shared" si="31"/>
        <v>1.0039744218252147E-3</v>
      </c>
      <c r="D218" t="e">
        <f t="shared" si="32"/>
        <v>#N/A</v>
      </c>
      <c r="E218" t="e">
        <f t="shared" si="33"/>
        <v>#N/A</v>
      </c>
      <c r="F218" t="e">
        <f t="shared" si="34"/>
        <v>#N/A</v>
      </c>
      <c r="G218" t="e">
        <f t="shared" si="35"/>
        <v>#N/A</v>
      </c>
      <c r="H218" t="e">
        <f t="shared" si="36"/>
        <v>#N/A</v>
      </c>
      <c r="I218" t="e">
        <f t="shared" si="37"/>
        <v>#N/A</v>
      </c>
      <c r="J218" t="e">
        <f t="shared" si="38"/>
        <v>#N/A</v>
      </c>
      <c r="K218">
        <f t="shared" si="39"/>
        <v>1.2039744218252147E-3</v>
      </c>
      <c r="L218">
        <f>IF(AND(ABS((ChartCalculations!A218-Calculations!$F$3)/Calculations!$F$4)&lt;5,OR(A218&lt;=Calculations!$F$7,A218&gt;=Calculations!$F$8)),0.2*_xlfn.NORM.DIST(100,100,15,FALSE)*_xlfn.NORM.DIST(A218,Calculations!$F$3,Calculations!$F$4,FALSE)/_xlfn.NORM.DIST(Calculations!$F$3,Calculations!$F$3,Calculations!$F$4,FALSE),NA())</f>
        <v>2.0969129015438107E-6</v>
      </c>
      <c r="M218" t="e">
        <f>IF(AND(A218&gt;=Calculations!$F$7,A218&lt;=Calculations!$F$8),0.2*_xlfn.NORM.DIST(100,100,15,FALSE)*_xlfn.NORM.DIST(A218,Calculations!$F$3,Calculations!$F$4,FALSE)/_xlfn.NORM.DIST(Calculations!$F$3,Calculations!$F$3,Calculations!$F$4,FALSE),NA())</f>
        <v>#N/A</v>
      </c>
    </row>
    <row r="219" spans="1:13" x14ac:dyDescent="0.25">
      <c r="A219">
        <v>61.700000000000301</v>
      </c>
      <c r="B219" t="e">
        <f t="shared" si="30"/>
        <v>#N/A</v>
      </c>
      <c r="C219">
        <f t="shared" si="31"/>
        <v>1.0212332740306073E-3</v>
      </c>
      <c r="D219" t="e">
        <f t="shared" si="32"/>
        <v>#N/A</v>
      </c>
      <c r="E219" t="e">
        <f t="shared" si="33"/>
        <v>#N/A</v>
      </c>
      <c r="F219" t="e">
        <f t="shared" si="34"/>
        <v>#N/A</v>
      </c>
      <c r="G219" t="e">
        <f t="shared" si="35"/>
        <v>#N/A</v>
      </c>
      <c r="H219" t="e">
        <f t="shared" si="36"/>
        <v>#N/A</v>
      </c>
      <c r="I219" t="e">
        <f t="shared" si="37"/>
        <v>#N/A</v>
      </c>
      <c r="J219" t="e">
        <f t="shared" si="38"/>
        <v>#N/A</v>
      </c>
      <c r="K219">
        <f t="shared" si="39"/>
        <v>1.2212332740306074E-3</v>
      </c>
      <c r="L219">
        <f>IF(AND(ABS((ChartCalculations!A219-Calculations!$F$3)/Calculations!$F$4)&lt;5,OR(A219&lt;=Calculations!$F$7,A219&gt;=Calculations!$F$8)),0.2*_xlfn.NORM.DIST(100,100,15,FALSE)*_xlfn.NORM.DIST(A219,Calculations!$F$3,Calculations!$F$4,FALSE)/_xlfn.NORM.DIST(Calculations!$F$3,Calculations!$F$3,Calculations!$F$4,FALSE),NA())</f>
        <v>2.8383268990376932E-6</v>
      </c>
      <c r="M219" t="e">
        <f>IF(AND(A219&gt;=Calculations!$F$7,A219&lt;=Calculations!$F$8),0.2*_xlfn.NORM.DIST(100,100,15,FALSE)*_xlfn.NORM.DIST(A219,Calculations!$F$3,Calculations!$F$4,FALSE)/_xlfn.NORM.DIST(Calculations!$F$3,Calculations!$F$3,Calculations!$F$4,FALSE),NA())</f>
        <v>#N/A</v>
      </c>
    </row>
    <row r="220" spans="1:13" x14ac:dyDescent="0.25">
      <c r="A220">
        <v>61.800000000000303</v>
      </c>
      <c r="B220" t="e">
        <f t="shared" si="30"/>
        <v>#N/A</v>
      </c>
      <c r="C220">
        <f t="shared" si="31"/>
        <v>1.0387426476831233E-3</v>
      </c>
      <c r="D220" t="e">
        <f t="shared" si="32"/>
        <v>#N/A</v>
      </c>
      <c r="E220" t="e">
        <f t="shared" si="33"/>
        <v>#N/A</v>
      </c>
      <c r="F220" t="e">
        <f t="shared" si="34"/>
        <v>#N/A</v>
      </c>
      <c r="G220" t="e">
        <f t="shared" si="35"/>
        <v>#N/A</v>
      </c>
      <c r="H220" t="e">
        <f t="shared" si="36"/>
        <v>#N/A</v>
      </c>
      <c r="I220" t="e">
        <f t="shared" si="37"/>
        <v>#N/A</v>
      </c>
      <c r="J220" t="e">
        <f t="shared" si="38"/>
        <v>#N/A</v>
      </c>
      <c r="K220">
        <f t="shared" si="39"/>
        <v>1.2387426476831234E-3</v>
      </c>
      <c r="L220">
        <f>IF(AND(ABS((ChartCalculations!A220-Calculations!$F$3)/Calculations!$F$4)&lt;5,OR(A220&lt;=Calculations!$F$7,A220&gt;=Calculations!$F$8)),0.2*_xlfn.NORM.DIST(100,100,15,FALSE)*_xlfn.NORM.DIST(A220,Calculations!$F$3,Calculations!$F$4,FALSE)/_xlfn.NORM.DIST(Calculations!$F$3,Calculations!$F$3,Calculations!$F$4,FALSE),NA())</f>
        <v>3.8190477586092945E-6</v>
      </c>
      <c r="M220" t="e">
        <f>IF(AND(A220&gt;=Calculations!$F$7,A220&lt;=Calculations!$F$8),0.2*_xlfn.NORM.DIST(100,100,15,FALSE)*_xlfn.NORM.DIST(A220,Calculations!$F$3,Calculations!$F$4,FALSE)/_xlfn.NORM.DIST(Calculations!$F$3,Calculations!$F$3,Calculations!$F$4,FALSE),NA())</f>
        <v>#N/A</v>
      </c>
    </row>
    <row r="221" spans="1:13" x14ac:dyDescent="0.25">
      <c r="A221">
        <v>61.900000000000297</v>
      </c>
      <c r="B221" t="e">
        <f t="shared" si="30"/>
        <v>#N/A</v>
      </c>
      <c r="C221">
        <f t="shared" si="31"/>
        <v>1.0565052683574414E-3</v>
      </c>
      <c r="D221" t="e">
        <f t="shared" si="32"/>
        <v>#N/A</v>
      </c>
      <c r="E221" t="e">
        <f t="shared" si="33"/>
        <v>#N/A</v>
      </c>
      <c r="F221" t="e">
        <f t="shared" si="34"/>
        <v>#N/A</v>
      </c>
      <c r="G221" t="e">
        <f t="shared" si="35"/>
        <v>#N/A</v>
      </c>
      <c r="H221" t="e">
        <f t="shared" si="36"/>
        <v>#N/A</v>
      </c>
      <c r="I221" t="e">
        <f t="shared" si="37"/>
        <v>#N/A</v>
      </c>
      <c r="J221" t="e">
        <f t="shared" si="38"/>
        <v>#N/A</v>
      </c>
      <c r="K221">
        <f t="shared" si="39"/>
        <v>1.2565052683574415E-3</v>
      </c>
      <c r="L221">
        <f>IF(AND(ABS((ChartCalculations!A221-Calculations!$F$3)/Calculations!$F$4)&lt;5,OR(A221&lt;=Calculations!$F$7,A221&gt;=Calculations!$F$8)),0.2*_xlfn.NORM.DIST(100,100,15,FALSE)*_xlfn.NORM.DIST(A221,Calculations!$F$3,Calculations!$F$4,FALSE)/_xlfn.NORM.DIST(Calculations!$F$3,Calculations!$F$3,Calculations!$F$4,FALSE),NA())</f>
        <v>5.1080885920013328E-6</v>
      </c>
      <c r="M221" t="e">
        <f>IF(AND(A221&gt;=Calculations!$F$7,A221&lt;=Calculations!$F$8),0.2*_xlfn.NORM.DIST(100,100,15,FALSE)*_xlfn.NORM.DIST(A221,Calculations!$F$3,Calculations!$F$4,FALSE)/_xlfn.NORM.DIST(Calculations!$F$3,Calculations!$F$3,Calculations!$F$4,FALSE),NA())</f>
        <v>#N/A</v>
      </c>
    </row>
    <row r="222" spans="1:13" x14ac:dyDescent="0.25">
      <c r="A222">
        <v>62.000000000000298</v>
      </c>
      <c r="B222" t="e">
        <f t="shared" si="30"/>
        <v>#N/A</v>
      </c>
      <c r="C222">
        <f t="shared" si="31"/>
        <v>1.0745238742433205E-3</v>
      </c>
      <c r="D222" t="e">
        <f t="shared" si="32"/>
        <v>#N/A</v>
      </c>
      <c r="E222" t="e">
        <f t="shared" si="33"/>
        <v>#N/A</v>
      </c>
      <c r="F222" t="e">
        <f t="shared" si="34"/>
        <v>#N/A</v>
      </c>
      <c r="G222" t="e">
        <f t="shared" si="35"/>
        <v>#N/A</v>
      </c>
      <c r="H222" t="e">
        <f t="shared" si="36"/>
        <v>#N/A</v>
      </c>
      <c r="I222" t="e">
        <f t="shared" si="37"/>
        <v>#N/A</v>
      </c>
      <c r="J222" t="e">
        <f t="shared" si="38"/>
        <v>#N/A</v>
      </c>
      <c r="K222">
        <f t="shared" si="39"/>
        <v>1.2745238742433206E-3</v>
      </c>
      <c r="L222">
        <f>IF(AND(ABS((ChartCalculations!A222-Calculations!$F$3)/Calculations!$F$4)&lt;5,OR(A222&lt;=Calculations!$F$7,A222&gt;=Calculations!$F$8)),0.2*_xlfn.NORM.DIST(100,100,15,FALSE)*_xlfn.NORM.DIST(A222,Calculations!$F$3,Calculations!$F$4,FALSE)/_xlfn.NORM.DIST(Calculations!$F$3,Calculations!$F$3,Calculations!$F$4,FALSE),NA())</f>
        <v>6.7916048109190187E-6</v>
      </c>
      <c r="M222" t="e">
        <f>IF(AND(A222&gt;=Calculations!$F$7,A222&lt;=Calculations!$F$8),0.2*_xlfn.NORM.DIST(100,100,15,FALSE)*_xlfn.NORM.DIST(A222,Calculations!$F$3,Calculations!$F$4,FALSE)/_xlfn.NORM.DIST(Calculations!$F$3,Calculations!$F$3,Calculations!$F$4,FALSE),NA())</f>
        <v>#N/A</v>
      </c>
    </row>
    <row r="223" spans="1:13" x14ac:dyDescent="0.25">
      <c r="A223">
        <v>62.1000000000003</v>
      </c>
      <c r="B223" t="e">
        <f t="shared" si="30"/>
        <v>#N/A</v>
      </c>
      <c r="C223">
        <f t="shared" si="31"/>
        <v>1.0928012158703845E-3</v>
      </c>
      <c r="D223" t="e">
        <f t="shared" si="32"/>
        <v>#N/A</v>
      </c>
      <c r="E223" t="e">
        <f t="shared" si="33"/>
        <v>#N/A</v>
      </c>
      <c r="F223" t="e">
        <f t="shared" si="34"/>
        <v>#N/A</v>
      </c>
      <c r="G223" t="e">
        <f t="shared" si="35"/>
        <v>#N/A</v>
      </c>
      <c r="H223" t="e">
        <f t="shared" si="36"/>
        <v>#N/A</v>
      </c>
      <c r="I223" t="e">
        <f t="shared" si="37"/>
        <v>#N/A</v>
      </c>
      <c r="J223" t="e">
        <f t="shared" si="38"/>
        <v>#N/A</v>
      </c>
      <c r="K223">
        <f t="shared" si="39"/>
        <v>1.2928012158703846E-3</v>
      </c>
      <c r="L223">
        <f>IF(AND(ABS((ChartCalculations!A223-Calculations!$F$3)/Calculations!$F$4)&lt;5,OR(A223&lt;=Calculations!$F$7,A223&gt;=Calculations!$F$8)),0.2*_xlfn.NORM.DIST(100,100,15,FALSE)*_xlfn.NORM.DIST(A223,Calculations!$F$3,Calculations!$F$4,FALSE)/_xlfn.NORM.DIST(Calculations!$F$3,Calculations!$F$3,Calculations!$F$4,FALSE),NA())</f>
        <v>8.9762935917751013E-6</v>
      </c>
      <c r="M223" t="e">
        <f>IF(AND(A223&gt;=Calculations!$F$7,A223&lt;=Calculations!$F$8),0.2*_xlfn.NORM.DIST(100,100,15,FALSE)*_xlfn.NORM.DIST(A223,Calculations!$F$3,Calculations!$F$4,FALSE)/_xlfn.NORM.DIST(Calculations!$F$3,Calculations!$F$3,Calculations!$F$4,FALSE),NA())</f>
        <v>#N/A</v>
      </c>
    </row>
    <row r="224" spans="1:13" x14ac:dyDescent="0.25">
      <c r="A224">
        <v>62.200000000000301</v>
      </c>
      <c r="B224" t="e">
        <f t="shared" si="30"/>
        <v>#N/A</v>
      </c>
      <c r="C224">
        <f t="shared" si="31"/>
        <v>1.1113400558254601E-3</v>
      </c>
      <c r="D224" t="e">
        <f t="shared" si="32"/>
        <v>#N/A</v>
      </c>
      <c r="E224" t="e">
        <f t="shared" si="33"/>
        <v>#N/A</v>
      </c>
      <c r="F224" t="e">
        <f t="shared" si="34"/>
        <v>#N/A</v>
      </c>
      <c r="G224" t="e">
        <f t="shared" si="35"/>
        <v>#N/A</v>
      </c>
      <c r="H224" t="e">
        <f t="shared" si="36"/>
        <v>#N/A</v>
      </c>
      <c r="I224" t="e">
        <f t="shared" si="37"/>
        <v>#N/A</v>
      </c>
      <c r="J224" t="e">
        <f t="shared" si="38"/>
        <v>#N/A</v>
      </c>
      <c r="K224">
        <f t="shared" si="39"/>
        <v>1.3113400558254602E-3</v>
      </c>
      <c r="L224">
        <f>IF(AND(ABS((ChartCalculations!A224-Calculations!$F$3)/Calculations!$F$4)&lt;5,OR(A224&lt;=Calculations!$F$7,A224&gt;=Calculations!$F$8)),0.2*_xlfn.NORM.DIST(100,100,15,FALSE)*_xlfn.NORM.DIST(A224,Calculations!$F$3,Calculations!$F$4,FALSE)/_xlfn.NORM.DIST(Calculations!$F$3,Calculations!$F$3,Calculations!$F$4,FALSE),NA())</f>
        <v>1.1793218509197585E-5</v>
      </c>
      <c r="M224" t="e">
        <f>IF(AND(A224&gt;=Calculations!$F$7,A224&lt;=Calculations!$F$8),0.2*_xlfn.NORM.DIST(100,100,15,FALSE)*_xlfn.NORM.DIST(A224,Calculations!$F$3,Calculations!$F$4,FALSE)/_xlfn.NORM.DIST(Calculations!$F$3,Calculations!$F$3,Calculations!$F$4,FALSE),NA())</f>
        <v>#N/A</v>
      </c>
    </row>
    <row r="225" spans="1:13" x14ac:dyDescent="0.25">
      <c r="A225">
        <v>62.300000000000303</v>
      </c>
      <c r="B225" t="e">
        <f t="shared" si="30"/>
        <v>#N/A</v>
      </c>
      <c r="C225">
        <f t="shared" si="31"/>
        <v>1.1301431684623772E-3</v>
      </c>
      <c r="D225" t="e">
        <f t="shared" si="32"/>
        <v>#N/A</v>
      </c>
      <c r="E225" t="e">
        <f t="shared" si="33"/>
        <v>#N/A</v>
      </c>
      <c r="F225" t="e">
        <f t="shared" si="34"/>
        <v>#N/A</v>
      </c>
      <c r="G225" t="e">
        <f t="shared" si="35"/>
        <v>#N/A</v>
      </c>
      <c r="H225" t="e">
        <f t="shared" si="36"/>
        <v>#N/A</v>
      </c>
      <c r="I225" t="e">
        <f t="shared" si="37"/>
        <v>#N/A</v>
      </c>
      <c r="J225" t="e">
        <f t="shared" si="38"/>
        <v>#N/A</v>
      </c>
      <c r="K225">
        <f t="shared" si="39"/>
        <v>1.3301431684623773E-3</v>
      </c>
      <c r="L225">
        <f>IF(AND(ABS((ChartCalculations!A225-Calculations!$F$3)/Calculations!$F$4)&lt;5,OR(A225&lt;=Calculations!$F$7,A225&gt;=Calculations!$F$8)),0.2*_xlfn.NORM.DIST(100,100,15,FALSE)*_xlfn.NORM.DIST(A225,Calculations!$F$3,Calculations!$F$4,FALSE)/_xlfn.NORM.DIST(Calculations!$F$3,Calculations!$F$3,Calculations!$F$4,FALSE),NA())</f>
        <v>1.5402041775597036E-5</v>
      </c>
      <c r="M225" t="e">
        <f>IF(AND(A225&gt;=Calculations!$F$7,A225&lt;=Calculations!$F$8),0.2*_xlfn.NORM.DIST(100,100,15,FALSE)*_xlfn.NORM.DIST(A225,Calculations!$F$3,Calculations!$F$4,FALSE)/_xlfn.NORM.DIST(Calculations!$F$3,Calculations!$F$3,Calculations!$F$4,FALSE),NA())</f>
        <v>#N/A</v>
      </c>
    </row>
    <row r="226" spans="1:13" x14ac:dyDescent="0.25">
      <c r="A226">
        <v>62.400000000000297</v>
      </c>
      <c r="B226" t="e">
        <f t="shared" si="30"/>
        <v>#N/A</v>
      </c>
      <c r="C226">
        <f t="shared" si="31"/>
        <v>1.1492133396042202E-3</v>
      </c>
      <c r="D226" t="e">
        <f t="shared" si="32"/>
        <v>#N/A</v>
      </c>
      <c r="E226" t="e">
        <f t="shared" si="33"/>
        <v>#N/A</v>
      </c>
      <c r="F226" t="e">
        <f t="shared" si="34"/>
        <v>#N/A</v>
      </c>
      <c r="G226" t="e">
        <f t="shared" si="35"/>
        <v>#N/A</v>
      </c>
      <c r="H226" t="e">
        <f t="shared" si="36"/>
        <v>#N/A</v>
      </c>
      <c r="I226" t="e">
        <f t="shared" si="37"/>
        <v>#N/A</v>
      </c>
      <c r="J226" t="e">
        <f t="shared" si="38"/>
        <v>#N/A</v>
      </c>
      <c r="K226">
        <f t="shared" si="39"/>
        <v>1.3492133396042203E-3</v>
      </c>
      <c r="L226">
        <f>IF(AND(ABS((ChartCalculations!A226-Calculations!$F$3)/Calculations!$F$4)&lt;5,OR(A226&lt;=Calculations!$F$7,A226&gt;=Calculations!$F$8)),0.2*_xlfn.NORM.DIST(100,100,15,FALSE)*_xlfn.NORM.DIST(A226,Calculations!$F$3,Calculations!$F$4,FALSE)/_xlfn.NORM.DIST(Calculations!$F$3,Calculations!$F$3,Calculations!$F$4,FALSE),NA())</f>
        <v>1.9995621332188422E-5</v>
      </c>
      <c r="M226" t="e">
        <f>IF(AND(A226&gt;=Calculations!$F$7,A226&lt;=Calculations!$F$8),0.2*_xlfn.NORM.DIST(100,100,15,FALSE)*_xlfn.NORM.DIST(A226,Calculations!$F$3,Calculations!$F$4,FALSE)/_xlfn.NORM.DIST(Calculations!$F$3,Calculations!$F$3,Calculations!$F$4,FALSE),NA())</f>
        <v>#N/A</v>
      </c>
    </row>
    <row r="227" spans="1:13" x14ac:dyDescent="0.25">
      <c r="A227">
        <v>62.500000000000298</v>
      </c>
      <c r="B227" t="e">
        <f t="shared" si="30"/>
        <v>#N/A</v>
      </c>
      <c r="C227">
        <f t="shared" si="31"/>
        <v>1.1685533662379609E-3</v>
      </c>
      <c r="D227" t="e">
        <f t="shared" si="32"/>
        <v>#N/A</v>
      </c>
      <c r="E227" t="e">
        <f t="shared" si="33"/>
        <v>#N/A</v>
      </c>
      <c r="F227" t="e">
        <f t="shared" si="34"/>
        <v>#N/A</v>
      </c>
      <c r="G227" t="e">
        <f t="shared" si="35"/>
        <v>#N/A</v>
      </c>
      <c r="H227" t="e">
        <f t="shared" si="36"/>
        <v>#N/A</v>
      </c>
      <c r="I227" t="e">
        <f t="shared" si="37"/>
        <v>#N/A</v>
      </c>
      <c r="J227" t="e">
        <f t="shared" si="38"/>
        <v>#N/A</v>
      </c>
      <c r="K227">
        <f t="shared" si="39"/>
        <v>1.368553366237961E-3</v>
      </c>
      <c r="L227">
        <f>IF(AND(ABS((ChartCalculations!A227-Calculations!$F$3)/Calculations!$F$4)&lt;5,OR(A227&lt;=Calculations!$F$7,A227&gt;=Calculations!$F$8)),0.2*_xlfn.NORM.DIST(100,100,15,FALSE)*_xlfn.NORM.DIST(A227,Calculations!$F$3,Calculations!$F$4,FALSE)/_xlfn.NORM.DIST(Calculations!$F$3,Calculations!$F$3,Calculations!$F$4,FALSE),NA())</f>
        <v>2.5804899109125499E-5</v>
      </c>
      <c r="M227" t="e">
        <f>IF(AND(A227&gt;=Calculations!$F$7,A227&lt;=Calculations!$F$8),0.2*_xlfn.NORM.DIST(100,100,15,FALSE)*_xlfn.NORM.DIST(A227,Calculations!$F$3,Calculations!$F$4,FALSE)/_xlfn.NORM.DIST(Calculations!$F$3,Calculations!$F$3,Calculations!$F$4,FALSE),NA())</f>
        <v>#N/A</v>
      </c>
    </row>
    <row r="228" spans="1:13" x14ac:dyDescent="0.25">
      <c r="A228">
        <v>62.6000000000003</v>
      </c>
      <c r="B228" t="e">
        <f t="shared" si="30"/>
        <v>#N/A</v>
      </c>
      <c r="C228">
        <f t="shared" si="31"/>
        <v>1.1881660562014199E-3</v>
      </c>
      <c r="D228" t="e">
        <f t="shared" si="32"/>
        <v>#N/A</v>
      </c>
      <c r="E228" t="e">
        <f t="shared" si="33"/>
        <v>#N/A</v>
      </c>
      <c r="F228" t="e">
        <f t="shared" si="34"/>
        <v>#N/A</v>
      </c>
      <c r="G228" t="e">
        <f t="shared" si="35"/>
        <v>#N/A</v>
      </c>
      <c r="H228" t="e">
        <f t="shared" si="36"/>
        <v>#N/A</v>
      </c>
      <c r="I228" t="e">
        <f t="shared" si="37"/>
        <v>#N/A</v>
      </c>
      <c r="J228" t="e">
        <f t="shared" si="38"/>
        <v>#N/A</v>
      </c>
      <c r="K228">
        <f t="shared" si="39"/>
        <v>1.38816605620142E-3</v>
      </c>
      <c r="L228">
        <f>IF(AND(ABS((ChartCalculations!A228-Calculations!$F$3)/Calculations!$F$4)&lt;5,OR(A228&lt;=Calculations!$F$7,A228&gt;=Calculations!$F$8)),0.2*_xlfn.NORM.DIST(100,100,15,FALSE)*_xlfn.NORM.DIST(A228,Calculations!$F$3,Calculations!$F$4,FALSE)/_xlfn.NORM.DIST(Calculations!$F$3,Calculations!$F$3,Calculations!$F$4,FALSE),NA())</f>
        <v>3.3103970187618331E-5</v>
      </c>
      <c r="M228" t="e">
        <f>IF(AND(A228&gt;=Calculations!$F$7,A228&lt;=Calculations!$F$8),0.2*_xlfn.NORM.DIST(100,100,15,FALSE)*_xlfn.NORM.DIST(A228,Calculations!$F$3,Calculations!$F$4,FALSE)/_xlfn.NORM.DIST(Calculations!$F$3,Calculations!$F$3,Calculations!$F$4,FALSE),NA())</f>
        <v>#N/A</v>
      </c>
    </row>
    <row r="229" spans="1:13" x14ac:dyDescent="0.25">
      <c r="A229">
        <v>62.700000000000301</v>
      </c>
      <c r="B229" t="e">
        <f t="shared" si="30"/>
        <v>#N/A</v>
      </c>
      <c r="C229">
        <f t="shared" si="31"/>
        <v>1.2080542278625327E-3</v>
      </c>
      <c r="D229" t="e">
        <f t="shared" si="32"/>
        <v>#N/A</v>
      </c>
      <c r="E229" t="e">
        <f t="shared" si="33"/>
        <v>#N/A</v>
      </c>
      <c r="F229" t="e">
        <f t="shared" si="34"/>
        <v>#N/A</v>
      </c>
      <c r="G229" t="e">
        <f t="shared" si="35"/>
        <v>#N/A</v>
      </c>
      <c r="H229" t="e">
        <f t="shared" si="36"/>
        <v>#N/A</v>
      </c>
      <c r="I229" t="e">
        <f t="shared" si="37"/>
        <v>#N/A</v>
      </c>
      <c r="J229" t="e">
        <f t="shared" si="38"/>
        <v>#N/A</v>
      </c>
      <c r="K229">
        <f t="shared" si="39"/>
        <v>1.4080542278625328E-3</v>
      </c>
      <c r="L229">
        <f>IF(AND(ABS((ChartCalculations!A229-Calculations!$F$3)/Calculations!$F$4)&lt;5,OR(A229&lt;=Calculations!$F$7,A229&gt;=Calculations!$F$8)),0.2*_xlfn.NORM.DIST(100,100,15,FALSE)*_xlfn.NORM.DIST(A229,Calculations!$F$3,Calculations!$F$4,FALSE)/_xlfn.NORM.DIST(Calculations!$F$3,Calculations!$F$3,Calculations!$F$4,FALSE),NA())</f>
        <v>4.2215180842001023E-5</v>
      </c>
      <c r="M229" t="e">
        <f>IF(AND(A229&gt;=Calculations!$F$7,A229&lt;=Calculations!$F$8),0.2*_xlfn.NORM.DIST(100,100,15,FALSE)*_xlfn.NORM.DIST(A229,Calculations!$F$3,Calculations!$F$4,FALSE)/_xlfn.NORM.DIST(Calculations!$F$3,Calculations!$F$3,Calculations!$F$4,FALSE),NA())</f>
        <v>#N/A</v>
      </c>
    </row>
    <row r="230" spans="1:13" x14ac:dyDescent="0.25">
      <c r="A230">
        <v>62.800000000000303</v>
      </c>
      <c r="B230" t="e">
        <f t="shared" si="30"/>
        <v>#N/A</v>
      </c>
      <c r="C230">
        <f t="shared" si="31"/>
        <v>1.2282207097908642E-3</v>
      </c>
      <c r="D230" t="e">
        <f t="shared" si="32"/>
        <v>#N/A</v>
      </c>
      <c r="E230" t="e">
        <f t="shared" si="33"/>
        <v>#N/A</v>
      </c>
      <c r="F230" t="e">
        <f t="shared" si="34"/>
        <v>#N/A</v>
      </c>
      <c r="G230" t="e">
        <f t="shared" si="35"/>
        <v>#N/A</v>
      </c>
      <c r="H230" t="e">
        <f t="shared" si="36"/>
        <v>#N/A</v>
      </c>
      <c r="I230" t="e">
        <f t="shared" si="37"/>
        <v>#N/A</v>
      </c>
      <c r="J230" t="e">
        <f t="shared" si="38"/>
        <v>#N/A</v>
      </c>
      <c r="K230">
        <f t="shared" si="39"/>
        <v>1.4282207097908643E-3</v>
      </c>
      <c r="L230">
        <f>IF(AND(ABS((ChartCalculations!A230-Calculations!$F$3)/Calculations!$F$4)&lt;5,OR(A230&lt;=Calculations!$F$7,A230&gt;=Calculations!$F$8)),0.2*_xlfn.NORM.DIST(100,100,15,FALSE)*_xlfn.NORM.DIST(A230,Calculations!$F$3,Calculations!$F$4,FALSE)/_xlfn.NORM.DIST(Calculations!$F$3,Calculations!$F$3,Calculations!$F$4,FALSE),NA())</f>
        <v>5.351405749914055E-5</v>
      </c>
      <c r="M230" t="e">
        <f>IF(AND(A230&gt;=Calculations!$F$7,A230&lt;=Calculations!$F$8),0.2*_xlfn.NORM.DIST(100,100,15,FALSE)*_xlfn.NORM.DIST(A230,Calculations!$F$3,Calculations!$F$4,FALSE)/_xlfn.NORM.DIST(Calculations!$F$3,Calculations!$F$3,Calculations!$F$4,FALSE),NA())</f>
        <v>#N/A</v>
      </c>
    </row>
    <row r="231" spans="1:13" x14ac:dyDescent="0.25">
      <c r="A231">
        <v>62.900000000000297</v>
      </c>
      <c r="B231" t="e">
        <f t="shared" si="30"/>
        <v>#N/A</v>
      </c>
      <c r="C231">
        <f t="shared" si="31"/>
        <v>1.248668340421329E-3</v>
      </c>
      <c r="D231" t="e">
        <f t="shared" si="32"/>
        <v>#N/A</v>
      </c>
      <c r="E231" t="e">
        <f t="shared" si="33"/>
        <v>#N/A</v>
      </c>
      <c r="F231" t="e">
        <f t="shared" si="34"/>
        <v>#N/A</v>
      </c>
      <c r="G231" t="e">
        <f t="shared" si="35"/>
        <v>#N/A</v>
      </c>
      <c r="H231" t="e">
        <f t="shared" si="36"/>
        <v>#N/A</v>
      </c>
      <c r="I231" t="e">
        <f t="shared" si="37"/>
        <v>#N/A</v>
      </c>
      <c r="J231" t="e">
        <f t="shared" si="38"/>
        <v>#N/A</v>
      </c>
      <c r="K231">
        <f t="shared" si="39"/>
        <v>1.4486683404213291E-3</v>
      </c>
      <c r="L231">
        <f>IF(AND(ABS((ChartCalculations!A231-Calculations!$F$3)/Calculations!$F$4)&lt;5,OR(A231&lt;=Calculations!$F$7,A231&gt;=Calculations!$F$8)),0.2*_xlfn.NORM.DIST(100,100,15,FALSE)*_xlfn.NORM.DIST(A231,Calculations!$F$3,Calculations!$F$4,FALSE)/_xlfn.NORM.DIST(Calculations!$F$3,Calculations!$F$3,Calculations!$F$4,FALSE),NA())</f>
        <v>6.7433820084845711E-5</v>
      </c>
      <c r="M231" t="e">
        <f>IF(AND(A231&gt;=Calculations!$F$7,A231&lt;=Calculations!$F$8),0.2*_xlfn.NORM.DIST(100,100,15,FALSE)*_xlfn.NORM.DIST(A231,Calculations!$F$3,Calculations!$F$4,FALSE)/_xlfn.NORM.DIST(Calculations!$F$3,Calculations!$F$3,Calculations!$F$4,FALSE),NA())</f>
        <v>#N/A</v>
      </c>
    </row>
    <row r="232" spans="1:13" x14ac:dyDescent="0.25">
      <c r="A232">
        <v>63.000000000000298</v>
      </c>
      <c r="B232" t="e">
        <f t="shared" si="30"/>
        <v>#N/A</v>
      </c>
      <c r="C232">
        <f t="shared" si="31"/>
        <v>1.2693999677100801E-3</v>
      </c>
      <c r="D232" t="e">
        <f t="shared" si="32"/>
        <v>#N/A</v>
      </c>
      <c r="E232" t="e">
        <f t="shared" si="33"/>
        <v>#N/A</v>
      </c>
      <c r="F232" t="e">
        <f t="shared" si="34"/>
        <v>#N/A</v>
      </c>
      <c r="G232" t="e">
        <f t="shared" si="35"/>
        <v>#N/A</v>
      </c>
      <c r="H232" t="e">
        <f t="shared" si="36"/>
        <v>#N/A</v>
      </c>
      <c r="I232" t="e">
        <f t="shared" si="37"/>
        <v>#N/A</v>
      </c>
      <c r="J232" t="e">
        <f t="shared" si="38"/>
        <v>#N/A</v>
      </c>
      <c r="K232">
        <f t="shared" si="39"/>
        <v>1.4693999677100802E-3</v>
      </c>
      <c r="L232">
        <f>IF(AND(ABS((ChartCalculations!A232-Calculations!$F$3)/Calculations!$F$4)&lt;5,OR(A232&lt;=Calculations!$F$7,A232&gt;=Calculations!$F$8)),0.2*_xlfn.NORM.DIST(100,100,15,FALSE)*_xlfn.NORM.DIST(A232,Calculations!$F$3,Calculations!$F$4,FALSE)/_xlfn.NORM.DIST(Calculations!$F$3,Calculations!$F$3,Calculations!$F$4,FALSE),NA())</f>
        <v>8.4469184217201125E-5</v>
      </c>
      <c r="M232" t="e">
        <f>IF(AND(A232&gt;=Calculations!$F$7,A232&lt;=Calculations!$F$8),0.2*_xlfn.NORM.DIST(100,100,15,FALSE)*_xlfn.NORM.DIST(A232,Calculations!$F$3,Calculations!$F$4,FALSE)/_xlfn.NORM.DIST(Calculations!$F$3,Calculations!$F$3,Calculations!$F$4,FALSE),NA())</f>
        <v>#N/A</v>
      </c>
    </row>
    <row r="233" spans="1:13" x14ac:dyDescent="0.25">
      <c r="A233">
        <v>63.1000000000003</v>
      </c>
      <c r="B233" t="e">
        <f t="shared" si="30"/>
        <v>#N/A</v>
      </c>
      <c r="C233">
        <f t="shared" si="31"/>
        <v>1.2904184487825274E-3</v>
      </c>
      <c r="D233" t="e">
        <f t="shared" si="32"/>
        <v>#N/A</v>
      </c>
      <c r="E233" t="e">
        <f t="shared" si="33"/>
        <v>#N/A</v>
      </c>
      <c r="F233" t="e">
        <f t="shared" si="34"/>
        <v>#N/A</v>
      </c>
      <c r="G233" t="e">
        <f t="shared" si="35"/>
        <v>#N/A</v>
      </c>
      <c r="H233" t="e">
        <f t="shared" si="36"/>
        <v>#N/A</v>
      </c>
      <c r="I233" t="e">
        <f t="shared" si="37"/>
        <v>#N/A</v>
      </c>
      <c r="J233" t="e">
        <f t="shared" si="38"/>
        <v>#N/A</v>
      </c>
      <c r="K233">
        <f t="shared" si="39"/>
        <v>1.4904184487825275E-3</v>
      </c>
      <c r="L233">
        <f>IF(AND(ABS((ChartCalculations!A233-Calculations!$F$3)/Calculations!$F$4)&lt;5,OR(A233&lt;=Calculations!$F$7,A233&gt;=Calculations!$F$8)),0.2*_xlfn.NORM.DIST(100,100,15,FALSE)*_xlfn.NORM.DIST(A233,Calculations!$F$3,Calculations!$F$4,FALSE)/_xlfn.NORM.DIST(Calculations!$F$3,Calculations!$F$3,Calculations!$F$4,FALSE),NA())</f>
        <v>1.0517911008440596E-4</v>
      </c>
      <c r="M233" t="e">
        <f>IF(AND(A233&gt;=Calculations!$F$7,A233&lt;=Calculations!$F$8),0.2*_xlfn.NORM.DIST(100,100,15,FALSE)*_xlfn.NORM.DIST(A233,Calculations!$F$3,Calculations!$F$4,FALSE)/_xlfn.NORM.DIST(Calculations!$F$3,Calculations!$F$3,Calculations!$F$4,FALSE),NA())</f>
        <v>#N/A</v>
      </c>
    </row>
    <row r="234" spans="1:13" x14ac:dyDescent="0.25">
      <c r="A234">
        <v>63.200000000000301</v>
      </c>
      <c r="B234" t="e">
        <f t="shared" si="30"/>
        <v>#N/A</v>
      </c>
      <c r="C234">
        <f t="shared" si="31"/>
        <v>1.3117266495734528E-3</v>
      </c>
      <c r="D234" t="e">
        <f t="shared" si="32"/>
        <v>#N/A</v>
      </c>
      <c r="E234" t="e">
        <f t="shared" si="33"/>
        <v>#N/A</v>
      </c>
      <c r="F234" t="e">
        <f t="shared" si="34"/>
        <v>#N/A</v>
      </c>
      <c r="G234" t="e">
        <f t="shared" si="35"/>
        <v>#N/A</v>
      </c>
      <c r="H234" t="e">
        <f t="shared" si="36"/>
        <v>#N/A</v>
      </c>
      <c r="I234" t="e">
        <f t="shared" si="37"/>
        <v>#N/A</v>
      </c>
      <c r="J234" t="e">
        <f t="shared" si="38"/>
        <v>#N/A</v>
      </c>
      <c r="K234">
        <f t="shared" si="39"/>
        <v>1.5117266495734529E-3</v>
      </c>
      <c r="L234">
        <f>IF(AND(ABS((ChartCalculations!A234-Calculations!$F$3)/Calculations!$F$4)&lt;5,OR(A234&lt;=Calculations!$F$7,A234&gt;=Calculations!$F$8)),0.2*_xlfn.NORM.DIST(100,100,15,FALSE)*_xlfn.NORM.DIST(A234,Calculations!$F$3,Calculations!$F$4,FALSE)/_xlfn.NORM.DIST(Calculations!$F$3,Calculations!$F$3,Calculations!$F$4,FALSE),NA())</f>
        <v>1.3018811505425036E-4</v>
      </c>
      <c r="M234" t="e">
        <f>IF(AND(A234&gt;=Calculations!$F$7,A234&lt;=Calculations!$F$8),0.2*_xlfn.NORM.DIST(100,100,15,FALSE)*_xlfn.NORM.DIST(A234,Calculations!$F$3,Calculations!$F$4,FALSE)/_xlfn.NORM.DIST(Calculations!$F$3,Calculations!$F$3,Calculations!$F$4,FALSE),NA())</f>
        <v>#N/A</v>
      </c>
    </row>
    <row r="235" spans="1:13" x14ac:dyDescent="0.25">
      <c r="A235">
        <v>63.300000000000303</v>
      </c>
      <c r="B235" t="e">
        <f t="shared" si="30"/>
        <v>#N/A</v>
      </c>
      <c r="C235">
        <f t="shared" si="31"/>
        <v>1.3333274444591835E-3</v>
      </c>
      <c r="D235" t="e">
        <f t="shared" si="32"/>
        <v>#N/A</v>
      </c>
      <c r="E235" t="e">
        <f t="shared" si="33"/>
        <v>#N/A</v>
      </c>
      <c r="F235" t="e">
        <f t="shared" si="34"/>
        <v>#N/A</v>
      </c>
      <c r="G235" t="e">
        <f t="shared" si="35"/>
        <v>#N/A</v>
      </c>
      <c r="H235" t="e">
        <f t="shared" si="36"/>
        <v>#N/A</v>
      </c>
      <c r="I235" t="e">
        <f t="shared" si="37"/>
        <v>#N/A</v>
      </c>
      <c r="J235" t="e">
        <f t="shared" si="38"/>
        <v>#N/A</v>
      </c>
      <c r="K235">
        <f t="shared" si="39"/>
        <v>1.5333274444591836E-3</v>
      </c>
      <c r="L235">
        <f>IF(AND(ABS((ChartCalculations!A235-Calculations!$F$3)/Calculations!$F$4)&lt;5,OR(A235&lt;=Calculations!$F$7,A235&gt;=Calculations!$F$8)),0.2*_xlfn.NORM.DIST(100,100,15,FALSE)*_xlfn.NORM.DIST(A235,Calculations!$F$3,Calculations!$F$4,FALSE)/_xlfn.NORM.DIST(Calculations!$F$3,Calculations!$F$3,Calculations!$F$4,FALSE),NA())</f>
        <v>1.6018573607680595E-4</v>
      </c>
      <c r="M235" t="e">
        <f>IF(AND(A235&gt;=Calculations!$F$7,A235&lt;=Calculations!$F$8),0.2*_xlfn.NORM.DIST(100,100,15,FALSE)*_xlfn.NORM.DIST(A235,Calculations!$F$3,Calculations!$F$4,FALSE)/_xlfn.NORM.DIST(Calculations!$F$3,Calculations!$F$3,Calculations!$F$4,FALSE),NA())</f>
        <v>#N/A</v>
      </c>
    </row>
    <row r="236" spans="1:13" x14ac:dyDescent="0.25">
      <c r="A236">
        <v>63.400000000000297</v>
      </c>
      <c r="B236" t="e">
        <f t="shared" si="30"/>
        <v>#N/A</v>
      </c>
      <c r="C236">
        <f t="shared" si="31"/>
        <v>1.3552237158817868E-3</v>
      </c>
      <c r="D236" t="e">
        <f t="shared" si="32"/>
        <v>#N/A</v>
      </c>
      <c r="E236" t="e">
        <f t="shared" si="33"/>
        <v>#N/A</v>
      </c>
      <c r="F236" t="e">
        <f t="shared" si="34"/>
        <v>#N/A</v>
      </c>
      <c r="G236" t="e">
        <f t="shared" si="35"/>
        <v>#N/A</v>
      </c>
      <c r="H236" t="e">
        <f t="shared" si="36"/>
        <v>#N/A</v>
      </c>
      <c r="I236" t="e">
        <f t="shared" si="37"/>
        <v>#N/A</v>
      </c>
      <c r="J236" t="e">
        <f t="shared" si="38"/>
        <v>#N/A</v>
      </c>
      <c r="K236">
        <f t="shared" si="39"/>
        <v>1.5552237158817869E-3</v>
      </c>
      <c r="L236">
        <f>IF(AND(ABS((ChartCalculations!A236-Calculations!$F$3)/Calculations!$F$4)&lt;5,OR(A236&lt;=Calculations!$F$7,A236&gt;=Calculations!$F$8)),0.2*_xlfn.NORM.DIST(100,100,15,FALSE)*_xlfn.NORM.DIST(A236,Calculations!$F$3,Calculations!$F$4,FALSE)/_xlfn.NORM.DIST(Calculations!$F$3,Calculations!$F$3,Calculations!$F$4,FALSE),NA())</f>
        <v>1.9592371111168776E-4</v>
      </c>
      <c r="M236" t="e">
        <f>IF(AND(A236&gt;=Calculations!$F$7,A236&lt;=Calculations!$F$8),0.2*_xlfn.NORM.DIST(100,100,15,FALSE)*_xlfn.NORM.DIST(A236,Calculations!$F$3,Calculations!$F$4,FALSE)/_xlfn.NORM.DIST(Calculations!$F$3,Calculations!$F$3,Calculations!$F$4,FALSE),NA())</f>
        <v>#N/A</v>
      </c>
    </row>
    <row r="237" spans="1:13" x14ac:dyDescent="0.25">
      <c r="A237">
        <v>63.500000000000298</v>
      </c>
      <c r="B237" t="e">
        <f t="shared" si="30"/>
        <v>#N/A</v>
      </c>
      <c r="C237">
        <f t="shared" si="31"/>
        <v>1.3774183539652801E-3</v>
      </c>
      <c r="D237" t="e">
        <f t="shared" si="32"/>
        <v>#N/A</v>
      </c>
      <c r="E237" t="e">
        <f t="shared" si="33"/>
        <v>#N/A</v>
      </c>
      <c r="F237" t="e">
        <f t="shared" si="34"/>
        <v>#N/A</v>
      </c>
      <c r="G237" t="e">
        <f t="shared" si="35"/>
        <v>#N/A</v>
      </c>
      <c r="H237" t="e">
        <f t="shared" si="36"/>
        <v>#N/A</v>
      </c>
      <c r="I237" t="e">
        <f t="shared" si="37"/>
        <v>#N/A</v>
      </c>
      <c r="J237" t="e">
        <f t="shared" si="38"/>
        <v>#N/A</v>
      </c>
      <c r="K237">
        <f t="shared" si="39"/>
        <v>1.5774183539652802E-3</v>
      </c>
      <c r="L237">
        <f>IF(AND(ABS((ChartCalculations!A237-Calculations!$F$3)/Calculations!$F$4)&lt;5,OR(A237&lt;=Calculations!$F$7,A237&gt;=Calculations!$F$8)),0.2*_xlfn.NORM.DIST(100,100,15,FALSE)*_xlfn.NORM.DIST(A237,Calculations!$F$3,Calculations!$F$4,FALSE)/_xlfn.NORM.DIST(Calculations!$F$3,Calculations!$F$3,Calculations!$F$4,FALSE),NA())</f>
        <v>2.382104506433363E-4</v>
      </c>
      <c r="M237" t="e">
        <f>IF(AND(A237&gt;=Calculations!$F$7,A237&lt;=Calculations!$F$8),0.2*_xlfn.NORM.DIST(100,100,15,FALSE)*_xlfn.NORM.DIST(A237,Calculations!$F$3,Calculations!$F$4,FALSE)/_xlfn.NORM.DIST(Calculations!$F$3,Calculations!$F$3,Calculations!$F$4,FALSE),NA())</f>
        <v>#N/A</v>
      </c>
    </row>
    <row r="238" spans="1:13" x14ac:dyDescent="0.25">
      <c r="A238">
        <v>63.6000000000003</v>
      </c>
      <c r="B238" t="e">
        <f t="shared" si="30"/>
        <v>#N/A</v>
      </c>
      <c r="C238">
        <f t="shared" si="31"/>
        <v>1.3999142561237738E-3</v>
      </c>
      <c r="D238" t="e">
        <f t="shared" si="32"/>
        <v>#N/A</v>
      </c>
      <c r="E238" t="e">
        <f t="shared" si="33"/>
        <v>#N/A</v>
      </c>
      <c r="F238" t="e">
        <f t="shared" si="34"/>
        <v>#N/A</v>
      </c>
      <c r="G238" t="e">
        <f t="shared" si="35"/>
        <v>#N/A</v>
      </c>
      <c r="H238" t="e">
        <f t="shared" si="36"/>
        <v>#N/A</v>
      </c>
      <c r="I238" t="e">
        <f t="shared" si="37"/>
        <v>#N/A</v>
      </c>
      <c r="J238" t="e">
        <f t="shared" si="38"/>
        <v>#N/A</v>
      </c>
      <c r="K238">
        <f t="shared" si="39"/>
        <v>1.5999142561237739E-3</v>
      </c>
      <c r="L238">
        <f>IF(AND(ABS((ChartCalculations!A238-Calculations!$F$3)/Calculations!$F$4)&lt;5,OR(A238&lt;=Calculations!$F$7,A238&gt;=Calculations!$F$8)),0.2*_xlfn.NORM.DIST(100,100,15,FALSE)*_xlfn.NORM.DIST(A238,Calculations!$F$3,Calculations!$F$4,FALSE)/_xlfn.NORM.DIST(Calculations!$F$3,Calculations!$F$3,Calculations!$F$4,FALSE),NA())</f>
        <v>2.8790239521750595E-4</v>
      </c>
      <c r="M238" t="e">
        <f>IF(AND(A238&gt;=Calculations!$F$7,A238&lt;=Calculations!$F$8),0.2*_xlfn.NORM.DIST(100,100,15,FALSE)*_xlfn.NORM.DIST(A238,Calculations!$F$3,Calculations!$F$4,FALSE)/_xlfn.NORM.DIST(Calculations!$F$3,Calculations!$F$3,Calculations!$F$4,FALSE),NA())</f>
        <v>#N/A</v>
      </c>
    </row>
    <row r="239" spans="1:13" x14ac:dyDescent="0.25">
      <c r="A239">
        <v>63.700000000000301</v>
      </c>
      <c r="B239" t="e">
        <f t="shared" si="30"/>
        <v>#N/A</v>
      </c>
      <c r="C239">
        <f t="shared" si="31"/>
        <v>1.4227143266615878E-3</v>
      </c>
      <c r="D239" t="e">
        <f t="shared" si="32"/>
        <v>#N/A</v>
      </c>
      <c r="E239" t="e">
        <f t="shared" si="33"/>
        <v>#N/A</v>
      </c>
      <c r="F239" t="e">
        <f t="shared" si="34"/>
        <v>#N/A</v>
      </c>
      <c r="G239" t="e">
        <f t="shared" si="35"/>
        <v>#N/A</v>
      </c>
      <c r="H239" t="e">
        <f t="shared" si="36"/>
        <v>#N/A</v>
      </c>
      <c r="I239" t="e">
        <f t="shared" si="37"/>
        <v>#N/A</v>
      </c>
      <c r="J239" t="e">
        <f t="shared" si="38"/>
        <v>#N/A</v>
      </c>
      <c r="K239">
        <f t="shared" si="39"/>
        <v>1.6227143266615879E-3</v>
      </c>
      <c r="L239">
        <f>IF(AND(ABS((ChartCalculations!A239-Calculations!$F$3)/Calculations!$F$4)&lt;5,OR(A239&lt;=Calculations!$F$7,A239&gt;=Calculations!$F$8)),0.2*_xlfn.NORM.DIST(100,100,15,FALSE)*_xlfn.NORM.DIST(A239,Calculations!$F$3,Calculations!$F$4,FALSE)/_xlfn.NORM.DIST(Calculations!$F$3,Calculations!$F$3,Calculations!$F$4,FALSE),NA())</f>
        <v>3.4589190673540125E-4</v>
      </c>
      <c r="M239" t="e">
        <f>IF(AND(A239&gt;=Calculations!$F$7,A239&lt;=Calculations!$F$8),0.2*_xlfn.NORM.DIST(100,100,15,FALSE)*_xlfn.NORM.DIST(A239,Calculations!$F$3,Calculations!$F$4,FALSE)/_xlfn.NORM.DIST(Calculations!$F$3,Calculations!$F$3,Calculations!$F$4,FALSE),NA())</f>
        <v>#N/A</v>
      </c>
    </row>
    <row r="240" spans="1:13" x14ac:dyDescent="0.25">
      <c r="A240">
        <v>63.800000000000303</v>
      </c>
      <c r="B240" t="e">
        <f t="shared" si="30"/>
        <v>#N/A</v>
      </c>
      <c r="C240">
        <f t="shared" si="31"/>
        <v>1.4458214763652709E-3</v>
      </c>
      <c r="D240" t="e">
        <f t="shared" si="32"/>
        <v>#N/A</v>
      </c>
      <c r="E240" t="e">
        <f t="shared" si="33"/>
        <v>#N/A</v>
      </c>
      <c r="F240" t="e">
        <f t="shared" si="34"/>
        <v>#N/A</v>
      </c>
      <c r="G240" t="e">
        <f t="shared" si="35"/>
        <v>#N/A</v>
      </c>
      <c r="H240" t="e">
        <f t="shared" si="36"/>
        <v>#N/A</v>
      </c>
      <c r="I240" t="e">
        <f t="shared" si="37"/>
        <v>#N/A</v>
      </c>
      <c r="J240" t="e">
        <f t="shared" si="38"/>
        <v>#N/A</v>
      </c>
      <c r="K240">
        <f t="shared" si="39"/>
        <v>1.645821476365271E-3</v>
      </c>
      <c r="L240">
        <f>IF(AND(ABS((ChartCalculations!A240-Calculations!$F$3)/Calculations!$F$4)&lt;5,OR(A240&lt;=Calculations!$F$7,A240&gt;=Calculations!$F$8)),0.2*_xlfn.NORM.DIST(100,100,15,FALSE)*_xlfn.NORM.DIST(A240,Calculations!$F$3,Calculations!$F$4,FALSE)/_xlfn.NORM.DIST(Calculations!$F$3,Calculations!$F$3,Calculations!$F$4,FALSE),NA())</f>
        <v>4.1309142300169029E-4</v>
      </c>
      <c r="M240" t="e">
        <f>IF(AND(A240&gt;=Calculations!$F$7,A240&lt;=Calculations!$F$8),0.2*_xlfn.NORM.DIST(100,100,15,FALSE)*_xlfn.NORM.DIST(A240,Calculations!$F$3,Calculations!$F$4,FALSE)/_xlfn.NORM.DIST(Calculations!$F$3,Calculations!$F$3,Calculations!$F$4,FALSE),NA())</f>
        <v>#N/A</v>
      </c>
    </row>
    <row r="241" spans="1:13" x14ac:dyDescent="0.25">
      <c r="A241">
        <v>63.900000000000297</v>
      </c>
      <c r="B241" t="e">
        <f t="shared" si="30"/>
        <v>#N/A</v>
      </c>
      <c r="C241">
        <f t="shared" si="31"/>
        <v>1.4692386220875107E-3</v>
      </c>
      <c r="D241" t="e">
        <f t="shared" si="32"/>
        <v>#N/A</v>
      </c>
      <c r="E241" t="e">
        <f t="shared" si="33"/>
        <v>#N/A</v>
      </c>
      <c r="F241" t="e">
        <f t="shared" si="34"/>
        <v>#N/A</v>
      </c>
      <c r="G241" t="e">
        <f t="shared" si="35"/>
        <v>#N/A</v>
      </c>
      <c r="H241" t="e">
        <f t="shared" si="36"/>
        <v>#N/A</v>
      </c>
      <c r="I241" t="e">
        <f t="shared" si="37"/>
        <v>#N/A</v>
      </c>
      <c r="J241" t="e">
        <f t="shared" si="38"/>
        <v>#N/A</v>
      </c>
      <c r="K241">
        <f t="shared" si="39"/>
        <v>1.6692386220875108E-3</v>
      </c>
      <c r="L241">
        <f>IF(AND(ABS((ChartCalculations!A241-Calculations!$F$3)/Calculations!$F$4)&lt;5,OR(A241&lt;=Calculations!$F$7,A241&gt;=Calculations!$F$8)),0.2*_xlfn.NORM.DIST(100,100,15,FALSE)*_xlfn.NORM.DIST(A241,Calculations!$F$3,Calculations!$F$4,FALSE)/_xlfn.NORM.DIST(Calculations!$F$3,Calculations!$F$3,Calculations!$F$4,FALSE),NA())</f>
        <v>4.9041371847626219E-4</v>
      </c>
      <c r="M241" t="e">
        <f>IF(AND(A241&gt;=Calculations!$F$7,A241&lt;=Calculations!$F$8),0.2*_xlfn.NORM.DIST(100,100,15,FALSE)*_xlfn.NORM.DIST(A241,Calculations!$F$3,Calculations!$F$4,FALSE)/_xlfn.NORM.DIST(Calculations!$F$3,Calculations!$F$3,Calculations!$F$4,FALSE),NA())</f>
        <v>#N/A</v>
      </c>
    </row>
    <row r="242" spans="1:13" x14ac:dyDescent="0.25">
      <c r="A242">
        <v>64.000000000000298</v>
      </c>
      <c r="B242" t="e">
        <f t="shared" si="30"/>
        <v>#N/A</v>
      </c>
      <c r="C242">
        <f t="shared" si="31"/>
        <v>1.4929686863229315E-3</v>
      </c>
      <c r="D242" t="e">
        <f t="shared" si="32"/>
        <v>#N/A</v>
      </c>
      <c r="E242" t="e">
        <f t="shared" si="33"/>
        <v>#N/A</v>
      </c>
      <c r="F242" t="e">
        <f t="shared" si="34"/>
        <v>#N/A</v>
      </c>
      <c r="G242" t="e">
        <f t="shared" si="35"/>
        <v>#N/A</v>
      </c>
      <c r="H242" t="e">
        <f t="shared" si="36"/>
        <v>#N/A</v>
      </c>
      <c r="I242" t="e">
        <f t="shared" si="37"/>
        <v>#N/A</v>
      </c>
      <c r="J242" t="e">
        <f t="shared" si="38"/>
        <v>#N/A</v>
      </c>
      <c r="K242">
        <f t="shared" si="39"/>
        <v>1.6929686863229316E-3</v>
      </c>
      <c r="L242">
        <f>IF(AND(ABS((ChartCalculations!A242-Calculations!$F$3)/Calculations!$F$4)&lt;5,OR(A242&lt;=Calculations!$F$7,A242&gt;=Calculations!$F$8)),0.2*_xlfn.NORM.DIST(100,100,15,FALSE)*_xlfn.NORM.DIST(A242,Calculations!$F$3,Calculations!$F$4,FALSE)/_xlfn.NORM.DIST(Calculations!$F$3,Calculations!$F$3,Calculations!$F$4,FALSE),NA())</f>
        <v>5.7874825937245995E-4</v>
      </c>
      <c r="M242" t="e">
        <f>IF(AND(A242&gt;=Calculations!$F$7,A242&lt;=Calculations!$F$8),0.2*_xlfn.NORM.DIST(100,100,15,FALSE)*_xlfn.NORM.DIST(A242,Calculations!$F$3,Calculations!$F$4,FALSE)/_xlfn.NORM.DIST(Calculations!$F$3,Calculations!$F$3,Calculations!$F$4,FALSE),NA())</f>
        <v>#N/A</v>
      </c>
    </row>
    <row r="243" spans="1:13" x14ac:dyDescent="0.25">
      <c r="A243">
        <v>64.100000000000307</v>
      </c>
      <c r="B243" t="e">
        <f t="shared" si="30"/>
        <v>#N/A</v>
      </c>
      <c r="C243">
        <f t="shared" si="31"/>
        <v>1.5170145967757286E-3</v>
      </c>
      <c r="D243" t="e">
        <f t="shared" si="32"/>
        <v>#N/A</v>
      </c>
      <c r="E243" t="e">
        <f t="shared" si="33"/>
        <v>#N/A</v>
      </c>
      <c r="F243" t="e">
        <f t="shared" si="34"/>
        <v>#N/A</v>
      </c>
      <c r="G243" t="e">
        <f t="shared" si="35"/>
        <v>#N/A</v>
      </c>
      <c r="H243" t="e">
        <f t="shared" si="36"/>
        <v>#N/A</v>
      </c>
      <c r="I243" t="e">
        <f t="shared" si="37"/>
        <v>#N/A</v>
      </c>
      <c r="J243" t="e">
        <f t="shared" si="38"/>
        <v>#N/A</v>
      </c>
      <c r="K243">
        <f t="shared" si="39"/>
        <v>1.7170145967757287E-3</v>
      </c>
      <c r="L243">
        <f>IF(AND(ABS((ChartCalculations!A243-Calculations!$F$3)/Calculations!$F$4)&lt;5,OR(A243&lt;=Calculations!$F$7,A243&gt;=Calculations!$F$8)),0.2*_xlfn.NORM.DIST(100,100,15,FALSE)*_xlfn.NORM.DIST(A243,Calculations!$F$3,Calculations!$F$4,FALSE)/_xlfn.NORM.DIST(Calculations!$F$3,Calculations!$F$3,Calculations!$F$4,FALSE),NA())</f>
        <v>6.7893381617059481E-4</v>
      </c>
      <c r="M243" t="e">
        <f>IF(AND(A243&gt;=Calculations!$F$7,A243&lt;=Calculations!$F$8),0.2*_xlfn.NORM.DIST(100,100,15,FALSE)*_xlfn.NORM.DIST(A243,Calculations!$F$3,Calculations!$F$4,FALSE)/_xlfn.NORM.DIST(Calculations!$F$3,Calculations!$F$3,Calculations!$F$4,FALSE),NA())</f>
        <v>#N/A</v>
      </c>
    </row>
    <row r="244" spans="1:13" x14ac:dyDescent="0.25">
      <c r="A244">
        <v>64.200000000000301</v>
      </c>
      <c r="B244" t="e">
        <f t="shared" si="30"/>
        <v>#N/A</v>
      </c>
      <c r="C244">
        <f t="shared" si="31"/>
        <v>1.5413792859191506E-3</v>
      </c>
      <c r="D244" t="e">
        <f t="shared" si="32"/>
        <v>#N/A</v>
      </c>
      <c r="E244" t="e">
        <f t="shared" si="33"/>
        <v>#N/A</v>
      </c>
      <c r="F244" t="e">
        <f t="shared" si="34"/>
        <v>#N/A</v>
      </c>
      <c r="G244" t="e">
        <f t="shared" si="35"/>
        <v>#N/A</v>
      </c>
      <c r="H244" t="e">
        <f t="shared" si="36"/>
        <v>#N/A</v>
      </c>
      <c r="I244" t="e">
        <f t="shared" si="37"/>
        <v>#N/A</v>
      </c>
      <c r="J244" t="e">
        <f t="shared" si="38"/>
        <v>#N/A</v>
      </c>
      <c r="K244">
        <f t="shared" si="39"/>
        <v>1.7413792859191507E-3</v>
      </c>
      <c r="L244" t="e">
        <f>IF(AND(ABS((ChartCalculations!A244-Calculations!$F$3)/Calculations!$F$4)&lt;5,OR(A244&lt;=Calculations!$F$7,A244&gt;=Calculations!$F$8)),0.2*_xlfn.NORM.DIST(100,100,15,FALSE)*_xlfn.NORM.DIST(A244,Calculations!$F$3,Calculations!$F$4,FALSE)/_xlfn.NORM.DIST(Calculations!$F$3,Calculations!$F$3,Calculations!$F$4,FALSE),NA())</f>
        <v>#N/A</v>
      </c>
      <c r="M244">
        <f>IF(AND(A244&gt;=Calculations!$F$7,A244&lt;=Calculations!$F$8),0.2*_xlfn.NORM.DIST(100,100,15,FALSE)*_xlfn.NORM.DIST(A244,Calculations!$F$3,Calculations!$F$4,FALSE)/_xlfn.NORM.DIST(Calculations!$F$3,Calculations!$F$3,Calculations!$F$4,FALSE),NA())</f>
        <v>7.9172769694253644E-4</v>
      </c>
    </row>
    <row r="245" spans="1:13" x14ac:dyDescent="0.25">
      <c r="A245">
        <v>64.300000000000296</v>
      </c>
      <c r="B245" t="e">
        <f t="shared" si="30"/>
        <v>#N/A</v>
      </c>
      <c r="C245">
        <f t="shared" si="31"/>
        <v>1.5660656905468308E-3</v>
      </c>
      <c r="D245" t="e">
        <f t="shared" si="32"/>
        <v>#N/A</v>
      </c>
      <c r="E245" t="e">
        <f t="shared" si="33"/>
        <v>#N/A</v>
      </c>
      <c r="F245" t="e">
        <f t="shared" si="34"/>
        <v>#N/A</v>
      </c>
      <c r="G245" t="e">
        <f t="shared" si="35"/>
        <v>#N/A</v>
      </c>
      <c r="H245" t="e">
        <f t="shared" si="36"/>
        <v>#N/A</v>
      </c>
      <c r="I245" t="e">
        <f t="shared" si="37"/>
        <v>#N/A</v>
      </c>
      <c r="J245" t="e">
        <f t="shared" si="38"/>
        <v>#N/A</v>
      </c>
      <c r="K245">
        <f t="shared" si="39"/>
        <v>1.7660656905468309E-3</v>
      </c>
      <c r="L245" t="e">
        <f>IF(AND(ABS((ChartCalculations!A245-Calculations!$F$3)/Calculations!$F$4)&lt;5,OR(A245&lt;=Calculations!$F$7,A245&gt;=Calculations!$F$8)),0.2*_xlfn.NORM.DIST(100,100,15,FALSE)*_xlfn.NORM.DIST(A245,Calculations!$F$3,Calculations!$F$4,FALSE)/_xlfn.NORM.DIST(Calculations!$F$3,Calculations!$F$3,Calculations!$F$4,FALSE),NA())</f>
        <v>#N/A</v>
      </c>
      <c r="M245">
        <f>IF(AND(A245&gt;=Calculations!$F$7,A245&lt;=Calculations!$F$8),0.2*_xlfn.NORM.DIST(100,100,15,FALSE)*_xlfn.NORM.DIST(A245,Calculations!$F$3,Calculations!$F$4,FALSE)/_xlfn.NORM.DIST(Calculations!$F$3,Calculations!$F$3,Calculations!$F$4,FALSE),NA())</f>
        <v>9.1777218380173704E-4</v>
      </c>
    </row>
    <row r="246" spans="1:13" x14ac:dyDescent="0.25">
      <c r="A246">
        <v>64.400000000000304</v>
      </c>
      <c r="B246" t="e">
        <f t="shared" si="30"/>
        <v>#N/A</v>
      </c>
      <c r="C246">
        <f t="shared" si="31"/>
        <v>1.5910767513158961E-3</v>
      </c>
      <c r="D246" t="e">
        <f t="shared" si="32"/>
        <v>#N/A</v>
      </c>
      <c r="E246" t="e">
        <f t="shared" si="33"/>
        <v>#N/A</v>
      </c>
      <c r="F246" t="e">
        <f t="shared" si="34"/>
        <v>#N/A</v>
      </c>
      <c r="G246" t="e">
        <f t="shared" si="35"/>
        <v>#N/A</v>
      </c>
      <c r="H246" t="e">
        <f t="shared" si="36"/>
        <v>#N/A</v>
      </c>
      <c r="I246" t="e">
        <f t="shared" si="37"/>
        <v>#N/A</v>
      </c>
      <c r="J246" t="e">
        <f t="shared" si="38"/>
        <v>#N/A</v>
      </c>
      <c r="K246">
        <f t="shared" si="39"/>
        <v>1.7910767513158962E-3</v>
      </c>
      <c r="L246" t="e">
        <f>IF(AND(ABS((ChartCalculations!A246-Calculations!$F$3)/Calculations!$F$4)&lt;5,OR(A246&lt;=Calculations!$F$7,A246&gt;=Calculations!$F$8)),0.2*_xlfn.NORM.DIST(100,100,15,FALSE)*_xlfn.NORM.DIST(A246,Calculations!$F$3,Calculations!$F$4,FALSE)/_xlfn.NORM.DIST(Calculations!$F$3,Calculations!$F$3,Calculations!$F$4,FALSE),NA())</f>
        <v>#N/A</v>
      </c>
      <c r="M246">
        <f>IF(AND(A246&gt;=Calculations!$F$7,A246&lt;=Calculations!$F$8),0.2*_xlfn.NORM.DIST(100,100,15,FALSE)*_xlfn.NORM.DIST(A246,Calculations!$F$3,Calculations!$F$4,FALSE)/_xlfn.NORM.DIST(Calculations!$F$3,Calculations!$F$3,Calculations!$F$4,FALSE),NA())</f>
        <v>1.0575589830298931E-3</v>
      </c>
    </row>
    <row r="247" spans="1:13" x14ac:dyDescent="0.25">
      <c r="A247">
        <v>64.500000000000298</v>
      </c>
      <c r="B247" t="e">
        <f t="shared" si="30"/>
        <v>#N/A</v>
      </c>
      <c r="C247">
        <f t="shared" si="31"/>
        <v>1.6164154122819004E-3</v>
      </c>
      <c r="D247" t="e">
        <f t="shared" si="32"/>
        <v>#N/A</v>
      </c>
      <c r="E247" t="e">
        <f t="shared" si="33"/>
        <v>#N/A</v>
      </c>
      <c r="F247" t="e">
        <f t="shared" si="34"/>
        <v>#N/A</v>
      </c>
      <c r="G247" t="e">
        <f t="shared" si="35"/>
        <v>#N/A</v>
      </c>
      <c r="H247" t="e">
        <f t="shared" si="36"/>
        <v>#N/A</v>
      </c>
      <c r="I247" t="e">
        <f t="shared" si="37"/>
        <v>#N/A</v>
      </c>
      <c r="J247" t="e">
        <f t="shared" si="38"/>
        <v>#N/A</v>
      </c>
      <c r="K247">
        <f t="shared" si="39"/>
        <v>1.8164154122819005E-3</v>
      </c>
      <c r="L247" t="e">
        <f>IF(AND(ABS((ChartCalculations!A247-Calculations!$F$3)/Calculations!$F$4)&lt;5,OR(A247&lt;=Calculations!$F$7,A247&gt;=Calculations!$F$8)),0.2*_xlfn.NORM.DIST(100,100,15,FALSE)*_xlfn.NORM.DIST(A247,Calculations!$F$3,Calculations!$F$4,FALSE)/_xlfn.NORM.DIST(Calculations!$F$3,Calculations!$F$3,Calculations!$F$4,FALSE),NA())</f>
        <v>#N/A</v>
      </c>
      <c r="M247">
        <f>IF(AND(A247&gt;=Calculations!$F$7,A247&lt;=Calculations!$F$8),0.2*_xlfn.NORM.DIST(100,100,15,FALSE)*_xlfn.NORM.DIST(A247,Calculations!$F$3,Calculations!$F$4,FALSE)/_xlfn.NORM.DIST(Calculations!$F$3,Calculations!$F$3,Calculations!$F$4,FALSE),NA())</f>
        <v>1.2113927254555144E-3</v>
      </c>
    </row>
    <row r="248" spans="1:13" x14ac:dyDescent="0.25">
      <c r="A248">
        <v>64.600000000000307</v>
      </c>
      <c r="B248" t="e">
        <f t="shared" si="30"/>
        <v>#N/A</v>
      </c>
      <c r="C248">
        <f t="shared" si="31"/>
        <v>1.6420846204255801E-3</v>
      </c>
      <c r="D248" t="e">
        <f t="shared" si="32"/>
        <v>#N/A</v>
      </c>
      <c r="E248" t="e">
        <f t="shared" si="33"/>
        <v>#N/A</v>
      </c>
      <c r="F248" t="e">
        <f t="shared" si="34"/>
        <v>#N/A</v>
      </c>
      <c r="G248" t="e">
        <f t="shared" si="35"/>
        <v>#N/A</v>
      </c>
      <c r="H248" t="e">
        <f t="shared" si="36"/>
        <v>#N/A</v>
      </c>
      <c r="I248" t="e">
        <f t="shared" si="37"/>
        <v>#N/A</v>
      </c>
      <c r="J248" t="e">
        <f t="shared" si="38"/>
        <v>#N/A</v>
      </c>
      <c r="K248">
        <f t="shared" si="39"/>
        <v>1.8420846204255802E-3</v>
      </c>
      <c r="L248" t="e">
        <f>IF(AND(ABS((ChartCalculations!A248-Calculations!$F$3)/Calculations!$F$4)&lt;5,OR(A248&lt;=Calculations!$F$7,A248&gt;=Calculations!$F$8)),0.2*_xlfn.NORM.DIST(100,100,15,FALSE)*_xlfn.NORM.DIST(A248,Calculations!$F$3,Calculations!$F$4,FALSE)/_xlfn.NORM.DIST(Calculations!$F$3,Calculations!$F$3,Calculations!$F$4,FALSE),NA())</f>
        <v>#N/A</v>
      </c>
      <c r="M248">
        <f>IF(AND(A248&gt;=Calculations!$F$7,A248&lt;=Calculations!$F$8),0.2*_xlfn.NORM.DIST(100,100,15,FALSE)*_xlfn.NORM.DIST(A248,Calculations!$F$3,Calculations!$F$4,FALSE)/_xlfn.NORM.DIST(Calculations!$F$3,Calculations!$F$3,Calculations!$F$4,FALSE),NA())</f>
        <v>1.3793547640942028E-3</v>
      </c>
    </row>
    <row r="249" spans="1:13" x14ac:dyDescent="0.25">
      <c r="A249">
        <v>64.700000000000401</v>
      </c>
      <c r="B249" t="e">
        <f t="shared" si="30"/>
        <v>#N/A</v>
      </c>
      <c r="C249">
        <f t="shared" si="31"/>
        <v>1.6680873251713863E-3</v>
      </c>
      <c r="D249" t="e">
        <f t="shared" si="32"/>
        <v>#N/A</v>
      </c>
      <c r="E249" t="e">
        <f t="shared" si="33"/>
        <v>#N/A</v>
      </c>
      <c r="F249" t="e">
        <f t="shared" si="34"/>
        <v>#N/A</v>
      </c>
      <c r="G249" t="e">
        <f t="shared" si="35"/>
        <v>#N/A</v>
      </c>
      <c r="H249" t="e">
        <f t="shared" si="36"/>
        <v>#N/A</v>
      </c>
      <c r="I249" t="e">
        <f t="shared" si="37"/>
        <v>#N/A</v>
      </c>
      <c r="J249" t="e">
        <f t="shared" si="38"/>
        <v>#N/A</v>
      </c>
      <c r="K249">
        <f t="shared" si="39"/>
        <v>1.8680873251713864E-3</v>
      </c>
      <c r="L249" t="e">
        <f>IF(AND(ABS((ChartCalculations!A249-Calculations!$F$3)/Calculations!$F$4)&lt;5,OR(A249&lt;=Calculations!$F$7,A249&gt;=Calculations!$F$8)),0.2*_xlfn.NORM.DIST(100,100,15,FALSE)*_xlfn.NORM.DIST(A249,Calculations!$F$3,Calculations!$F$4,FALSE)/_xlfn.NORM.DIST(Calculations!$F$3,Calculations!$F$3,Calculations!$F$4,FALSE),NA())</f>
        <v>#N/A</v>
      </c>
      <c r="M249">
        <f>IF(AND(A249&gt;=Calculations!$F$7,A249&lt;=Calculations!$F$8),0.2*_xlfn.NORM.DIST(100,100,15,FALSE)*_xlfn.NORM.DIST(A249,Calculations!$F$3,Calculations!$F$4,FALSE)/_xlfn.NORM.DIST(Calculations!$F$3,Calculations!$F$3,Calculations!$F$4,FALSE),NA())</f>
        <v>1.5612686963123695E-3</v>
      </c>
    </row>
    <row r="250" spans="1:13" x14ac:dyDescent="0.25">
      <c r="A250">
        <v>64.800000000000395</v>
      </c>
      <c r="B250" t="e">
        <f t="shared" si="30"/>
        <v>#N/A</v>
      </c>
      <c r="C250">
        <f t="shared" si="31"/>
        <v>1.6944264778977365E-3</v>
      </c>
      <c r="D250" t="e">
        <f t="shared" si="32"/>
        <v>#N/A</v>
      </c>
      <c r="E250" t="e">
        <f t="shared" si="33"/>
        <v>#N/A</v>
      </c>
      <c r="F250" t="e">
        <f t="shared" si="34"/>
        <v>#N/A</v>
      </c>
      <c r="G250" t="e">
        <f t="shared" si="35"/>
        <v>#N/A</v>
      </c>
      <c r="H250" t="e">
        <f t="shared" si="36"/>
        <v>#N/A</v>
      </c>
      <c r="I250" t="e">
        <f t="shared" si="37"/>
        <v>#N/A</v>
      </c>
      <c r="J250" t="e">
        <f t="shared" si="38"/>
        <v>#N/A</v>
      </c>
      <c r="K250">
        <f t="shared" si="39"/>
        <v>1.8944264778977366E-3</v>
      </c>
      <c r="L250" t="e">
        <f>IF(AND(ABS((ChartCalculations!A250-Calculations!$F$3)/Calculations!$F$4)&lt;5,OR(A250&lt;=Calculations!$F$7,A250&gt;=Calculations!$F$8)),0.2*_xlfn.NORM.DIST(100,100,15,FALSE)*_xlfn.NORM.DIST(A250,Calculations!$F$3,Calculations!$F$4,FALSE)/_xlfn.NORM.DIST(Calculations!$F$3,Calculations!$F$3,Calculations!$F$4,FALSE),NA())</f>
        <v>#N/A</v>
      </c>
      <c r="M250">
        <f>IF(AND(A250&gt;=Calculations!$F$7,A250&lt;=Calculations!$F$8),0.2*_xlfn.NORM.DIST(100,100,15,FALSE)*_xlfn.NORM.DIST(A250,Calculations!$F$3,Calculations!$F$4,FALSE)/_xlfn.NORM.DIST(Calculations!$F$3,Calculations!$F$3,Calculations!$F$4,FALSE),NA())</f>
        <v>1.7566691728617926E-3</v>
      </c>
    </row>
    <row r="251" spans="1:13" x14ac:dyDescent="0.25">
      <c r="A251">
        <v>64.900000000000404</v>
      </c>
      <c r="B251" t="e">
        <f t="shared" si="30"/>
        <v>#N/A</v>
      </c>
      <c r="C251">
        <f t="shared" si="31"/>
        <v>1.7211050314392866E-3</v>
      </c>
      <c r="D251" t="e">
        <f t="shared" si="32"/>
        <v>#N/A</v>
      </c>
      <c r="E251" t="e">
        <f t="shared" si="33"/>
        <v>#N/A</v>
      </c>
      <c r="F251" t="e">
        <f t="shared" si="34"/>
        <v>#N/A</v>
      </c>
      <c r="G251" t="e">
        <f t="shared" si="35"/>
        <v>#N/A</v>
      </c>
      <c r="H251" t="e">
        <f t="shared" si="36"/>
        <v>#N/A</v>
      </c>
      <c r="I251" t="e">
        <f t="shared" si="37"/>
        <v>#N/A</v>
      </c>
      <c r="J251" t="e">
        <f t="shared" si="38"/>
        <v>#N/A</v>
      </c>
      <c r="K251">
        <f t="shared" si="39"/>
        <v>1.9211050314392867E-3</v>
      </c>
      <c r="L251" t="e">
        <f>IF(AND(ABS((ChartCalculations!A251-Calculations!$F$3)/Calculations!$F$4)&lt;5,OR(A251&lt;=Calculations!$F$7,A251&gt;=Calculations!$F$8)),0.2*_xlfn.NORM.DIST(100,100,15,FALSE)*_xlfn.NORM.DIST(A251,Calculations!$F$3,Calculations!$F$4,FALSE)/_xlfn.NORM.DIST(Calculations!$F$3,Calculations!$F$3,Calculations!$F$4,FALSE),NA())</f>
        <v>#N/A</v>
      </c>
      <c r="M251">
        <f>IF(AND(A251&gt;=Calculations!$F$7,A251&lt;=Calculations!$F$8),0.2*_xlfn.NORM.DIST(100,100,15,FALSE)*_xlfn.NORM.DIST(A251,Calculations!$F$3,Calculations!$F$4,FALSE)/_xlfn.NORM.DIST(Calculations!$F$3,Calculations!$F$3,Calculations!$F$4,FALSE),NA())</f>
        <v>1.9647756316613775E-3</v>
      </c>
    </row>
    <row r="252" spans="1:13" x14ac:dyDescent="0.25">
      <c r="A252">
        <v>65.000000000000398</v>
      </c>
      <c r="B252" t="e">
        <f t="shared" si="30"/>
        <v>#N/A</v>
      </c>
      <c r="C252">
        <f t="shared" si="31"/>
        <v>1.748125939580741E-3</v>
      </c>
      <c r="D252" t="e">
        <f t="shared" si="32"/>
        <v>#N/A</v>
      </c>
      <c r="E252" t="e">
        <f t="shared" si="33"/>
        <v>#N/A</v>
      </c>
      <c r="F252" t="e">
        <f t="shared" si="34"/>
        <v>#N/A</v>
      </c>
      <c r="G252" t="e">
        <f t="shared" si="35"/>
        <v>#N/A</v>
      </c>
      <c r="H252" t="e">
        <f t="shared" si="36"/>
        <v>#N/A</v>
      </c>
      <c r="I252" t="e">
        <f t="shared" si="37"/>
        <v>#N/A</v>
      </c>
      <c r="J252" t="e">
        <f t="shared" si="38"/>
        <v>#N/A</v>
      </c>
      <c r="K252">
        <f t="shared" si="39"/>
        <v>1.9481259395807411E-3</v>
      </c>
      <c r="L252" t="e">
        <f>IF(AND(ABS((ChartCalculations!A252-Calculations!$F$3)/Calculations!$F$4)&lt;5,OR(A252&lt;=Calculations!$F$7,A252&gt;=Calculations!$F$8)),0.2*_xlfn.NORM.DIST(100,100,15,FALSE)*_xlfn.NORM.DIST(A252,Calculations!$F$3,Calculations!$F$4,FALSE)/_xlfn.NORM.DIST(Calculations!$F$3,Calculations!$F$3,Calculations!$F$4,FALSE),NA())</f>
        <v>#N/A</v>
      </c>
      <c r="M252">
        <f>IF(AND(A252&gt;=Calculations!$F$7,A252&lt;=Calculations!$F$8),0.2*_xlfn.NORM.DIST(100,100,15,FALSE)*_xlfn.NORM.DIST(A252,Calculations!$F$3,Calculations!$F$4,FALSE)/_xlfn.NORM.DIST(Calculations!$F$3,Calculations!$F$3,Calculations!$F$4,FALSE),NA())</f>
        <v>2.1844725974510728E-3</v>
      </c>
    </row>
    <row r="253" spans="1:13" x14ac:dyDescent="0.25">
      <c r="A253">
        <v>65.100000000000406</v>
      </c>
      <c r="B253" t="e">
        <f t="shared" si="30"/>
        <v>#N/A</v>
      </c>
      <c r="C253">
        <f t="shared" si="31"/>
        <v>1.775492156542643E-3</v>
      </c>
      <c r="D253" t="e">
        <f t="shared" si="32"/>
        <v>#N/A</v>
      </c>
      <c r="E253" t="e">
        <f t="shared" si="33"/>
        <v>#N/A</v>
      </c>
      <c r="F253" t="e">
        <f t="shared" si="34"/>
        <v>#N/A</v>
      </c>
      <c r="G253" t="e">
        <f t="shared" si="35"/>
        <v>#N/A</v>
      </c>
      <c r="H253" t="e">
        <f t="shared" si="36"/>
        <v>#N/A</v>
      </c>
      <c r="I253" t="e">
        <f t="shared" si="37"/>
        <v>#N/A</v>
      </c>
      <c r="J253" t="e">
        <f t="shared" si="38"/>
        <v>#N/A</v>
      </c>
      <c r="K253">
        <f t="shared" si="39"/>
        <v>1.9754921565426431E-3</v>
      </c>
      <c r="L253" t="e">
        <f>IF(AND(ABS((ChartCalculations!A253-Calculations!$F$3)/Calculations!$F$4)&lt;5,OR(A253&lt;=Calculations!$F$7,A253&gt;=Calculations!$F$8)),0.2*_xlfn.NORM.DIST(100,100,15,FALSE)*_xlfn.NORM.DIST(A253,Calculations!$F$3,Calculations!$F$4,FALSE)/_xlfn.NORM.DIST(Calculations!$F$3,Calculations!$F$3,Calculations!$F$4,FALSE),NA())</f>
        <v>#N/A</v>
      </c>
      <c r="M253">
        <f>IF(AND(A253&gt;=Calculations!$F$7,A253&lt;=Calculations!$F$8),0.2*_xlfn.NORM.DIST(100,100,15,FALSE)*_xlfn.NORM.DIST(A253,Calculations!$F$3,Calculations!$F$4,FALSE)/_xlfn.NORM.DIST(Calculations!$F$3,Calculations!$F$3,Calculations!$F$4,FALSE),NA())</f>
        <v>2.4142981095178939E-3</v>
      </c>
    </row>
    <row r="254" spans="1:13" x14ac:dyDescent="0.25">
      <c r="A254">
        <v>65.200000000000401</v>
      </c>
      <c r="B254" t="e">
        <f t="shared" si="30"/>
        <v>#N/A</v>
      </c>
      <c r="C254">
        <f t="shared" si="31"/>
        <v>1.8032066364588979E-3</v>
      </c>
      <c r="D254" t="e">
        <f t="shared" si="32"/>
        <v>#N/A</v>
      </c>
      <c r="E254" t="e">
        <f t="shared" si="33"/>
        <v>#N/A</v>
      </c>
      <c r="F254" t="e">
        <f t="shared" si="34"/>
        <v>#N/A</v>
      </c>
      <c r="G254" t="e">
        <f t="shared" si="35"/>
        <v>#N/A</v>
      </c>
      <c r="H254" t="e">
        <f t="shared" si="36"/>
        <v>#N/A</v>
      </c>
      <c r="I254" t="e">
        <f t="shared" si="37"/>
        <v>#N/A</v>
      </c>
      <c r="J254" t="e">
        <f t="shared" si="38"/>
        <v>#N/A</v>
      </c>
      <c r="K254">
        <f t="shared" si="39"/>
        <v>2.0032066364588977E-3</v>
      </c>
      <c r="L254" t="e">
        <f>IF(AND(ABS((ChartCalculations!A254-Calculations!$F$3)/Calculations!$F$4)&lt;5,OR(A254&lt;=Calculations!$F$7,A254&gt;=Calculations!$F$8)),0.2*_xlfn.NORM.DIST(100,100,15,FALSE)*_xlfn.NORM.DIST(A254,Calculations!$F$3,Calculations!$F$4,FALSE)/_xlfn.NORM.DIST(Calculations!$F$3,Calculations!$F$3,Calculations!$F$4,FALSE),NA())</f>
        <v>#N/A</v>
      </c>
      <c r="M254">
        <f>IF(AND(A254&gt;=Calculations!$F$7,A254&lt;=Calculations!$F$8),0.2*_xlfn.NORM.DIST(100,100,15,FALSE)*_xlfn.NORM.DIST(A254,Calculations!$F$3,Calculations!$F$4,FALSE)/_xlfn.NORM.DIST(Calculations!$F$3,Calculations!$F$3,Calculations!$F$4,FALSE),NA())</f>
        <v>2.6524416725186425E-3</v>
      </c>
    </row>
    <row r="255" spans="1:13" x14ac:dyDescent="0.25">
      <c r="A255">
        <v>65.300000000000395</v>
      </c>
      <c r="B255" t="e">
        <f t="shared" si="30"/>
        <v>#N/A</v>
      </c>
      <c r="C255">
        <f t="shared" si="31"/>
        <v>1.83127233284618E-3</v>
      </c>
      <c r="D255" t="e">
        <f t="shared" si="32"/>
        <v>#N/A</v>
      </c>
      <c r="E255" t="e">
        <f t="shared" si="33"/>
        <v>#N/A</v>
      </c>
      <c r="F255" t="e">
        <f t="shared" si="34"/>
        <v>#N/A</v>
      </c>
      <c r="G255" t="e">
        <f t="shared" si="35"/>
        <v>#N/A</v>
      </c>
      <c r="H255" t="e">
        <f t="shared" si="36"/>
        <v>#N/A</v>
      </c>
      <c r="I255" t="e">
        <f t="shared" si="37"/>
        <v>#N/A</v>
      </c>
      <c r="J255" t="e">
        <f t="shared" si="38"/>
        <v>#N/A</v>
      </c>
      <c r="K255">
        <f t="shared" si="39"/>
        <v>2.0312723328461801E-3</v>
      </c>
      <c r="L255" t="e">
        <f>IF(AND(ABS((ChartCalculations!A255-Calculations!$F$3)/Calculations!$F$4)&lt;5,OR(A255&lt;=Calculations!$F$7,A255&gt;=Calculations!$F$8)),0.2*_xlfn.NORM.DIST(100,100,15,FALSE)*_xlfn.NORM.DIST(A255,Calculations!$F$3,Calculations!$F$4,FALSE)/_xlfn.NORM.DIST(Calculations!$F$3,Calculations!$F$3,Calculations!$F$4,FALSE),NA())</f>
        <v>#N/A</v>
      </c>
      <c r="M255">
        <f>IF(AND(A255&gt;=Calculations!$F$7,A255&lt;=Calculations!$F$8),0.2*_xlfn.NORM.DIST(100,100,15,FALSE)*_xlfn.NORM.DIST(A255,Calculations!$F$3,Calculations!$F$4,FALSE)/_xlfn.NORM.DIST(Calculations!$F$3,Calculations!$F$3,Calculations!$F$4,FALSE),NA())</f>
        <v>2.896752868734663E-3</v>
      </c>
    </row>
    <row r="256" spans="1:13" x14ac:dyDescent="0.25">
      <c r="A256">
        <v>65.400000000000404</v>
      </c>
      <c r="B256" t="e">
        <f t="shared" si="30"/>
        <v>#N/A</v>
      </c>
      <c r="C256">
        <f t="shared" si="31"/>
        <v>1.8596921980651494E-3</v>
      </c>
      <c r="D256" t="e">
        <f t="shared" si="32"/>
        <v>#N/A</v>
      </c>
      <c r="E256" t="e">
        <f t="shared" si="33"/>
        <v>#N/A</v>
      </c>
      <c r="F256" t="e">
        <f t="shared" si="34"/>
        <v>#N/A</v>
      </c>
      <c r="G256" t="e">
        <f t="shared" si="35"/>
        <v>#N/A</v>
      </c>
      <c r="H256" t="e">
        <f t="shared" si="36"/>
        <v>#N/A</v>
      </c>
      <c r="I256" t="e">
        <f t="shared" si="37"/>
        <v>#N/A</v>
      </c>
      <c r="J256" t="e">
        <f t="shared" si="38"/>
        <v>#N/A</v>
      </c>
      <c r="K256">
        <f t="shared" si="39"/>
        <v>2.0596921980651495E-3</v>
      </c>
      <c r="L256" t="e">
        <f>IF(AND(ABS((ChartCalculations!A256-Calculations!$F$3)/Calculations!$F$4)&lt;5,OR(A256&lt;=Calculations!$F$7,A256&gt;=Calculations!$F$8)),0.2*_xlfn.NORM.DIST(100,100,15,FALSE)*_xlfn.NORM.DIST(A256,Calculations!$F$3,Calculations!$F$4,FALSE)/_xlfn.NORM.DIST(Calculations!$F$3,Calculations!$F$3,Calculations!$F$4,FALSE),NA())</f>
        <v>#N/A</v>
      </c>
      <c r="M256">
        <f>IF(AND(A256&gt;=Calculations!$F$7,A256&lt;=Calculations!$F$8),0.2*_xlfn.NORM.DIST(100,100,15,FALSE)*_xlfn.NORM.DIST(A256,Calculations!$F$3,Calculations!$F$4,FALSE)/_xlfn.NORM.DIST(Calculations!$F$3,Calculations!$F$3,Calculations!$F$4,FALSE),NA())</f>
        <v>3.1447614280321326E-3</v>
      </c>
    </row>
    <row r="257" spans="1:13" x14ac:dyDescent="0.25">
      <c r="A257">
        <v>65.500000000000398</v>
      </c>
      <c r="B257" t="e">
        <f t="shared" si="30"/>
        <v>#N/A</v>
      </c>
      <c r="C257">
        <f t="shared" si="31"/>
        <v>1.8884691827735264E-3</v>
      </c>
      <c r="D257" t="e">
        <f t="shared" si="32"/>
        <v>#N/A</v>
      </c>
      <c r="E257" t="e">
        <f t="shared" si="33"/>
        <v>#N/A</v>
      </c>
      <c r="F257" t="e">
        <f t="shared" si="34"/>
        <v>#N/A</v>
      </c>
      <c r="G257" t="e">
        <f t="shared" si="35"/>
        <v>#N/A</v>
      </c>
      <c r="H257" t="e">
        <f t="shared" si="36"/>
        <v>#N/A</v>
      </c>
      <c r="I257" t="e">
        <f t="shared" si="37"/>
        <v>#N/A</v>
      </c>
      <c r="J257" t="e">
        <f t="shared" si="38"/>
        <v>#N/A</v>
      </c>
      <c r="K257">
        <f t="shared" si="39"/>
        <v>2.0884691827735263E-3</v>
      </c>
      <c r="L257" t="e">
        <f>IF(AND(ABS((ChartCalculations!A257-Calculations!$F$3)/Calculations!$F$4)&lt;5,OR(A257&lt;=Calculations!$F$7,A257&gt;=Calculations!$F$8)),0.2*_xlfn.NORM.DIST(100,100,15,FALSE)*_xlfn.NORM.DIST(A257,Calculations!$F$3,Calculations!$F$4,FALSE)/_xlfn.NORM.DIST(Calculations!$F$3,Calculations!$F$3,Calculations!$F$4,FALSE),NA())</f>
        <v>#N/A</v>
      </c>
      <c r="M257">
        <f>IF(AND(A257&gt;=Calculations!$F$7,A257&lt;=Calculations!$F$8),0.2*_xlfn.NORM.DIST(100,100,15,FALSE)*_xlfn.NORM.DIST(A257,Calculations!$F$3,Calculations!$F$4,FALSE)/_xlfn.NORM.DIST(Calculations!$F$3,Calculations!$F$3,Calculations!$F$4,FALSE),NA())</f>
        <v>3.393709134303043E-3</v>
      </c>
    </row>
    <row r="258" spans="1:13" x14ac:dyDescent="0.25">
      <c r="A258">
        <v>65.600000000000406</v>
      </c>
      <c r="B258" t="e">
        <f t="shared" si="30"/>
        <v>#N/A</v>
      </c>
      <c r="C258">
        <f t="shared" si="31"/>
        <v>1.9176062353710892E-3</v>
      </c>
      <c r="D258" t="e">
        <f t="shared" si="32"/>
        <v>#N/A</v>
      </c>
      <c r="E258" t="e">
        <f t="shared" si="33"/>
        <v>#N/A</v>
      </c>
      <c r="F258" t="e">
        <f t="shared" si="34"/>
        <v>#N/A</v>
      </c>
      <c r="G258" t="e">
        <f t="shared" si="35"/>
        <v>#N/A</v>
      </c>
      <c r="H258" t="e">
        <f t="shared" si="36"/>
        <v>#N/A</v>
      </c>
      <c r="I258" t="e">
        <f t="shared" si="37"/>
        <v>#N/A</v>
      </c>
      <c r="J258" t="e">
        <f t="shared" si="38"/>
        <v>#N/A</v>
      </c>
      <c r="K258">
        <f t="shared" si="39"/>
        <v>2.1176062353710891E-3</v>
      </c>
      <c r="L258" t="e">
        <f>IF(AND(ABS((ChartCalculations!A258-Calculations!$F$3)/Calculations!$F$4)&lt;5,OR(A258&lt;=Calculations!$F$7,A258&gt;=Calculations!$F$8)),0.2*_xlfn.NORM.DIST(100,100,15,FALSE)*_xlfn.NORM.DIST(A258,Calculations!$F$3,Calculations!$F$4,FALSE)/_xlfn.NORM.DIST(Calculations!$F$3,Calculations!$F$3,Calculations!$F$4,FALSE),NA())</f>
        <v>#N/A</v>
      </c>
      <c r="M258">
        <f>IF(AND(A258&gt;=Calculations!$F$7,A258&lt;=Calculations!$F$8),0.2*_xlfn.NORM.DIST(100,100,15,FALSE)*_xlfn.NORM.DIST(A258,Calculations!$F$3,Calculations!$F$4,FALSE)/_xlfn.NORM.DIST(Calculations!$F$3,Calculations!$F$3,Calculations!$F$4,FALSE),NA())</f>
        <v>3.6405934698709739E-3</v>
      </c>
    </row>
    <row r="259" spans="1:13" x14ac:dyDescent="0.25">
      <c r="A259">
        <v>65.700000000000401</v>
      </c>
      <c r="B259" t="e">
        <f t="shared" ref="B259:B322" si="40">IF($A259&lt;=60,_xlfn.NORM.DIST($A259,100,15,FALSE),NA())</f>
        <v>#N/A</v>
      </c>
      <c r="C259">
        <f t="shared" ref="C259:C322" si="41">IF(AND($A259&gt;=60,$A259&lt;=70),_xlfn.NORM.DIST($A259,100,15,FALSE),NA())</f>
        <v>1.9471063014365139E-3</v>
      </c>
      <c r="D259" t="e">
        <f t="shared" ref="D259:D322" si="42">IF(AND($A259&gt;=70,$A259&lt;=80),_xlfn.NORM.DIST($A259,100,15,FALSE),NA())</f>
        <v>#N/A</v>
      </c>
      <c r="E259" t="e">
        <f t="shared" ref="E259:E322" si="43">IF(AND($A259&gt;=80,$A259&lt;=90),_xlfn.NORM.DIST($A259,100,15,FALSE),NA())</f>
        <v>#N/A</v>
      </c>
      <c r="F259" t="e">
        <f t="shared" ref="F259:F322" si="44">IF(AND($A259&gt;=90,$A259&lt;=110),_xlfn.NORM.DIST($A259,100,15,FALSE),NA())</f>
        <v>#N/A</v>
      </c>
      <c r="G259" t="e">
        <f t="shared" ref="G259:G322" si="45">IF(AND($A259&gt;=110,$A259&lt;=120),_xlfn.NORM.DIST($A259,100,15,FALSE),NA())</f>
        <v>#N/A</v>
      </c>
      <c r="H259" t="e">
        <f t="shared" ref="H259:H322" si="46">IF(AND($A259&gt;=120,$A259&lt;=130),_xlfn.NORM.DIST($A259,100,15,FALSE),NA())</f>
        <v>#N/A</v>
      </c>
      <c r="I259" t="e">
        <f t="shared" ref="I259:I322" si="47">IF(AND($A259&gt;=130,$A259&lt;=140),_xlfn.NORM.DIST($A259,100,15,FALSE),NA())</f>
        <v>#N/A</v>
      </c>
      <c r="J259" t="e">
        <f t="shared" ref="J259:J322" si="48">IF($A259&gt;=140,_xlfn.NORM.DIST($A259,100,15,FALSE),NA())</f>
        <v>#N/A</v>
      </c>
      <c r="K259">
        <f t="shared" ref="K259:K322" si="49">_xlfn.NORM.DIST($A259,100,15,FALSE)+0.0002</f>
        <v>2.147106301436514E-3</v>
      </c>
      <c r="L259" t="e">
        <f>IF(AND(ABS((ChartCalculations!A259-Calculations!$F$3)/Calculations!$F$4)&lt;5,OR(A259&lt;=Calculations!$F$7,A259&gt;=Calculations!$F$8)),0.2*_xlfn.NORM.DIST(100,100,15,FALSE)*_xlfn.NORM.DIST(A259,Calculations!$F$3,Calculations!$F$4,FALSE)/_xlfn.NORM.DIST(Calculations!$F$3,Calculations!$F$3,Calculations!$F$4,FALSE),NA())</f>
        <v>#N/A</v>
      </c>
      <c r="M259">
        <f>IF(AND(A259&gt;=Calculations!$F$7,A259&lt;=Calculations!$F$8),0.2*_xlfn.NORM.DIST(100,100,15,FALSE)*_xlfn.NORM.DIST(A259,Calculations!$F$3,Calculations!$F$4,FALSE)/_xlfn.NORM.DIST(Calculations!$F$3,Calculations!$F$3,Calculations!$F$4,FALSE),NA())</f>
        <v>3.8822223831432943E-3</v>
      </c>
    </row>
    <row r="260" spans="1:13" x14ac:dyDescent="0.25">
      <c r="A260">
        <v>65.800000000000395</v>
      </c>
      <c r="B260" t="e">
        <f t="shared" si="40"/>
        <v>#N/A</v>
      </c>
      <c r="C260">
        <f t="shared" si="41"/>
        <v>1.9769723231562036E-3</v>
      </c>
      <c r="D260" t="e">
        <f t="shared" si="42"/>
        <v>#N/A</v>
      </c>
      <c r="E260" t="e">
        <f t="shared" si="43"/>
        <v>#N/A</v>
      </c>
      <c r="F260" t="e">
        <f t="shared" si="44"/>
        <v>#N/A</v>
      </c>
      <c r="G260" t="e">
        <f t="shared" si="45"/>
        <v>#N/A</v>
      </c>
      <c r="H260" t="e">
        <f t="shared" si="46"/>
        <v>#N/A</v>
      </c>
      <c r="I260" t="e">
        <f t="shared" si="47"/>
        <v>#N/A</v>
      </c>
      <c r="J260" t="e">
        <f t="shared" si="48"/>
        <v>#N/A</v>
      </c>
      <c r="K260">
        <f t="shared" si="49"/>
        <v>2.1769723231562037E-3</v>
      </c>
      <c r="L260" t="e">
        <f>IF(AND(ABS((ChartCalculations!A260-Calculations!$F$3)/Calculations!$F$4)&lt;5,OR(A260&lt;=Calculations!$F$7,A260&gt;=Calculations!$F$8)),0.2*_xlfn.NORM.DIST(100,100,15,FALSE)*_xlfn.NORM.DIST(A260,Calculations!$F$3,Calculations!$F$4,FALSE)/_xlfn.NORM.DIST(Calculations!$F$3,Calculations!$F$3,Calculations!$F$4,FALSE),NA())</f>
        <v>#N/A</v>
      </c>
      <c r="M260">
        <f>IF(AND(A260&gt;=Calculations!$F$7,A260&lt;=Calculations!$F$8),0.2*_xlfn.NORM.DIST(100,100,15,FALSE)*_xlfn.NORM.DIST(A260,Calculations!$F$3,Calculations!$F$4,FALSE)/_xlfn.NORM.DIST(Calculations!$F$3,Calculations!$F$3,Calculations!$F$4,FALSE),NA())</f>
        <v>4.1152790348766843E-3</v>
      </c>
    </row>
    <row r="261" spans="1:13" x14ac:dyDescent="0.25">
      <c r="A261">
        <v>65.900000000000404</v>
      </c>
      <c r="B261" t="e">
        <f t="shared" si="40"/>
        <v>#N/A</v>
      </c>
      <c r="C261">
        <f t="shared" si="41"/>
        <v>2.0072072387450467E-3</v>
      </c>
      <c r="D261" t="e">
        <f t="shared" si="42"/>
        <v>#N/A</v>
      </c>
      <c r="E261" t="e">
        <f t="shared" si="43"/>
        <v>#N/A</v>
      </c>
      <c r="F261" t="e">
        <f t="shared" si="44"/>
        <v>#N/A</v>
      </c>
      <c r="G261" t="e">
        <f t="shared" si="45"/>
        <v>#N/A</v>
      </c>
      <c r="H261" t="e">
        <f t="shared" si="46"/>
        <v>#N/A</v>
      </c>
      <c r="I261" t="e">
        <f t="shared" si="47"/>
        <v>#N/A</v>
      </c>
      <c r="J261" t="e">
        <f t="shared" si="48"/>
        <v>#N/A</v>
      </c>
      <c r="K261">
        <f t="shared" si="49"/>
        <v>2.2072072387450468E-3</v>
      </c>
      <c r="L261" t="e">
        <f>IF(AND(ABS((ChartCalculations!A261-Calculations!$F$3)/Calculations!$F$4)&lt;5,OR(A261&lt;=Calculations!$F$7,A261&gt;=Calculations!$F$8)),0.2*_xlfn.NORM.DIST(100,100,15,FALSE)*_xlfn.NORM.DIST(A261,Calculations!$F$3,Calculations!$F$4,FALSE)/_xlfn.NORM.DIST(Calculations!$F$3,Calculations!$F$3,Calculations!$F$4,FALSE),NA())</f>
        <v>#N/A</v>
      </c>
      <c r="M261">
        <f>IF(AND(A261&gt;=Calculations!$F$7,A261&lt;=Calculations!$F$8),0.2*_xlfn.NORM.DIST(100,100,15,FALSE)*_xlfn.NORM.DIST(A261,Calculations!$F$3,Calculations!$F$4,FALSE)/_xlfn.NORM.DIST(Calculations!$F$3,Calculations!$F$3,Calculations!$F$4,FALSE),NA())</f>
        <v>4.3363948629725367E-3</v>
      </c>
    </row>
    <row r="262" spans="1:13" x14ac:dyDescent="0.25">
      <c r="A262">
        <v>66.000000000000398</v>
      </c>
      <c r="B262" t="e">
        <f t="shared" si="40"/>
        <v>#N/A</v>
      </c>
      <c r="C262">
        <f t="shared" si="41"/>
        <v>2.0378139818591555E-3</v>
      </c>
      <c r="D262" t="e">
        <f t="shared" si="42"/>
        <v>#N/A</v>
      </c>
      <c r="E262" t="e">
        <f t="shared" si="43"/>
        <v>#N/A</v>
      </c>
      <c r="F262" t="e">
        <f t="shared" si="44"/>
        <v>#N/A</v>
      </c>
      <c r="G262" t="e">
        <f t="shared" si="45"/>
        <v>#N/A</v>
      </c>
      <c r="H262" t="e">
        <f t="shared" si="46"/>
        <v>#N/A</v>
      </c>
      <c r="I262" t="e">
        <f t="shared" si="47"/>
        <v>#N/A</v>
      </c>
      <c r="J262" t="e">
        <f t="shared" si="48"/>
        <v>#N/A</v>
      </c>
      <c r="K262">
        <f t="shared" si="49"/>
        <v>2.2378139818591556E-3</v>
      </c>
      <c r="L262" t="e">
        <f>IF(AND(ABS((ChartCalculations!A262-Calculations!$F$3)/Calculations!$F$4)&lt;5,OR(A262&lt;=Calculations!$F$7,A262&gt;=Calculations!$F$8)),0.2*_xlfn.NORM.DIST(100,100,15,FALSE)*_xlfn.NORM.DIST(A262,Calculations!$F$3,Calculations!$F$4,FALSE)/_xlfn.NORM.DIST(Calculations!$F$3,Calculations!$F$3,Calculations!$F$4,FALSE),NA())</f>
        <v>#N/A</v>
      </c>
      <c r="M262">
        <f>IF(AND(A262&gt;=Calculations!$F$7,A262&lt;=Calculations!$F$8),0.2*_xlfn.NORM.DIST(100,100,15,FALSE)*_xlfn.NORM.DIST(A262,Calculations!$F$3,Calculations!$F$4,FALSE)/_xlfn.NORM.DIST(Calculations!$F$3,Calculations!$F$3,Calculations!$F$4,FALSE),NA())</f>
        <v>4.5422288342564969E-3</v>
      </c>
    </row>
    <row r="263" spans="1:13" x14ac:dyDescent="0.25">
      <c r="A263">
        <v>66.100000000000406</v>
      </c>
      <c r="B263" t="e">
        <f t="shared" si="40"/>
        <v>#N/A</v>
      </c>
      <c r="C263">
        <f t="shared" si="41"/>
        <v>2.0687954810006785E-3</v>
      </c>
      <c r="D263" t="e">
        <f t="shared" si="42"/>
        <v>#N/A</v>
      </c>
      <c r="E263" t="e">
        <f t="shared" si="43"/>
        <v>#N/A</v>
      </c>
      <c r="F263" t="e">
        <f t="shared" si="44"/>
        <v>#N/A</v>
      </c>
      <c r="G263" t="e">
        <f t="shared" si="45"/>
        <v>#N/A</v>
      </c>
      <c r="H263" t="e">
        <f t="shared" si="46"/>
        <v>#N/A</v>
      </c>
      <c r="I263" t="e">
        <f t="shared" si="47"/>
        <v>#N/A</v>
      </c>
      <c r="J263" t="e">
        <f t="shared" si="48"/>
        <v>#N/A</v>
      </c>
      <c r="K263">
        <f t="shared" si="49"/>
        <v>2.2687954810006786E-3</v>
      </c>
      <c r="L263" t="e">
        <f>IF(AND(ABS((ChartCalculations!A263-Calculations!$F$3)/Calculations!$F$4)&lt;5,OR(A263&lt;=Calculations!$F$7,A263&gt;=Calculations!$F$8)),0.2*_xlfn.NORM.DIST(100,100,15,FALSE)*_xlfn.NORM.DIST(A263,Calculations!$F$3,Calculations!$F$4,FALSE)/_xlfn.NORM.DIST(Calculations!$F$3,Calculations!$F$3,Calculations!$F$4,FALSE),NA())</f>
        <v>#N/A</v>
      </c>
      <c r="M263">
        <f>IF(AND(A263&gt;=Calculations!$F$7,A263&lt;=Calculations!$F$8),0.2*_xlfn.NORM.DIST(100,100,15,FALSE)*_xlfn.NORM.DIST(A263,Calculations!$F$3,Calculations!$F$4,FALSE)/_xlfn.NORM.DIST(Calculations!$F$3,Calculations!$F$3,Calculations!$F$4,FALSE),NA())</f>
        <v>4.729550353182177E-3</v>
      </c>
    </row>
    <row r="264" spans="1:13" x14ac:dyDescent="0.25">
      <c r="A264">
        <v>66.200000000000401</v>
      </c>
      <c r="B264" t="e">
        <f t="shared" si="40"/>
        <v>#N/A</v>
      </c>
      <c r="C264">
        <f t="shared" si="41"/>
        <v>2.100154658914612E-3</v>
      </c>
      <c r="D264" t="e">
        <f t="shared" si="42"/>
        <v>#N/A</v>
      </c>
      <c r="E264" t="e">
        <f t="shared" si="43"/>
        <v>#N/A</v>
      </c>
      <c r="F264" t="e">
        <f t="shared" si="44"/>
        <v>#N/A</v>
      </c>
      <c r="G264" t="e">
        <f t="shared" si="45"/>
        <v>#N/A</v>
      </c>
      <c r="H264" t="e">
        <f t="shared" si="46"/>
        <v>#N/A</v>
      </c>
      <c r="I264" t="e">
        <f t="shared" si="47"/>
        <v>#N/A</v>
      </c>
      <c r="J264" t="e">
        <f t="shared" si="48"/>
        <v>#N/A</v>
      </c>
      <c r="K264">
        <f t="shared" si="49"/>
        <v>2.3001546589146121E-3</v>
      </c>
      <c r="L264" t="e">
        <f>IF(AND(ABS((ChartCalculations!A264-Calculations!$F$3)/Calculations!$F$4)&lt;5,OR(A264&lt;=Calculations!$F$7,A264&gt;=Calculations!$F$8)),0.2*_xlfn.NORM.DIST(100,100,15,FALSE)*_xlfn.NORM.DIST(A264,Calculations!$F$3,Calculations!$F$4,FALSE)/_xlfn.NORM.DIST(Calculations!$F$3,Calculations!$F$3,Calculations!$F$4,FALSE),NA())</f>
        <v>#N/A</v>
      </c>
      <c r="M264">
        <f>IF(AND(A264&gt;=Calculations!$F$7,A264&lt;=Calculations!$F$8),0.2*_xlfn.NORM.DIST(100,100,15,FALSE)*_xlfn.NORM.DIST(A264,Calculations!$F$3,Calculations!$F$4,FALSE)/_xlfn.NORM.DIST(Calculations!$F$3,Calculations!$F$3,Calculations!$F$4,FALSE),NA())</f>
        <v>4.8953229982655732E-3</v>
      </c>
    </row>
    <row r="265" spans="1:13" x14ac:dyDescent="0.25">
      <c r="A265">
        <v>66.300000000000395</v>
      </c>
      <c r="B265" t="e">
        <f t="shared" si="40"/>
        <v>#N/A</v>
      </c>
      <c r="C265">
        <f t="shared" si="41"/>
        <v>2.1318944319777891E-3</v>
      </c>
      <c r="D265" t="e">
        <f t="shared" si="42"/>
        <v>#N/A</v>
      </c>
      <c r="E265" t="e">
        <f t="shared" si="43"/>
        <v>#N/A</v>
      </c>
      <c r="F265" t="e">
        <f t="shared" si="44"/>
        <v>#N/A</v>
      </c>
      <c r="G265" t="e">
        <f t="shared" si="45"/>
        <v>#N/A</v>
      </c>
      <c r="H265" t="e">
        <f t="shared" si="46"/>
        <v>#N/A</v>
      </c>
      <c r="I265" t="e">
        <f t="shared" si="47"/>
        <v>#N/A</v>
      </c>
      <c r="J265" t="e">
        <f t="shared" si="48"/>
        <v>#N/A</v>
      </c>
      <c r="K265">
        <f t="shared" si="49"/>
        <v>2.3318944319777892E-3</v>
      </c>
      <c r="L265" t="e">
        <f>IF(AND(ABS((ChartCalculations!A265-Calculations!$F$3)/Calculations!$F$4)&lt;5,OR(A265&lt;=Calculations!$F$7,A265&gt;=Calculations!$F$8)),0.2*_xlfn.NORM.DIST(100,100,15,FALSE)*_xlfn.NORM.DIST(A265,Calculations!$F$3,Calculations!$F$4,FALSE)/_xlfn.NORM.DIST(Calculations!$F$3,Calculations!$F$3,Calculations!$F$4,FALSE),NA())</f>
        <v>#N/A</v>
      </c>
      <c r="M265">
        <f>IF(AND(A265&gt;=Calculations!$F$7,A265&lt;=Calculations!$F$8),0.2*_xlfn.NORM.DIST(100,100,15,FALSE)*_xlfn.NORM.DIST(A265,Calculations!$F$3,Calculations!$F$4,FALSE)/_xlfn.NORM.DIST(Calculations!$F$3,Calculations!$F$3,Calculations!$F$4,FALSE),NA())</f>
        <v>5.0367860792809738E-3</v>
      </c>
    </row>
    <row r="266" spans="1:13" x14ac:dyDescent="0.25">
      <c r="A266">
        <v>66.400000000000404</v>
      </c>
      <c r="B266" t="e">
        <f t="shared" si="40"/>
        <v>#N/A</v>
      </c>
      <c r="C266">
        <f t="shared" si="41"/>
        <v>2.1640177095799602E-3</v>
      </c>
      <c r="D266" t="e">
        <f t="shared" si="42"/>
        <v>#N/A</v>
      </c>
      <c r="E266" t="e">
        <f t="shared" si="43"/>
        <v>#N/A</v>
      </c>
      <c r="F266" t="e">
        <f t="shared" si="44"/>
        <v>#N/A</v>
      </c>
      <c r="G266" t="e">
        <f t="shared" si="45"/>
        <v>#N/A</v>
      </c>
      <c r="H266" t="e">
        <f t="shared" si="46"/>
        <v>#N/A</v>
      </c>
      <c r="I266" t="e">
        <f t="shared" si="47"/>
        <v>#N/A</v>
      </c>
      <c r="J266" t="e">
        <f t="shared" si="48"/>
        <v>#N/A</v>
      </c>
      <c r="K266">
        <f t="shared" si="49"/>
        <v>2.3640177095799603E-3</v>
      </c>
      <c r="L266" t="e">
        <f>IF(AND(ABS((ChartCalculations!A266-Calculations!$F$3)/Calculations!$F$4)&lt;5,OR(A266&lt;=Calculations!$F$7,A266&gt;=Calculations!$F$8)),0.2*_xlfn.NORM.DIST(100,100,15,FALSE)*_xlfn.NORM.DIST(A266,Calculations!$F$3,Calculations!$F$4,FALSE)/_xlfn.NORM.DIST(Calculations!$F$3,Calculations!$F$3,Calculations!$F$4,FALSE),NA())</f>
        <v>#N/A</v>
      </c>
      <c r="M266">
        <f>IF(AND(A266&gt;=Calculations!$F$7,A266&lt;=Calculations!$F$8),0.2*_xlfn.NORM.DIST(100,100,15,FALSE)*_xlfn.NORM.DIST(A266,Calculations!$F$3,Calculations!$F$4,FALSE)/_xlfn.NORM.DIST(Calculations!$F$3,Calculations!$F$3,Calculations!$F$4,FALSE),NA())</f>
        <v>5.1515309676232433E-3</v>
      </c>
    </row>
    <row r="267" spans="1:13" x14ac:dyDescent="0.25">
      <c r="A267">
        <v>66.500000000000398</v>
      </c>
      <c r="B267" t="e">
        <f t="shared" si="40"/>
        <v>#N/A</v>
      </c>
      <c r="C267">
        <f t="shared" si="41"/>
        <v>2.1965273934970832E-3</v>
      </c>
      <c r="D267" t="e">
        <f t="shared" si="42"/>
        <v>#N/A</v>
      </c>
      <c r="E267" t="e">
        <f t="shared" si="43"/>
        <v>#N/A</v>
      </c>
      <c r="F267" t="e">
        <f t="shared" si="44"/>
        <v>#N/A</v>
      </c>
      <c r="G267" t="e">
        <f t="shared" si="45"/>
        <v>#N/A</v>
      </c>
      <c r="H267" t="e">
        <f t="shared" si="46"/>
        <v>#N/A</v>
      </c>
      <c r="I267" t="e">
        <f t="shared" si="47"/>
        <v>#N/A</v>
      </c>
      <c r="J267" t="e">
        <f t="shared" si="48"/>
        <v>#N/A</v>
      </c>
      <c r="K267">
        <f t="shared" si="49"/>
        <v>2.3965273934970833E-3</v>
      </c>
      <c r="L267" t="e">
        <f>IF(AND(ABS((ChartCalculations!A267-Calculations!$F$3)/Calculations!$F$4)&lt;5,OR(A267&lt;=Calculations!$F$7,A267&gt;=Calculations!$F$8)),0.2*_xlfn.NORM.DIST(100,100,15,FALSE)*_xlfn.NORM.DIST(A267,Calculations!$F$3,Calculations!$F$4,FALSE)/_xlfn.NORM.DIST(Calculations!$F$3,Calculations!$F$3,Calculations!$F$4,FALSE),NA())</f>
        <v>#N/A</v>
      </c>
      <c r="M267">
        <f>IF(AND(A267&gt;=Calculations!$F$7,A267&lt;=Calculations!$F$8),0.2*_xlfn.NORM.DIST(100,100,15,FALSE)*_xlfn.NORM.DIST(A267,Calculations!$F$3,Calculations!$F$4,FALSE)/_xlfn.NORM.DIST(Calculations!$F$3,Calculations!$F$3,Calculations!$F$4,FALSE),NA())</f>
        <v>5.2375692570326149E-3</v>
      </c>
    </row>
    <row r="268" spans="1:13" x14ac:dyDescent="0.25">
      <c r="A268">
        <v>66.600000000000406</v>
      </c>
      <c r="B268" t="e">
        <f t="shared" si="40"/>
        <v>#N/A</v>
      </c>
      <c r="C268">
        <f t="shared" si="41"/>
        <v>2.229426377256899E-3</v>
      </c>
      <c r="D268" t="e">
        <f t="shared" si="42"/>
        <v>#N/A</v>
      </c>
      <c r="E268" t="e">
        <f t="shared" si="43"/>
        <v>#N/A</v>
      </c>
      <c r="F268" t="e">
        <f t="shared" si="44"/>
        <v>#N/A</v>
      </c>
      <c r="G268" t="e">
        <f t="shared" si="45"/>
        <v>#N/A</v>
      </c>
      <c r="H268" t="e">
        <f t="shared" si="46"/>
        <v>#N/A</v>
      </c>
      <c r="I268" t="e">
        <f t="shared" si="47"/>
        <v>#N/A</v>
      </c>
      <c r="J268" t="e">
        <f t="shared" si="48"/>
        <v>#N/A</v>
      </c>
      <c r="K268">
        <f t="shared" si="49"/>
        <v>2.4294263772568991E-3</v>
      </c>
      <c r="L268" t="e">
        <f>IF(AND(ABS((ChartCalculations!A268-Calculations!$F$3)/Calculations!$F$4)&lt;5,OR(A268&lt;=Calculations!$F$7,A268&gt;=Calculations!$F$8)),0.2*_xlfn.NORM.DIST(100,100,15,FALSE)*_xlfn.NORM.DIST(A268,Calculations!$F$3,Calculations!$F$4,FALSE)/_xlfn.NORM.DIST(Calculations!$F$3,Calculations!$F$3,Calculations!$F$4,FALSE),NA())</f>
        <v>#N/A</v>
      </c>
      <c r="M268">
        <f>IF(AND(A268&gt;=Calculations!$F$7,A268&lt;=Calculations!$F$8),0.2*_xlfn.NORM.DIST(100,100,15,FALSE)*_xlfn.NORM.DIST(A268,Calculations!$F$3,Calculations!$F$4,FALSE)/_xlfn.NORM.DIST(Calculations!$F$3,Calculations!$F$3,Calculations!$F$4,FALSE),NA())</f>
        <v>5.293390061928277E-3</v>
      </c>
    </row>
    <row r="269" spans="1:13" x14ac:dyDescent="0.25">
      <c r="A269">
        <v>66.700000000000401</v>
      </c>
      <c r="B269" t="e">
        <f t="shared" si="40"/>
        <v>#N/A</v>
      </c>
      <c r="C269">
        <f t="shared" si="41"/>
        <v>2.2627175454967476E-3</v>
      </c>
      <c r="D269" t="e">
        <f t="shared" si="42"/>
        <v>#N/A</v>
      </c>
      <c r="E269" t="e">
        <f t="shared" si="43"/>
        <v>#N/A</v>
      </c>
      <c r="F269" t="e">
        <f t="shared" si="44"/>
        <v>#N/A</v>
      </c>
      <c r="G269" t="e">
        <f t="shared" si="45"/>
        <v>#N/A</v>
      </c>
      <c r="H269" t="e">
        <f t="shared" si="46"/>
        <v>#N/A</v>
      </c>
      <c r="I269" t="e">
        <f t="shared" si="47"/>
        <v>#N/A</v>
      </c>
      <c r="J269" t="e">
        <f t="shared" si="48"/>
        <v>#N/A</v>
      </c>
      <c r="K269">
        <f t="shared" si="49"/>
        <v>2.4627175454967477E-3</v>
      </c>
      <c r="L269" t="e">
        <f>IF(AND(ABS((ChartCalculations!A269-Calculations!$F$3)/Calculations!$F$4)&lt;5,OR(A269&lt;=Calculations!$F$7,A269&gt;=Calculations!$F$8)),0.2*_xlfn.NORM.DIST(100,100,15,FALSE)*_xlfn.NORM.DIST(A269,Calculations!$F$3,Calculations!$F$4,FALSE)/_xlfn.NORM.DIST(Calculations!$F$3,Calculations!$F$3,Calculations!$F$4,FALSE),NA())</f>
        <v>#N/A</v>
      </c>
      <c r="M269">
        <f>IF(AND(A269&gt;=Calculations!$F$7,A269&lt;=Calculations!$F$8),0.2*_xlfn.NORM.DIST(100,100,15,FALSE)*_xlfn.NORM.DIST(A269,Calculations!$F$3,Calculations!$F$4,FALSE)/_xlfn.NORM.DIST(Calculations!$F$3,Calculations!$F$3,Calculations!$F$4,FALSE),NA())</f>
        <v>5.3180041470277757E-3</v>
      </c>
    </row>
    <row r="270" spans="1:13" x14ac:dyDescent="0.25">
      <c r="A270">
        <v>66.800000000000395</v>
      </c>
      <c r="B270" t="e">
        <f t="shared" si="40"/>
        <v>#N/A</v>
      </c>
      <c r="C270">
        <f t="shared" si="41"/>
        <v>2.2964037733138034E-3</v>
      </c>
      <c r="D270" t="e">
        <f t="shared" si="42"/>
        <v>#N/A</v>
      </c>
      <c r="E270" t="e">
        <f t="shared" si="43"/>
        <v>#N/A</v>
      </c>
      <c r="F270" t="e">
        <f t="shared" si="44"/>
        <v>#N/A</v>
      </c>
      <c r="G270" t="e">
        <f t="shared" si="45"/>
        <v>#N/A</v>
      </c>
      <c r="H270" t="e">
        <f t="shared" si="46"/>
        <v>#N/A</v>
      </c>
      <c r="I270" t="e">
        <f t="shared" si="47"/>
        <v>#N/A</v>
      </c>
      <c r="J270" t="e">
        <f t="shared" si="48"/>
        <v>#N/A</v>
      </c>
      <c r="K270">
        <f t="shared" si="49"/>
        <v>2.4964037733138035E-3</v>
      </c>
      <c r="L270" t="e">
        <f>IF(AND(ABS((ChartCalculations!A270-Calculations!$F$3)/Calculations!$F$4)&lt;5,OR(A270&lt;=Calculations!$F$7,A270&gt;=Calculations!$F$8)),0.2*_xlfn.NORM.DIST(100,100,15,FALSE)*_xlfn.NORM.DIST(A270,Calculations!$F$3,Calculations!$F$4,FALSE)/_xlfn.NORM.DIST(Calculations!$F$3,Calculations!$F$3,Calculations!$F$4,FALSE),NA())</f>
        <v>#N/A</v>
      </c>
      <c r="M270">
        <f>IF(AND(A270&gt;=Calculations!$F$7,A270&lt;=Calculations!$F$8),0.2*_xlfn.NORM.DIST(100,100,15,FALSE)*_xlfn.NORM.DIST(A270,Calculations!$F$3,Calculations!$F$4,FALSE)/_xlfn.NORM.DIST(Calculations!$F$3,Calculations!$F$3,Calculations!$F$4,FALSE),NA())</f>
        <v>5.3109730874447729E-3</v>
      </c>
    </row>
    <row r="271" spans="1:13" x14ac:dyDescent="0.25">
      <c r="A271">
        <v>66.900000000000404</v>
      </c>
      <c r="B271" t="e">
        <f t="shared" si="40"/>
        <v>#N/A</v>
      </c>
      <c r="C271">
        <f t="shared" si="41"/>
        <v>2.3304879256076908E-3</v>
      </c>
      <c r="D271" t="e">
        <f t="shared" si="42"/>
        <v>#N/A</v>
      </c>
      <c r="E271" t="e">
        <f t="shared" si="43"/>
        <v>#N/A</v>
      </c>
      <c r="F271" t="e">
        <f t="shared" si="44"/>
        <v>#N/A</v>
      </c>
      <c r="G271" t="e">
        <f t="shared" si="45"/>
        <v>#N/A</v>
      </c>
      <c r="H271" t="e">
        <f t="shared" si="46"/>
        <v>#N/A</v>
      </c>
      <c r="I271" t="e">
        <f t="shared" si="47"/>
        <v>#N/A</v>
      </c>
      <c r="J271" t="e">
        <f t="shared" si="48"/>
        <v>#N/A</v>
      </c>
      <c r="K271">
        <f t="shared" si="49"/>
        <v>2.5304879256076909E-3</v>
      </c>
      <c r="L271" t="e">
        <f>IF(AND(ABS((ChartCalculations!A271-Calculations!$F$3)/Calculations!$F$4)&lt;5,OR(A271&lt;=Calculations!$F$7,A271&gt;=Calculations!$F$8)),0.2*_xlfn.NORM.DIST(100,100,15,FALSE)*_xlfn.NORM.DIST(A271,Calculations!$F$3,Calculations!$F$4,FALSE)/_xlfn.NORM.DIST(Calculations!$F$3,Calculations!$F$3,Calculations!$F$4,FALSE),NA())</f>
        <v>#N/A</v>
      </c>
      <c r="M271">
        <f>IF(AND(A271&gt;=Calculations!$F$7,A271&lt;=Calculations!$F$8),0.2*_xlfn.NORM.DIST(100,100,15,FALSE)*_xlfn.NORM.DIST(A271,Calculations!$F$3,Calculations!$F$4,FALSE)/_xlfn.NORM.DIST(Calculations!$F$3,Calculations!$F$3,Calculations!$F$4,FALSE),NA())</f>
        <v>5.272422258260712E-3</v>
      </c>
    </row>
    <row r="272" spans="1:13" x14ac:dyDescent="0.25">
      <c r="A272">
        <v>67.000000000000398</v>
      </c>
      <c r="B272" t="e">
        <f t="shared" si="40"/>
        <v>#N/A</v>
      </c>
      <c r="C272">
        <f t="shared" si="41"/>
        <v>2.3649728564155668E-3</v>
      </c>
      <c r="D272" t="e">
        <f t="shared" si="42"/>
        <v>#N/A</v>
      </c>
      <c r="E272" t="e">
        <f t="shared" si="43"/>
        <v>#N/A</v>
      </c>
      <c r="F272" t="e">
        <f t="shared" si="44"/>
        <v>#N/A</v>
      </c>
      <c r="G272" t="e">
        <f t="shared" si="45"/>
        <v>#N/A</v>
      </c>
      <c r="H272" t="e">
        <f t="shared" si="46"/>
        <v>#N/A</v>
      </c>
      <c r="I272" t="e">
        <f t="shared" si="47"/>
        <v>#N/A</v>
      </c>
      <c r="J272" t="e">
        <f t="shared" si="48"/>
        <v>#N/A</v>
      </c>
      <c r="K272">
        <f t="shared" si="49"/>
        <v>2.5649728564155669E-3</v>
      </c>
      <c r="L272" t="e">
        <f>IF(AND(ABS((ChartCalculations!A272-Calculations!$F$3)/Calculations!$F$4)&lt;5,OR(A272&lt;=Calculations!$F$7,A272&gt;=Calculations!$F$8)),0.2*_xlfn.NORM.DIST(100,100,15,FALSE)*_xlfn.NORM.DIST(A272,Calculations!$F$3,Calculations!$F$4,FALSE)/_xlfn.NORM.DIST(Calculations!$F$3,Calculations!$F$3,Calculations!$F$4,FALSE),NA())</f>
        <v>#N/A</v>
      </c>
      <c r="M272">
        <f>IF(AND(A272&gt;=Calculations!$F$7,A272&lt;=Calculations!$F$8),0.2*_xlfn.NORM.DIST(100,100,15,FALSE)*_xlfn.NORM.DIST(A272,Calculations!$F$3,Calculations!$F$4,FALSE)/_xlfn.NORM.DIST(Calculations!$F$3,Calculations!$F$3,Calculations!$F$4,FALSE),NA())</f>
        <v>5.20303711584228E-3</v>
      </c>
    </row>
    <row r="273" spans="1:13" x14ac:dyDescent="0.25">
      <c r="A273">
        <v>67.100000000000406</v>
      </c>
      <c r="B273" t="e">
        <f t="shared" si="40"/>
        <v>#N/A</v>
      </c>
      <c r="C273">
        <f t="shared" si="41"/>
        <v>2.3998614082398123E-3</v>
      </c>
      <c r="D273" t="e">
        <f t="shared" si="42"/>
        <v>#N/A</v>
      </c>
      <c r="E273" t="e">
        <f t="shared" si="43"/>
        <v>#N/A</v>
      </c>
      <c r="F273" t="e">
        <f t="shared" si="44"/>
        <v>#N/A</v>
      </c>
      <c r="G273" t="e">
        <f t="shared" si="45"/>
        <v>#N/A</v>
      </c>
      <c r="H273" t="e">
        <f t="shared" si="46"/>
        <v>#N/A</v>
      </c>
      <c r="I273" t="e">
        <f t="shared" si="47"/>
        <v>#N/A</v>
      </c>
      <c r="J273" t="e">
        <f t="shared" si="48"/>
        <v>#N/A</v>
      </c>
      <c r="K273">
        <f t="shared" si="49"/>
        <v>2.5998614082398124E-3</v>
      </c>
      <c r="L273" t="e">
        <f>IF(AND(ABS((ChartCalculations!A273-Calculations!$F$3)/Calculations!$F$4)&lt;5,OR(A273&lt;=Calculations!$F$7,A273&gt;=Calculations!$F$8)),0.2*_xlfn.NORM.DIST(100,100,15,FALSE)*_xlfn.NORM.DIST(A273,Calculations!$F$3,Calculations!$F$4,FALSE)/_xlfn.NORM.DIST(Calculations!$F$3,Calculations!$F$3,Calculations!$F$4,FALSE),NA())</f>
        <v>#N/A</v>
      </c>
      <c r="M273">
        <f>IF(AND(A273&gt;=Calculations!$F$7,A273&lt;=Calculations!$F$8),0.2*_xlfn.NORM.DIST(100,100,15,FALSE)*_xlfn.NORM.DIST(A273,Calculations!$F$3,Calculations!$F$4,FALSE)/_xlfn.NORM.DIST(Calculations!$F$3,Calculations!$F$3,Calculations!$F$4,FALSE),NA())</f>
        <v>5.1040429250158647E-3</v>
      </c>
    </row>
    <row r="274" spans="1:13" x14ac:dyDescent="0.25">
      <c r="A274">
        <v>67.200000000000401</v>
      </c>
      <c r="B274" t="e">
        <f t="shared" si="40"/>
        <v>#N/A</v>
      </c>
      <c r="C274">
        <f t="shared" si="41"/>
        <v>2.4351564113682714E-3</v>
      </c>
      <c r="D274" t="e">
        <f t="shared" si="42"/>
        <v>#N/A</v>
      </c>
      <c r="E274" t="e">
        <f t="shared" si="43"/>
        <v>#N/A</v>
      </c>
      <c r="F274" t="e">
        <f t="shared" si="44"/>
        <v>#N/A</v>
      </c>
      <c r="G274" t="e">
        <f t="shared" si="45"/>
        <v>#N/A</v>
      </c>
      <c r="H274" t="e">
        <f t="shared" si="46"/>
        <v>#N/A</v>
      </c>
      <c r="I274" t="e">
        <f t="shared" si="47"/>
        <v>#N/A</v>
      </c>
      <c r="J274" t="e">
        <f t="shared" si="48"/>
        <v>#N/A</v>
      </c>
      <c r="K274">
        <f t="shared" si="49"/>
        <v>2.6351564113682715E-3</v>
      </c>
      <c r="L274" t="e">
        <f>IF(AND(ABS((ChartCalculations!A274-Calculations!$F$3)/Calculations!$F$4)&lt;5,OR(A274&lt;=Calculations!$F$7,A274&gt;=Calculations!$F$8)),0.2*_xlfn.NORM.DIST(100,100,15,FALSE)*_xlfn.NORM.DIST(A274,Calculations!$F$3,Calculations!$F$4,FALSE)/_xlfn.NORM.DIST(Calculations!$F$3,Calculations!$F$3,Calculations!$F$4,FALSE),NA())</f>
        <v>#N/A</v>
      </c>
      <c r="M274">
        <f>IF(AND(A274&gt;=Calculations!$F$7,A274&lt;=Calculations!$F$8),0.2*_xlfn.NORM.DIST(100,100,15,FALSE)*_xlfn.NORM.DIST(A274,Calculations!$F$3,Calculations!$F$4,FALSE)/_xlfn.NORM.DIST(Calculations!$F$3,Calculations!$F$3,Calculations!$F$4,FALSE),NA())</f>
        <v>4.9771687698550319E-3</v>
      </c>
    </row>
    <row r="275" spans="1:13" x14ac:dyDescent="0.25">
      <c r="A275">
        <v>67.300000000000395</v>
      </c>
      <c r="B275" t="e">
        <f t="shared" si="40"/>
        <v>#N/A</v>
      </c>
      <c r="C275">
        <f t="shared" si="41"/>
        <v>2.4708606831872417E-3</v>
      </c>
      <c r="D275" t="e">
        <f t="shared" si="42"/>
        <v>#N/A</v>
      </c>
      <c r="E275" t="e">
        <f t="shared" si="43"/>
        <v>#N/A</v>
      </c>
      <c r="F275" t="e">
        <f t="shared" si="44"/>
        <v>#N/A</v>
      </c>
      <c r="G275" t="e">
        <f t="shared" si="45"/>
        <v>#N/A</v>
      </c>
      <c r="H275" t="e">
        <f t="shared" si="46"/>
        <v>#N/A</v>
      </c>
      <c r="I275" t="e">
        <f t="shared" si="47"/>
        <v>#N/A</v>
      </c>
      <c r="J275" t="e">
        <f t="shared" si="48"/>
        <v>#N/A</v>
      </c>
      <c r="K275">
        <f t="shared" si="49"/>
        <v>2.6708606831872417E-3</v>
      </c>
      <c r="L275" t="e">
        <f>IF(AND(ABS((ChartCalculations!A275-Calculations!$F$3)/Calculations!$F$4)&lt;5,OR(A275&lt;=Calculations!$F$7,A275&gt;=Calculations!$F$8)),0.2*_xlfn.NORM.DIST(100,100,15,FALSE)*_xlfn.NORM.DIST(A275,Calculations!$F$3,Calculations!$F$4,FALSE)/_xlfn.NORM.DIST(Calculations!$F$3,Calculations!$F$3,Calculations!$F$4,FALSE),NA())</f>
        <v>#N/A</v>
      </c>
      <c r="M275">
        <f>IF(AND(A275&gt;=Calculations!$F$7,A275&lt;=Calculations!$F$8),0.2*_xlfn.NORM.DIST(100,100,15,FALSE)*_xlfn.NORM.DIST(A275,Calculations!$F$3,Calculations!$F$4,FALSE)/_xlfn.NORM.DIST(Calculations!$F$3,Calculations!$F$3,Calculations!$F$4,FALSE),NA())</f>
        <v>4.8245973250579978E-3</v>
      </c>
    </row>
    <row r="276" spans="1:13" x14ac:dyDescent="0.25">
      <c r="A276">
        <v>67.400000000000404</v>
      </c>
      <c r="B276" t="e">
        <f t="shared" si="40"/>
        <v>#N/A</v>
      </c>
      <c r="C276">
        <f t="shared" si="41"/>
        <v>2.5069770274871945E-3</v>
      </c>
      <c r="D276" t="e">
        <f t="shared" si="42"/>
        <v>#N/A</v>
      </c>
      <c r="E276" t="e">
        <f t="shared" si="43"/>
        <v>#N/A</v>
      </c>
      <c r="F276" t="e">
        <f t="shared" si="44"/>
        <v>#N/A</v>
      </c>
      <c r="G276" t="e">
        <f t="shared" si="45"/>
        <v>#N/A</v>
      </c>
      <c r="H276" t="e">
        <f t="shared" si="46"/>
        <v>#N/A</v>
      </c>
      <c r="I276" t="e">
        <f t="shared" si="47"/>
        <v>#N/A</v>
      </c>
      <c r="J276" t="e">
        <f t="shared" si="48"/>
        <v>#N/A</v>
      </c>
      <c r="K276">
        <f t="shared" si="49"/>
        <v>2.7069770274871945E-3</v>
      </c>
      <c r="L276" t="e">
        <f>IF(AND(ABS((ChartCalculations!A276-Calculations!$F$3)/Calculations!$F$4)&lt;5,OR(A276&lt;=Calculations!$F$7,A276&gt;=Calculations!$F$8)),0.2*_xlfn.NORM.DIST(100,100,15,FALSE)*_xlfn.NORM.DIST(A276,Calculations!$F$3,Calculations!$F$4,FALSE)/_xlfn.NORM.DIST(Calculations!$F$3,Calculations!$F$3,Calculations!$F$4,FALSE),NA())</f>
        <v>#N/A</v>
      </c>
      <c r="M276">
        <f>IF(AND(A276&gt;=Calculations!$F$7,A276&lt;=Calculations!$F$8),0.2*_xlfn.NORM.DIST(100,100,15,FALSE)*_xlfn.NORM.DIST(A276,Calculations!$F$3,Calculations!$F$4,FALSE)/_xlfn.NORM.DIST(Calculations!$F$3,Calculations!$F$3,Calculations!$F$4,FALSE),NA())</f>
        <v>4.6489024263371235E-3</v>
      </c>
    </row>
    <row r="277" spans="1:13" x14ac:dyDescent="0.25">
      <c r="A277">
        <v>67.500000000000398</v>
      </c>
      <c r="B277" t="e">
        <f t="shared" si="40"/>
        <v>#N/A</v>
      </c>
      <c r="C277">
        <f t="shared" si="41"/>
        <v>2.5435082337613435E-3</v>
      </c>
      <c r="D277" t="e">
        <f t="shared" si="42"/>
        <v>#N/A</v>
      </c>
      <c r="E277" t="e">
        <f t="shared" si="43"/>
        <v>#N/A</v>
      </c>
      <c r="F277" t="e">
        <f t="shared" si="44"/>
        <v>#N/A</v>
      </c>
      <c r="G277" t="e">
        <f t="shared" si="45"/>
        <v>#N/A</v>
      </c>
      <c r="H277" t="e">
        <f t="shared" si="46"/>
        <v>#N/A</v>
      </c>
      <c r="I277" t="e">
        <f t="shared" si="47"/>
        <v>#N/A</v>
      </c>
      <c r="J277" t="e">
        <f t="shared" si="48"/>
        <v>#N/A</v>
      </c>
      <c r="K277">
        <f t="shared" si="49"/>
        <v>2.7435082337613436E-3</v>
      </c>
      <c r="L277" t="e">
        <f>IF(AND(ABS((ChartCalculations!A277-Calculations!$F$3)/Calculations!$F$4)&lt;5,OR(A277&lt;=Calculations!$F$7,A277&gt;=Calculations!$F$8)),0.2*_xlfn.NORM.DIST(100,100,15,FALSE)*_xlfn.NORM.DIST(A277,Calculations!$F$3,Calculations!$F$4,FALSE)/_xlfn.NORM.DIST(Calculations!$F$3,Calculations!$F$3,Calculations!$F$4,FALSE),NA())</f>
        <v>#N/A</v>
      </c>
      <c r="M277">
        <f>IF(AND(A277&gt;=Calculations!$F$7,A277&lt;=Calculations!$F$8),0.2*_xlfn.NORM.DIST(100,100,15,FALSE)*_xlfn.NORM.DIST(A277,Calculations!$F$3,Calculations!$F$4,FALSE)/_xlfn.NORM.DIST(Calculations!$F$3,Calculations!$F$3,Calculations!$F$4,FALSE),NA())</f>
        <v>4.4529769335510741E-3</v>
      </c>
    </row>
    <row r="278" spans="1:13" x14ac:dyDescent="0.25">
      <c r="A278">
        <v>67.600000000000406</v>
      </c>
      <c r="B278" t="e">
        <f t="shared" si="40"/>
        <v>#N/A</v>
      </c>
      <c r="C278">
        <f t="shared" si="41"/>
        <v>2.5804570764971918E-3</v>
      </c>
      <c r="D278" t="e">
        <f t="shared" si="42"/>
        <v>#N/A</v>
      </c>
      <c r="E278" t="e">
        <f t="shared" si="43"/>
        <v>#N/A</v>
      </c>
      <c r="F278" t="e">
        <f t="shared" si="44"/>
        <v>#N/A</v>
      </c>
      <c r="G278" t="e">
        <f t="shared" si="45"/>
        <v>#N/A</v>
      </c>
      <c r="H278" t="e">
        <f t="shared" si="46"/>
        <v>#N/A</v>
      </c>
      <c r="I278" t="e">
        <f t="shared" si="47"/>
        <v>#N/A</v>
      </c>
      <c r="J278" t="e">
        <f t="shared" si="48"/>
        <v>#N/A</v>
      </c>
      <c r="K278">
        <f t="shared" si="49"/>
        <v>2.7804570764971919E-3</v>
      </c>
      <c r="L278" t="e">
        <f>IF(AND(ABS((ChartCalculations!A278-Calculations!$F$3)/Calculations!$F$4)&lt;5,OR(A278&lt;=Calculations!$F$7,A278&gt;=Calculations!$F$8)),0.2*_xlfn.NORM.DIST(100,100,15,FALSE)*_xlfn.NORM.DIST(A278,Calculations!$F$3,Calculations!$F$4,FALSE)/_xlfn.NORM.DIST(Calculations!$F$3,Calculations!$F$3,Calculations!$F$4,FALSE),NA())</f>
        <v>#N/A</v>
      </c>
      <c r="M278">
        <f>IF(AND(A278&gt;=Calculations!$F$7,A278&lt;=Calculations!$F$8),0.2*_xlfn.NORM.DIST(100,100,15,FALSE)*_xlfn.NORM.DIST(A278,Calculations!$F$3,Calculations!$F$4,FALSE)/_xlfn.NORM.DIST(Calculations!$F$3,Calculations!$F$3,Calculations!$F$4,FALSE),NA())</f>
        <v>4.2399537078651756E-3</v>
      </c>
    </row>
    <row r="279" spans="1:13" x14ac:dyDescent="0.25">
      <c r="A279">
        <v>67.700000000000401</v>
      </c>
      <c r="B279" t="e">
        <f t="shared" si="40"/>
        <v>#N/A</v>
      </c>
      <c r="C279">
        <f t="shared" si="41"/>
        <v>2.617826314461019E-3</v>
      </c>
      <c r="D279" t="e">
        <f t="shared" si="42"/>
        <v>#N/A</v>
      </c>
      <c r="E279" t="e">
        <f t="shared" si="43"/>
        <v>#N/A</v>
      </c>
      <c r="F279" t="e">
        <f t="shared" si="44"/>
        <v>#N/A</v>
      </c>
      <c r="G279" t="e">
        <f t="shared" si="45"/>
        <v>#N/A</v>
      </c>
      <c r="H279" t="e">
        <f t="shared" si="46"/>
        <v>#N/A</v>
      </c>
      <c r="I279" t="e">
        <f t="shared" si="47"/>
        <v>#N/A</v>
      </c>
      <c r="J279" t="e">
        <f t="shared" si="48"/>
        <v>#N/A</v>
      </c>
      <c r="K279">
        <f t="shared" si="49"/>
        <v>2.8178263144610191E-3</v>
      </c>
      <c r="L279" t="e">
        <f>IF(AND(ABS((ChartCalculations!A279-Calculations!$F$3)/Calculations!$F$4)&lt;5,OR(A279&lt;=Calculations!$F$7,A279&gt;=Calculations!$F$8)),0.2*_xlfn.NORM.DIST(100,100,15,FALSE)*_xlfn.NORM.DIST(A279,Calculations!$F$3,Calculations!$F$4,FALSE)/_xlfn.NORM.DIST(Calculations!$F$3,Calculations!$F$3,Calculations!$F$4,FALSE),NA())</f>
        <v>#N/A</v>
      </c>
      <c r="M279">
        <f>IF(AND(A279&gt;=Calculations!$F$7,A279&lt;=Calculations!$F$8),0.2*_xlfn.NORM.DIST(100,100,15,FALSE)*_xlfn.NORM.DIST(A279,Calculations!$F$3,Calculations!$F$4,FALSE)/_xlfn.NORM.DIST(Calculations!$F$3,Calculations!$F$3,Calculations!$F$4,FALSE),NA())</f>
        <v>4.013122710388675E-3</v>
      </c>
    </row>
    <row r="280" spans="1:13" x14ac:dyDescent="0.25">
      <c r="A280">
        <v>67.800000000000395</v>
      </c>
      <c r="B280" t="e">
        <f t="shared" si="40"/>
        <v>#N/A</v>
      </c>
      <c r="C280">
        <f t="shared" si="41"/>
        <v>2.6556186899755608E-3</v>
      </c>
      <c r="D280" t="e">
        <f t="shared" si="42"/>
        <v>#N/A</v>
      </c>
      <c r="E280" t="e">
        <f t="shared" si="43"/>
        <v>#N/A</v>
      </c>
      <c r="F280" t="e">
        <f t="shared" si="44"/>
        <v>#N/A</v>
      </c>
      <c r="G280" t="e">
        <f t="shared" si="45"/>
        <v>#N/A</v>
      </c>
      <c r="H280" t="e">
        <f t="shared" si="46"/>
        <v>#N/A</v>
      </c>
      <c r="I280" t="e">
        <f t="shared" si="47"/>
        <v>#N/A</v>
      </c>
      <c r="J280" t="e">
        <f t="shared" si="48"/>
        <v>#N/A</v>
      </c>
      <c r="K280">
        <f t="shared" si="49"/>
        <v>2.8556186899755609E-3</v>
      </c>
      <c r="L280" t="e">
        <f>IF(AND(ABS((ChartCalculations!A280-Calculations!$F$3)/Calculations!$F$4)&lt;5,OR(A280&lt;=Calculations!$F$7,A280&gt;=Calculations!$F$8)),0.2*_xlfn.NORM.DIST(100,100,15,FALSE)*_xlfn.NORM.DIST(A280,Calculations!$F$3,Calculations!$F$4,FALSE)/_xlfn.NORM.DIST(Calculations!$F$3,Calculations!$F$3,Calculations!$F$4,FALSE),NA())</f>
        <v>#N/A</v>
      </c>
      <c r="M280">
        <f>IF(AND(A280&gt;=Calculations!$F$7,A280&lt;=Calculations!$F$8),0.2*_xlfn.NORM.DIST(100,100,15,FALSE)*_xlfn.NORM.DIST(A280,Calculations!$F$3,Calculations!$F$4,FALSE)/_xlfn.NORM.DIST(Calculations!$F$3,Calculations!$F$3,Calculations!$F$4,FALSE),NA())</f>
        <v>3.7758472694971214E-3</v>
      </c>
    </row>
    <row r="281" spans="1:13" x14ac:dyDescent="0.25">
      <c r="A281">
        <v>67.900000000000404</v>
      </c>
      <c r="B281" t="e">
        <f t="shared" si="40"/>
        <v>#N/A</v>
      </c>
      <c r="C281">
        <f t="shared" si="41"/>
        <v>2.6938369281908426E-3</v>
      </c>
      <c r="D281" t="e">
        <f t="shared" si="42"/>
        <v>#N/A</v>
      </c>
      <c r="E281" t="e">
        <f t="shared" si="43"/>
        <v>#N/A</v>
      </c>
      <c r="F281" t="e">
        <f t="shared" si="44"/>
        <v>#N/A</v>
      </c>
      <c r="G281" t="e">
        <f t="shared" si="45"/>
        <v>#N/A</v>
      </c>
      <c r="H281" t="e">
        <f t="shared" si="46"/>
        <v>#N/A</v>
      </c>
      <c r="I281" t="e">
        <f t="shared" si="47"/>
        <v>#N/A</v>
      </c>
      <c r="J281" t="e">
        <f t="shared" si="48"/>
        <v>#N/A</v>
      </c>
      <c r="K281">
        <f t="shared" si="49"/>
        <v>2.8938369281908427E-3</v>
      </c>
      <c r="L281" t="e">
        <f>IF(AND(ABS((ChartCalculations!A281-Calculations!$F$3)/Calculations!$F$4)&lt;5,OR(A281&lt;=Calculations!$F$7,A281&gt;=Calculations!$F$8)),0.2*_xlfn.NORM.DIST(100,100,15,FALSE)*_xlfn.NORM.DIST(A281,Calculations!$F$3,Calculations!$F$4,FALSE)/_xlfn.NORM.DIST(Calculations!$F$3,Calculations!$F$3,Calculations!$F$4,FALSE),NA())</f>
        <v>#N/A</v>
      </c>
      <c r="M281">
        <f>IF(AND(A281&gt;=Calculations!$F$7,A281&lt;=Calculations!$F$8),0.2*_xlfn.NORM.DIST(100,100,15,FALSE)*_xlfn.NORM.DIST(A281,Calculations!$F$3,Calculations!$F$4,FALSE)/_xlfn.NORM.DIST(Calculations!$F$3,Calculations!$F$3,Calculations!$F$4,FALSE),NA())</f>
        <v>3.5314824610636684E-3</v>
      </c>
    </row>
    <row r="282" spans="1:13" x14ac:dyDescent="0.25">
      <c r="A282">
        <v>68.000000000000398</v>
      </c>
      <c r="B282" t="e">
        <f t="shared" si="40"/>
        <v>#N/A</v>
      </c>
      <c r="C282">
        <f t="shared" si="41"/>
        <v>2.7324837363483013E-3</v>
      </c>
      <c r="D282" t="e">
        <f t="shared" si="42"/>
        <v>#N/A</v>
      </c>
      <c r="E282" t="e">
        <f t="shared" si="43"/>
        <v>#N/A</v>
      </c>
      <c r="F282" t="e">
        <f t="shared" si="44"/>
        <v>#N/A</v>
      </c>
      <c r="G282" t="e">
        <f t="shared" si="45"/>
        <v>#N/A</v>
      </c>
      <c r="H282" t="e">
        <f t="shared" si="46"/>
        <v>#N/A</v>
      </c>
      <c r="I282" t="e">
        <f t="shared" si="47"/>
        <v>#N/A</v>
      </c>
      <c r="J282" t="e">
        <f t="shared" si="48"/>
        <v>#N/A</v>
      </c>
      <c r="K282">
        <f t="shared" si="49"/>
        <v>2.9324837363483014E-3</v>
      </c>
      <c r="L282" t="e">
        <f>IF(AND(ABS((ChartCalculations!A282-Calculations!$F$3)/Calculations!$F$4)&lt;5,OR(A282&lt;=Calculations!$F$7,A282&gt;=Calculations!$F$8)),0.2*_xlfn.NORM.DIST(100,100,15,FALSE)*_xlfn.NORM.DIST(A282,Calculations!$F$3,Calculations!$F$4,FALSE)/_xlfn.NORM.DIST(Calculations!$F$3,Calculations!$F$3,Calculations!$F$4,FALSE),NA())</f>
        <v>#N/A</v>
      </c>
      <c r="M282">
        <f>IF(AND(A282&gt;=Calculations!$F$7,A282&lt;=Calculations!$F$8),0.2*_xlfn.NORM.DIST(100,100,15,FALSE)*_xlfn.NORM.DIST(A282,Calculations!$F$3,Calculations!$F$4,FALSE)/_xlfn.NORM.DIST(Calculations!$F$3,Calculations!$F$3,Calculations!$F$4,FALSE),NA())</f>
        <v>3.2832983118351085E-3</v>
      </c>
    </row>
    <row r="283" spans="1:13" x14ac:dyDescent="0.25">
      <c r="A283">
        <v>68.100000000000406</v>
      </c>
      <c r="B283" t="e">
        <f t="shared" si="40"/>
        <v>#N/A</v>
      </c>
      <c r="C283">
        <f t="shared" si="41"/>
        <v>2.7715618030383763E-3</v>
      </c>
      <c r="D283" t="e">
        <f t="shared" si="42"/>
        <v>#N/A</v>
      </c>
      <c r="E283" t="e">
        <f t="shared" si="43"/>
        <v>#N/A</v>
      </c>
      <c r="F283" t="e">
        <f t="shared" si="44"/>
        <v>#N/A</v>
      </c>
      <c r="G283" t="e">
        <f t="shared" si="45"/>
        <v>#N/A</v>
      </c>
      <c r="H283" t="e">
        <f t="shared" si="46"/>
        <v>#N/A</v>
      </c>
      <c r="I283" t="e">
        <f t="shared" si="47"/>
        <v>#N/A</v>
      </c>
      <c r="J283" t="e">
        <f t="shared" si="48"/>
        <v>#N/A</v>
      </c>
      <c r="K283">
        <f t="shared" si="49"/>
        <v>2.9715618030383764E-3</v>
      </c>
      <c r="L283" t="e">
        <f>IF(AND(ABS((ChartCalculations!A283-Calculations!$F$3)/Calculations!$F$4)&lt;5,OR(A283&lt;=Calculations!$F$7,A283&gt;=Calculations!$F$8)),0.2*_xlfn.NORM.DIST(100,100,15,FALSE)*_xlfn.NORM.DIST(A283,Calculations!$F$3,Calculations!$F$4,FALSE)/_xlfn.NORM.DIST(Calculations!$F$3,Calculations!$F$3,Calculations!$F$4,FALSE),NA())</f>
        <v>#N/A</v>
      </c>
      <c r="M283">
        <f>IF(AND(A283&gt;=Calculations!$F$7,A283&lt;=Calculations!$F$8),0.2*_xlfn.NORM.DIST(100,100,15,FALSE)*_xlfn.NORM.DIST(A283,Calculations!$F$3,Calculations!$F$4,FALSE)/_xlfn.NORM.DIST(Calculations!$F$3,Calculations!$F$3,Calculations!$F$4,FALSE),NA())</f>
        <v>3.0344101899309971E-3</v>
      </c>
    </row>
    <row r="284" spans="1:13" x14ac:dyDescent="0.25">
      <c r="A284">
        <v>68.200000000000401</v>
      </c>
      <c r="B284" t="e">
        <f t="shared" si="40"/>
        <v>#N/A</v>
      </c>
      <c r="C284">
        <f t="shared" si="41"/>
        <v>2.8110737974515127E-3</v>
      </c>
      <c r="D284" t="e">
        <f t="shared" si="42"/>
        <v>#N/A</v>
      </c>
      <c r="E284" t="e">
        <f t="shared" si="43"/>
        <v>#N/A</v>
      </c>
      <c r="F284" t="e">
        <f t="shared" si="44"/>
        <v>#N/A</v>
      </c>
      <c r="G284" t="e">
        <f t="shared" si="45"/>
        <v>#N/A</v>
      </c>
      <c r="H284" t="e">
        <f t="shared" si="46"/>
        <v>#N/A</v>
      </c>
      <c r="I284" t="e">
        <f t="shared" si="47"/>
        <v>#N/A</v>
      </c>
      <c r="J284" t="e">
        <f t="shared" si="48"/>
        <v>#N/A</v>
      </c>
      <c r="K284">
        <f t="shared" si="49"/>
        <v>3.0110737974515128E-3</v>
      </c>
      <c r="L284" t="e">
        <f>IF(AND(ABS((ChartCalculations!A284-Calculations!$F$3)/Calculations!$F$4)&lt;5,OR(A284&lt;=Calculations!$F$7,A284&gt;=Calculations!$F$8)),0.2*_xlfn.NORM.DIST(100,100,15,FALSE)*_xlfn.NORM.DIST(A284,Calculations!$F$3,Calculations!$F$4,FALSE)/_xlfn.NORM.DIST(Calculations!$F$3,Calculations!$F$3,Calculations!$F$4,FALSE),NA())</f>
        <v>#N/A</v>
      </c>
      <c r="M284">
        <f>IF(AND(A284&gt;=Calculations!$F$7,A284&lt;=Calculations!$F$8),0.2*_xlfn.NORM.DIST(100,100,15,FALSE)*_xlfn.NORM.DIST(A284,Calculations!$F$3,Calculations!$F$4,FALSE)/_xlfn.NORM.DIST(Calculations!$F$3,Calculations!$F$3,Calculations!$F$4,FALSE),NA())</f>
        <v>2.7877183120981327E-3</v>
      </c>
    </row>
    <row r="285" spans="1:13" x14ac:dyDescent="0.25">
      <c r="A285">
        <v>68.300000000000395</v>
      </c>
      <c r="B285" t="e">
        <f t="shared" si="40"/>
        <v>#N/A</v>
      </c>
      <c r="C285">
        <f t="shared" si="41"/>
        <v>2.8510223686228808E-3</v>
      </c>
      <c r="D285" t="e">
        <f t="shared" si="42"/>
        <v>#N/A</v>
      </c>
      <c r="E285" t="e">
        <f t="shared" si="43"/>
        <v>#N/A</v>
      </c>
      <c r="F285" t="e">
        <f t="shared" si="44"/>
        <v>#N/A</v>
      </c>
      <c r="G285" t="e">
        <f t="shared" si="45"/>
        <v>#N/A</v>
      </c>
      <c r="H285" t="e">
        <f t="shared" si="46"/>
        <v>#N/A</v>
      </c>
      <c r="I285" t="e">
        <f t="shared" si="47"/>
        <v>#N/A</v>
      </c>
      <c r="J285" t="e">
        <f t="shared" si="48"/>
        <v>#N/A</v>
      </c>
      <c r="K285">
        <f t="shared" si="49"/>
        <v>3.0510223686228809E-3</v>
      </c>
      <c r="L285" t="e">
        <f>IF(AND(ABS((ChartCalculations!A285-Calculations!$F$3)/Calculations!$F$4)&lt;5,OR(A285&lt;=Calculations!$F$7,A285&gt;=Calculations!$F$8)),0.2*_xlfn.NORM.DIST(100,100,15,FALSE)*_xlfn.NORM.DIST(A285,Calculations!$F$3,Calculations!$F$4,FALSE)/_xlfn.NORM.DIST(Calculations!$F$3,Calculations!$F$3,Calculations!$F$4,FALSE),NA())</f>
        <v>#N/A</v>
      </c>
      <c r="M285">
        <f>IF(AND(A285&gt;=Calculations!$F$7,A285&lt;=Calculations!$F$8),0.2*_xlfn.NORM.DIST(100,100,15,FALSE)*_xlfn.NORM.DIST(A285,Calculations!$F$3,Calculations!$F$4,FALSE)/_xlfn.NORM.DIST(Calculations!$F$3,Calculations!$F$3,Calculations!$F$4,FALSE),NA())</f>
        <v>2.5458578027138081E-3</v>
      </c>
    </row>
    <row r="286" spans="1:13" x14ac:dyDescent="0.25">
      <c r="A286">
        <v>68.400000000000404</v>
      </c>
      <c r="B286" t="e">
        <f t="shared" si="40"/>
        <v>#N/A</v>
      </c>
      <c r="C286">
        <f t="shared" si="41"/>
        <v>2.8914101446707351E-3</v>
      </c>
      <c r="D286" t="e">
        <f t="shared" si="42"/>
        <v>#N/A</v>
      </c>
      <c r="E286" t="e">
        <f t="shared" si="43"/>
        <v>#N/A</v>
      </c>
      <c r="F286" t="e">
        <f t="shared" si="44"/>
        <v>#N/A</v>
      </c>
      <c r="G286" t="e">
        <f t="shared" si="45"/>
        <v>#N/A</v>
      </c>
      <c r="H286" t="e">
        <f t="shared" si="46"/>
        <v>#N/A</v>
      </c>
      <c r="I286" t="e">
        <f t="shared" si="47"/>
        <v>#N/A</v>
      </c>
      <c r="J286" t="e">
        <f t="shared" si="48"/>
        <v>#N/A</v>
      </c>
      <c r="K286">
        <f t="shared" si="49"/>
        <v>3.0914101446707352E-3</v>
      </c>
      <c r="L286" t="e">
        <f>IF(AND(ABS((ChartCalculations!A286-Calculations!$F$3)/Calculations!$F$4)&lt;5,OR(A286&lt;=Calculations!$F$7,A286&gt;=Calculations!$F$8)),0.2*_xlfn.NORM.DIST(100,100,15,FALSE)*_xlfn.NORM.DIST(A286,Calculations!$F$3,Calculations!$F$4,FALSE)/_xlfn.NORM.DIST(Calculations!$F$3,Calculations!$F$3,Calculations!$F$4,FALSE),NA())</f>
        <v>#N/A</v>
      </c>
      <c r="M286">
        <f>IF(AND(A286&gt;=Calculations!$F$7,A286&lt;=Calculations!$F$8),0.2*_xlfn.NORM.DIST(100,100,15,FALSE)*_xlfn.NORM.DIST(A286,Calculations!$F$3,Calculations!$F$4,FALSE)/_xlfn.NORM.DIST(Calculations!$F$3,Calculations!$F$3,Calculations!$F$4,FALSE),NA())</f>
        <v>2.3111602140585322E-3</v>
      </c>
    </row>
    <row r="287" spans="1:13" x14ac:dyDescent="0.25">
      <c r="A287">
        <v>68.500000000000398</v>
      </c>
      <c r="B287" t="e">
        <f t="shared" si="40"/>
        <v>#N/A</v>
      </c>
      <c r="C287">
        <f t="shared" si="41"/>
        <v>2.9322397320286435E-3</v>
      </c>
      <c r="D287" t="e">
        <f t="shared" si="42"/>
        <v>#N/A</v>
      </c>
      <c r="E287" t="e">
        <f t="shared" si="43"/>
        <v>#N/A</v>
      </c>
      <c r="F287" t="e">
        <f t="shared" si="44"/>
        <v>#N/A</v>
      </c>
      <c r="G287" t="e">
        <f t="shared" si="45"/>
        <v>#N/A</v>
      </c>
      <c r="H287" t="e">
        <f t="shared" si="46"/>
        <v>#N/A</v>
      </c>
      <c r="I287" t="e">
        <f t="shared" si="47"/>
        <v>#N/A</v>
      </c>
      <c r="J287" t="e">
        <f t="shared" si="48"/>
        <v>#N/A</v>
      </c>
      <c r="K287">
        <f t="shared" si="49"/>
        <v>3.1322397320286436E-3</v>
      </c>
      <c r="L287" t="e">
        <f>IF(AND(ABS((ChartCalculations!A287-Calculations!$F$3)/Calculations!$F$4)&lt;5,OR(A287&lt;=Calculations!$F$7,A287&gt;=Calculations!$F$8)),0.2*_xlfn.NORM.DIST(100,100,15,FALSE)*_xlfn.NORM.DIST(A287,Calculations!$F$3,Calculations!$F$4,FALSE)/_xlfn.NORM.DIST(Calculations!$F$3,Calculations!$F$3,Calculations!$F$4,FALSE),NA())</f>
        <v>#N/A</v>
      </c>
      <c r="M287">
        <f>IF(AND(A287&gt;=Calculations!$F$7,A287&lt;=Calculations!$F$8),0.2*_xlfn.NORM.DIST(100,100,15,FALSE)*_xlfn.NORM.DIST(A287,Calculations!$F$3,Calculations!$F$4,FALSE)/_xlfn.NORM.DIST(Calculations!$F$3,Calculations!$F$3,Calculations!$F$4,FALSE),NA())</f>
        <v>2.0856268902119885E-3</v>
      </c>
    </row>
    <row r="288" spans="1:13" x14ac:dyDescent="0.25">
      <c r="A288">
        <v>68.600000000000406</v>
      </c>
      <c r="B288" t="e">
        <f t="shared" si="40"/>
        <v>#N/A</v>
      </c>
      <c r="C288">
        <f t="shared" si="41"/>
        <v>2.9735137146717138E-3</v>
      </c>
      <c r="D288" t="e">
        <f t="shared" si="42"/>
        <v>#N/A</v>
      </c>
      <c r="E288" t="e">
        <f t="shared" si="43"/>
        <v>#N/A</v>
      </c>
      <c r="F288" t="e">
        <f t="shared" si="44"/>
        <v>#N/A</v>
      </c>
      <c r="G288" t="e">
        <f t="shared" si="45"/>
        <v>#N/A</v>
      </c>
      <c r="H288" t="e">
        <f t="shared" si="46"/>
        <v>#N/A</v>
      </c>
      <c r="I288" t="e">
        <f t="shared" si="47"/>
        <v>#N/A</v>
      </c>
      <c r="J288" t="e">
        <f t="shared" si="48"/>
        <v>#N/A</v>
      </c>
      <c r="K288">
        <f t="shared" si="49"/>
        <v>3.1735137146717139E-3</v>
      </c>
      <c r="L288" t="e">
        <f>IF(AND(ABS((ChartCalculations!A288-Calculations!$F$3)/Calculations!$F$4)&lt;5,OR(A288&lt;=Calculations!$F$7,A288&gt;=Calculations!$F$8)),0.2*_xlfn.NORM.DIST(100,100,15,FALSE)*_xlfn.NORM.DIST(A288,Calculations!$F$3,Calculations!$F$4,FALSE)/_xlfn.NORM.DIST(Calculations!$F$3,Calculations!$F$3,Calculations!$F$4,FALSE),NA())</f>
        <v>#N/A</v>
      </c>
      <c r="M288">
        <f>IF(AND(A288&gt;=Calculations!$F$7,A288&lt;=Calculations!$F$8),0.2*_xlfn.NORM.DIST(100,100,15,FALSE)*_xlfn.NORM.DIST(A288,Calculations!$F$3,Calculations!$F$4,FALSE)/_xlfn.NORM.DIST(Calculations!$F$3,Calculations!$F$3,Calculations!$F$4,FALSE),NA())</f>
        <v>1.870914055113344E-3</v>
      </c>
    </row>
    <row r="289" spans="1:13" x14ac:dyDescent="0.25">
      <c r="A289">
        <v>68.700000000000401</v>
      </c>
      <c r="B289" t="e">
        <f t="shared" si="40"/>
        <v>#N/A</v>
      </c>
      <c r="C289">
        <f t="shared" si="41"/>
        <v>3.0152346533368285E-3</v>
      </c>
      <c r="D289" t="e">
        <f t="shared" si="42"/>
        <v>#N/A</v>
      </c>
      <c r="E289" t="e">
        <f t="shared" si="43"/>
        <v>#N/A</v>
      </c>
      <c r="F289" t="e">
        <f t="shared" si="44"/>
        <v>#N/A</v>
      </c>
      <c r="G289" t="e">
        <f t="shared" si="45"/>
        <v>#N/A</v>
      </c>
      <c r="H289" t="e">
        <f t="shared" si="46"/>
        <v>#N/A</v>
      </c>
      <c r="I289" t="e">
        <f t="shared" si="47"/>
        <v>#N/A</v>
      </c>
      <c r="J289" t="e">
        <f t="shared" si="48"/>
        <v>#N/A</v>
      </c>
      <c r="K289">
        <f t="shared" si="49"/>
        <v>3.2152346533368286E-3</v>
      </c>
      <c r="L289" t="e">
        <f>IF(AND(ABS((ChartCalculations!A289-Calculations!$F$3)/Calculations!$F$4)&lt;5,OR(A289&lt;=Calculations!$F$7,A289&gt;=Calculations!$F$8)),0.2*_xlfn.NORM.DIST(100,100,15,FALSE)*_xlfn.NORM.DIST(A289,Calculations!$F$3,Calculations!$F$4,FALSE)/_xlfn.NORM.DIST(Calculations!$F$3,Calculations!$F$3,Calculations!$F$4,FALSE),NA())</f>
        <v>#N/A</v>
      </c>
      <c r="M289">
        <f>IF(AND(A289&gt;=Calculations!$F$7,A289&lt;=Calculations!$F$8),0.2*_xlfn.NORM.DIST(100,100,15,FALSE)*_xlfn.NORM.DIST(A289,Calculations!$F$3,Calculations!$F$4,FALSE)/_xlfn.NORM.DIST(Calculations!$F$3,Calculations!$F$3,Calculations!$F$4,FALSE),NA())</f>
        <v>1.6683290522896078E-3</v>
      </c>
    </row>
    <row r="290" spans="1:13" x14ac:dyDescent="0.25">
      <c r="A290">
        <v>68.800000000000395</v>
      </c>
      <c r="B290" t="e">
        <f t="shared" si="40"/>
        <v>#N/A</v>
      </c>
      <c r="C290">
        <f t="shared" si="41"/>
        <v>3.0574050847371596E-3</v>
      </c>
      <c r="D290" t="e">
        <f t="shared" si="42"/>
        <v>#N/A</v>
      </c>
      <c r="E290" t="e">
        <f t="shared" si="43"/>
        <v>#N/A</v>
      </c>
      <c r="F290" t="e">
        <f t="shared" si="44"/>
        <v>#N/A</v>
      </c>
      <c r="G290" t="e">
        <f t="shared" si="45"/>
        <v>#N/A</v>
      </c>
      <c r="H290" t="e">
        <f t="shared" si="46"/>
        <v>#N/A</v>
      </c>
      <c r="I290" t="e">
        <f t="shared" si="47"/>
        <v>#N/A</v>
      </c>
      <c r="J290" t="e">
        <f t="shared" si="48"/>
        <v>#N/A</v>
      </c>
      <c r="K290">
        <f t="shared" si="49"/>
        <v>3.2574050847371597E-3</v>
      </c>
      <c r="L290" t="e">
        <f>IF(AND(ABS((ChartCalculations!A290-Calculations!$F$3)/Calculations!$F$4)&lt;5,OR(A290&lt;=Calculations!$F$7,A290&gt;=Calculations!$F$8)),0.2*_xlfn.NORM.DIST(100,100,15,FALSE)*_xlfn.NORM.DIST(A290,Calculations!$F$3,Calculations!$F$4,FALSE)/_xlfn.NORM.DIST(Calculations!$F$3,Calculations!$F$3,Calculations!$F$4,FALSE),NA())</f>
        <v>#N/A</v>
      </c>
      <c r="M290">
        <f>IF(AND(A290&gt;=Calculations!$F$7,A290&lt;=Calculations!$F$8),0.2*_xlfn.NORM.DIST(100,100,15,FALSE)*_xlfn.NORM.DIST(A290,Calculations!$F$3,Calculations!$F$4,FALSE)/_xlfn.NORM.DIST(Calculations!$F$3,Calculations!$F$3,Calculations!$F$4,FALSE),NA())</f>
        <v>1.4788367781365149E-3</v>
      </c>
    </row>
    <row r="291" spans="1:13" x14ac:dyDescent="0.25">
      <c r="A291">
        <v>68.900000000000404</v>
      </c>
      <c r="B291" t="e">
        <f t="shared" si="40"/>
        <v>#N/A</v>
      </c>
      <c r="C291">
        <f t="shared" si="41"/>
        <v>3.1000275207709858E-3</v>
      </c>
      <c r="D291" t="e">
        <f t="shared" si="42"/>
        <v>#N/A</v>
      </c>
      <c r="E291" t="e">
        <f t="shared" si="43"/>
        <v>#N/A</v>
      </c>
      <c r="F291" t="e">
        <f t="shared" si="44"/>
        <v>#N/A</v>
      </c>
      <c r="G291" t="e">
        <f t="shared" si="45"/>
        <v>#N/A</v>
      </c>
      <c r="H291" t="e">
        <f t="shared" si="46"/>
        <v>#N/A</v>
      </c>
      <c r="I291" t="e">
        <f t="shared" si="47"/>
        <v>#N/A</v>
      </c>
      <c r="J291" t="e">
        <f t="shared" si="48"/>
        <v>#N/A</v>
      </c>
      <c r="K291">
        <f t="shared" si="49"/>
        <v>3.3000275207709859E-3</v>
      </c>
      <c r="L291" t="e">
        <f>IF(AND(ABS((ChartCalculations!A291-Calculations!$F$3)/Calculations!$F$4)&lt;5,OR(A291&lt;=Calculations!$F$7,A291&gt;=Calculations!$F$8)),0.2*_xlfn.NORM.DIST(100,100,15,FALSE)*_xlfn.NORM.DIST(A291,Calculations!$F$3,Calculations!$F$4,FALSE)/_xlfn.NORM.DIST(Calculations!$F$3,Calculations!$F$3,Calculations!$F$4,FALSE),NA())</f>
        <v>#N/A</v>
      </c>
      <c r="M291">
        <f>IF(AND(A291&gt;=Calculations!$F$7,A291&lt;=Calculations!$F$8),0.2*_xlfn.NORM.DIST(100,100,15,FALSE)*_xlfn.NORM.DIST(A291,Calculations!$F$3,Calculations!$F$4,FALSE)/_xlfn.NORM.DIST(Calculations!$F$3,Calculations!$F$3,Calculations!$F$4,FALSE),NA())</f>
        <v>1.3030750455851647E-3</v>
      </c>
    </row>
    <row r="292" spans="1:13" x14ac:dyDescent="0.25">
      <c r="A292">
        <v>69.000000000000398</v>
      </c>
      <c r="B292" t="e">
        <f t="shared" si="40"/>
        <v>#N/A</v>
      </c>
      <c r="C292">
        <f t="shared" si="41"/>
        <v>3.1431044477249442E-3</v>
      </c>
      <c r="D292" t="e">
        <f t="shared" si="42"/>
        <v>#N/A</v>
      </c>
      <c r="E292" t="e">
        <f t="shared" si="43"/>
        <v>#N/A</v>
      </c>
      <c r="F292" t="e">
        <f t="shared" si="44"/>
        <v>#N/A</v>
      </c>
      <c r="G292" t="e">
        <f t="shared" si="45"/>
        <v>#N/A</v>
      </c>
      <c r="H292" t="e">
        <f t="shared" si="46"/>
        <v>#N/A</v>
      </c>
      <c r="I292" t="e">
        <f t="shared" si="47"/>
        <v>#N/A</v>
      </c>
      <c r="J292" t="e">
        <f t="shared" si="48"/>
        <v>#N/A</v>
      </c>
      <c r="K292">
        <f t="shared" si="49"/>
        <v>3.3431044477249443E-3</v>
      </c>
      <c r="L292" t="e">
        <f>IF(AND(ABS((ChartCalculations!A292-Calculations!$F$3)/Calculations!$F$4)&lt;5,OR(A292&lt;=Calculations!$F$7,A292&gt;=Calculations!$F$8)),0.2*_xlfn.NORM.DIST(100,100,15,FALSE)*_xlfn.NORM.DIST(A292,Calculations!$F$3,Calculations!$F$4,FALSE)/_xlfn.NORM.DIST(Calculations!$F$3,Calculations!$F$3,Calculations!$F$4,FALSE),NA())</f>
        <v>#N/A</v>
      </c>
      <c r="M292">
        <f>IF(AND(A292&gt;=Calculations!$F$7,A292&lt;=Calculations!$F$8),0.2*_xlfn.NORM.DIST(100,100,15,FALSE)*_xlfn.NORM.DIST(A292,Calculations!$F$3,Calculations!$F$4,FALSE)/_xlfn.NORM.DIST(Calculations!$F$3,Calculations!$F$3,Calculations!$F$4,FALSE),NA())</f>
        <v>1.1413773978458542E-3</v>
      </c>
    </row>
    <row r="293" spans="1:13" x14ac:dyDescent="0.25">
      <c r="A293">
        <v>69.100000000000406</v>
      </c>
      <c r="B293" t="e">
        <f t="shared" si="40"/>
        <v>#N/A</v>
      </c>
      <c r="C293">
        <f t="shared" si="41"/>
        <v>3.1866383254719787E-3</v>
      </c>
      <c r="D293" t="e">
        <f t="shared" si="42"/>
        <v>#N/A</v>
      </c>
      <c r="E293" t="e">
        <f t="shared" si="43"/>
        <v>#N/A</v>
      </c>
      <c r="F293" t="e">
        <f t="shared" si="44"/>
        <v>#N/A</v>
      </c>
      <c r="G293" t="e">
        <f t="shared" si="45"/>
        <v>#N/A</v>
      </c>
      <c r="H293" t="e">
        <f t="shared" si="46"/>
        <v>#N/A</v>
      </c>
      <c r="I293" t="e">
        <f t="shared" si="47"/>
        <v>#N/A</v>
      </c>
      <c r="J293" t="e">
        <f t="shared" si="48"/>
        <v>#N/A</v>
      </c>
      <c r="K293">
        <f t="shared" si="49"/>
        <v>3.3866383254719788E-3</v>
      </c>
      <c r="L293" t="e">
        <f>IF(AND(ABS((ChartCalculations!A293-Calculations!$F$3)/Calculations!$F$4)&lt;5,OR(A293&lt;=Calculations!$F$7,A293&gt;=Calculations!$F$8)),0.2*_xlfn.NORM.DIST(100,100,15,FALSE)*_xlfn.NORM.DIST(A293,Calculations!$F$3,Calculations!$F$4,FALSE)/_xlfn.NORM.DIST(Calculations!$F$3,Calculations!$F$3,Calculations!$F$4,FALSE),NA())</f>
        <v>#N/A</v>
      </c>
      <c r="M293">
        <f>IF(AND(A293&gt;=Calculations!$F$7,A293&lt;=Calculations!$F$8),0.2*_xlfn.NORM.DIST(100,100,15,FALSE)*_xlfn.NORM.DIST(A293,Calculations!$F$3,Calculations!$F$4,FALSE)/_xlfn.NORM.DIST(Calculations!$F$3,Calculations!$F$3,Calculations!$F$4,FALSE),NA())</f>
        <v>9.9380176437058603E-4</v>
      </c>
    </row>
    <row r="294" spans="1:13" x14ac:dyDescent="0.25">
      <c r="A294">
        <v>69.200000000000401</v>
      </c>
      <c r="B294" t="e">
        <f t="shared" si="40"/>
        <v>#N/A</v>
      </c>
      <c r="C294">
        <f t="shared" si="41"/>
        <v>3.2306315866639347E-3</v>
      </c>
      <c r="D294" t="e">
        <f t="shared" si="42"/>
        <v>#N/A</v>
      </c>
      <c r="E294" t="e">
        <f t="shared" si="43"/>
        <v>#N/A</v>
      </c>
      <c r="F294" t="e">
        <f t="shared" si="44"/>
        <v>#N/A</v>
      </c>
      <c r="G294" t="e">
        <f t="shared" si="45"/>
        <v>#N/A</v>
      </c>
      <c r="H294" t="e">
        <f t="shared" si="46"/>
        <v>#N/A</v>
      </c>
      <c r="I294" t="e">
        <f t="shared" si="47"/>
        <v>#N/A</v>
      </c>
      <c r="J294" t="e">
        <f t="shared" si="48"/>
        <v>#N/A</v>
      </c>
      <c r="K294">
        <f t="shared" si="49"/>
        <v>3.4306315866639348E-3</v>
      </c>
      <c r="L294" t="e">
        <f>IF(AND(ABS((ChartCalculations!A294-Calculations!$F$3)/Calculations!$F$4)&lt;5,OR(A294&lt;=Calculations!$F$7,A294&gt;=Calculations!$F$8)),0.2*_xlfn.NORM.DIST(100,100,15,FALSE)*_xlfn.NORM.DIST(A294,Calculations!$F$3,Calculations!$F$4,FALSE)/_xlfn.NORM.DIST(Calculations!$F$3,Calculations!$F$3,Calculations!$F$4,FALSE),NA())</f>
        <v>#N/A</v>
      </c>
      <c r="M294">
        <f>IF(AND(A294&gt;=Calculations!$F$7,A294&lt;=Calculations!$F$8),0.2*_xlfn.NORM.DIST(100,100,15,FALSE)*_xlfn.NORM.DIST(A294,Calculations!$F$3,Calculations!$F$4,FALSE)/_xlfn.NORM.DIST(Calculations!$F$3,Calculations!$F$3,Calculations!$F$4,FALSE),NA())</f>
        <v>8.6016330971840213E-4</v>
      </c>
    </row>
    <row r="295" spans="1:13" x14ac:dyDescent="0.25">
      <c r="A295">
        <v>69.300000000000395</v>
      </c>
      <c r="B295" t="e">
        <f t="shared" si="40"/>
        <v>#N/A</v>
      </c>
      <c r="C295">
        <f t="shared" si="41"/>
        <v>3.275086635919129E-3</v>
      </c>
      <c r="D295" t="e">
        <f t="shared" si="42"/>
        <v>#N/A</v>
      </c>
      <c r="E295" t="e">
        <f t="shared" si="43"/>
        <v>#N/A</v>
      </c>
      <c r="F295" t="e">
        <f t="shared" si="44"/>
        <v>#N/A</v>
      </c>
      <c r="G295" t="e">
        <f t="shared" si="45"/>
        <v>#N/A</v>
      </c>
      <c r="H295" t="e">
        <f t="shared" si="46"/>
        <v>#N/A</v>
      </c>
      <c r="I295" t="e">
        <f t="shared" si="47"/>
        <v>#N/A</v>
      </c>
      <c r="J295" t="e">
        <f t="shared" si="48"/>
        <v>#N/A</v>
      </c>
      <c r="K295">
        <f t="shared" si="49"/>
        <v>3.475086635919129E-3</v>
      </c>
      <c r="L295">
        <f>IF(AND(ABS((ChartCalculations!A295-Calculations!$F$3)/Calculations!$F$4)&lt;5,OR(A295&lt;=Calculations!$F$7,A295&gt;=Calculations!$F$8)),0.2*_xlfn.NORM.DIST(100,100,15,FALSE)*_xlfn.NORM.DIST(A295,Calculations!$F$3,Calculations!$F$4,FALSE)/_xlfn.NORM.DIST(Calculations!$F$3,Calculations!$F$3,Calculations!$F$4,FALSE),NA())</f>
        <v>7.4006986275011234E-4</v>
      </c>
      <c r="M295" t="e">
        <f>IF(AND(A295&gt;=Calculations!$F$7,A295&lt;=Calculations!$F$8),0.2*_xlfn.NORM.DIST(100,100,15,FALSE)*_xlfn.NORM.DIST(A295,Calculations!$F$3,Calculations!$F$4,FALSE)/_xlfn.NORM.DIST(Calculations!$F$3,Calculations!$F$3,Calculations!$F$4,FALSE),NA())</f>
        <v>#N/A</v>
      </c>
    </row>
    <row r="296" spans="1:13" x14ac:dyDescent="0.25">
      <c r="A296">
        <v>69.400000000000404</v>
      </c>
      <c r="B296" t="e">
        <f t="shared" si="40"/>
        <v>#N/A</v>
      </c>
      <c r="C296">
        <f t="shared" si="41"/>
        <v>3.3200058490049011E-3</v>
      </c>
      <c r="D296" t="e">
        <f t="shared" si="42"/>
        <v>#N/A</v>
      </c>
      <c r="E296" t="e">
        <f t="shared" si="43"/>
        <v>#N/A</v>
      </c>
      <c r="F296" t="e">
        <f t="shared" si="44"/>
        <v>#N/A</v>
      </c>
      <c r="G296" t="e">
        <f t="shared" si="45"/>
        <v>#N/A</v>
      </c>
      <c r="H296" t="e">
        <f t="shared" si="46"/>
        <v>#N/A</v>
      </c>
      <c r="I296" t="e">
        <f t="shared" si="47"/>
        <v>#N/A</v>
      </c>
      <c r="J296" t="e">
        <f t="shared" si="48"/>
        <v>#N/A</v>
      </c>
      <c r="K296">
        <f t="shared" si="49"/>
        <v>3.5200058490049012E-3</v>
      </c>
      <c r="L296">
        <f>IF(AND(ABS((ChartCalculations!A296-Calculations!$F$3)/Calculations!$F$4)&lt;5,OR(A296&lt;=Calculations!$F$7,A296&gt;=Calculations!$F$8)),0.2*_xlfn.NORM.DIST(100,100,15,FALSE)*_xlfn.NORM.DIST(A296,Calculations!$F$3,Calculations!$F$4,FALSE)/_xlfn.NORM.DIST(Calculations!$F$3,Calculations!$F$3,Calculations!$F$4,FALSE),NA())</f>
        <v>6.3295841723354598E-4</v>
      </c>
      <c r="M296" t="e">
        <f>IF(AND(A296&gt;=Calculations!$F$7,A296&lt;=Calculations!$F$8),0.2*_xlfn.NORM.DIST(100,100,15,FALSE)*_xlfn.NORM.DIST(A296,Calculations!$F$3,Calculations!$F$4,FALSE)/_xlfn.NORM.DIST(Calculations!$F$3,Calculations!$F$3,Calculations!$F$4,FALSE),NA())</f>
        <v>#N/A</v>
      </c>
    </row>
    <row r="297" spans="1:13" x14ac:dyDescent="0.25">
      <c r="A297">
        <v>69.500000000000398</v>
      </c>
      <c r="B297" t="e">
        <f t="shared" si="40"/>
        <v>#N/A</v>
      </c>
      <c r="C297">
        <f t="shared" si="41"/>
        <v>3.3653915720153588E-3</v>
      </c>
      <c r="D297" t="e">
        <f t="shared" si="42"/>
        <v>#N/A</v>
      </c>
      <c r="E297" t="e">
        <f t="shared" si="43"/>
        <v>#N/A</v>
      </c>
      <c r="F297" t="e">
        <f t="shared" si="44"/>
        <v>#N/A</v>
      </c>
      <c r="G297" t="e">
        <f t="shared" si="45"/>
        <v>#N/A</v>
      </c>
      <c r="H297" t="e">
        <f t="shared" si="46"/>
        <v>#N/A</v>
      </c>
      <c r="I297" t="e">
        <f t="shared" si="47"/>
        <v>#N/A</v>
      </c>
      <c r="J297" t="e">
        <f t="shared" si="48"/>
        <v>#N/A</v>
      </c>
      <c r="K297">
        <f t="shared" si="49"/>
        <v>3.5653915720153589E-3</v>
      </c>
      <c r="L297">
        <f>IF(AND(ABS((ChartCalculations!A297-Calculations!$F$3)/Calculations!$F$4)&lt;5,OR(A297&lt;=Calculations!$F$7,A297&gt;=Calculations!$F$8)),0.2*_xlfn.NORM.DIST(100,100,15,FALSE)*_xlfn.NORM.DIST(A297,Calculations!$F$3,Calculations!$F$4,FALSE)/_xlfn.NORM.DIST(Calculations!$F$3,Calculations!$F$3,Calculations!$F$4,FALSE),NA())</f>
        <v>5.381313519060687E-4</v>
      </c>
      <c r="M297" t="e">
        <f>IF(AND(A297&gt;=Calculations!$F$7,A297&lt;=Calculations!$F$8),0.2*_xlfn.NORM.DIST(100,100,15,FALSE)*_xlfn.NORM.DIST(A297,Calculations!$F$3,Calculations!$F$4,FALSE)/_xlfn.NORM.DIST(Calculations!$F$3,Calculations!$F$3,Calculations!$F$4,FALSE),NA())</f>
        <v>#N/A</v>
      </c>
    </row>
    <row r="298" spans="1:13" x14ac:dyDescent="0.25">
      <c r="A298">
        <v>69.600000000000406</v>
      </c>
      <c r="B298" t="e">
        <f t="shared" si="40"/>
        <v>#N/A</v>
      </c>
      <c r="C298">
        <f t="shared" si="41"/>
        <v>3.4112461205445281E-3</v>
      </c>
      <c r="D298" t="e">
        <f t="shared" si="42"/>
        <v>#N/A</v>
      </c>
      <c r="E298" t="e">
        <f t="shared" si="43"/>
        <v>#N/A</v>
      </c>
      <c r="F298" t="e">
        <f t="shared" si="44"/>
        <v>#N/A</v>
      </c>
      <c r="G298" t="e">
        <f t="shared" si="45"/>
        <v>#N/A</v>
      </c>
      <c r="H298" t="e">
        <f t="shared" si="46"/>
        <v>#N/A</v>
      </c>
      <c r="I298" t="e">
        <f t="shared" si="47"/>
        <v>#N/A</v>
      </c>
      <c r="J298" t="e">
        <f t="shared" si="48"/>
        <v>#N/A</v>
      </c>
      <c r="K298">
        <f t="shared" si="49"/>
        <v>3.6112461205445282E-3</v>
      </c>
      <c r="L298">
        <f>IF(AND(ABS((ChartCalculations!A298-Calculations!$F$3)/Calculations!$F$4)&lt;5,OR(A298&lt;=Calculations!$F$7,A298&gt;=Calculations!$F$8)),0.2*_xlfn.NORM.DIST(100,100,15,FALSE)*_xlfn.NORM.DIST(A298,Calculations!$F$3,Calculations!$F$4,FALSE)/_xlfn.NORM.DIST(Calculations!$F$3,Calculations!$F$3,Calculations!$F$4,FALSE),NA())</f>
        <v>4.5479121353565537E-4</v>
      </c>
      <c r="M298" t="e">
        <f>IF(AND(A298&gt;=Calculations!$F$7,A298&lt;=Calculations!$F$8),0.2*_xlfn.NORM.DIST(100,100,15,FALSE)*_xlfn.NORM.DIST(A298,Calculations!$F$3,Calculations!$F$4,FALSE)/_xlfn.NORM.DIST(Calculations!$F$3,Calculations!$F$3,Calculations!$F$4,FALSE),NA())</f>
        <v>#N/A</v>
      </c>
    </row>
    <row r="299" spans="1:13" x14ac:dyDescent="0.25">
      <c r="A299">
        <v>69.700000000000401</v>
      </c>
      <c r="B299" t="e">
        <f t="shared" si="40"/>
        <v>#N/A</v>
      </c>
      <c r="C299">
        <f t="shared" si="41"/>
        <v>3.4575717788548899E-3</v>
      </c>
      <c r="D299" t="e">
        <f t="shared" si="42"/>
        <v>#N/A</v>
      </c>
      <c r="E299" t="e">
        <f t="shared" si="43"/>
        <v>#N/A</v>
      </c>
      <c r="F299" t="e">
        <f t="shared" si="44"/>
        <v>#N/A</v>
      </c>
      <c r="G299" t="e">
        <f t="shared" si="45"/>
        <v>#N/A</v>
      </c>
      <c r="H299" t="e">
        <f t="shared" si="46"/>
        <v>#N/A</v>
      </c>
      <c r="I299" t="e">
        <f t="shared" si="47"/>
        <v>#N/A</v>
      </c>
      <c r="J299" t="e">
        <f t="shared" si="48"/>
        <v>#N/A</v>
      </c>
      <c r="K299">
        <f t="shared" si="49"/>
        <v>3.65757177885489E-3</v>
      </c>
      <c r="L299">
        <f>IF(AND(ABS((ChartCalculations!A299-Calculations!$F$3)/Calculations!$F$4)&lt;5,OR(A299&lt;=Calculations!$F$7,A299&gt;=Calculations!$F$8)),0.2*_xlfn.NORM.DIST(100,100,15,FALSE)*_xlfn.NORM.DIST(A299,Calculations!$F$3,Calculations!$F$4,FALSE)/_xlfn.NORM.DIST(Calculations!$F$3,Calculations!$F$3,Calculations!$F$4,FALSE),NA())</f>
        <v>3.8207312562088449E-4</v>
      </c>
      <c r="M299" t="e">
        <f>IF(AND(A299&gt;=Calculations!$F$7,A299&lt;=Calculations!$F$8),0.2*_xlfn.NORM.DIST(100,100,15,FALSE)*_xlfn.NORM.DIST(A299,Calculations!$F$3,Calculations!$F$4,FALSE)/_xlfn.NORM.DIST(Calculations!$F$3,Calculations!$F$3,Calculations!$F$4,FALSE),NA())</f>
        <v>#N/A</v>
      </c>
    </row>
    <row r="300" spans="1:13" x14ac:dyDescent="0.25">
      <c r="A300">
        <v>69.800000000000395</v>
      </c>
      <c r="B300" t="e">
        <f t="shared" si="40"/>
        <v>#N/A</v>
      </c>
      <c r="C300">
        <f t="shared" si="41"/>
        <v>3.504370799041704E-3</v>
      </c>
      <c r="D300" t="e">
        <f t="shared" si="42"/>
        <v>#N/A</v>
      </c>
      <c r="E300" t="e">
        <f t="shared" si="43"/>
        <v>#N/A</v>
      </c>
      <c r="F300" t="e">
        <f t="shared" si="44"/>
        <v>#N/A</v>
      </c>
      <c r="G300" t="e">
        <f t="shared" si="45"/>
        <v>#N/A</v>
      </c>
      <c r="H300" t="e">
        <f t="shared" si="46"/>
        <v>#N/A</v>
      </c>
      <c r="I300" t="e">
        <f t="shared" si="47"/>
        <v>#N/A</v>
      </c>
      <c r="J300" t="e">
        <f t="shared" si="48"/>
        <v>#N/A</v>
      </c>
      <c r="K300">
        <f t="shared" si="49"/>
        <v>3.7043707990417041E-3</v>
      </c>
      <c r="L300">
        <f>IF(AND(ABS((ChartCalculations!A300-Calculations!$F$3)/Calculations!$F$4)&lt;5,OR(A300&lt;=Calculations!$F$7,A300&gt;=Calculations!$F$8)),0.2*_xlfn.NORM.DIST(100,100,15,FALSE)*_xlfn.NORM.DIST(A300,Calculations!$F$3,Calculations!$F$4,FALSE)/_xlfn.NORM.DIST(Calculations!$F$3,Calculations!$F$3,Calculations!$F$4,FALSE),NA())</f>
        <v>3.190741139289987E-4</v>
      </c>
      <c r="M300" t="e">
        <f>IF(AND(A300&gt;=Calculations!$F$7,A300&lt;=Calculations!$F$8),0.2*_xlfn.NORM.DIST(100,100,15,FALSE)*_xlfn.NORM.DIST(A300,Calculations!$F$3,Calculations!$F$4,FALSE)/_xlfn.NORM.DIST(Calculations!$F$3,Calculations!$F$3,Calculations!$F$4,FALSE),NA())</f>
        <v>#N/A</v>
      </c>
    </row>
    <row r="301" spans="1:13" x14ac:dyDescent="0.25">
      <c r="A301">
        <v>69.900000000000404</v>
      </c>
      <c r="B301" t="e">
        <f t="shared" si="40"/>
        <v>#N/A</v>
      </c>
      <c r="C301">
        <f t="shared" si="41"/>
        <v>3.5516454001930826E-3</v>
      </c>
      <c r="D301" t="e">
        <f t="shared" si="42"/>
        <v>#N/A</v>
      </c>
      <c r="E301" t="e">
        <f t="shared" si="43"/>
        <v>#N/A</v>
      </c>
      <c r="F301" t="e">
        <f t="shared" si="44"/>
        <v>#N/A</v>
      </c>
      <c r="G301" t="e">
        <f t="shared" si="45"/>
        <v>#N/A</v>
      </c>
      <c r="H301" t="e">
        <f t="shared" si="46"/>
        <v>#N/A</v>
      </c>
      <c r="I301" t="e">
        <f t="shared" si="47"/>
        <v>#N/A</v>
      </c>
      <c r="J301" t="e">
        <f t="shared" si="48"/>
        <v>#N/A</v>
      </c>
      <c r="K301">
        <f t="shared" si="49"/>
        <v>3.7516454001930827E-3</v>
      </c>
      <c r="L301">
        <f>IF(AND(ABS((ChartCalculations!A301-Calculations!$F$3)/Calculations!$F$4)&lt;5,OR(A301&lt;=Calculations!$F$7,A301&gt;=Calculations!$F$8)),0.2*_xlfn.NORM.DIST(100,100,15,FALSE)*_xlfn.NORM.DIST(A301,Calculations!$F$3,Calculations!$F$4,FALSE)/_xlfn.NORM.DIST(Calculations!$F$3,Calculations!$F$3,Calculations!$F$4,FALSE),NA())</f>
        <v>2.6487886546974174E-4</v>
      </c>
      <c r="M301" t="e">
        <f>IF(AND(A301&gt;=Calculations!$F$7,A301&lt;=Calculations!$F$8),0.2*_xlfn.NORM.DIST(100,100,15,FALSE)*_xlfn.NORM.DIST(A301,Calculations!$F$3,Calculations!$F$4,FALSE)/_xlfn.NORM.DIST(Calculations!$F$3,Calculations!$F$3,Calculations!$F$4,FALSE),NA())</f>
        <v>#N/A</v>
      </c>
    </row>
    <row r="302" spans="1:13" x14ac:dyDescent="0.25">
      <c r="A302">
        <v>70.000000000000398</v>
      </c>
      <c r="B302" t="e">
        <f t="shared" si="40"/>
        <v>#N/A</v>
      </c>
      <c r="C302" t="e">
        <f t="shared" si="41"/>
        <v>#N/A</v>
      </c>
      <c r="D302">
        <f t="shared" si="42"/>
        <v>3.5993977675460604E-3</v>
      </c>
      <c r="E302" t="e">
        <f t="shared" si="43"/>
        <v>#N/A</v>
      </c>
      <c r="F302" t="e">
        <f t="shared" si="44"/>
        <v>#N/A</v>
      </c>
      <c r="G302" t="e">
        <f t="shared" si="45"/>
        <v>#N/A</v>
      </c>
      <c r="H302" t="e">
        <f t="shared" si="46"/>
        <v>#N/A</v>
      </c>
      <c r="I302" t="e">
        <f t="shared" si="47"/>
        <v>#N/A</v>
      </c>
      <c r="J302" t="e">
        <f t="shared" si="48"/>
        <v>#N/A</v>
      </c>
      <c r="K302">
        <f t="shared" si="49"/>
        <v>3.7993977675460605E-3</v>
      </c>
      <c r="L302">
        <f>IF(AND(ABS((ChartCalculations!A302-Calculations!$F$3)/Calculations!$F$4)&lt;5,OR(A302&lt;=Calculations!$F$7,A302&gt;=Calculations!$F$8)),0.2*_xlfn.NORM.DIST(100,100,15,FALSE)*_xlfn.NORM.DIST(A302,Calculations!$F$3,Calculations!$F$4,FALSE)/_xlfn.NORM.DIST(Calculations!$F$3,Calculations!$F$3,Calculations!$F$4,FALSE),NA())</f>
        <v>2.1858164917039927E-4</v>
      </c>
      <c r="M302" t="e">
        <f>IF(AND(A302&gt;=Calculations!$F$7,A302&lt;=Calculations!$F$8),0.2*_xlfn.NORM.DIST(100,100,15,FALSE)*_xlfn.NORM.DIST(A302,Calculations!$F$3,Calculations!$F$4,FALSE)/_xlfn.NORM.DIST(Calculations!$F$3,Calculations!$F$3,Calculations!$F$4,FALSE),NA())</f>
        <v>#N/A</v>
      </c>
    </row>
    <row r="303" spans="1:13" x14ac:dyDescent="0.25">
      <c r="A303">
        <v>70.100000000000406</v>
      </c>
      <c r="B303" t="e">
        <f t="shared" si="40"/>
        <v>#N/A</v>
      </c>
      <c r="C303" t="e">
        <f t="shared" si="41"/>
        <v>#N/A</v>
      </c>
      <c r="D303">
        <f t="shared" si="42"/>
        <v>3.6476300516389091E-3</v>
      </c>
      <c r="E303" t="e">
        <f t="shared" si="43"/>
        <v>#N/A</v>
      </c>
      <c r="F303" t="e">
        <f t="shared" si="44"/>
        <v>#N/A</v>
      </c>
      <c r="G303" t="e">
        <f t="shared" si="45"/>
        <v>#N/A</v>
      </c>
      <c r="H303" t="e">
        <f t="shared" si="46"/>
        <v>#N/A</v>
      </c>
      <c r="I303" t="e">
        <f t="shared" si="47"/>
        <v>#N/A</v>
      </c>
      <c r="J303" t="e">
        <f t="shared" si="48"/>
        <v>#N/A</v>
      </c>
      <c r="K303">
        <f t="shared" si="49"/>
        <v>3.8476300516389092E-3</v>
      </c>
      <c r="L303">
        <f>IF(AND(ABS((ChartCalculations!A303-Calculations!$F$3)/Calculations!$F$4)&lt;5,OR(A303&lt;=Calculations!$F$7,A303&gt;=Calculations!$F$8)),0.2*_xlfn.NORM.DIST(100,100,15,FALSE)*_xlfn.NORM.DIST(A303,Calculations!$F$3,Calculations!$F$4,FALSE)/_xlfn.NORM.DIST(Calculations!$F$3,Calculations!$F$3,Calculations!$F$4,FALSE),NA())</f>
        <v>1.7930431626326864E-4</v>
      </c>
      <c r="M303" t="e">
        <f>IF(AND(A303&gt;=Calculations!$F$7,A303&lt;=Calculations!$F$8),0.2*_xlfn.NORM.DIST(100,100,15,FALSE)*_xlfn.NORM.DIST(A303,Calculations!$F$3,Calculations!$F$4,FALSE)/_xlfn.NORM.DIST(Calculations!$F$3,Calculations!$F$3,Calculations!$F$4,FALSE),NA())</f>
        <v>#N/A</v>
      </c>
    </row>
    <row r="304" spans="1:13" x14ac:dyDescent="0.25">
      <c r="A304">
        <v>70.200000000000401</v>
      </c>
      <c r="B304" t="e">
        <f t="shared" si="40"/>
        <v>#N/A</v>
      </c>
      <c r="C304" t="e">
        <f t="shared" si="41"/>
        <v>#N/A</v>
      </c>
      <c r="D304">
        <f t="shared" si="42"/>
        <v>3.6963443674596823E-3</v>
      </c>
      <c r="E304" t="e">
        <f t="shared" si="43"/>
        <v>#N/A</v>
      </c>
      <c r="F304" t="e">
        <f t="shared" si="44"/>
        <v>#N/A</v>
      </c>
      <c r="G304" t="e">
        <f t="shared" si="45"/>
        <v>#N/A</v>
      </c>
      <c r="H304" t="e">
        <f t="shared" si="46"/>
        <v>#N/A</v>
      </c>
      <c r="I304" t="e">
        <f t="shared" si="47"/>
        <v>#N/A</v>
      </c>
      <c r="J304" t="e">
        <f t="shared" si="48"/>
        <v>#N/A</v>
      </c>
      <c r="K304">
        <f t="shared" si="49"/>
        <v>3.8963443674596824E-3</v>
      </c>
      <c r="L304">
        <f>IF(AND(ABS((ChartCalculations!A304-Calculations!$F$3)/Calculations!$F$4)&lt;5,OR(A304&lt;=Calculations!$F$7,A304&gt;=Calculations!$F$8)),0.2*_xlfn.NORM.DIST(100,100,15,FALSE)*_xlfn.NORM.DIST(A304,Calculations!$F$3,Calculations!$F$4,FALSE)/_xlfn.NORM.DIST(Calculations!$F$3,Calculations!$F$3,Calculations!$F$4,FALSE),NA())</f>
        <v>1.4621046051911915E-4</v>
      </c>
      <c r="M304" t="e">
        <f>IF(AND(A304&gt;=Calculations!$F$7,A304&lt;=Calculations!$F$8),0.2*_xlfn.NORM.DIST(100,100,15,FALSE)*_xlfn.NORM.DIST(A304,Calculations!$F$3,Calculations!$F$4,FALSE)/_xlfn.NORM.DIST(Calculations!$F$3,Calculations!$F$3,Calculations!$F$4,FALSE),NA())</f>
        <v>#N/A</v>
      </c>
    </row>
    <row r="305" spans="1:13" x14ac:dyDescent="0.25">
      <c r="A305">
        <v>70.300000000000395</v>
      </c>
      <c r="B305" t="e">
        <f t="shared" si="40"/>
        <v>#N/A</v>
      </c>
      <c r="C305" t="e">
        <f t="shared" si="41"/>
        <v>#N/A</v>
      </c>
      <c r="D305">
        <f t="shared" si="42"/>
        <v>3.7455427935913998E-3</v>
      </c>
      <c r="E305" t="e">
        <f t="shared" si="43"/>
        <v>#N/A</v>
      </c>
      <c r="F305" t="e">
        <f t="shared" si="44"/>
        <v>#N/A</v>
      </c>
      <c r="G305" t="e">
        <f t="shared" si="45"/>
        <v>#N/A</v>
      </c>
      <c r="H305" t="e">
        <f t="shared" si="46"/>
        <v>#N/A</v>
      </c>
      <c r="I305" t="e">
        <f t="shared" si="47"/>
        <v>#N/A</v>
      </c>
      <c r="J305" t="e">
        <f t="shared" si="48"/>
        <v>#N/A</v>
      </c>
      <c r="K305">
        <f t="shared" si="49"/>
        <v>3.9455427935913999E-3</v>
      </c>
      <c r="L305">
        <f>IF(AND(ABS((ChartCalculations!A305-Calculations!$F$3)/Calculations!$F$4)&lt;5,OR(A305&lt;=Calculations!$F$7,A305&gt;=Calculations!$F$8)),0.2*_xlfn.NORM.DIST(100,100,15,FALSE)*_xlfn.NORM.DIST(A305,Calculations!$F$3,Calculations!$F$4,FALSE)/_xlfn.NORM.DIST(Calculations!$F$3,Calculations!$F$3,Calculations!$F$4,FALSE),NA())</f>
        <v>1.1851594968509882E-4</v>
      </c>
      <c r="M305" t="e">
        <f>IF(AND(A305&gt;=Calculations!$F$7,A305&lt;=Calculations!$F$8),0.2*_xlfn.NORM.DIST(100,100,15,FALSE)*_xlfn.NORM.DIST(A305,Calculations!$F$3,Calculations!$F$4,FALSE)/_xlfn.NORM.DIST(Calculations!$F$3,Calculations!$F$3,Calculations!$F$4,FALSE),NA())</f>
        <v>#N/A</v>
      </c>
    </row>
    <row r="306" spans="1:13" x14ac:dyDescent="0.25">
      <c r="A306">
        <v>70.400000000000404</v>
      </c>
      <c r="B306" t="e">
        <f t="shared" si="40"/>
        <v>#N/A</v>
      </c>
      <c r="C306" t="e">
        <f t="shared" si="41"/>
        <v>#N/A</v>
      </c>
      <c r="D306">
        <f t="shared" si="42"/>
        <v>3.7952273713538647E-3</v>
      </c>
      <c r="E306" t="e">
        <f t="shared" si="43"/>
        <v>#N/A</v>
      </c>
      <c r="F306" t="e">
        <f t="shared" si="44"/>
        <v>#N/A</v>
      </c>
      <c r="G306" t="e">
        <f t="shared" si="45"/>
        <v>#N/A</v>
      </c>
      <c r="H306" t="e">
        <f t="shared" si="46"/>
        <v>#N/A</v>
      </c>
      <c r="I306" t="e">
        <f t="shared" si="47"/>
        <v>#N/A</v>
      </c>
      <c r="J306" t="e">
        <f t="shared" si="48"/>
        <v>#N/A</v>
      </c>
      <c r="K306">
        <f t="shared" si="49"/>
        <v>3.9952273713538648E-3</v>
      </c>
      <c r="L306">
        <f>IF(AND(ABS((ChartCalculations!A306-Calculations!$F$3)/Calculations!$F$4)&lt;5,OR(A306&lt;=Calculations!$F$7,A306&gt;=Calculations!$F$8)),0.2*_xlfn.NORM.DIST(100,100,15,FALSE)*_xlfn.NORM.DIST(A306,Calculations!$F$3,Calculations!$F$4,FALSE)/_xlfn.NORM.DIST(Calculations!$F$3,Calculations!$F$3,Calculations!$F$4,FALSE),NA())</f>
        <v>9.549613875883413E-5</v>
      </c>
      <c r="M306" t="e">
        <f>IF(AND(A306&gt;=Calculations!$F$7,A306&lt;=Calculations!$F$8),0.2*_xlfn.NORM.DIST(100,100,15,FALSE)*_xlfn.NORM.DIST(A306,Calculations!$F$3,Calculations!$F$4,FALSE)/_xlfn.NORM.DIST(Calculations!$F$3,Calculations!$F$3,Calculations!$F$4,FALSE),NA())</f>
        <v>#N/A</v>
      </c>
    </row>
    <row r="307" spans="1:13" x14ac:dyDescent="0.25">
      <c r="A307">
        <v>70.500000000000398</v>
      </c>
      <c r="B307" t="e">
        <f t="shared" si="40"/>
        <v>#N/A</v>
      </c>
      <c r="C307" t="e">
        <f t="shared" si="41"/>
        <v>#N/A</v>
      </c>
      <c r="D307">
        <f t="shared" si="42"/>
        <v>3.8454001039423882E-3</v>
      </c>
      <c r="E307" t="e">
        <f t="shared" si="43"/>
        <v>#N/A</v>
      </c>
      <c r="F307" t="e">
        <f t="shared" si="44"/>
        <v>#N/A</v>
      </c>
      <c r="G307" t="e">
        <f t="shared" si="45"/>
        <v>#N/A</v>
      </c>
      <c r="H307" t="e">
        <f t="shared" si="46"/>
        <v>#N/A</v>
      </c>
      <c r="I307" t="e">
        <f t="shared" si="47"/>
        <v>#N/A</v>
      </c>
      <c r="J307" t="e">
        <f t="shared" si="48"/>
        <v>#N/A</v>
      </c>
      <c r="K307">
        <f t="shared" si="49"/>
        <v>4.0454001039423879E-3</v>
      </c>
      <c r="L307">
        <f>IF(AND(ABS((ChartCalculations!A307-Calculations!$F$3)/Calculations!$F$4)&lt;5,OR(A307&lt;=Calculations!$F$7,A307&gt;=Calculations!$F$8)),0.2*_xlfn.NORM.DIST(100,100,15,FALSE)*_xlfn.NORM.DIST(A307,Calculations!$F$3,Calculations!$F$4,FALSE)/_xlfn.NORM.DIST(Calculations!$F$3,Calculations!$F$3,Calculations!$F$4,FALSE),NA())</f>
        <v>7.649014389502397E-5</v>
      </c>
      <c r="M307" t="e">
        <f>IF(AND(A307&gt;=Calculations!$F$7,A307&lt;=Calculations!$F$8),0.2*_xlfn.NORM.DIST(100,100,15,FALSE)*_xlfn.NORM.DIST(A307,Calculations!$F$3,Calculations!$F$4,FALSE)/_xlfn.NORM.DIST(Calculations!$F$3,Calculations!$F$3,Calculations!$F$4,FALSE),NA())</f>
        <v>#N/A</v>
      </c>
    </row>
    <row r="308" spans="1:13" x14ac:dyDescent="0.25">
      <c r="A308">
        <v>70.600000000000406</v>
      </c>
      <c r="B308" t="e">
        <f t="shared" si="40"/>
        <v>#N/A</v>
      </c>
      <c r="C308" t="e">
        <f t="shared" si="41"/>
        <v>#N/A</v>
      </c>
      <c r="D308">
        <f t="shared" si="42"/>
        <v>3.8960629555636378E-3</v>
      </c>
      <c r="E308" t="e">
        <f t="shared" si="43"/>
        <v>#N/A</v>
      </c>
      <c r="F308" t="e">
        <f t="shared" si="44"/>
        <v>#N/A</v>
      </c>
      <c r="G308" t="e">
        <f t="shared" si="45"/>
        <v>#N/A</v>
      </c>
      <c r="H308" t="e">
        <f t="shared" si="46"/>
        <v>#N/A</v>
      </c>
      <c r="I308" t="e">
        <f t="shared" si="47"/>
        <v>#N/A</v>
      </c>
      <c r="J308" t="e">
        <f t="shared" si="48"/>
        <v>#N/A</v>
      </c>
      <c r="K308">
        <f t="shared" si="49"/>
        <v>4.0960629555636379E-3</v>
      </c>
      <c r="L308">
        <f>IF(AND(ABS((ChartCalculations!A308-Calculations!$F$3)/Calculations!$F$4)&lt;5,OR(A308&lt;=Calculations!$F$7,A308&gt;=Calculations!$F$8)),0.2*_xlfn.NORM.DIST(100,100,15,FALSE)*_xlfn.NORM.DIST(A308,Calculations!$F$3,Calculations!$F$4,FALSE)/_xlfn.NORM.DIST(Calculations!$F$3,Calculations!$F$3,Calculations!$F$4,FALSE),NA())</f>
        <v>6.0902595156706409E-5</v>
      </c>
      <c r="M308" t="e">
        <f>IF(AND(A308&gt;=Calculations!$F$7,A308&lt;=Calculations!$F$8),0.2*_xlfn.NORM.DIST(100,100,15,FALSE)*_xlfn.NORM.DIST(A308,Calculations!$F$3,Calculations!$F$4,FALSE)/_xlfn.NORM.DIST(Calculations!$F$3,Calculations!$F$3,Calculations!$F$4,FALSE),NA())</f>
        <v>#N/A</v>
      </c>
    </row>
    <row r="309" spans="1:13" x14ac:dyDescent="0.25">
      <c r="A309">
        <v>70.700000000000401</v>
      </c>
      <c r="B309" t="e">
        <f t="shared" si="40"/>
        <v>#N/A</v>
      </c>
      <c r="C309" t="e">
        <f t="shared" si="41"/>
        <v>#N/A</v>
      </c>
      <c r="D309">
        <f t="shared" si="42"/>
        <v>3.9472178505686904E-3</v>
      </c>
      <c r="E309" t="e">
        <f t="shared" si="43"/>
        <v>#N/A</v>
      </c>
      <c r="F309" t="e">
        <f t="shared" si="44"/>
        <v>#N/A</v>
      </c>
      <c r="G309" t="e">
        <f t="shared" si="45"/>
        <v>#N/A</v>
      </c>
      <c r="H309" t="e">
        <f t="shared" si="46"/>
        <v>#N/A</v>
      </c>
      <c r="I309" t="e">
        <f t="shared" si="47"/>
        <v>#N/A</v>
      </c>
      <c r="J309" t="e">
        <f t="shared" si="48"/>
        <v>#N/A</v>
      </c>
      <c r="K309">
        <f t="shared" si="49"/>
        <v>4.1472178505686901E-3</v>
      </c>
      <c r="L309">
        <f>IF(AND(ABS((ChartCalculations!A309-Calculations!$F$3)/Calculations!$F$4)&lt;5,OR(A309&lt;=Calculations!$F$7,A309&gt;=Calculations!$F$8)),0.2*_xlfn.NORM.DIST(100,100,15,FALSE)*_xlfn.NORM.DIST(A309,Calculations!$F$3,Calculations!$F$4,FALSE)/_xlfn.NORM.DIST(Calculations!$F$3,Calculations!$F$3,Calculations!$F$4,FALSE),NA())</f>
        <v>4.8203300451240783E-5</v>
      </c>
      <c r="M309" t="e">
        <f>IF(AND(A309&gt;=Calculations!$F$7,A309&lt;=Calculations!$F$8),0.2*_xlfn.NORM.DIST(100,100,15,FALSE)*_xlfn.NORM.DIST(A309,Calculations!$F$3,Calculations!$F$4,FALSE)/_xlfn.NORM.DIST(Calculations!$F$3,Calculations!$F$3,Calculations!$F$4,FALSE),NA())</f>
        <v>#N/A</v>
      </c>
    </row>
    <row r="310" spans="1:13" x14ac:dyDescent="0.25">
      <c r="A310">
        <v>70.800000000000395</v>
      </c>
      <c r="B310" t="e">
        <f t="shared" si="40"/>
        <v>#N/A</v>
      </c>
      <c r="C310" t="e">
        <f t="shared" si="41"/>
        <v>#N/A</v>
      </c>
      <c r="D310">
        <f t="shared" si="42"/>
        <v>3.9988666725836505E-3</v>
      </c>
      <c r="E310" t="e">
        <f t="shared" si="43"/>
        <v>#N/A</v>
      </c>
      <c r="F310" t="e">
        <f t="shared" si="44"/>
        <v>#N/A</v>
      </c>
      <c r="G310" t="e">
        <f t="shared" si="45"/>
        <v>#N/A</v>
      </c>
      <c r="H310" t="e">
        <f t="shared" si="46"/>
        <v>#N/A</v>
      </c>
      <c r="I310" t="e">
        <f t="shared" si="47"/>
        <v>#N/A</v>
      </c>
      <c r="J310" t="e">
        <f t="shared" si="48"/>
        <v>#N/A</v>
      </c>
      <c r="K310">
        <f t="shared" si="49"/>
        <v>4.1988666725836501E-3</v>
      </c>
      <c r="L310">
        <f>IF(AND(ABS((ChartCalculations!A310-Calculations!$F$3)/Calculations!$F$4)&lt;5,OR(A310&lt;=Calculations!$F$7,A310&gt;=Calculations!$F$8)),0.2*_xlfn.NORM.DIST(100,100,15,FALSE)*_xlfn.NORM.DIST(A310,Calculations!$F$3,Calculations!$F$4,FALSE)/_xlfn.NORM.DIST(Calculations!$F$3,Calculations!$F$3,Calculations!$F$4,FALSE),NA())</f>
        <v>3.7925245985446422E-5</v>
      </c>
      <c r="M310" t="e">
        <f>IF(AND(A310&gt;=Calculations!$F$7,A310&lt;=Calculations!$F$8),0.2*_xlfn.NORM.DIST(100,100,15,FALSE)*_xlfn.NORM.DIST(A310,Calculations!$F$3,Calculations!$F$4,FALSE)/_xlfn.NORM.DIST(Calculations!$F$3,Calculations!$F$3,Calculations!$F$4,FALSE),NA())</f>
        <v>#N/A</v>
      </c>
    </row>
    <row r="311" spans="1:13" x14ac:dyDescent="0.25">
      <c r="A311">
        <v>70.900000000000404</v>
      </c>
      <c r="B311" t="e">
        <f t="shared" si="40"/>
        <v>#N/A</v>
      </c>
      <c r="C311" t="e">
        <f t="shared" si="41"/>
        <v>#N/A</v>
      </c>
      <c r="D311">
        <f t="shared" si="42"/>
        <v>4.0510112636378635E-3</v>
      </c>
      <c r="E311" t="e">
        <f t="shared" si="43"/>
        <v>#N/A</v>
      </c>
      <c r="F311" t="e">
        <f t="shared" si="44"/>
        <v>#N/A</v>
      </c>
      <c r="G311" t="e">
        <f t="shared" si="45"/>
        <v>#N/A</v>
      </c>
      <c r="H311" t="e">
        <f t="shared" si="46"/>
        <v>#N/A</v>
      </c>
      <c r="I311" t="e">
        <f t="shared" si="47"/>
        <v>#N/A</v>
      </c>
      <c r="J311" t="e">
        <f t="shared" si="48"/>
        <v>#N/A</v>
      </c>
      <c r="K311">
        <f t="shared" si="49"/>
        <v>4.2510112636378631E-3</v>
      </c>
      <c r="L311">
        <f>IF(AND(ABS((ChartCalculations!A311-Calculations!$F$3)/Calculations!$F$4)&lt;5,OR(A311&lt;=Calculations!$F$7,A311&gt;=Calculations!$F$8)),0.2*_xlfn.NORM.DIST(100,100,15,FALSE)*_xlfn.NORM.DIST(A311,Calculations!$F$3,Calculations!$F$4,FALSE)/_xlfn.NORM.DIST(Calculations!$F$3,Calculations!$F$3,Calculations!$F$4,FALSE),NA())</f>
        <v>2.9661334909312955E-5</v>
      </c>
      <c r="M311" t="e">
        <f>IF(AND(A311&gt;=Calculations!$F$7,A311&lt;=Calculations!$F$8),0.2*_xlfn.NORM.DIST(100,100,15,FALSE)*_xlfn.NORM.DIST(A311,Calculations!$F$3,Calculations!$F$4,FALSE)/_xlfn.NORM.DIST(Calculations!$F$3,Calculations!$F$3,Calculations!$F$4,FALSE),NA())</f>
        <v>#N/A</v>
      </c>
    </row>
    <row r="312" spans="1:13" x14ac:dyDescent="0.25">
      <c r="A312">
        <v>71.000000000000398</v>
      </c>
      <c r="B312" t="e">
        <f t="shared" si="40"/>
        <v>#N/A</v>
      </c>
      <c r="C312" t="e">
        <f t="shared" si="41"/>
        <v>#N/A</v>
      </c>
      <c r="D312">
        <f t="shared" si="42"/>
        <v>4.1036534232900294E-3</v>
      </c>
      <c r="E312" t="e">
        <f t="shared" si="43"/>
        <v>#N/A</v>
      </c>
      <c r="F312" t="e">
        <f t="shared" si="44"/>
        <v>#N/A</v>
      </c>
      <c r="G312" t="e">
        <f t="shared" si="45"/>
        <v>#N/A</v>
      </c>
      <c r="H312" t="e">
        <f t="shared" si="46"/>
        <v>#N/A</v>
      </c>
      <c r="I312" t="e">
        <f t="shared" si="47"/>
        <v>#N/A</v>
      </c>
      <c r="J312" t="e">
        <f t="shared" si="48"/>
        <v>#N/A</v>
      </c>
      <c r="K312">
        <f t="shared" si="49"/>
        <v>4.3036534232900291E-3</v>
      </c>
      <c r="L312">
        <f>IF(AND(ABS((ChartCalculations!A312-Calculations!$F$3)/Calculations!$F$4)&lt;5,OR(A312&lt;=Calculations!$F$7,A312&gt;=Calculations!$F$8)),0.2*_xlfn.NORM.DIST(100,100,15,FALSE)*_xlfn.NORM.DIST(A312,Calculations!$F$3,Calculations!$F$4,FALSE)/_xlfn.NORM.DIST(Calculations!$F$3,Calculations!$F$3,Calculations!$F$4,FALSE),NA())</f>
        <v>2.3060229961852582E-5</v>
      </c>
      <c r="M312" t="e">
        <f>IF(AND(A312&gt;=Calculations!$F$7,A312&lt;=Calculations!$F$8),0.2*_xlfn.NORM.DIST(100,100,15,FALSE)*_xlfn.NORM.DIST(A312,Calculations!$F$3,Calculations!$F$4,FALSE)/_xlfn.NORM.DIST(Calculations!$F$3,Calculations!$F$3,Calculations!$F$4,FALSE),NA())</f>
        <v>#N/A</v>
      </c>
    </row>
    <row r="313" spans="1:13" x14ac:dyDescent="0.25">
      <c r="A313">
        <v>71.100000000000406</v>
      </c>
      <c r="B313" t="e">
        <f t="shared" si="40"/>
        <v>#N/A</v>
      </c>
      <c r="C313" t="e">
        <f t="shared" si="41"/>
        <v>#N/A</v>
      </c>
      <c r="D313">
        <f t="shared" si="42"/>
        <v>4.1567949077524436E-3</v>
      </c>
      <c r="E313" t="e">
        <f t="shared" si="43"/>
        <v>#N/A</v>
      </c>
      <c r="F313" t="e">
        <f t="shared" si="44"/>
        <v>#N/A</v>
      </c>
      <c r="G313" t="e">
        <f t="shared" si="45"/>
        <v>#N/A</v>
      </c>
      <c r="H313" t="e">
        <f t="shared" si="46"/>
        <v>#N/A</v>
      </c>
      <c r="I313" t="e">
        <f t="shared" si="47"/>
        <v>#N/A</v>
      </c>
      <c r="J313" t="e">
        <f t="shared" si="48"/>
        <v>#N/A</v>
      </c>
      <c r="K313">
        <f t="shared" si="49"/>
        <v>4.3567949077524433E-3</v>
      </c>
      <c r="L313">
        <f>IF(AND(ABS((ChartCalculations!A313-Calculations!$F$3)/Calculations!$F$4)&lt;5,OR(A313&lt;=Calculations!$F$7,A313&gt;=Calculations!$F$8)),0.2*_xlfn.NORM.DIST(100,100,15,FALSE)*_xlfn.NORM.DIST(A313,Calculations!$F$3,Calculations!$F$4,FALSE)/_xlfn.NORM.DIST(Calculations!$F$3,Calculations!$F$3,Calculations!$F$4,FALSE),NA())</f>
        <v>1.7821622092364005E-5</v>
      </c>
      <c r="M313" t="e">
        <f>IF(AND(A313&gt;=Calculations!$F$7,A313&lt;=Calculations!$F$8),0.2*_xlfn.NORM.DIST(100,100,15,FALSE)*_xlfn.NORM.DIST(A313,Calculations!$F$3,Calculations!$F$4,FALSE)/_xlfn.NORM.DIST(Calculations!$F$3,Calculations!$F$3,Calculations!$F$4,FALSE),NA())</f>
        <v>#N/A</v>
      </c>
    </row>
    <row r="314" spans="1:13" x14ac:dyDescent="0.25">
      <c r="A314">
        <v>71.200000000000401</v>
      </c>
      <c r="B314" t="e">
        <f t="shared" si="40"/>
        <v>#N/A</v>
      </c>
      <c r="C314" t="e">
        <f t="shared" si="41"/>
        <v>#N/A</v>
      </c>
      <c r="D314">
        <f t="shared" si="42"/>
        <v>4.2104374290134593E-3</v>
      </c>
      <c r="E314" t="e">
        <f t="shared" si="43"/>
        <v>#N/A</v>
      </c>
      <c r="F314" t="e">
        <f t="shared" si="44"/>
        <v>#N/A</v>
      </c>
      <c r="G314" t="e">
        <f t="shared" si="45"/>
        <v>#N/A</v>
      </c>
      <c r="H314" t="e">
        <f t="shared" si="46"/>
        <v>#N/A</v>
      </c>
      <c r="I314" t="e">
        <f t="shared" si="47"/>
        <v>#N/A</v>
      </c>
      <c r="J314" t="e">
        <f t="shared" si="48"/>
        <v>#N/A</v>
      </c>
      <c r="K314">
        <f t="shared" si="49"/>
        <v>4.410437429013459E-3</v>
      </c>
      <c r="L314">
        <f>IF(AND(ABS((ChartCalculations!A314-Calculations!$F$3)/Calculations!$F$4)&lt;5,OR(A314&lt;=Calculations!$F$7,A314&gt;=Calculations!$F$8)),0.2*_xlfn.NORM.DIST(100,100,15,FALSE)*_xlfn.NORM.DIST(A314,Calculations!$F$3,Calculations!$F$4,FALSE)/_xlfn.NORM.DIST(Calculations!$F$3,Calculations!$F$3,Calculations!$F$4,FALSE),NA())</f>
        <v>1.3691198958668459E-5</v>
      </c>
      <c r="M314" t="e">
        <f>IF(AND(A314&gt;=Calculations!$F$7,A314&lt;=Calculations!$F$8),0.2*_xlfn.NORM.DIST(100,100,15,FALSE)*_xlfn.NORM.DIST(A314,Calculations!$F$3,Calculations!$F$4,FALSE)/_xlfn.NORM.DIST(Calculations!$F$3,Calculations!$F$3,Calculations!$F$4,FALSE),NA())</f>
        <v>#N/A</v>
      </c>
    </row>
    <row r="315" spans="1:13" x14ac:dyDescent="0.25">
      <c r="A315">
        <v>71.300000000000395</v>
      </c>
      <c r="B315" t="e">
        <f t="shared" si="40"/>
        <v>#N/A</v>
      </c>
      <c r="C315" t="e">
        <f t="shared" si="41"/>
        <v>#N/A</v>
      </c>
      <c r="D315">
        <f t="shared" si="42"/>
        <v>4.2645826539585222E-3</v>
      </c>
      <c r="E315" t="e">
        <f t="shared" si="43"/>
        <v>#N/A</v>
      </c>
      <c r="F315" t="e">
        <f t="shared" si="44"/>
        <v>#N/A</v>
      </c>
      <c r="G315" t="e">
        <f t="shared" si="45"/>
        <v>#N/A</v>
      </c>
      <c r="H315" t="e">
        <f t="shared" si="46"/>
        <v>#N/A</v>
      </c>
      <c r="I315" t="e">
        <f t="shared" si="47"/>
        <v>#N/A</v>
      </c>
      <c r="J315" t="e">
        <f t="shared" si="48"/>
        <v>#N/A</v>
      </c>
      <c r="K315">
        <f t="shared" si="49"/>
        <v>4.4645826539585218E-3</v>
      </c>
      <c r="L315">
        <f>IF(AND(ABS((ChartCalculations!A315-Calculations!$F$3)/Calculations!$F$4)&lt;5,OR(A315&lt;=Calculations!$F$7,A315&gt;=Calculations!$F$8)),0.2*_xlfn.NORM.DIST(100,100,15,FALSE)*_xlfn.NORM.DIST(A315,Calculations!$F$3,Calculations!$F$4,FALSE)/_xlfn.NORM.DIST(Calculations!$F$3,Calculations!$F$3,Calculations!$F$4,FALSE),NA())</f>
        <v>1.0455538079210512E-5</v>
      </c>
      <c r="M315" t="e">
        <f>IF(AND(A315&gt;=Calculations!$F$7,A315&lt;=Calculations!$F$8),0.2*_xlfn.NORM.DIST(100,100,15,FALSE)*_xlfn.NORM.DIST(A315,Calculations!$F$3,Calculations!$F$4,FALSE)/_xlfn.NORM.DIST(Calculations!$F$3,Calculations!$F$3,Calculations!$F$4,FALSE),NA())</f>
        <v>#N/A</v>
      </c>
    </row>
    <row r="316" spans="1:13" x14ac:dyDescent="0.25">
      <c r="A316">
        <v>71.400000000000404</v>
      </c>
      <c r="B316" t="e">
        <f t="shared" si="40"/>
        <v>#N/A</v>
      </c>
      <c r="C316" t="e">
        <f t="shared" si="41"/>
        <v>#N/A</v>
      </c>
      <c r="D316">
        <f t="shared" si="42"/>
        <v>4.3192322034898986E-3</v>
      </c>
      <c r="E316" t="e">
        <f t="shared" si="43"/>
        <v>#N/A</v>
      </c>
      <c r="F316" t="e">
        <f t="shared" si="44"/>
        <v>#N/A</v>
      </c>
      <c r="G316" t="e">
        <f t="shared" si="45"/>
        <v>#N/A</v>
      </c>
      <c r="H316" t="e">
        <f t="shared" si="46"/>
        <v>#N/A</v>
      </c>
      <c r="I316" t="e">
        <f t="shared" si="47"/>
        <v>#N/A</v>
      </c>
      <c r="J316" t="e">
        <f t="shared" si="48"/>
        <v>#N/A</v>
      </c>
      <c r="K316">
        <f t="shared" si="49"/>
        <v>4.5192322034898983E-3</v>
      </c>
      <c r="L316">
        <f>IF(AND(ABS((ChartCalculations!A316-Calculations!$F$3)/Calculations!$F$4)&lt;5,OR(A316&lt;=Calculations!$F$7,A316&gt;=Calculations!$F$8)),0.2*_xlfn.NORM.DIST(100,100,15,FALSE)*_xlfn.NORM.DIST(A316,Calculations!$F$3,Calculations!$F$4,FALSE)/_xlfn.NORM.DIST(Calculations!$F$3,Calculations!$F$3,Calculations!$F$4,FALSE),NA())</f>
        <v>7.9371017825469822E-6</v>
      </c>
      <c r="M316" t="e">
        <f>IF(AND(A316&gt;=Calculations!$F$7,A316&lt;=Calculations!$F$8),0.2*_xlfn.NORM.DIST(100,100,15,FALSE)*_xlfn.NORM.DIST(A316,Calculations!$F$3,Calculations!$F$4,FALSE)/_xlfn.NORM.DIST(Calculations!$F$3,Calculations!$F$3,Calculations!$F$4,FALSE),NA())</f>
        <v>#N/A</v>
      </c>
    </row>
    <row r="317" spans="1:13" x14ac:dyDescent="0.25">
      <c r="A317">
        <v>71.500000000000398</v>
      </c>
      <c r="B317" t="e">
        <f t="shared" si="40"/>
        <v>#N/A</v>
      </c>
      <c r="C317" t="e">
        <f t="shared" si="41"/>
        <v>#N/A</v>
      </c>
      <c r="D317">
        <f t="shared" si="42"/>
        <v>4.3743876516453275E-3</v>
      </c>
      <c r="E317" t="e">
        <f t="shared" si="43"/>
        <v>#N/A</v>
      </c>
      <c r="F317" t="e">
        <f t="shared" si="44"/>
        <v>#N/A</v>
      </c>
      <c r="G317" t="e">
        <f t="shared" si="45"/>
        <v>#N/A</v>
      </c>
      <c r="H317" t="e">
        <f t="shared" si="46"/>
        <v>#N/A</v>
      </c>
      <c r="I317" t="e">
        <f t="shared" si="47"/>
        <v>#N/A</v>
      </c>
      <c r="J317" t="e">
        <f t="shared" si="48"/>
        <v>#N/A</v>
      </c>
      <c r="K317">
        <f t="shared" si="49"/>
        <v>4.5743876516453272E-3</v>
      </c>
      <c r="L317">
        <f>IF(AND(ABS((ChartCalculations!A317-Calculations!$F$3)/Calculations!$F$4)&lt;5,OR(A317&lt;=Calculations!$F$7,A317&gt;=Calculations!$F$8)),0.2*_xlfn.NORM.DIST(100,100,15,FALSE)*_xlfn.NORM.DIST(A317,Calculations!$F$3,Calculations!$F$4,FALSE)/_xlfn.NORM.DIST(Calculations!$F$3,Calculations!$F$3,Calculations!$F$4,FALSE),NA())</f>
        <v>5.9894668580118515E-6</v>
      </c>
      <c r="M317" t="e">
        <f>IF(AND(A317&gt;=Calculations!$F$7,A317&lt;=Calculations!$F$8),0.2*_xlfn.NORM.DIST(100,100,15,FALSE)*_xlfn.NORM.DIST(A317,Calculations!$F$3,Calculations!$F$4,FALSE)/_xlfn.NORM.DIST(Calculations!$F$3,Calculations!$F$3,Calculations!$F$4,FALSE),NA())</f>
        <v>#N/A</v>
      </c>
    </row>
    <row r="318" spans="1:13" x14ac:dyDescent="0.25">
      <c r="A318">
        <v>71.600000000000406</v>
      </c>
      <c r="B318" t="e">
        <f t="shared" si="40"/>
        <v>#N/A</v>
      </c>
      <c r="C318" t="e">
        <f t="shared" si="41"/>
        <v>#N/A</v>
      </c>
      <c r="D318">
        <f t="shared" si="42"/>
        <v>4.4300505247159049E-3</v>
      </c>
      <c r="E318" t="e">
        <f t="shared" si="43"/>
        <v>#N/A</v>
      </c>
      <c r="F318" t="e">
        <f t="shared" si="44"/>
        <v>#N/A</v>
      </c>
      <c r="G318" t="e">
        <f t="shared" si="45"/>
        <v>#N/A</v>
      </c>
      <c r="H318" t="e">
        <f t="shared" si="46"/>
        <v>#N/A</v>
      </c>
      <c r="I318" t="e">
        <f t="shared" si="47"/>
        <v>#N/A</v>
      </c>
      <c r="J318" t="e">
        <f t="shared" si="48"/>
        <v>#N/A</v>
      </c>
      <c r="K318">
        <f t="shared" si="49"/>
        <v>4.6300505247159045E-3</v>
      </c>
      <c r="L318">
        <f>IF(AND(ABS((ChartCalculations!A318-Calculations!$F$3)/Calculations!$F$4)&lt;5,OR(A318&lt;=Calculations!$F$7,A318&gt;=Calculations!$F$8)),0.2*_xlfn.NORM.DIST(100,100,15,FALSE)*_xlfn.NORM.DIST(A318,Calculations!$F$3,Calculations!$F$4,FALSE)/_xlfn.NORM.DIST(Calculations!$F$3,Calculations!$F$3,Calculations!$F$4,FALSE),NA())</f>
        <v>4.4928822609379994E-6</v>
      </c>
      <c r="M318" t="e">
        <f>IF(AND(A318&gt;=Calculations!$F$7,A318&lt;=Calculations!$F$8),0.2*_xlfn.NORM.DIST(100,100,15,FALSE)*_xlfn.NORM.DIST(A318,Calculations!$F$3,Calculations!$F$4,FALSE)/_xlfn.NORM.DIST(Calculations!$F$3,Calculations!$F$3,Calculations!$F$4,FALSE),NA())</f>
        <v>#N/A</v>
      </c>
    </row>
    <row r="319" spans="1:13" x14ac:dyDescent="0.25">
      <c r="A319">
        <v>71.7000000000005</v>
      </c>
      <c r="B319" t="e">
        <f t="shared" si="40"/>
        <v>#N/A</v>
      </c>
      <c r="C319" t="e">
        <f t="shared" si="41"/>
        <v>#N/A</v>
      </c>
      <c r="D319">
        <f t="shared" si="42"/>
        <v>4.4862223003633295E-3</v>
      </c>
      <c r="E319" t="e">
        <f t="shared" si="43"/>
        <v>#N/A</v>
      </c>
      <c r="F319" t="e">
        <f t="shared" si="44"/>
        <v>#N/A</v>
      </c>
      <c r="G319" t="e">
        <f t="shared" si="45"/>
        <v>#N/A</v>
      </c>
      <c r="H319" t="e">
        <f t="shared" si="46"/>
        <v>#N/A</v>
      </c>
      <c r="I319" t="e">
        <f t="shared" si="47"/>
        <v>#N/A</v>
      </c>
      <c r="J319" t="e">
        <f t="shared" si="48"/>
        <v>#N/A</v>
      </c>
      <c r="K319">
        <f t="shared" si="49"/>
        <v>4.6862223003633291E-3</v>
      </c>
      <c r="L319">
        <f>IF(AND(ABS((ChartCalculations!A319-Calculations!$F$3)/Calculations!$F$4)&lt;5,OR(A319&lt;=Calculations!$F$7,A319&gt;=Calculations!$F$8)),0.2*_xlfn.NORM.DIST(100,100,15,FALSE)*_xlfn.NORM.DIST(A319,Calculations!$F$3,Calculations!$F$4,FALSE)/_xlfn.NORM.DIST(Calculations!$F$3,Calculations!$F$3,Calculations!$F$4,FALSE),NA())</f>
        <v>3.3502141179167022E-6</v>
      </c>
      <c r="M319" t="e">
        <f>IF(AND(A319&gt;=Calculations!$F$7,A319&lt;=Calculations!$F$8),0.2*_xlfn.NORM.DIST(100,100,15,FALSE)*_xlfn.NORM.DIST(A319,Calculations!$F$3,Calculations!$F$4,FALSE)/_xlfn.NORM.DIST(Calculations!$F$3,Calculations!$F$3,Calculations!$F$4,FALSE),NA())</f>
        <v>#N/A</v>
      </c>
    </row>
    <row r="320" spans="1:13" x14ac:dyDescent="0.25">
      <c r="A320">
        <v>71.800000000000495</v>
      </c>
      <c r="B320" t="e">
        <f t="shared" si="40"/>
        <v>#N/A</v>
      </c>
      <c r="C320" t="e">
        <f t="shared" si="41"/>
        <v>#N/A</v>
      </c>
      <c r="D320">
        <f t="shared" si="42"/>
        <v>4.5429044067365866E-3</v>
      </c>
      <c r="E320" t="e">
        <f t="shared" si="43"/>
        <v>#N/A</v>
      </c>
      <c r="F320" t="e">
        <f t="shared" si="44"/>
        <v>#N/A</v>
      </c>
      <c r="G320" t="e">
        <f t="shared" si="45"/>
        <v>#N/A</v>
      </c>
      <c r="H320" t="e">
        <f t="shared" si="46"/>
        <v>#N/A</v>
      </c>
      <c r="I320" t="e">
        <f t="shared" si="47"/>
        <v>#N/A</v>
      </c>
      <c r="J320" t="e">
        <f t="shared" si="48"/>
        <v>#N/A</v>
      </c>
      <c r="K320">
        <f t="shared" si="49"/>
        <v>4.7429044067365863E-3</v>
      </c>
      <c r="L320">
        <f>IF(AND(ABS((ChartCalculations!A320-Calculations!$F$3)/Calculations!$F$4)&lt;5,OR(A320&lt;=Calculations!$F$7,A320&gt;=Calculations!$F$8)),0.2*_xlfn.NORM.DIST(100,100,15,FALSE)*_xlfn.NORM.DIST(A320,Calculations!$F$3,Calculations!$F$4,FALSE)/_xlfn.NORM.DIST(Calculations!$F$3,Calculations!$F$3,Calculations!$F$4,FALSE),NA())</f>
        <v>2.483308906489092E-6</v>
      </c>
      <c r="M320" t="e">
        <f>IF(AND(A320&gt;=Calculations!$F$7,A320&lt;=Calculations!$F$8),0.2*_xlfn.NORM.DIST(100,100,15,FALSE)*_xlfn.NORM.DIST(A320,Calculations!$F$3,Calculations!$F$4,FALSE)/_xlfn.NORM.DIST(Calculations!$F$3,Calculations!$F$3,Calculations!$F$4,FALSE),NA())</f>
        <v>#N/A</v>
      </c>
    </row>
    <row r="321" spans="1:13" x14ac:dyDescent="0.25">
      <c r="A321">
        <v>71.900000000000503</v>
      </c>
      <c r="B321" t="e">
        <f t="shared" si="40"/>
        <v>#N/A</v>
      </c>
      <c r="C321" t="e">
        <f t="shared" si="41"/>
        <v>#N/A</v>
      </c>
      <c r="D321">
        <f t="shared" si="42"/>
        <v>4.600098221588968E-3</v>
      </c>
      <c r="E321" t="e">
        <f t="shared" si="43"/>
        <v>#N/A</v>
      </c>
      <c r="F321" t="e">
        <f t="shared" si="44"/>
        <v>#N/A</v>
      </c>
      <c r="G321" t="e">
        <f t="shared" si="45"/>
        <v>#N/A</v>
      </c>
      <c r="H321" t="e">
        <f t="shared" si="46"/>
        <v>#N/A</v>
      </c>
      <c r="I321" t="e">
        <f t="shared" si="47"/>
        <v>#N/A</v>
      </c>
      <c r="J321" t="e">
        <f t="shared" si="48"/>
        <v>#N/A</v>
      </c>
      <c r="K321">
        <f t="shared" si="49"/>
        <v>4.8000982215889677E-3</v>
      </c>
      <c r="L321">
        <f>IF(AND(ABS((ChartCalculations!A321-Calculations!$F$3)/Calculations!$F$4)&lt;5,OR(A321&lt;=Calculations!$F$7,A321&gt;=Calculations!$F$8)),0.2*_xlfn.NORM.DIST(100,100,15,FALSE)*_xlfn.NORM.DIST(A321,Calculations!$F$3,Calculations!$F$4,FALSE)/_xlfn.NORM.DIST(Calculations!$F$3,Calculations!$F$3,Calculations!$F$4,FALSE),NA())</f>
        <v>1.8297829770762559E-6</v>
      </c>
      <c r="M321" t="e">
        <f>IF(AND(A321&gt;=Calculations!$F$7,A321&lt;=Calculations!$F$8),0.2*_xlfn.NORM.DIST(100,100,15,FALSE)*_xlfn.NORM.DIST(A321,Calculations!$F$3,Calculations!$F$4,FALSE)/_xlfn.NORM.DIST(Calculations!$F$3,Calculations!$F$3,Calculations!$F$4,FALSE),NA())</f>
        <v>#N/A</v>
      </c>
    </row>
    <row r="322" spans="1:13" x14ac:dyDescent="0.25">
      <c r="A322">
        <v>72.000000000000497</v>
      </c>
      <c r="B322" t="e">
        <f t="shared" si="40"/>
        <v>#N/A</v>
      </c>
      <c r="C322" t="e">
        <f t="shared" si="41"/>
        <v>#N/A</v>
      </c>
      <c r="D322">
        <f t="shared" si="42"/>
        <v>4.6578050713946316E-3</v>
      </c>
      <c r="E322" t="e">
        <f t="shared" si="43"/>
        <v>#N/A</v>
      </c>
      <c r="F322" t="e">
        <f t="shared" si="44"/>
        <v>#N/A</v>
      </c>
      <c r="G322" t="e">
        <f t="shared" si="45"/>
        <v>#N/A</v>
      </c>
      <c r="H322" t="e">
        <f t="shared" si="46"/>
        <v>#N/A</v>
      </c>
      <c r="I322" t="e">
        <f t="shared" si="47"/>
        <v>#N/A</v>
      </c>
      <c r="J322" t="e">
        <f t="shared" si="48"/>
        <v>#N/A</v>
      </c>
      <c r="K322">
        <f t="shared" si="49"/>
        <v>4.8578050713946313E-3</v>
      </c>
      <c r="L322">
        <f>IF(AND(ABS((ChartCalculations!A322-Calculations!$F$3)/Calculations!$F$4)&lt;5,OR(A322&lt;=Calculations!$F$7,A322&gt;=Calculations!$F$8)),0.2*_xlfn.NORM.DIST(100,100,15,FALSE)*_xlfn.NORM.DIST(A322,Calculations!$F$3,Calculations!$F$4,FALSE)/_xlfn.NORM.DIST(Calculations!$F$3,Calculations!$F$3,Calculations!$F$4,FALSE),NA())</f>
        <v>1.3402291967432497E-6</v>
      </c>
      <c r="M322" t="e">
        <f>IF(AND(A322&gt;=Calculations!$F$7,A322&lt;=Calculations!$F$8),0.2*_xlfn.NORM.DIST(100,100,15,FALSE)*_xlfn.NORM.DIST(A322,Calculations!$F$3,Calculations!$F$4,FALSE)/_xlfn.NORM.DIST(Calculations!$F$3,Calculations!$F$3,Calculations!$F$4,FALSE),NA())</f>
        <v>#N/A</v>
      </c>
    </row>
    <row r="323" spans="1:13" x14ac:dyDescent="0.25">
      <c r="A323">
        <v>72.100000000000506</v>
      </c>
      <c r="B323" t="e">
        <f t="shared" ref="B323:B386" si="50">IF($A323&lt;=60,_xlfn.NORM.DIST($A323,100,15,FALSE),NA())</f>
        <v>#N/A</v>
      </c>
      <c r="C323" t="e">
        <f t="shared" ref="C323:C386" si="51">IF(AND($A323&gt;=60,$A323&lt;=70),_xlfn.NORM.DIST($A323,100,15,FALSE),NA())</f>
        <v>#N/A</v>
      </c>
      <c r="D323">
        <f t="shared" ref="D323:D386" si="52">IF(AND($A323&gt;=70,$A323&lt;=80),_xlfn.NORM.DIST($A323,100,15,FALSE),NA())</f>
        <v>4.7160262304658546E-3</v>
      </c>
      <c r="E323" t="e">
        <f t="shared" ref="E323:E386" si="53">IF(AND($A323&gt;=80,$A323&lt;=90),_xlfn.NORM.DIST($A323,100,15,FALSE),NA())</f>
        <v>#N/A</v>
      </c>
      <c r="F323" t="e">
        <f t="shared" ref="F323:F386" si="54">IF(AND($A323&gt;=90,$A323&lt;=110),_xlfn.NORM.DIST($A323,100,15,FALSE),NA())</f>
        <v>#N/A</v>
      </c>
      <c r="G323" t="e">
        <f t="shared" ref="G323:G386" si="55">IF(AND($A323&gt;=110,$A323&lt;=120),_xlfn.NORM.DIST($A323,100,15,FALSE),NA())</f>
        <v>#N/A</v>
      </c>
      <c r="H323" t="e">
        <f t="shared" ref="H323:H386" si="56">IF(AND($A323&gt;=120,$A323&lt;=130),_xlfn.NORM.DIST($A323,100,15,FALSE),NA())</f>
        <v>#N/A</v>
      </c>
      <c r="I323" t="e">
        <f t="shared" ref="I323:I386" si="57">IF(AND($A323&gt;=130,$A323&lt;=140),_xlfn.NORM.DIST($A323,100,15,FALSE),NA())</f>
        <v>#N/A</v>
      </c>
      <c r="J323" t="e">
        <f t="shared" ref="J323:J386" si="58">IF($A323&gt;=140,_xlfn.NORM.DIST($A323,100,15,FALSE),NA())</f>
        <v>#N/A</v>
      </c>
      <c r="K323">
        <f t="shared" ref="K323:K386" si="59">_xlfn.NORM.DIST($A323,100,15,FALSE)+0.0002</f>
        <v>4.9160262304658543E-3</v>
      </c>
      <c r="L323">
        <f>IF(AND(ABS((ChartCalculations!A323-Calculations!$F$3)/Calculations!$F$4)&lt;5,OR(A323&lt;=Calculations!$F$7,A323&gt;=Calculations!$F$8)),0.2*_xlfn.NORM.DIST(100,100,15,FALSE)*_xlfn.NORM.DIST(A323,Calculations!$F$3,Calculations!$F$4,FALSE)/_xlfn.NORM.DIST(Calculations!$F$3,Calculations!$F$3,Calculations!$F$4,FALSE),NA())</f>
        <v>9.7581889150698867E-7</v>
      </c>
      <c r="M323" t="e">
        <f>IF(AND(A323&gt;=Calculations!$F$7,A323&lt;=Calculations!$F$8),0.2*_xlfn.NORM.DIST(100,100,15,FALSE)*_xlfn.NORM.DIST(A323,Calculations!$F$3,Calculations!$F$4,FALSE)/_xlfn.NORM.DIST(Calculations!$F$3,Calculations!$F$3,Calculations!$F$4,FALSE),NA())</f>
        <v>#N/A</v>
      </c>
    </row>
    <row r="324" spans="1:13" x14ac:dyDescent="0.25">
      <c r="A324">
        <v>72.2000000000005</v>
      </c>
      <c r="B324" t="e">
        <f t="shared" si="50"/>
        <v>#N/A</v>
      </c>
      <c r="C324" t="e">
        <f t="shared" si="51"/>
        <v>#N/A</v>
      </c>
      <c r="D324">
        <f t="shared" si="52"/>
        <v>4.7747629200706439E-3</v>
      </c>
      <c r="E324" t="e">
        <f t="shared" si="53"/>
        <v>#N/A</v>
      </c>
      <c r="F324" t="e">
        <f t="shared" si="54"/>
        <v>#N/A</v>
      </c>
      <c r="G324" t="e">
        <f t="shared" si="55"/>
        <v>#N/A</v>
      </c>
      <c r="H324" t="e">
        <f t="shared" si="56"/>
        <v>#N/A</v>
      </c>
      <c r="I324" t="e">
        <f t="shared" si="57"/>
        <v>#N/A</v>
      </c>
      <c r="J324" t="e">
        <f t="shared" si="58"/>
        <v>#N/A</v>
      </c>
      <c r="K324">
        <f t="shared" si="59"/>
        <v>4.9747629200706436E-3</v>
      </c>
      <c r="L324">
        <f>IF(AND(ABS((ChartCalculations!A324-Calculations!$F$3)/Calculations!$F$4)&lt;5,OR(A324&lt;=Calculations!$F$7,A324&gt;=Calculations!$F$8)),0.2*_xlfn.NORM.DIST(100,100,15,FALSE)*_xlfn.NORM.DIST(A324,Calculations!$F$3,Calculations!$F$4,FALSE)/_xlfn.NORM.DIST(Calculations!$F$3,Calculations!$F$3,Calculations!$F$4,FALSE),NA())</f>
        <v>7.0626880361158143E-7</v>
      </c>
      <c r="M324" t="e">
        <f>IF(AND(A324&gt;=Calculations!$F$7,A324&lt;=Calculations!$F$8),0.2*_xlfn.NORM.DIST(100,100,15,FALSE)*_xlfn.NORM.DIST(A324,Calculations!$F$3,Calculations!$F$4,FALSE)/_xlfn.NORM.DIST(Calculations!$F$3,Calculations!$F$3,Calculations!$F$4,FALSE),NA())</f>
        <v>#N/A</v>
      </c>
    </row>
    <row r="325" spans="1:13" x14ac:dyDescent="0.25">
      <c r="A325">
        <v>72.300000000000495</v>
      </c>
      <c r="B325" t="e">
        <f t="shared" si="50"/>
        <v>#N/A</v>
      </c>
      <c r="C325" t="e">
        <f t="shared" si="51"/>
        <v>#N/A</v>
      </c>
      <c r="D325">
        <f t="shared" si="52"/>
        <v>4.8340163075513308E-3</v>
      </c>
      <c r="E325" t="e">
        <f t="shared" si="53"/>
        <v>#N/A</v>
      </c>
      <c r="F325" t="e">
        <f t="shared" si="54"/>
        <v>#N/A</v>
      </c>
      <c r="G325" t="e">
        <f t="shared" si="55"/>
        <v>#N/A</v>
      </c>
      <c r="H325" t="e">
        <f t="shared" si="56"/>
        <v>#N/A</v>
      </c>
      <c r="I325" t="e">
        <f t="shared" si="57"/>
        <v>#N/A</v>
      </c>
      <c r="J325" t="e">
        <f t="shared" si="58"/>
        <v>#N/A</v>
      </c>
      <c r="K325">
        <f t="shared" si="59"/>
        <v>5.0340163075513304E-3</v>
      </c>
      <c r="L325">
        <f>IF(AND(ABS((ChartCalculations!A325-Calculations!$F$3)/Calculations!$F$4)&lt;5,OR(A325&lt;=Calculations!$F$7,A325&gt;=Calculations!$F$8)),0.2*_xlfn.NORM.DIST(100,100,15,FALSE)*_xlfn.NORM.DIST(A325,Calculations!$F$3,Calculations!$F$4,FALSE)/_xlfn.NORM.DIST(Calculations!$F$3,Calculations!$F$3,Calculations!$F$4,FALSE),NA())</f>
        <v>5.0813777380724926E-7</v>
      </c>
      <c r="M325" t="e">
        <f>IF(AND(A325&gt;=Calculations!$F$7,A325&lt;=Calculations!$F$8),0.2*_xlfn.NORM.DIST(100,100,15,FALSE)*_xlfn.NORM.DIST(A325,Calculations!$F$3,Calculations!$F$4,FALSE)/_xlfn.NORM.DIST(Calculations!$F$3,Calculations!$F$3,Calculations!$F$4,FALSE),NA())</f>
        <v>#N/A</v>
      </c>
    </row>
    <row r="326" spans="1:13" x14ac:dyDescent="0.25">
      <c r="A326">
        <v>72.400000000000503</v>
      </c>
      <c r="B326" t="e">
        <f t="shared" si="50"/>
        <v>#N/A</v>
      </c>
      <c r="C326" t="e">
        <f t="shared" si="51"/>
        <v>#N/A</v>
      </c>
      <c r="D326">
        <f t="shared" si="52"/>
        <v>4.8937875054440947E-3</v>
      </c>
      <c r="E326" t="e">
        <f t="shared" si="53"/>
        <v>#N/A</v>
      </c>
      <c r="F326" t="e">
        <f t="shared" si="54"/>
        <v>#N/A</v>
      </c>
      <c r="G326" t="e">
        <f t="shared" si="55"/>
        <v>#N/A</v>
      </c>
      <c r="H326" t="e">
        <f t="shared" si="56"/>
        <v>#N/A</v>
      </c>
      <c r="I326" t="e">
        <f t="shared" si="57"/>
        <v>#N/A</v>
      </c>
      <c r="J326" t="e">
        <f t="shared" si="58"/>
        <v>#N/A</v>
      </c>
      <c r="K326">
        <f t="shared" si="59"/>
        <v>5.0937875054440944E-3</v>
      </c>
      <c r="L326">
        <f>IF(AND(ABS((ChartCalculations!A326-Calculations!$F$3)/Calculations!$F$4)&lt;5,OR(A326&lt;=Calculations!$F$7,A326&gt;=Calculations!$F$8)),0.2*_xlfn.NORM.DIST(100,100,15,FALSE)*_xlfn.NORM.DIST(A326,Calculations!$F$3,Calculations!$F$4,FALSE)/_xlfn.NORM.DIST(Calculations!$F$3,Calculations!$F$3,Calculations!$F$4,FALSE),NA())</f>
        <v>3.6341562234038581E-7</v>
      </c>
      <c r="M326" t="e">
        <f>IF(AND(A326&gt;=Calculations!$F$7,A326&lt;=Calculations!$F$8),0.2*_xlfn.NORM.DIST(100,100,15,FALSE)*_xlfn.NORM.DIST(A326,Calculations!$F$3,Calculations!$F$4,FALSE)/_xlfn.NORM.DIST(Calculations!$F$3,Calculations!$F$3,Calculations!$F$4,FALSE),NA())</f>
        <v>#N/A</v>
      </c>
    </row>
    <row r="327" spans="1:13" x14ac:dyDescent="0.25">
      <c r="A327">
        <v>72.500000000000497</v>
      </c>
      <c r="B327" t="e">
        <f t="shared" si="50"/>
        <v>#N/A</v>
      </c>
      <c r="C327" t="e">
        <f t="shared" si="51"/>
        <v>#N/A</v>
      </c>
      <c r="D327">
        <f t="shared" si="52"/>
        <v>4.9540775705998394E-3</v>
      </c>
      <c r="E327" t="e">
        <f t="shared" si="53"/>
        <v>#N/A</v>
      </c>
      <c r="F327" t="e">
        <f t="shared" si="54"/>
        <v>#N/A</v>
      </c>
      <c r="G327" t="e">
        <f t="shared" si="55"/>
        <v>#N/A</v>
      </c>
      <c r="H327" t="e">
        <f t="shared" si="56"/>
        <v>#N/A</v>
      </c>
      <c r="I327" t="e">
        <f t="shared" si="57"/>
        <v>#N/A</v>
      </c>
      <c r="J327" t="e">
        <f t="shared" si="58"/>
        <v>#N/A</v>
      </c>
      <c r="K327">
        <f t="shared" si="59"/>
        <v>5.154077570599839E-3</v>
      </c>
      <c r="L327">
        <f>IF(AND(ABS((ChartCalculations!A327-Calculations!$F$3)/Calculations!$F$4)&lt;5,OR(A327&lt;=Calculations!$F$7,A327&gt;=Calculations!$F$8)),0.2*_xlfn.NORM.DIST(100,100,15,FALSE)*_xlfn.NORM.DIST(A327,Calculations!$F$3,Calculations!$F$4,FALSE)/_xlfn.NORM.DIST(Calculations!$F$3,Calculations!$F$3,Calculations!$F$4,FALSE),NA())</f>
        <v>2.5836659382043159E-7</v>
      </c>
      <c r="M327" t="e">
        <f>IF(AND(A327&gt;=Calculations!$F$7,A327&lt;=Calculations!$F$8),0.2*_xlfn.NORM.DIST(100,100,15,FALSE)*_xlfn.NORM.DIST(A327,Calculations!$F$3,Calculations!$F$4,FALSE)/_xlfn.NORM.DIST(Calculations!$F$3,Calculations!$F$3,Calculations!$F$4,FALSE),NA())</f>
        <v>#N/A</v>
      </c>
    </row>
    <row r="328" spans="1:13" x14ac:dyDescent="0.25">
      <c r="A328">
        <v>72.600000000000506</v>
      </c>
      <c r="B328" t="e">
        <f t="shared" si="50"/>
        <v>#N/A</v>
      </c>
      <c r="C328" t="e">
        <f t="shared" si="51"/>
        <v>#N/A</v>
      </c>
      <c r="D328">
        <f t="shared" si="52"/>
        <v>5.0148875033066802E-3</v>
      </c>
      <c r="E328" t="e">
        <f t="shared" si="53"/>
        <v>#N/A</v>
      </c>
      <c r="F328" t="e">
        <f t="shared" si="54"/>
        <v>#N/A</v>
      </c>
      <c r="G328" t="e">
        <f t="shared" si="55"/>
        <v>#N/A</v>
      </c>
      <c r="H328" t="e">
        <f t="shared" si="56"/>
        <v>#N/A</v>
      </c>
      <c r="I328" t="e">
        <f t="shared" si="57"/>
        <v>#N/A</v>
      </c>
      <c r="J328" t="e">
        <f t="shared" si="58"/>
        <v>#N/A</v>
      </c>
      <c r="K328">
        <f t="shared" si="59"/>
        <v>5.2148875033066798E-3</v>
      </c>
      <c r="L328">
        <f>IF(AND(ABS((ChartCalculations!A328-Calculations!$F$3)/Calculations!$F$4)&lt;5,OR(A328&lt;=Calculations!$F$7,A328&gt;=Calculations!$F$8)),0.2*_xlfn.NORM.DIST(100,100,15,FALSE)*_xlfn.NORM.DIST(A328,Calculations!$F$3,Calculations!$F$4,FALSE)/_xlfn.NORM.DIST(Calculations!$F$3,Calculations!$F$3,Calculations!$F$4,FALSE),NA())</f>
        <v>1.8259117436798837E-7</v>
      </c>
      <c r="M328" t="e">
        <f>IF(AND(A328&gt;=Calculations!$F$7,A328&lt;=Calculations!$F$8),0.2*_xlfn.NORM.DIST(100,100,15,FALSE)*_xlfn.NORM.DIST(A328,Calculations!$F$3,Calculations!$F$4,FALSE)/_xlfn.NORM.DIST(Calculations!$F$3,Calculations!$F$3,Calculations!$F$4,FALSE),NA())</f>
        <v>#N/A</v>
      </c>
    </row>
    <row r="329" spans="1:13" x14ac:dyDescent="0.25">
      <c r="A329">
        <v>72.7000000000005</v>
      </c>
      <c r="B329" t="e">
        <f t="shared" si="50"/>
        <v>#N/A</v>
      </c>
      <c r="C329" t="e">
        <f t="shared" si="51"/>
        <v>#N/A</v>
      </c>
      <c r="D329">
        <f t="shared" si="52"/>
        <v>5.0762182464141291E-3</v>
      </c>
      <c r="E329" t="e">
        <f t="shared" si="53"/>
        <v>#N/A</v>
      </c>
      <c r="F329" t="e">
        <f t="shared" si="54"/>
        <v>#N/A</v>
      </c>
      <c r="G329" t="e">
        <f t="shared" si="55"/>
        <v>#N/A</v>
      </c>
      <c r="H329" t="e">
        <f t="shared" si="56"/>
        <v>#N/A</v>
      </c>
      <c r="I329" t="e">
        <f t="shared" si="57"/>
        <v>#N/A</v>
      </c>
      <c r="J329" t="e">
        <f t="shared" si="58"/>
        <v>#N/A</v>
      </c>
      <c r="K329">
        <f t="shared" si="59"/>
        <v>5.2762182464141287E-3</v>
      </c>
      <c r="L329">
        <f>IF(AND(ABS((ChartCalculations!A329-Calculations!$F$3)/Calculations!$F$4)&lt;5,OR(A329&lt;=Calculations!$F$7,A329&gt;=Calculations!$F$8)),0.2*_xlfn.NORM.DIST(100,100,15,FALSE)*_xlfn.NORM.DIST(A329,Calculations!$F$3,Calculations!$F$4,FALSE)/_xlfn.NORM.DIST(Calculations!$F$3,Calculations!$F$3,Calculations!$F$4,FALSE),NA())</f>
        <v>1.2827258859712613E-7</v>
      </c>
      <c r="M329" t="e">
        <f>IF(AND(A329&gt;=Calculations!$F$7,A329&lt;=Calculations!$F$8),0.2*_xlfn.NORM.DIST(100,100,15,FALSE)*_xlfn.NORM.DIST(A329,Calculations!$F$3,Calculations!$F$4,FALSE)/_xlfn.NORM.DIST(Calculations!$F$3,Calculations!$F$3,Calculations!$F$4,FALSE),NA())</f>
        <v>#N/A</v>
      </c>
    </row>
    <row r="330" spans="1:13" x14ac:dyDescent="0.25">
      <c r="A330">
        <v>72.800000000000495</v>
      </c>
      <c r="B330" t="e">
        <f t="shared" si="50"/>
        <v>#N/A</v>
      </c>
      <c r="C330" t="e">
        <f t="shared" si="51"/>
        <v>#N/A</v>
      </c>
      <c r="D330">
        <f t="shared" si="52"/>
        <v>5.1380706844594967E-3</v>
      </c>
      <c r="E330" t="e">
        <f t="shared" si="53"/>
        <v>#N/A</v>
      </c>
      <c r="F330" t="e">
        <f t="shared" si="54"/>
        <v>#N/A</v>
      </c>
      <c r="G330" t="e">
        <f t="shared" si="55"/>
        <v>#N/A</v>
      </c>
      <c r="H330" t="e">
        <f t="shared" si="56"/>
        <v>#N/A</v>
      </c>
      <c r="I330" t="e">
        <f t="shared" si="57"/>
        <v>#N/A</v>
      </c>
      <c r="J330" t="e">
        <f t="shared" si="58"/>
        <v>#N/A</v>
      </c>
      <c r="K330">
        <f t="shared" si="59"/>
        <v>5.3380706844594963E-3</v>
      </c>
      <c r="L330">
        <f>IF(AND(ABS((ChartCalculations!A330-Calculations!$F$3)/Calculations!$F$4)&lt;5,OR(A330&lt;=Calculations!$F$7,A330&gt;=Calculations!$F$8)),0.2*_xlfn.NORM.DIST(100,100,15,FALSE)*_xlfn.NORM.DIST(A330,Calculations!$F$3,Calculations!$F$4,FALSE)/_xlfn.NORM.DIST(Calculations!$F$3,Calculations!$F$3,Calculations!$F$4,FALSE),NA())</f>
        <v>8.9577428571878595E-8</v>
      </c>
      <c r="M330" t="e">
        <f>IF(AND(A330&gt;=Calculations!$F$7,A330&lt;=Calculations!$F$8),0.2*_xlfn.NORM.DIST(100,100,15,FALSE)*_xlfn.NORM.DIST(A330,Calculations!$F$3,Calculations!$F$4,FALSE)/_xlfn.NORM.DIST(Calculations!$F$3,Calculations!$F$3,Calculations!$F$4,FALSE),NA())</f>
        <v>#N/A</v>
      </c>
    </row>
    <row r="331" spans="1:13" x14ac:dyDescent="0.25">
      <c r="A331">
        <v>72.900000000000503</v>
      </c>
      <c r="B331" t="e">
        <f t="shared" si="50"/>
        <v>#N/A</v>
      </c>
      <c r="C331" t="e">
        <f t="shared" si="51"/>
        <v>#N/A</v>
      </c>
      <c r="D331">
        <f t="shared" si="52"/>
        <v>5.2004456427965197E-3</v>
      </c>
      <c r="E331" t="e">
        <f t="shared" si="53"/>
        <v>#N/A</v>
      </c>
      <c r="F331" t="e">
        <f t="shared" si="54"/>
        <v>#N/A</v>
      </c>
      <c r="G331" t="e">
        <f t="shared" si="55"/>
        <v>#N/A</v>
      </c>
      <c r="H331" t="e">
        <f t="shared" si="56"/>
        <v>#N/A</v>
      </c>
      <c r="I331" t="e">
        <f t="shared" si="57"/>
        <v>#N/A</v>
      </c>
      <c r="J331" t="e">
        <f t="shared" si="58"/>
        <v>#N/A</v>
      </c>
      <c r="K331">
        <f t="shared" si="59"/>
        <v>5.4004456427965194E-3</v>
      </c>
      <c r="L331">
        <f>IF(AND(ABS((ChartCalculations!A331-Calculations!$F$3)/Calculations!$F$4)&lt;5,OR(A331&lt;=Calculations!$F$7,A331&gt;=Calculations!$F$8)),0.2*_xlfn.NORM.DIST(100,100,15,FALSE)*_xlfn.NORM.DIST(A331,Calculations!$F$3,Calculations!$F$4,FALSE)/_xlfn.NORM.DIST(Calculations!$F$3,Calculations!$F$3,Calculations!$F$4,FALSE),NA())</f>
        <v>6.2183330469348898E-8</v>
      </c>
      <c r="M331" t="e">
        <f>IF(AND(A331&gt;=Calculations!$F$7,A331&lt;=Calculations!$F$8),0.2*_xlfn.NORM.DIST(100,100,15,FALSE)*_xlfn.NORM.DIST(A331,Calculations!$F$3,Calculations!$F$4,FALSE)/_xlfn.NORM.DIST(Calculations!$F$3,Calculations!$F$3,Calculations!$F$4,FALSE),NA())</f>
        <v>#N/A</v>
      </c>
    </row>
    <row r="332" spans="1:13" x14ac:dyDescent="0.25">
      <c r="A332">
        <v>73.000000000000497</v>
      </c>
      <c r="B332" t="e">
        <f t="shared" si="50"/>
        <v>#N/A</v>
      </c>
      <c r="C332" t="e">
        <f t="shared" si="51"/>
        <v>#N/A</v>
      </c>
      <c r="D332">
        <f t="shared" si="52"/>
        <v>5.2633438867265925E-3</v>
      </c>
      <c r="E332" t="e">
        <f t="shared" si="53"/>
        <v>#N/A</v>
      </c>
      <c r="F332" t="e">
        <f t="shared" si="54"/>
        <v>#N/A</v>
      </c>
      <c r="G332" t="e">
        <f t="shared" si="55"/>
        <v>#N/A</v>
      </c>
      <c r="H332" t="e">
        <f t="shared" si="56"/>
        <v>#N/A</v>
      </c>
      <c r="I332" t="e">
        <f t="shared" si="57"/>
        <v>#N/A</v>
      </c>
      <c r="J332" t="e">
        <f t="shared" si="58"/>
        <v>#N/A</v>
      </c>
      <c r="K332">
        <f t="shared" si="59"/>
        <v>5.4633438867265922E-3</v>
      </c>
      <c r="L332">
        <f>IF(AND(ABS((ChartCalculations!A332-Calculations!$F$3)/Calculations!$F$4)&lt;5,OR(A332&lt;=Calculations!$F$7,A332&gt;=Calculations!$F$8)),0.2*_xlfn.NORM.DIST(100,100,15,FALSE)*_xlfn.NORM.DIST(A332,Calculations!$F$3,Calculations!$F$4,FALSE)/_xlfn.NORM.DIST(Calculations!$F$3,Calculations!$F$3,Calculations!$F$4,FALSE),NA())</f>
        <v>4.2910148847382063E-8</v>
      </c>
      <c r="M332" t="e">
        <f>IF(AND(A332&gt;=Calculations!$F$7,A332&lt;=Calculations!$F$8),0.2*_xlfn.NORM.DIST(100,100,15,FALSE)*_xlfn.NORM.DIST(A332,Calculations!$F$3,Calculations!$F$4,FALSE)/_xlfn.NORM.DIST(Calculations!$F$3,Calculations!$F$3,Calculations!$F$4,FALSE),NA())</f>
        <v>#N/A</v>
      </c>
    </row>
    <row r="333" spans="1:13" x14ac:dyDescent="0.25">
      <c r="A333">
        <v>73.100000000000506</v>
      </c>
      <c r="B333" t="e">
        <f t="shared" si="50"/>
        <v>#N/A</v>
      </c>
      <c r="C333" t="e">
        <f t="shared" si="51"/>
        <v>#N/A</v>
      </c>
      <c r="D333">
        <f t="shared" si="52"/>
        <v>5.3267661206329439E-3</v>
      </c>
      <c r="E333" t="e">
        <f t="shared" si="53"/>
        <v>#N/A</v>
      </c>
      <c r="F333" t="e">
        <f t="shared" si="54"/>
        <v>#N/A</v>
      </c>
      <c r="G333" t="e">
        <f t="shared" si="55"/>
        <v>#N/A</v>
      </c>
      <c r="H333" t="e">
        <f t="shared" si="56"/>
        <v>#N/A</v>
      </c>
      <c r="I333" t="e">
        <f t="shared" si="57"/>
        <v>#N/A</v>
      </c>
      <c r="J333" t="e">
        <f t="shared" si="58"/>
        <v>#N/A</v>
      </c>
      <c r="K333">
        <f t="shared" si="59"/>
        <v>5.5267661206329435E-3</v>
      </c>
      <c r="L333">
        <f>IF(AND(ABS((ChartCalculations!A333-Calculations!$F$3)/Calculations!$F$4)&lt;5,OR(A333&lt;=Calculations!$F$7,A333&gt;=Calculations!$F$8)),0.2*_xlfn.NORM.DIST(100,100,15,FALSE)*_xlfn.NORM.DIST(A333,Calculations!$F$3,Calculations!$F$4,FALSE)/_xlfn.NORM.DIST(Calculations!$F$3,Calculations!$F$3,Calculations!$F$4,FALSE),NA())</f>
        <v>2.9434503764029862E-8</v>
      </c>
      <c r="M333" t="e">
        <f>IF(AND(A333&gt;=Calculations!$F$7,A333&lt;=Calculations!$F$8),0.2*_xlfn.NORM.DIST(100,100,15,FALSE)*_xlfn.NORM.DIST(A333,Calculations!$F$3,Calculations!$F$4,FALSE)/_xlfn.NORM.DIST(Calculations!$F$3,Calculations!$F$3,Calculations!$F$4,FALSE),NA())</f>
        <v>#N/A</v>
      </c>
    </row>
    <row r="334" spans="1:13" x14ac:dyDescent="0.25">
      <c r="A334">
        <v>73.2000000000005</v>
      </c>
      <c r="B334" t="e">
        <f t="shared" si="50"/>
        <v>#N/A</v>
      </c>
      <c r="C334" t="e">
        <f t="shared" si="51"/>
        <v>#N/A</v>
      </c>
      <c r="D334">
        <f t="shared" si="52"/>
        <v>5.3907129871178204E-3</v>
      </c>
      <c r="E334" t="e">
        <f t="shared" si="53"/>
        <v>#N/A</v>
      </c>
      <c r="F334" t="e">
        <f t="shared" si="54"/>
        <v>#N/A</v>
      </c>
      <c r="G334" t="e">
        <f t="shared" si="55"/>
        <v>#N/A</v>
      </c>
      <c r="H334" t="e">
        <f t="shared" si="56"/>
        <v>#N/A</v>
      </c>
      <c r="I334" t="e">
        <f t="shared" si="57"/>
        <v>#N/A</v>
      </c>
      <c r="J334" t="e">
        <f t="shared" si="58"/>
        <v>#N/A</v>
      </c>
      <c r="K334">
        <f t="shared" si="59"/>
        <v>5.5907129871178201E-3</v>
      </c>
      <c r="L334">
        <f>IF(AND(ABS((ChartCalculations!A334-Calculations!$F$3)/Calculations!$F$4)&lt;5,OR(A334&lt;=Calculations!$F$7,A334&gt;=Calculations!$F$8)),0.2*_xlfn.NORM.DIST(100,100,15,FALSE)*_xlfn.NORM.DIST(A334,Calculations!$F$3,Calculations!$F$4,FALSE)/_xlfn.NORM.DIST(Calculations!$F$3,Calculations!$F$3,Calculations!$F$4,FALSE),NA())</f>
        <v>2.0070771697504793E-8</v>
      </c>
      <c r="M334" t="e">
        <f>IF(AND(A334&gt;=Calculations!$F$7,A334&lt;=Calculations!$F$8),0.2*_xlfn.NORM.DIST(100,100,15,FALSE)*_xlfn.NORM.DIST(A334,Calculations!$F$3,Calculations!$F$4,FALSE)/_xlfn.NORM.DIST(Calculations!$F$3,Calculations!$F$3,Calculations!$F$4,FALSE),NA())</f>
        <v>#N/A</v>
      </c>
    </row>
    <row r="335" spans="1:13" x14ac:dyDescent="0.25">
      <c r="A335">
        <v>73.300000000000495</v>
      </c>
      <c r="B335" t="e">
        <f t="shared" si="50"/>
        <v>#N/A</v>
      </c>
      <c r="C335" t="e">
        <f t="shared" si="51"/>
        <v>#N/A</v>
      </c>
      <c r="D335">
        <f t="shared" si="52"/>
        <v>5.4551850661431747E-3</v>
      </c>
      <c r="E335" t="e">
        <f t="shared" si="53"/>
        <v>#N/A</v>
      </c>
      <c r="F335" t="e">
        <f t="shared" si="54"/>
        <v>#N/A</v>
      </c>
      <c r="G335" t="e">
        <f t="shared" si="55"/>
        <v>#N/A</v>
      </c>
      <c r="H335" t="e">
        <f t="shared" si="56"/>
        <v>#N/A</v>
      </c>
      <c r="I335" t="e">
        <f t="shared" si="57"/>
        <v>#N/A</v>
      </c>
      <c r="J335" t="e">
        <f t="shared" si="58"/>
        <v>#N/A</v>
      </c>
      <c r="K335">
        <f t="shared" si="59"/>
        <v>5.6551850661431743E-3</v>
      </c>
      <c r="L335" t="e">
        <f>IF(AND(ABS((ChartCalculations!A335-Calculations!$F$3)/Calculations!$F$4)&lt;5,OR(A335&lt;=Calculations!$F$7,A335&gt;=Calculations!$F$8)),0.2*_xlfn.NORM.DIST(100,100,15,FALSE)*_xlfn.NORM.DIST(A335,Calculations!$F$3,Calculations!$F$4,FALSE)/_xlfn.NORM.DIST(Calculations!$F$3,Calculations!$F$3,Calculations!$F$4,FALSE),NA())</f>
        <v>#N/A</v>
      </c>
      <c r="M335" t="e">
        <f>IF(AND(A335&gt;=Calculations!$F$7,A335&lt;=Calculations!$F$8),0.2*_xlfn.NORM.DIST(100,100,15,FALSE)*_xlfn.NORM.DIST(A335,Calculations!$F$3,Calculations!$F$4,FALSE)/_xlfn.NORM.DIST(Calculations!$F$3,Calculations!$F$3,Calculations!$F$4,FALSE),NA())</f>
        <v>#N/A</v>
      </c>
    </row>
    <row r="336" spans="1:13" x14ac:dyDescent="0.25">
      <c r="A336">
        <v>73.400000000000503</v>
      </c>
      <c r="B336" t="e">
        <f t="shared" si="50"/>
        <v>#N/A</v>
      </c>
      <c r="C336" t="e">
        <f t="shared" si="51"/>
        <v>#N/A</v>
      </c>
      <c r="D336">
        <f t="shared" si="52"/>
        <v>5.5201828741749505E-3</v>
      </c>
      <c r="E336" t="e">
        <f t="shared" si="53"/>
        <v>#N/A</v>
      </c>
      <c r="F336" t="e">
        <f t="shared" si="54"/>
        <v>#N/A</v>
      </c>
      <c r="G336" t="e">
        <f t="shared" si="55"/>
        <v>#N/A</v>
      </c>
      <c r="H336" t="e">
        <f t="shared" si="56"/>
        <v>#N/A</v>
      </c>
      <c r="I336" t="e">
        <f t="shared" si="57"/>
        <v>#N/A</v>
      </c>
      <c r="J336" t="e">
        <f t="shared" si="58"/>
        <v>#N/A</v>
      </c>
      <c r="K336">
        <f t="shared" si="59"/>
        <v>5.7201828741749502E-3</v>
      </c>
      <c r="L336" t="e">
        <f>IF(AND(ABS((ChartCalculations!A336-Calculations!$F$3)/Calculations!$F$4)&lt;5,OR(A336&lt;=Calculations!$F$7,A336&gt;=Calculations!$F$8)),0.2*_xlfn.NORM.DIST(100,100,15,FALSE)*_xlfn.NORM.DIST(A336,Calculations!$F$3,Calculations!$F$4,FALSE)/_xlfn.NORM.DIST(Calculations!$F$3,Calculations!$F$3,Calculations!$F$4,FALSE),NA())</f>
        <v>#N/A</v>
      </c>
      <c r="M336" t="e">
        <f>IF(AND(A336&gt;=Calculations!$F$7,A336&lt;=Calculations!$F$8),0.2*_xlfn.NORM.DIST(100,100,15,FALSE)*_xlfn.NORM.DIST(A336,Calculations!$F$3,Calculations!$F$4,FALSE)/_xlfn.NORM.DIST(Calculations!$F$3,Calculations!$F$3,Calculations!$F$4,FALSE),NA())</f>
        <v>#N/A</v>
      </c>
    </row>
    <row r="337" spans="1:13" x14ac:dyDescent="0.25">
      <c r="A337">
        <v>73.500000000000497</v>
      </c>
      <c r="B337" t="e">
        <f t="shared" si="50"/>
        <v>#N/A</v>
      </c>
      <c r="C337" t="e">
        <f t="shared" si="51"/>
        <v>#N/A</v>
      </c>
      <c r="D337">
        <f t="shared" si="52"/>
        <v>5.5857068633313085E-3</v>
      </c>
      <c r="E337" t="e">
        <f t="shared" si="53"/>
        <v>#N/A</v>
      </c>
      <c r="F337" t="e">
        <f t="shared" si="54"/>
        <v>#N/A</v>
      </c>
      <c r="G337" t="e">
        <f t="shared" si="55"/>
        <v>#N/A</v>
      </c>
      <c r="H337" t="e">
        <f t="shared" si="56"/>
        <v>#N/A</v>
      </c>
      <c r="I337" t="e">
        <f t="shared" si="57"/>
        <v>#N/A</v>
      </c>
      <c r="J337" t="e">
        <f t="shared" si="58"/>
        <v>#N/A</v>
      </c>
      <c r="K337">
        <f t="shared" si="59"/>
        <v>5.7857068633313082E-3</v>
      </c>
      <c r="L337" t="e">
        <f>IF(AND(ABS((ChartCalculations!A337-Calculations!$F$3)/Calculations!$F$4)&lt;5,OR(A337&lt;=Calculations!$F$7,A337&gt;=Calculations!$F$8)),0.2*_xlfn.NORM.DIST(100,100,15,FALSE)*_xlfn.NORM.DIST(A337,Calculations!$F$3,Calculations!$F$4,FALSE)/_xlfn.NORM.DIST(Calculations!$F$3,Calculations!$F$3,Calculations!$F$4,FALSE),NA())</f>
        <v>#N/A</v>
      </c>
      <c r="M337" t="e">
        <f>IF(AND(A337&gt;=Calculations!$F$7,A337&lt;=Calculations!$F$8),0.2*_xlfn.NORM.DIST(100,100,15,FALSE)*_xlfn.NORM.DIST(A337,Calculations!$F$3,Calculations!$F$4,FALSE)/_xlfn.NORM.DIST(Calculations!$F$3,Calculations!$F$3,Calculations!$F$4,FALSE),NA())</f>
        <v>#N/A</v>
      </c>
    </row>
    <row r="338" spans="1:13" x14ac:dyDescent="0.25">
      <c r="A338">
        <v>73.600000000000506</v>
      </c>
      <c r="B338" t="e">
        <f t="shared" si="50"/>
        <v>#N/A</v>
      </c>
      <c r="C338" t="e">
        <f t="shared" si="51"/>
        <v>#N/A</v>
      </c>
      <c r="D338">
        <f t="shared" si="52"/>
        <v>5.6517574205351504E-3</v>
      </c>
      <c r="E338" t="e">
        <f t="shared" si="53"/>
        <v>#N/A</v>
      </c>
      <c r="F338" t="e">
        <f t="shared" si="54"/>
        <v>#N/A</v>
      </c>
      <c r="G338" t="e">
        <f t="shared" si="55"/>
        <v>#N/A</v>
      </c>
      <c r="H338" t="e">
        <f t="shared" si="56"/>
        <v>#N/A</v>
      </c>
      <c r="I338" t="e">
        <f t="shared" si="57"/>
        <v>#N/A</v>
      </c>
      <c r="J338" t="e">
        <f t="shared" si="58"/>
        <v>#N/A</v>
      </c>
      <c r="K338">
        <f t="shared" si="59"/>
        <v>5.8517574205351501E-3</v>
      </c>
      <c r="L338" t="e">
        <f>IF(AND(ABS((ChartCalculations!A338-Calculations!$F$3)/Calculations!$F$4)&lt;5,OR(A338&lt;=Calculations!$F$7,A338&gt;=Calculations!$F$8)),0.2*_xlfn.NORM.DIST(100,100,15,FALSE)*_xlfn.NORM.DIST(A338,Calculations!$F$3,Calculations!$F$4,FALSE)/_xlfn.NORM.DIST(Calculations!$F$3,Calculations!$F$3,Calculations!$F$4,FALSE),NA())</f>
        <v>#N/A</v>
      </c>
      <c r="M338" t="e">
        <f>IF(AND(A338&gt;=Calculations!$F$7,A338&lt;=Calculations!$F$8),0.2*_xlfn.NORM.DIST(100,100,15,FALSE)*_xlfn.NORM.DIST(A338,Calculations!$F$3,Calculations!$F$4,FALSE)/_xlfn.NORM.DIST(Calculations!$F$3,Calculations!$F$3,Calculations!$F$4,FALSE),NA())</f>
        <v>#N/A</v>
      </c>
    </row>
    <row r="339" spans="1:13" x14ac:dyDescent="0.25">
      <c r="A339">
        <v>73.7000000000005</v>
      </c>
      <c r="B339" t="e">
        <f t="shared" si="50"/>
        <v>#N/A</v>
      </c>
      <c r="C339" t="e">
        <f t="shared" si="51"/>
        <v>#N/A</v>
      </c>
      <c r="D339">
        <f t="shared" si="52"/>
        <v>5.7183348666710017E-3</v>
      </c>
      <c r="E339" t="e">
        <f t="shared" si="53"/>
        <v>#N/A</v>
      </c>
      <c r="F339" t="e">
        <f t="shared" si="54"/>
        <v>#N/A</v>
      </c>
      <c r="G339" t="e">
        <f t="shared" si="55"/>
        <v>#N/A</v>
      </c>
      <c r="H339" t="e">
        <f t="shared" si="56"/>
        <v>#N/A</v>
      </c>
      <c r="I339" t="e">
        <f t="shared" si="57"/>
        <v>#N/A</v>
      </c>
      <c r="J339" t="e">
        <f t="shared" si="58"/>
        <v>#N/A</v>
      </c>
      <c r="K339">
        <f t="shared" si="59"/>
        <v>5.9183348666710014E-3</v>
      </c>
      <c r="L339" t="e">
        <f>IF(AND(ABS((ChartCalculations!A339-Calculations!$F$3)/Calculations!$F$4)&lt;5,OR(A339&lt;=Calculations!$F$7,A339&gt;=Calculations!$F$8)),0.2*_xlfn.NORM.DIST(100,100,15,FALSE)*_xlfn.NORM.DIST(A339,Calculations!$F$3,Calculations!$F$4,FALSE)/_xlfn.NORM.DIST(Calculations!$F$3,Calculations!$F$3,Calculations!$F$4,FALSE),NA())</f>
        <v>#N/A</v>
      </c>
      <c r="M339" t="e">
        <f>IF(AND(A339&gt;=Calculations!$F$7,A339&lt;=Calculations!$F$8),0.2*_xlfn.NORM.DIST(100,100,15,FALSE)*_xlfn.NORM.DIST(A339,Calculations!$F$3,Calculations!$F$4,FALSE)/_xlfn.NORM.DIST(Calculations!$F$3,Calculations!$F$3,Calculations!$F$4,FALSE),NA())</f>
        <v>#N/A</v>
      </c>
    </row>
    <row r="340" spans="1:13" x14ac:dyDescent="0.25">
      <c r="A340">
        <v>73.800000000000495</v>
      </c>
      <c r="B340" t="e">
        <f t="shared" si="50"/>
        <v>#N/A</v>
      </c>
      <c r="C340" t="e">
        <f t="shared" si="51"/>
        <v>#N/A</v>
      </c>
      <c r="D340">
        <f t="shared" si="52"/>
        <v>5.7854394557468117E-3</v>
      </c>
      <c r="E340" t="e">
        <f t="shared" si="53"/>
        <v>#N/A</v>
      </c>
      <c r="F340" t="e">
        <f t="shared" si="54"/>
        <v>#N/A</v>
      </c>
      <c r="G340" t="e">
        <f t="shared" si="55"/>
        <v>#N/A</v>
      </c>
      <c r="H340" t="e">
        <f t="shared" si="56"/>
        <v>#N/A</v>
      </c>
      <c r="I340" t="e">
        <f t="shared" si="57"/>
        <v>#N/A</v>
      </c>
      <c r="J340" t="e">
        <f t="shared" si="58"/>
        <v>#N/A</v>
      </c>
      <c r="K340">
        <f t="shared" si="59"/>
        <v>5.9854394557468113E-3</v>
      </c>
      <c r="L340" t="e">
        <f>IF(AND(ABS((ChartCalculations!A340-Calculations!$F$3)/Calculations!$F$4)&lt;5,OR(A340&lt;=Calculations!$F$7,A340&gt;=Calculations!$F$8)),0.2*_xlfn.NORM.DIST(100,100,15,FALSE)*_xlfn.NORM.DIST(A340,Calculations!$F$3,Calculations!$F$4,FALSE)/_xlfn.NORM.DIST(Calculations!$F$3,Calculations!$F$3,Calculations!$F$4,FALSE),NA())</f>
        <v>#N/A</v>
      </c>
      <c r="M340" t="e">
        <f>IF(AND(A340&gt;=Calculations!$F$7,A340&lt;=Calculations!$F$8),0.2*_xlfn.NORM.DIST(100,100,15,FALSE)*_xlfn.NORM.DIST(A340,Calculations!$F$3,Calculations!$F$4,FALSE)/_xlfn.NORM.DIST(Calculations!$F$3,Calculations!$F$3,Calculations!$F$4,FALSE),NA())</f>
        <v>#N/A</v>
      </c>
    </row>
    <row r="341" spans="1:13" x14ac:dyDescent="0.25">
      <c r="A341">
        <v>73.900000000000503</v>
      </c>
      <c r="B341" t="e">
        <f t="shared" si="50"/>
        <v>#N/A</v>
      </c>
      <c r="C341" t="e">
        <f t="shared" si="51"/>
        <v>#N/A</v>
      </c>
      <c r="D341">
        <f t="shared" si="52"/>
        <v>5.8530713740607169E-3</v>
      </c>
      <c r="E341" t="e">
        <f t="shared" si="53"/>
        <v>#N/A</v>
      </c>
      <c r="F341" t="e">
        <f t="shared" si="54"/>
        <v>#N/A</v>
      </c>
      <c r="G341" t="e">
        <f t="shared" si="55"/>
        <v>#N/A</v>
      </c>
      <c r="H341" t="e">
        <f t="shared" si="56"/>
        <v>#N/A</v>
      </c>
      <c r="I341" t="e">
        <f t="shared" si="57"/>
        <v>#N/A</v>
      </c>
      <c r="J341" t="e">
        <f t="shared" si="58"/>
        <v>#N/A</v>
      </c>
      <c r="K341">
        <f t="shared" si="59"/>
        <v>6.0530713740607166E-3</v>
      </c>
      <c r="L341" t="e">
        <f>IF(AND(ABS((ChartCalculations!A341-Calculations!$F$3)/Calculations!$F$4)&lt;5,OR(A341&lt;=Calculations!$F$7,A341&gt;=Calculations!$F$8)),0.2*_xlfn.NORM.DIST(100,100,15,FALSE)*_xlfn.NORM.DIST(A341,Calculations!$F$3,Calculations!$F$4,FALSE)/_xlfn.NORM.DIST(Calculations!$F$3,Calculations!$F$3,Calculations!$F$4,FALSE),NA())</f>
        <v>#N/A</v>
      </c>
      <c r="M341" t="e">
        <f>IF(AND(A341&gt;=Calculations!$F$7,A341&lt;=Calculations!$F$8),0.2*_xlfn.NORM.DIST(100,100,15,FALSE)*_xlfn.NORM.DIST(A341,Calculations!$F$3,Calculations!$F$4,FALSE)/_xlfn.NORM.DIST(Calculations!$F$3,Calculations!$F$3,Calculations!$F$4,FALSE),NA())</f>
        <v>#N/A</v>
      </c>
    </row>
    <row r="342" spans="1:13" x14ac:dyDescent="0.25">
      <c r="A342">
        <v>74.000000000000497</v>
      </c>
      <c r="B342" t="e">
        <f t="shared" si="50"/>
        <v>#N/A</v>
      </c>
      <c r="C342" t="e">
        <f t="shared" si="51"/>
        <v>#N/A</v>
      </c>
      <c r="D342">
        <f t="shared" si="52"/>
        <v>5.9212307393731326E-3</v>
      </c>
      <c r="E342" t="e">
        <f t="shared" si="53"/>
        <v>#N/A</v>
      </c>
      <c r="F342" t="e">
        <f t="shared" si="54"/>
        <v>#N/A</v>
      </c>
      <c r="G342" t="e">
        <f t="shared" si="55"/>
        <v>#N/A</v>
      </c>
      <c r="H342" t="e">
        <f t="shared" si="56"/>
        <v>#N/A</v>
      </c>
      <c r="I342" t="e">
        <f t="shared" si="57"/>
        <v>#N/A</v>
      </c>
      <c r="J342" t="e">
        <f t="shared" si="58"/>
        <v>#N/A</v>
      </c>
      <c r="K342">
        <f t="shared" si="59"/>
        <v>6.1212307393731322E-3</v>
      </c>
      <c r="L342" t="e">
        <f>IF(AND(ABS((ChartCalculations!A342-Calculations!$F$3)/Calculations!$F$4)&lt;5,OR(A342&lt;=Calculations!$F$7,A342&gt;=Calculations!$F$8)),0.2*_xlfn.NORM.DIST(100,100,15,FALSE)*_xlfn.NORM.DIST(A342,Calculations!$F$3,Calculations!$F$4,FALSE)/_xlfn.NORM.DIST(Calculations!$F$3,Calculations!$F$3,Calculations!$F$4,FALSE),NA())</f>
        <v>#N/A</v>
      </c>
      <c r="M342" t="e">
        <f>IF(AND(A342&gt;=Calculations!$F$7,A342&lt;=Calculations!$F$8),0.2*_xlfn.NORM.DIST(100,100,15,FALSE)*_xlfn.NORM.DIST(A342,Calculations!$F$3,Calculations!$F$4,FALSE)/_xlfn.NORM.DIST(Calculations!$F$3,Calculations!$F$3,Calculations!$F$4,FALSE),NA())</f>
        <v>#N/A</v>
      </c>
    </row>
    <row r="343" spans="1:13" x14ac:dyDescent="0.25">
      <c r="A343">
        <v>74.100000000000506</v>
      </c>
      <c r="B343" t="e">
        <f t="shared" si="50"/>
        <v>#N/A</v>
      </c>
      <c r="C343" t="e">
        <f t="shared" si="51"/>
        <v>#N/A</v>
      </c>
      <c r="D343">
        <f t="shared" si="52"/>
        <v>5.9899176000845654E-3</v>
      </c>
      <c r="E343" t="e">
        <f t="shared" si="53"/>
        <v>#N/A</v>
      </c>
      <c r="F343" t="e">
        <f t="shared" si="54"/>
        <v>#N/A</v>
      </c>
      <c r="G343" t="e">
        <f t="shared" si="55"/>
        <v>#N/A</v>
      </c>
      <c r="H343" t="e">
        <f t="shared" si="56"/>
        <v>#N/A</v>
      </c>
      <c r="I343" t="e">
        <f t="shared" si="57"/>
        <v>#N/A</v>
      </c>
      <c r="J343" t="e">
        <f t="shared" si="58"/>
        <v>#N/A</v>
      </c>
      <c r="K343">
        <f t="shared" si="59"/>
        <v>6.189917600084565E-3</v>
      </c>
      <c r="L343" t="e">
        <f>IF(AND(ABS((ChartCalculations!A343-Calculations!$F$3)/Calculations!$F$4)&lt;5,OR(A343&lt;=Calculations!$F$7,A343&gt;=Calculations!$F$8)),0.2*_xlfn.NORM.DIST(100,100,15,FALSE)*_xlfn.NORM.DIST(A343,Calculations!$F$3,Calculations!$F$4,FALSE)/_xlfn.NORM.DIST(Calculations!$F$3,Calculations!$F$3,Calculations!$F$4,FALSE),NA())</f>
        <v>#N/A</v>
      </c>
      <c r="M343" t="e">
        <f>IF(AND(A343&gt;=Calculations!$F$7,A343&lt;=Calculations!$F$8),0.2*_xlfn.NORM.DIST(100,100,15,FALSE)*_xlfn.NORM.DIST(A343,Calculations!$F$3,Calculations!$F$4,FALSE)/_xlfn.NORM.DIST(Calculations!$F$3,Calculations!$F$3,Calculations!$F$4,FALSE),NA())</f>
        <v>#N/A</v>
      </c>
    </row>
    <row r="344" spans="1:13" x14ac:dyDescent="0.25">
      <c r="A344">
        <v>74.2000000000005</v>
      </c>
      <c r="B344" t="e">
        <f t="shared" si="50"/>
        <v>#N/A</v>
      </c>
      <c r="C344" t="e">
        <f t="shared" si="51"/>
        <v>#N/A</v>
      </c>
      <c r="D344">
        <f t="shared" si="52"/>
        <v>6.0591319344192058E-3</v>
      </c>
      <c r="E344" t="e">
        <f t="shared" si="53"/>
        <v>#N/A</v>
      </c>
      <c r="F344" t="e">
        <f t="shared" si="54"/>
        <v>#N/A</v>
      </c>
      <c r="G344" t="e">
        <f t="shared" si="55"/>
        <v>#N/A</v>
      </c>
      <c r="H344" t="e">
        <f t="shared" si="56"/>
        <v>#N/A</v>
      </c>
      <c r="I344" t="e">
        <f t="shared" si="57"/>
        <v>#N/A</v>
      </c>
      <c r="J344" t="e">
        <f t="shared" si="58"/>
        <v>#N/A</v>
      </c>
      <c r="K344">
        <f t="shared" si="59"/>
        <v>6.2591319344192054E-3</v>
      </c>
      <c r="L344" t="e">
        <f>IF(AND(ABS((ChartCalculations!A344-Calculations!$F$3)/Calculations!$F$4)&lt;5,OR(A344&lt;=Calculations!$F$7,A344&gt;=Calculations!$F$8)),0.2*_xlfn.NORM.DIST(100,100,15,FALSE)*_xlfn.NORM.DIST(A344,Calculations!$F$3,Calculations!$F$4,FALSE)/_xlfn.NORM.DIST(Calculations!$F$3,Calculations!$F$3,Calculations!$F$4,FALSE),NA())</f>
        <v>#N/A</v>
      </c>
      <c r="M344" t="e">
        <f>IF(AND(A344&gt;=Calculations!$F$7,A344&lt;=Calculations!$F$8),0.2*_xlfn.NORM.DIST(100,100,15,FALSE)*_xlfn.NORM.DIST(A344,Calculations!$F$3,Calculations!$F$4,FALSE)/_xlfn.NORM.DIST(Calculations!$F$3,Calculations!$F$3,Calculations!$F$4,FALSE),NA())</f>
        <v>#N/A</v>
      </c>
    </row>
    <row r="345" spans="1:13" x14ac:dyDescent="0.25">
      <c r="A345">
        <v>74.300000000000495</v>
      </c>
      <c r="B345" t="e">
        <f t="shared" si="50"/>
        <v>#N/A</v>
      </c>
      <c r="C345" t="e">
        <f t="shared" si="51"/>
        <v>#N/A</v>
      </c>
      <c r="D345">
        <f t="shared" si="52"/>
        <v>6.1288736496148341E-3</v>
      </c>
      <c r="E345" t="e">
        <f t="shared" si="53"/>
        <v>#N/A</v>
      </c>
      <c r="F345" t="e">
        <f t="shared" si="54"/>
        <v>#N/A</v>
      </c>
      <c r="G345" t="e">
        <f t="shared" si="55"/>
        <v>#N/A</v>
      </c>
      <c r="H345" t="e">
        <f t="shared" si="56"/>
        <v>#N/A</v>
      </c>
      <c r="I345" t="e">
        <f t="shared" si="57"/>
        <v>#N/A</v>
      </c>
      <c r="J345" t="e">
        <f t="shared" si="58"/>
        <v>#N/A</v>
      </c>
      <c r="K345">
        <f t="shared" si="59"/>
        <v>6.3288736496148338E-3</v>
      </c>
      <c r="L345" t="e">
        <f>IF(AND(ABS((ChartCalculations!A345-Calculations!$F$3)/Calculations!$F$4)&lt;5,OR(A345&lt;=Calculations!$F$7,A345&gt;=Calculations!$F$8)),0.2*_xlfn.NORM.DIST(100,100,15,FALSE)*_xlfn.NORM.DIST(A345,Calculations!$F$3,Calculations!$F$4,FALSE)/_xlfn.NORM.DIST(Calculations!$F$3,Calculations!$F$3,Calculations!$F$4,FALSE),NA())</f>
        <v>#N/A</v>
      </c>
      <c r="M345" t="e">
        <f>IF(AND(A345&gt;=Calculations!$F$7,A345&lt;=Calculations!$F$8),0.2*_xlfn.NORM.DIST(100,100,15,FALSE)*_xlfn.NORM.DIST(A345,Calculations!$F$3,Calculations!$F$4,FALSE)/_xlfn.NORM.DIST(Calculations!$F$3,Calculations!$F$3,Calculations!$F$4,FALSE),NA())</f>
        <v>#N/A</v>
      </c>
    </row>
    <row r="346" spans="1:13" x14ac:dyDescent="0.25">
      <c r="A346">
        <v>74.400000000000503</v>
      </c>
      <c r="B346" t="e">
        <f t="shared" si="50"/>
        <v>#N/A</v>
      </c>
      <c r="C346" t="e">
        <f t="shared" si="51"/>
        <v>#N/A</v>
      </c>
      <c r="D346">
        <f t="shared" si="52"/>
        <v>6.1991425811191428E-3</v>
      </c>
      <c r="E346" t="e">
        <f t="shared" si="53"/>
        <v>#N/A</v>
      </c>
      <c r="F346" t="e">
        <f t="shared" si="54"/>
        <v>#N/A</v>
      </c>
      <c r="G346" t="e">
        <f t="shared" si="55"/>
        <v>#N/A</v>
      </c>
      <c r="H346" t="e">
        <f t="shared" si="56"/>
        <v>#N/A</v>
      </c>
      <c r="I346" t="e">
        <f t="shared" si="57"/>
        <v>#N/A</v>
      </c>
      <c r="J346" t="e">
        <f t="shared" si="58"/>
        <v>#N/A</v>
      </c>
      <c r="K346">
        <f t="shared" si="59"/>
        <v>6.3991425811191424E-3</v>
      </c>
      <c r="L346" t="e">
        <f>IF(AND(ABS((ChartCalculations!A346-Calculations!$F$3)/Calculations!$F$4)&lt;5,OR(A346&lt;=Calculations!$F$7,A346&gt;=Calculations!$F$8)),0.2*_xlfn.NORM.DIST(100,100,15,FALSE)*_xlfn.NORM.DIST(A346,Calculations!$F$3,Calculations!$F$4,FALSE)/_xlfn.NORM.DIST(Calculations!$F$3,Calculations!$F$3,Calculations!$F$4,FALSE),NA())</f>
        <v>#N/A</v>
      </c>
      <c r="M346" t="e">
        <f>IF(AND(A346&gt;=Calculations!$F$7,A346&lt;=Calculations!$F$8),0.2*_xlfn.NORM.DIST(100,100,15,FALSE)*_xlfn.NORM.DIST(A346,Calculations!$F$3,Calculations!$F$4,FALSE)/_xlfn.NORM.DIST(Calculations!$F$3,Calculations!$F$3,Calculations!$F$4,FALSE),NA())</f>
        <v>#N/A</v>
      </c>
    </row>
    <row r="347" spans="1:13" x14ac:dyDescent="0.25">
      <c r="A347">
        <v>74.500000000000497</v>
      </c>
      <c r="B347" t="e">
        <f t="shared" si="50"/>
        <v>#N/A</v>
      </c>
      <c r="C347" t="e">
        <f t="shared" si="51"/>
        <v>#N/A</v>
      </c>
      <c r="D347">
        <f t="shared" si="52"/>
        <v>6.2699384917928157E-3</v>
      </c>
      <c r="E347" t="e">
        <f t="shared" si="53"/>
        <v>#N/A</v>
      </c>
      <c r="F347" t="e">
        <f t="shared" si="54"/>
        <v>#N/A</v>
      </c>
      <c r="G347" t="e">
        <f t="shared" si="55"/>
        <v>#N/A</v>
      </c>
      <c r="H347" t="e">
        <f t="shared" si="56"/>
        <v>#N/A</v>
      </c>
      <c r="I347" t="e">
        <f t="shared" si="57"/>
        <v>#N/A</v>
      </c>
      <c r="J347" t="e">
        <f t="shared" si="58"/>
        <v>#N/A</v>
      </c>
      <c r="K347">
        <f t="shared" si="59"/>
        <v>6.4699384917928154E-3</v>
      </c>
      <c r="L347" t="e">
        <f>IF(AND(ABS((ChartCalculations!A347-Calculations!$F$3)/Calculations!$F$4)&lt;5,OR(A347&lt;=Calculations!$F$7,A347&gt;=Calculations!$F$8)),0.2*_xlfn.NORM.DIST(100,100,15,FALSE)*_xlfn.NORM.DIST(A347,Calculations!$F$3,Calculations!$F$4,FALSE)/_xlfn.NORM.DIST(Calculations!$F$3,Calculations!$F$3,Calculations!$F$4,FALSE),NA())</f>
        <v>#N/A</v>
      </c>
      <c r="M347" t="e">
        <f>IF(AND(A347&gt;=Calculations!$F$7,A347&lt;=Calculations!$F$8),0.2*_xlfn.NORM.DIST(100,100,15,FALSE)*_xlfn.NORM.DIST(A347,Calculations!$F$3,Calculations!$F$4,FALSE)/_xlfn.NORM.DIST(Calculations!$F$3,Calculations!$F$3,Calculations!$F$4,FALSE),NA())</f>
        <v>#N/A</v>
      </c>
    </row>
    <row r="348" spans="1:13" x14ac:dyDescent="0.25">
      <c r="A348">
        <v>74.600000000000506</v>
      </c>
      <c r="B348" t="e">
        <f t="shared" si="50"/>
        <v>#N/A</v>
      </c>
      <c r="C348" t="e">
        <f t="shared" si="51"/>
        <v>#N/A</v>
      </c>
      <c r="D348">
        <f t="shared" si="52"/>
        <v>6.341261071119788E-3</v>
      </c>
      <c r="E348" t="e">
        <f t="shared" si="53"/>
        <v>#N/A</v>
      </c>
      <c r="F348" t="e">
        <f t="shared" si="54"/>
        <v>#N/A</v>
      </c>
      <c r="G348" t="e">
        <f t="shared" si="55"/>
        <v>#N/A</v>
      </c>
      <c r="H348" t="e">
        <f t="shared" si="56"/>
        <v>#N/A</v>
      </c>
      <c r="I348" t="e">
        <f t="shared" si="57"/>
        <v>#N/A</v>
      </c>
      <c r="J348" t="e">
        <f t="shared" si="58"/>
        <v>#N/A</v>
      </c>
      <c r="K348">
        <f t="shared" si="59"/>
        <v>6.5412610711197876E-3</v>
      </c>
      <c r="L348" t="e">
        <f>IF(AND(ABS((ChartCalculations!A348-Calculations!$F$3)/Calculations!$F$4)&lt;5,OR(A348&lt;=Calculations!$F$7,A348&gt;=Calculations!$F$8)),0.2*_xlfn.NORM.DIST(100,100,15,FALSE)*_xlfn.NORM.DIST(A348,Calculations!$F$3,Calculations!$F$4,FALSE)/_xlfn.NORM.DIST(Calculations!$F$3,Calculations!$F$3,Calculations!$F$4,FALSE),NA())</f>
        <v>#N/A</v>
      </c>
      <c r="M348" t="e">
        <f>IF(AND(A348&gt;=Calculations!$F$7,A348&lt;=Calculations!$F$8),0.2*_xlfn.NORM.DIST(100,100,15,FALSE)*_xlfn.NORM.DIST(A348,Calculations!$F$3,Calculations!$F$4,FALSE)/_xlfn.NORM.DIST(Calculations!$F$3,Calculations!$F$3,Calculations!$F$4,FALSE),NA())</f>
        <v>#N/A</v>
      </c>
    </row>
    <row r="349" spans="1:13" x14ac:dyDescent="0.25">
      <c r="A349">
        <v>74.7000000000005</v>
      </c>
      <c r="B349" t="e">
        <f t="shared" si="50"/>
        <v>#N/A</v>
      </c>
      <c r="C349" t="e">
        <f t="shared" si="51"/>
        <v>#N/A</v>
      </c>
      <c r="D349">
        <f t="shared" si="52"/>
        <v>6.4131099344247036E-3</v>
      </c>
      <c r="E349" t="e">
        <f t="shared" si="53"/>
        <v>#N/A</v>
      </c>
      <c r="F349" t="e">
        <f t="shared" si="54"/>
        <v>#N/A</v>
      </c>
      <c r="G349" t="e">
        <f t="shared" si="55"/>
        <v>#N/A</v>
      </c>
      <c r="H349" t="e">
        <f t="shared" si="56"/>
        <v>#N/A</v>
      </c>
      <c r="I349" t="e">
        <f t="shared" si="57"/>
        <v>#N/A</v>
      </c>
      <c r="J349" t="e">
        <f t="shared" si="58"/>
        <v>#N/A</v>
      </c>
      <c r="K349">
        <f t="shared" si="59"/>
        <v>6.6131099344247032E-3</v>
      </c>
      <c r="L349" t="e">
        <f>IF(AND(ABS((ChartCalculations!A349-Calculations!$F$3)/Calculations!$F$4)&lt;5,OR(A349&lt;=Calculations!$F$7,A349&gt;=Calculations!$F$8)),0.2*_xlfn.NORM.DIST(100,100,15,FALSE)*_xlfn.NORM.DIST(A349,Calculations!$F$3,Calculations!$F$4,FALSE)/_xlfn.NORM.DIST(Calculations!$F$3,Calculations!$F$3,Calculations!$F$4,FALSE),NA())</f>
        <v>#N/A</v>
      </c>
      <c r="M349" t="e">
        <f>IF(AND(A349&gt;=Calculations!$F$7,A349&lt;=Calculations!$F$8),0.2*_xlfn.NORM.DIST(100,100,15,FALSE)*_xlfn.NORM.DIST(A349,Calculations!$F$3,Calculations!$F$4,FALSE)/_xlfn.NORM.DIST(Calculations!$F$3,Calculations!$F$3,Calculations!$F$4,FALSE),NA())</f>
        <v>#N/A</v>
      </c>
    </row>
    <row r="350" spans="1:13" x14ac:dyDescent="0.25">
      <c r="A350">
        <v>74.800000000000495</v>
      </c>
      <c r="B350" t="e">
        <f t="shared" si="50"/>
        <v>#N/A</v>
      </c>
      <c r="C350" t="e">
        <f t="shared" si="51"/>
        <v>#N/A</v>
      </c>
      <c r="D350">
        <f t="shared" si="52"/>
        <v>6.4854846220981921E-3</v>
      </c>
      <c r="E350" t="e">
        <f t="shared" si="53"/>
        <v>#N/A</v>
      </c>
      <c r="F350" t="e">
        <f t="shared" si="54"/>
        <v>#N/A</v>
      </c>
      <c r="G350" t="e">
        <f t="shared" si="55"/>
        <v>#N/A</v>
      </c>
      <c r="H350" t="e">
        <f t="shared" si="56"/>
        <v>#N/A</v>
      </c>
      <c r="I350" t="e">
        <f t="shared" si="57"/>
        <v>#N/A</v>
      </c>
      <c r="J350" t="e">
        <f t="shared" si="58"/>
        <v>#N/A</v>
      </c>
      <c r="K350">
        <f t="shared" si="59"/>
        <v>6.6854846220981918E-3</v>
      </c>
      <c r="L350" t="e">
        <f>IF(AND(ABS((ChartCalculations!A350-Calculations!$F$3)/Calculations!$F$4)&lt;5,OR(A350&lt;=Calculations!$F$7,A350&gt;=Calculations!$F$8)),0.2*_xlfn.NORM.DIST(100,100,15,FALSE)*_xlfn.NORM.DIST(A350,Calculations!$F$3,Calculations!$F$4,FALSE)/_xlfn.NORM.DIST(Calculations!$F$3,Calculations!$F$3,Calculations!$F$4,FALSE),NA())</f>
        <v>#N/A</v>
      </c>
      <c r="M350" t="e">
        <f>IF(AND(A350&gt;=Calculations!$F$7,A350&lt;=Calculations!$F$8),0.2*_xlfn.NORM.DIST(100,100,15,FALSE)*_xlfn.NORM.DIST(A350,Calculations!$F$3,Calculations!$F$4,FALSE)/_xlfn.NORM.DIST(Calculations!$F$3,Calculations!$F$3,Calculations!$F$4,FALSE),NA())</f>
        <v>#N/A</v>
      </c>
    </row>
    <row r="351" spans="1:13" x14ac:dyDescent="0.25">
      <c r="A351">
        <v>74.900000000000503</v>
      </c>
      <c r="B351" t="e">
        <f t="shared" si="50"/>
        <v>#N/A</v>
      </c>
      <c r="C351" t="e">
        <f t="shared" si="51"/>
        <v>#N/A</v>
      </c>
      <c r="D351">
        <f t="shared" si="52"/>
        <v>6.5583845988299852E-3</v>
      </c>
      <c r="E351" t="e">
        <f t="shared" si="53"/>
        <v>#N/A</v>
      </c>
      <c r="F351" t="e">
        <f t="shared" si="54"/>
        <v>#N/A</v>
      </c>
      <c r="G351" t="e">
        <f t="shared" si="55"/>
        <v>#N/A</v>
      </c>
      <c r="H351" t="e">
        <f t="shared" si="56"/>
        <v>#N/A</v>
      </c>
      <c r="I351" t="e">
        <f t="shared" si="57"/>
        <v>#N/A</v>
      </c>
      <c r="J351" t="e">
        <f t="shared" si="58"/>
        <v>#N/A</v>
      </c>
      <c r="K351">
        <f t="shared" si="59"/>
        <v>6.7583845988299848E-3</v>
      </c>
      <c r="L351" t="e">
        <f>IF(AND(ABS((ChartCalculations!A351-Calculations!$F$3)/Calculations!$F$4)&lt;5,OR(A351&lt;=Calculations!$F$7,A351&gt;=Calculations!$F$8)),0.2*_xlfn.NORM.DIST(100,100,15,FALSE)*_xlfn.NORM.DIST(A351,Calculations!$F$3,Calculations!$F$4,FALSE)/_xlfn.NORM.DIST(Calculations!$F$3,Calculations!$F$3,Calculations!$F$4,FALSE),NA())</f>
        <v>#N/A</v>
      </c>
      <c r="M351" t="e">
        <f>IF(AND(A351&gt;=Calculations!$F$7,A351&lt;=Calculations!$F$8),0.2*_xlfn.NORM.DIST(100,100,15,FALSE)*_xlfn.NORM.DIST(A351,Calculations!$F$3,Calculations!$F$4,FALSE)/_xlfn.NORM.DIST(Calculations!$F$3,Calculations!$F$3,Calculations!$F$4,FALSE),NA())</f>
        <v>#N/A</v>
      </c>
    </row>
    <row r="352" spans="1:13" x14ac:dyDescent="0.25">
      <c r="A352">
        <v>75.000000000000497</v>
      </c>
      <c r="B352" t="e">
        <f t="shared" si="50"/>
        <v>#N/A</v>
      </c>
      <c r="C352" t="e">
        <f t="shared" si="51"/>
        <v>#N/A</v>
      </c>
      <c r="D352">
        <f t="shared" si="52"/>
        <v>6.6318092528502787E-3</v>
      </c>
      <c r="E352" t="e">
        <f t="shared" si="53"/>
        <v>#N/A</v>
      </c>
      <c r="F352" t="e">
        <f t="shared" si="54"/>
        <v>#N/A</v>
      </c>
      <c r="G352" t="e">
        <f t="shared" si="55"/>
        <v>#N/A</v>
      </c>
      <c r="H352" t="e">
        <f t="shared" si="56"/>
        <v>#N/A</v>
      </c>
      <c r="I352" t="e">
        <f t="shared" si="57"/>
        <v>#N/A</v>
      </c>
      <c r="J352" t="e">
        <f t="shared" si="58"/>
        <v>#N/A</v>
      </c>
      <c r="K352">
        <f t="shared" si="59"/>
        <v>6.8318092528502784E-3</v>
      </c>
      <c r="L352" t="e">
        <f>IF(AND(ABS((ChartCalculations!A352-Calculations!$F$3)/Calculations!$F$4)&lt;5,OR(A352&lt;=Calculations!$F$7,A352&gt;=Calculations!$F$8)),0.2*_xlfn.NORM.DIST(100,100,15,FALSE)*_xlfn.NORM.DIST(A352,Calculations!$F$3,Calculations!$F$4,FALSE)/_xlfn.NORM.DIST(Calculations!$F$3,Calculations!$F$3,Calculations!$F$4,FALSE),NA())</f>
        <v>#N/A</v>
      </c>
      <c r="M352" t="e">
        <f>IF(AND(A352&gt;=Calculations!$F$7,A352&lt;=Calculations!$F$8),0.2*_xlfn.NORM.DIST(100,100,15,FALSE)*_xlfn.NORM.DIST(A352,Calculations!$F$3,Calculations!$F$4,FALSE)/_xlfn.NORM.DIST(Calculations!$F$3,Calculations!$F$3,Calculations!$F$4,FALSE),NA())</f>
        <v>#N/A</v>
      </c>
    </row>
    <row r="353" spans="1:13" x14ac:dyDescent="0.25">
      <c r="A353">
        <v>75.100000000000506</v>
      </c>
      <c r="B353" t="e">
        <f t="shared" si="50"/>
        <v>#N/A</v>
      </c>
      <c r="C353" t="e">
        <f t="shared" si="51"/>
        <v>#N/A</v>
      </c>
      <c r="D353">
        <f t="shared" si="52"/>
        <v>6.7057578951797477E-3</v>
      </c>
      <c r="E353" t="e">
        <f t="shared" si="53"/>
        <v>#N/A</v>
      </c>
      <c r="F353" t="e">
        <f t="shared" si="54"/>
        <v>#N/A</v>
      </c>
      <c r="G353" t="e">
        <f t="shared" si="55"/>
        <v>#N/A</v>
      </c>
      <c r="H353" t="e">
        <f t="shared" si="56"/>
        <v>#N/A</v>
      </c>
      <c r="I353" t="e">
        <f t="shared" si="57"/>
        <v>#N/A</v>
      </c>
      <c r="J353" t="e">
        <f t="shared" si="58"/>
        <v>#N/A</v>
      </c>
      <c r="K353">
        <f t="shared" si="59"/>
        <v>6.9057578951797474E-3</v>
      </c>
      <c r="L353" t="e">
        <f>IF(AND(ABS((ChartCalculations!A353-Calculations!$F$3)/Calculations!$F$4)&lt;5,OR(A353&lt;=Calculations!$F$7,A353&gt;=Calculations!$F$8)),0.2*_xlfn.NORM.DIST(100,100,15,FALSE)*_xlfn.NORM.DIST(A353,Calculations!$F$3,Calculations!$F$4,FALSE)/_xlfn.NORM.DIST(Calculations!$F$3,Calculations!$F$3,Calculations!$F$4,FALSE),NA())</f>
        <v>#N/A</v>
      </c>
      <c r="M353" t="e">
        <f>IF(AND(A353&gt;=Calculations!$F$7,A353&lt;=Calculations!$F$8),0.2*_xlfn.NORM.DIST(100,100,15,FALSE)*_xlfn.NORM.DIST(A353,Calculations!$F$3,Calculations!$F$4,FALSE)/_xlfn.NORM.DIST(Calculations!$F$3,Calculations!$F$3,Calculations!$F$4,FALSE),NA())</f>
        <v>#N/A</v>
      </c>
    </row>
    <row r="354" spans="1:13" x14ac:dyDescent="0.25">
      <c r="A354">
        <v>75.2000000000005</v>
      </c>
      <c r="B354" t="e">
        <f t="shared" si="50"/>
        <v>#N/A</v>
      </c>
      <c r="C354" t="e">
        <f t="shared" si="51"/>
        <v>#N/A</v>
      </c>
      <c r="D354">
        <f t="shared" si="52"/>
        <v>6.7802297588882262E-3</v>
      </c>
      <c r="E354" t="e">
        <f t="shared" si="53"/>
        <v>#N/A</v>
      </c>
      <c r="F354" t="e">
        <f t="shared" si="54"/>
        <v>#N/A</v>
      </c>
      <c r="G354" t="e">
        <f t="shared" si="55"/>
        <v>#N/A</v>
      </c>
      <c r="H354" t="e">
        <f t="shared" si="56"/>
        <v>#N/A</v>
      </c>
      <c r="I354" t="e">
        <f t="shared" si="57"/>
        <v>#N/A</v>
      </c>
      <c r="J354" t="e">
        <f t="shared" si="58"/>
        <v>#N/A</v>
      </c>
      <c r="K354">
        <f t="shared" si="59"/>
        <v>6.9802297588882258E-3</v>
      </c>
      <c r="L354" t="e">
        <f>IF(AND(ABS((ChartCalculations!A354-Calculations!$F$3)/Calculations!$F$4)&lt;5,OR(A354&lt;=Calculations!$F$7,A354&gt;=Calculations!$F$8)),0.2*_xlfn.NORM.DIST(100,100,15,FALSE)*_xlfn.NORM.DIST(A354,Calculations!$F$3,Calculations!$F$4,FALSE)/_xlfn.NORM.DIST(Calculations!$F$3,Calculations!$F$3,Calculations!$F$4,FALSE),NA())</f>
        <v>#N/A</v>
      </c>
      <c r="M354" t="e">
        <f>IF(AND(A354&gt;=Calculations!$F$7,A354&lt;=Calculations!$F$8),0.2*_xlfn.NORM.DIST(100,100,15,FALSE)*_xlfn.NORM.DIST(A354,Calculations!$F$3,Calculations!$F$4,FALSE)/_xlfn.NORM.DIST(Calculations!$F$3,Calculations!$F$3,Calculations!$F$4,FALSE),NA())</f>
        <v>#N/A</v>
      </c>
    </row>
    <row r="355" spans="1:13" x14ac:dyDescent="0.25">
      <c r="A355">
        <v>75.300000000000495</v>
      </c>
      <c r="B355" t="e">
        <f t="shared" si="50"/>
        <v>#N/A</v>
      </c>
      <c r="C355" t="e">
        <f t="shared" si="51"/>
        <v>#N/A</v>
      </c>
      <c r="D355">
        <f t="shared" si="52"/>
        <v>6.8552239983627116E-3</v>
      </c>
      <c r="E355" t="e">
        <f t="shared" si="53"/>
        <v>#N/A</v>
      </c>
      <c r="F355" t="e">
        <f t="shared" si="54"/>
        <v>#N/A</v>
      </c>
      <c r="G355" t="e">
        <f t="shared" si="55"/>
        <v>#N/A</v>
      </c>
      <c r="H355" t="e">
        <f t="shared" si="56"/>
        <v>#N/A</v>
      </c>
      <c r="I355" t="e">
        <f t="shared" si="57"/>
        <v>#N/A</v>
      </c>
      <c r="J355" t="e">
        <f t="shared" si="58"/>
        <v>#N/A</v>
      </c>
      <c r="K355">
        <f t="shared" si="59"/>
        <v>7.0552239983627113E-3</v>
      </c>
      <c r="L355" t="e">
        <f>IF(AND(ABS((ChartCalculations!A355-Calculations!$F$3)/Calculations!$F$4)&lt;5,OR(A355&lt;=Calculations!$F$7,A355&gt;=Calculations!$F$8)),0.2*_xlfn.NORM.DIST(100,100,15,FALSE)*_xlfn.NORM.DIST(A355,Calculations!$F$3,Calculations!$F$4,FALSE)/_xlfn.NORM.DIST(Calculations!$F$3,Calculations!$F$3,Calculations!$F$4,FALSE),NA())</f>
        <v>#N/A</v>
      </c>
      <c r="M355" t="e">
        <f>IF(AND(A355&gt;=Calculations!$F$7,A355&lt;=Calculations!$F$8),0.2*_xlfn.NORM.DIST(100,100,15,FALSE)*_xlfn.NORM.DIST(A355,Calculations!$F$3,Calculations!$F$4,FALSE)/_xlfn.NORM.DIST(Calculations!$F$3,Calculations!$F$3,Calculations!$F$4,FALSE),NA())</f>
        <v>#N/A</v>
      </c>
    </row>
    <row r="356" spans="1:13" x14ac:dyDescent="0.25">
      <c r="A356">
        <v>75.400000000000503</v>
      </c>
      <c r="B356" t="e">
        <f t="shared" si="50"/>
        <v>#N/A</v>
      </c>
      <c r="C356" t="e">
        <f t="shared" si="51"/>
        <v>#N/A</v>
      </c>
      <c r="D356">
        <f t="shared" si="52"/>
        <v>6.9307396885846615E-3</v>
      </c>
      <c r="E356" t="e">
        <f t="shared" si="53"/>
        <v>#N/A</v>
      </c>
      <c r="F356" t="e">
        <f t="shared" si="54"/>
        <v>#N/A</v>
      </c>
      <c r="G356" t="e">
        <f t="shared" si="55"/>
        <v>#N/A</v>
      </c>
      <c r="H356" t="e">
        <f t="shared" si="56"/>
        <v>#N/A</v>
      </c>
      <c r="I356" t="e">
        <f t="shared" si="57"/>
        <v>#N/A</v>
      </c>
      <c r="J356" t="e">
        <f t="shared" si="58"/>
        <v>#N/A</v>
      </c>
      <c r="K356">
        <f t="shared" si="59"/>
        <v>7.1307396885846612E-3</v>
      </c>
      <c r="L356" t="e">
        <f>IF(AND(ABS((ChartCalculations!A356-Calculations!$F$3)/Calculations!$F$4)&lt;5,OR(A356&lt;=Calculations!$F$7,A356&gt;=Calculations!$F$8)),0.2*_xlfn.NORM.DIST(100,100,15,FALSE)*_xlfn.NORM.DIST(A356,Calculations!$F$3,Calculations!$F$4,FALSE)/_xlfn.NORM.DIST(Calculations!$F$3,Calculations!$F$3,Calculations!$F$4,FALSE),NA())</f>
        <v>#N/A</v>
      </c>
      <c r="M356" t="e">
        <f>IF(AND(A356&gt;=Calculations!$F$7,A356&lt;=Calculations!$F$8),0.2*_xlfn.NORM.DIST(100,100,15,FALSE)*_xlfn.NORM.DIST(A356,Calculations!$F$3,Calculations!$F$4,FALSE)/_xlfn.NORM.DIST(Calculations!$F$3,Calculations!$F$3,Calculations!$F$4,FALSE),NA())</f>
        <v>#N/A</v>
      </c>
    </row>
    <row r="357" spans="1:13" x14ac:dyDescent="0.25">
      <c r="A357">
        <v>75.500000000000497</v>
      </c>
      <c r="B357" t="e">
        <f t="shared" si="50"/>
        <v>#N/A</v>
      </c>
      <c r="C357" t="e">
        <f t="shared" si="51"/>
        <v>#N/A</v>
      </c>
      <c r="D357">
        <f t="shared" si="52"/>
        <v>7.0067758244170561E-3</v>
      </c>
      <c r="E357" t="e">
        <f t="shared" si="53"/>
        <v>#N/A</v>
      </c>
      <c r="F357" t="e">
        <f t="shared" si="54"/>
        <v>#N/A</v>
      </c>
      <c r="G357" t="e">
        <f t="shared" si="55"/>
        <v>#N/A</v>
      </c>
      <c r="H357" t="e">
        <f t="shared" si="56"/>
        <v>#N/A</v>
      </c>
      <c r="I357" t="e">
        <f t="shared" si="57"/>
        <v>#N/A</v>
      </c>
      <c r="J357" t="e">
        <f t="shared" si="58"/>
        <v>#N/A</v>
      </c>
      <c r="K357">
        <f t="shared" si="59"/>
        <v>7.2067758244170558E-3</v>
      </c>
      <c r="L357" t="e">
        <f>IF(AND(ABS((ChartCalculations!A357-Calculations!$F$3)/Calculations!$F$4)&lt;5,OR(A357&lt;=Calculations!$F$7,A357&gt;=Calculations!$F$8)),0.2*_xlfn.NORM.DIST(100,100,15,FALSE)*_xlfn.NORM.DIST(A357,Calculations!$F$3,Calculations!$F$4,FALSE)/_xlfn.NORM.DIST(Calculations!$F$3,Calculations!$F$3,Calculations!$F$4,FALSE),NA())</f>
        <v>#N/A</v>
      </c>
      <c r="M357" t="e">
        <f>IF(AND(A357&gt;=Calculations!$F$7,A357&lt;=Calculations!$F$8),0.2*_xlfn.NORM.DIST(100,100,15,FALSE)*_xlfn.NORM.DIST(A357,Calculations!$F$3,Calculations!$F$4,FALSE)/_xlfn.NORM.DIST(Calculations!$F$3,Calculations!$F$3,Calculations!$F$4,FALSE),NA())</f>
        <v>#N/A</v>
      </c>
    </row>
    <row r="358" spans="1:13" x14ac:dyDescent="0.25">
      <c r="A358">
        <v>75.600000000000506</v>
      </c>
      <c r="B358" t="e">
        <f t="shared" si="50"/>
        <v>#N/A</v>
      </c>
      <c r="C358" t="e">
        <f t="shared" si="51"/>
        <v>#N/A</v>
      </c>
      <c r="D358">
        <f t="shared" si="52"/>
        <v>7.0833313199015775E-3</v>
      </c>
      <c r="E358" t="e">
        <f t="shared" si="53"/>
        <v>#N/A</v>
      </c>
      <c r="F358" t="e">
        <f t="shared" si="54"/>
        <v>#N/A</v>
      </c>
      <c r="G358" t="e">
        <f t="shared" si="55"/>
        <v>#N/A</v>
      </c>
      <c r="H358" t="e">
        <f t="shared" si="56"/>
        <v>#N/A</v>
      </c>
      <c r="I358" t="e">
        <f t="shared" si="57"/>
        <v>#N/A</v>
      </c>
      <c r="J358" t="e">
        <f t="shared" si="58"/>
        <v>#N/A</v>
      </c>
      <c r="K358">
        <f t="shared" si="59"/>
        <v>7.2833313199015771E-3</v>
      </c>
      <c r="L358" t="e">
        <f>IF(AND(ABS((ChartCalculations!A358-Calculations!$F$3)/Calculations!$F$4)&lt;5,OR(A358&lt;=Calculations!$F$7,A358&gt;=Calculations!$F$8)),0.2*_xlfn.NORM.DIST(100,100,15,FALSE)*_xlfn.NORM.DIST(A358,Calculations!$F$3,Calculations!$F$4,FALSE)/_xlfn.NORM.DIST(Calculations!$F$3,Calculations!$F$3,Calculations!$F$4,FALSE),NA())</f>
        <v>#N/A</v>
      </c>
      <c r="M358" t="e">
        <f>IF(AND(A358&gt;=Calculations!$F$7,A358&lt;=Calculations!$F$8),0.2*_xlfn.NORM.DIST(100,100,15,FALSE)*_xlfn.NORM.DIST(A358,Calculations!$F$3,Calculations!$F$4,FALSE)/_xlfn.NORM.DIST(Calculations!$F$3,Calculations!$F$3,Calculations!$F$4,FALSE),NA())</f>
        <v>#N/A</v>
      </c>
    </row>
    <row r="359" spans="1:13" x14ac:dyDescent="0.25">
      <c r="A359">
        <v>75.7000000000005</v>
      </c>
      <c r="B359" t="e">
        <f t="shared" si="50"/>
        <v>#N/A</v>
      </c>
      <c r="C359" t="e">
        <f t="shared" si="51"/>
        <v>#N/A</v>
      </c>
      <c r="D359">
        <f t="shared" si="52"/>
        <v>7.1604050075659755E-3</v>
      </c>
      <c r="E359" t="e">
        <f t="shared" si="53"/>
        <v>#N/A</v>
      </c>
      <c r="F359" t="e">
        <f t="shared" si="54"/>
        <v>#N/A</v>
      </c>
      <c r="G359" t="e">
        <f t="shared" si="55"/>
        <v>#N/A</v>
      </c>
      <c r="H359" t="e">
        <f t="shared" si="56"/>
        <v>#N/A</v>
      </c>
      <c r="I359" t="e">
        <f t="shared" si="57"/>
        <v>#N/A</v>
      </c>
      <c r="J359" t="e">
        <f t="shared" si="58"/>
        <v>#N/A</v>
      </c>
      <c r="K359">
        <f t="shared" si="59"/>
        <v>7.3604050075659752E-3</v>
      </c>
      <c r="L359" t="e">
        <f>IF(AND(ABS((ChartCalculations!A359-Calculations!$F$3)/Calculations!$F$4)&lt;5,OR(A359&lt;=Calculations!$F$7,A359&gt;=Calculations!$F$8)),0.2*_xlfn.NORM.DIST(100,100,15,FALSE)*_xlfn.NORM.DIST(A359,Calculations!$F$3,Calculations!$F$4,FALSE)/_xlfn.NORM.DIST(Calculations!$F$3,Calculations!$F$3,Calculations!$F$4,FALSE),NA())</f>
        <v>#N/A</v>
      </c>
      <c r="M359" t="e">
        <f>IF(AND(A359&gt;=Calculations!$F$7,A359&lt;=Calculations!$F$8),0.2*_xlfn.NORM.DIST(100,100,15,FALSE)*_xlfn.NORM.DIST(A359,Calculations!$F$3,Calculations!$F$4,FALSE)/_xlfn.NORM.DIST(Calculations!$F$3,Calculations!$F$3,Calculations!$F$4,FALSE),NA())</f>
        <v>#N/A</v>
      </c>
    </row>
    <row r="360" spans="1:13" x14ac:dyDescent="0.25">
      <c r="A360">
        <v>75.800000000000495</v>
      </c>
      <c r="B360" t="e">
        <f t="shared" si="50"/>
        <v>#N/A</v>
      </c>
      <c r="C360" t="e">
        <f t="shared" si="51"/>
        <v>#N/A</v>
      </c>
      <c r="D360">
        <f t="shared" si="52"/>
        <v>7.2379956377421999E-3</v>
      </c>
      <c r="E360" t="e">
        <f t="shared" si="53"/>
        <v>#N/A</v>
      </c>
      <c r="F360" t="e">
        <f t="shared" si="54"/>
        <v>#N/A</v>
      </c>
      <c r="G360" t="e">
        <f t="shared" si="55"/>
        <v>#N/A</v>
      </c>
      <c r="H360" t="e">
        <f t="shared" si="56"/>
        <v>#N/A</v>
      </c>
      <c r="I360" t="e">
        <f t="shared" si="57"/>
        <v>#N/A</v>
      </c>
      <c r="J360" t="e">
        <f t="shared" si="58"/>
        <v>#N/A</v>
      </c>
      <c r="K360">
        <f t="shared" si="59"/>
        <v>7.4379956377421995E-3</v>
      </c>
      <c r="L360" t="e">
        <f>IF(AND(ABS((ChartCalculations!A360-Calculations!$F$3)/Calculations!$F$4)&lt;5,OR(A360&lt;=Calculations!$F$7,A360&gt;=Calculations!$F$8)),0.2*_xlfn.NORM.DIST(100,100,15,FALSE)*_xlfn.NORM.DIST(A360,Calculations!$F$3,Calculations!$F$4,FALSE)/_xlfn.NORM.DIST(Calculations!$F$3,Calculations!$F$3,Calculations!$F$4,FALSE),NA())</f>
        <v>#N/A</v>
      </c>
      <c r="M360" t="e">
        <f>IF(AND(A360&gt;=Calculations!$F$7,A360&lt;=Calculations!$F$8),0.2*_xlfn.NORM.DIST(100,100,15,FALSE)*_xlfn.NORM.DIST(A360,Calculations!$F$3,Calculations!$F$4,FALSE)/_xlfn.NORM.DIST(Calculations!$F$3,Calculations!$F$3,Calculations!$F$4,FALSE),NA())</f>
        <v>#N/A</v>
      </c>
    </row>
    <row r="361" spans="1:13" x14ac:dyDescent="0.25">
      <c r="A361">
        <v>75.900000000000503</v>
      </c>
      <c r="B361" t="e">
        <f t="shared" si="50"/>
        <v>#N/A</v>
      </c>
      <c r="C361" t="e">
        <f t="shared" si="51"/>
        <v>#N/A</v>
      </c>
      <c r="D361">
        <f t="shared" si="52"/>
        <v>7.3161018778954015E-3</v>
      </c>
      <c r="E361" t="e">
        <f t="shared" si="53"/>
        <v>#N/A</v>
      </c>
      <c r="F361" t="e">
        <f t="shared" si="54"/>
        <v>#N/A</v>
      </c>
      <c r="G361" t="e">
        <f t="shared" si="55"/>
        <v>#N/A</v>
      </c>
      <c r="H361" t="e">
        <f t="shared" si="56"/>
        <v>#N/A</v>
      </c>
      <c r="I361" t="e">
        <f t="shared" si="57"/>
        <v>#N/A</v>
      </c>
      <c r="J361" t="e">
        <f t="shared" si="58"/>
        <v>#N/A</v>
      </c>
      <c r="K361">
        <f t="shared" si="59"/>
        <v>7.5161018778954012E-3</v>
      </c>
      <c r="L361" t="e">
        <f>IF(AND(ABS((ChartCalculations!A361-Calculations!$F$3)/Calculations!$F$4)&lt;5,OR(A361&lt;=Calculations!$F$7,A361&gt;=Calculations!$F$8)),0.2*_xlfn.NORM.DIST(100,100,15,FALSE)*_xlfn.NORM.DIST(A361,Calculations!$F$3,Calculations!$F$4,FALSE)/_xlfn.NORM.DIST(Calculations!$F$3,Calculations!$F$3,Calculations!$F$4,FALSE),NA())</f>
        <v>#N/A</v>
      </c>
      <c r="M361" t="e">
        <f>IF(AND(A361&gt;=Calculations!$F$7,A361&lt;=Calculations!$F$8),0.2*_xlfn.NORM.DIST(100,100,15,FALSE)*_xlfn.NORM.DIST(A361,Calculations!$F$3,Calculations!$F$4,FALSE)/_xlfn.NORM.DIST(Calculations!$F$3,Calculations!$F$3,Calculations!$F$4,FALSE),NA())</f>
        <v>#N/A</v>
      </c>
    </row>
    <row r="362" spans="1:13" x14ac:dyDescent="0.25">
      <c r="A362">
        <v>76.000000000000497</v>
      </c>
      <c r="B362" t="e">
        <f t="shared" si="50"/>
        <v>#N/A</v>
      </c>
      <c r="C362" t="e">
        <f t="shared" si="51"/>
        <v>#N/A</v>
      </c>
      <c r="D362">
        <f t="shared" si="52"/>
        <v>7.3947223119640972E-3</v>
      </c>
      <c r="E362" t="e">
        <f t="shared" si="53"/>
        <v>#N/A</v>
      </c>
      <c r="F362" t="e">
        <f t="shared" si="54"/>
        <v>#N/A</v>
      </c>
      <c r="G362" t="e">
        <f t="shared" si="55"/>
        <v>#N/A</v>
      </c>
      <c r="H362" t="e">
        <f t="shared" si="56"/>
        <v>#N/A</v>
      </c>
      <c r="I362" t="e">
        <f t="shared" si="57"/>
        <v>#N/A</v>
      </c>
      <c r="J362" t="e">
        <f t="shared" si="58"/>
        <v>#N/A</v>
      </c>
      <c r="K362">
        <f t="shared" si="59"/>
        <v>7.5947223119640968E-3</v>
      </c>
      <c r="L362" t="e">
        <f>IF(AND(ABS((ChartCalculations!A362-Calculations!$F$3)/Calculations!$F$4)&lt;5,OR(A362&lt;=Calculations!$F$7,A362&gt;=Calculations!$F$8)),0.2*_xlfn.NORM.DIST(100,100,15,FALSE)*_xlfn.NORM.DIST(A362,Calculations!$F$3,Calculations!$F$4,FALSE)/_xlfn.NORM.DIST(Calculations!$F$3,Calculations!$F$3,Calculations!$F$4,FALSE),NA())</f>
        <v>#N/A</v>
      </c>
      <c r="M362" t="e">
        <f>IF(AND(A362&gt;=Calculations!$F$7,A362&lt;=Calculations!$F$8),0.2*_xlfn.NORM.DIST(100,100,15,FALSE)*_xlfn.NORM.DIST(A362,Calculations!$F$3,Calculations!$F$4,FALSE)/_xlfn.NORM.DIST(Calculations!$F$3,Calculations!$F$3,Calculations!$F$4,FALSE),NA())</f>
        <v>#N/A</v>
      </c>
    </row>
    <row r="363" spans="1:13" x14ac:dyDescent="0.25">
      <c r="A363">
        <v>76.100000000000506</v>
      </c>
      <c r="B363" t="e">
        <f t="shared" si="50"/>
        <v>#N/A</v>
      </c>
      <c r="C363" t="e">
        <f t="shared" si="51"/>
        <v>#N/A</v>
      </c>
      <c r="D363">
        <f t="shared" si="52"/>
        <v>7.4738554397120295E-3</v>
      </c>
      <c r="E363" t="e">
        <f t="shared" si="53"/>
        <v>#N/A</v>
      </c>
      <c r="F363" t="e">
        <f t="shared" si="54"/>
        <v>#N/A</v>
      </c>
      <c r="G363" t="e">
        <f t="shared" si="55"/>
        <v>#N/A</v>
      </c>
      <c r="H363" t="e">
        <f t="shared" si="56"/>
        <v>#N/A</v>
      </c>
      <c r="I363" t="e">
        <f t="shared" si="57"/>
        <v>#N/A</v>
      </c>
      <c r="J363" t="e">
        <f t="shared" si="58"/>
        <v>#N/A</v>
      </c>
      <c r="K363">
        <f t="shared" si="59"/>
        <v>7.6738554397120292E-3</v>
      </c>
      <c r="L363" t="e">
        <f>IF(AND(ABS((ChartCalculations!A363-Calculations!$F$3)/Calculations!$F$4)&lt;5,OR(A363&lt;=Calculations!$F$7,A363&gt;=Calculations!$F$8)),0.2*_xlfn.NORM.DIST(100,100,15,FALSE)*_xlfn.NORM.DIST(A363,Calculations!$F$3,Calculations!$F$4,FALSE)/_xlfn.NORM.DIST(Calculations!$F$3,Calculations!$F$3,Calculations!$F$4,FALSE),NA())</f>
        <v>#N/A</v>
      </c>
      <c r="M363" t="e">
        <f>IF(AND(A363&gt;=Calculations!$F$7,A363&lt;=Calculations!$F$8),0.2*_xlfn.NORM.DIST(100,100,15,FALSE)*_xlfn.NORM.DIST(A363,Calculations!$F$3,Calculations!$F$4,FALSE)/_xlfn.NORM.DIST(Calculations!$F$3,Calculations!$F$3,Calculations!$F$4,FALSE),NA())</f>
        <v>#N/A</v>
      </c>
    </row>
    <row r="364" spans="1:13" x14ac:dyDescent="0.25">
      <c r="A364">
        <v>76.2000000000005</v>
      </c>
      <c r="B364" t="e">
        <f t="shared" si="50"/>
        <v>#N/A</v>
      </c>
      <c r="C364" t="e">
        <f t="shared" si="51"/>
        <v>#N/A</v>
      </c>
      <c r="D364">
        <f t="shared" si="52"/>
        <v>7.5534996760916427E-3</v>
      </c>
      <c r="E364" t="e">
        <f t="shared" si="53"/>
        <v>#N/A</v>
      </c>
      <c r="F364" t="e">
        <f t="shared" si="54"/>
        <v>#N/A</v>
      </c>
      <c r="G364" t="e">
        <f t="shared" si="55"/>
        <v>#N/A</v>
      </c>
      <c r="H364" t="e">
        <f t="shared" si="56"/>
        <v>#N/A</v>
      </c>
      <c r="I364" t="e">
        <f t="shared" si="57"/>
        <v>#N/A</v>
      </c>
      <c r="J364" t="e">
        <f t="shared" si="58"/>
        <v>#N/A</v>
      </c>
      <c r="K364">
        <f t="shared" si="59"/>
        <v>7.7534996760916424E-3</v>
      </c>
      <c r="L364" t="e">
        <f>IF(AND(ABS((ChartCalculations!A364-Calculations!$F$3)/Calculations!$F$4)&lt;5,OR(A364&lt;=Calculations!$F$7,A364&gt;=Calculations!$F$8)),0.2*_xlfn.NORM.DIST(100,100,15,FALSE)*_xlfn.NORM.DIST(A364,Calculations!$F$3,Calculations!$F$4,FALSE)/_xlfn.NORM.DIST(Calculations!$F$3,Calculations!$F$3,Calculations!$F$4,FALSE),NA())</f>
        <v>#N/A</v>
      </c>
      <c r="M364" t="e">
        <f>IF(AND(A364&gt;=Calculations!$F$7,A364&lt;=Calculations!$F$8),0.2*_xlfn.NORM.DIST(100,100,15,FALSE)*_xlfn.NORM.DIST(A364,Calculations!$F$3,Calculations!$F$4,FALSE)/_xlfn.NORM.DIST(Calculations!$F$3,Calculations!$F$3,Calculations!$F$4,FALSE),NA())</f>
        <v>#N/A</v>
      </c>
    </row>
    <row r="365" spans="1:13" x14ac:dyDescent="0.25">
      <c r="A365">
        <v>76.300000000000495</v>
      </c>
      <c r="B365" t="e">
        <f t="shared" si="50"/>
        <v>#N/A</v>
      </c>
      <c r="C365" t="e">
        <f t="shared" si="51"/>
        <v>#N/A</v>
      </c>
      <c r="D365">
        <f t="shared" si="52"/>
        <v>7.6336533506198906E-3</v>
      </c>
      <c r="E365" t="e">
        <f t="shared" si="53"/>
        <v>#N/A</v>
      </c>
      <c r="F365" t="e">
        <f t="shared" si="54"/>
        <v>#N/A</v>
      </c>
      <c r="G365" t="e">
        <f t="shared" si="55"/>
        <v>#N/A</v>
      </c>
      <c r="H365" t="e">
        <f t="shared" si="56"/>
        <v>#N/A</v>
      </c>
      <c r="I365" t="e">
        <f t="shared" si="57"/>
        <v>#N/A</v>
      </c>
      <c r="J365" t="e">
        <f t="shared" si="58"/>
        <v>#N/A</v>
      </c>
      <c r="K365">
        <f t="shared" si="59"/>
        <v>7.8336533506198902E-3</v>
      </c>
      <c r="L365" t="e">
        <f>IF(AND(ABS((ChartCalculations!A365-Calculations!$F$3)/Calculations!$F$4)&lt;5,OR(A365&lt;=Calculations!$F$7,A365&gt;=Calculations!$F$8)),0.2*_xlfn.NORM.DIST(100,100,15,FALSE)*_xlfn.NORM.DIST(A365,Calculations!$F$3,Calculations!$F$4,FALSE)/_xlfn.NORM.DIST(Calculations!$F$3,Calculations!$F$3,Calculations!$F$4,FALSE),NA())</f>
        <v>#N/A</v>
      </c>
      <c r="M365" t="e">
        <f>IF(AND(A365&gt;=Calculations!$F$7,A365&lt;=Calculations!$F$8),0.2*_xlfn.NORM.DIST(100,100,15,FALSE)*_xlfn.NORM.DIST(A365,Calculations!$F$3,Calculations!$F$4,FALSE)/_xlfn.NORM.DIST(Calculations!$F$3,Calculations!$F$3,Calculations!$F$4,FALSE),NA())</f>
        <v>#N/A</v>
      </c>
    </row>
    <row r="366" spans="1:13" x14ac:dyDescent="0.25">
      <c r="A366">
        <v>76.400000000000503</v>
      </c>
      <c r="B366" t="e">
        <f t="shared" si="50"/>
        <v>#N/A</v>
      </c>
      <c r="C366" t="e">
        <f t="shared" si="51"/>
        <v>#N/A</v>
      </c>
      <c r="D366">
        <f t="shared" si="52"/>
        <v>7.7143147067662947E-3</v>
      </c>
      <c r="E366" t="e">
        <f t="shared" si="53"/>
        <v>#N/A</v>
      </c>
      <c r="F366" t="e">
        <f t="shared" si="54"/>
        <v>#N/A</v>
      </c>
      <c r="G366" t="e">
        <f t="shared" si="55"/>
        <v>#N/A</v>
      </c>
      <c r="H366" t="e">
        <f t="shared" si="56"/>
        <v>#N/A</v>
      </c>
      <c r="I366" t="e">
        <f t="shared" si="57"/>
        <v>#N/A</v>
      </c>
      <c r="J366" t="e">
        <f t="shared" si="58"/>
        <v>#N/A</v>
      </c>
      <c r="K366">
        <f t="shared" si="59"/>
        <v>7.9143147067662952E-3</v>
      </c>
      <c r="L366" t="e">
        <f>IF(AND(ABS((ChartCalculations!A366-Calculations!$F$3)/Calculations!$F$4)&lt;5,OR(A366&lt;=Calculations!$F$7,A366&gt;=Calculations!$F$8)),0.2*_xlfn.NORM.DIST(100,100,15,FALSE)*_xlfn.NORM.DIST(A366,Calculations!$F$3,Calculations!$F$4,FALSE)/_xlfn.NORM.DIST(Calculations!$F$3,Calculations!$F$3,Calculations!$F$4,FALSE),NA())</f>
        <v>#N/A</v>
      </c>
      <c r="M366" t="e">
        <f>IF(AND(A366&gt;=Calculations!$F$7,A366&lt;=Calculations!$F$8),0.2*_xlfn.NORM.DIST(100,100,15,FALSE)*_xlfn.NORM.DIST(A366,Calculations!$F$3,Calculations!$F$4,FALSE)/_xlfn.NORM.DIST(Calculations!$F$3,Calculations!$F$3,Calculations!$F$4,FALSE),NA())</f>
        <v>#N/A</v>
      </c>
    </row>
    <row r="367" spans="1:13" x14ac:dyDescent="0.25">
      <c r="A367">
        <v>76.500000000000497</v>
      </c>
      <c r="B367" t="e">
        <f t="shared" si="50"/>
        <v>#N/A</v>
      </c>
      <c r="C367" t="e">
        <f t="shared" si="51"/>
        <v>#N/A</v>
      </c>
      <c r="D367">
        <f t="shared" si="52"/>
        <v>7.7954819013537728E-3</v>
      </c>
      <c r="E367" t="e">
        <f t="shared" si="53"/>
        <v>#N/A</v>
      </c>
      <c r="F367" t="e">
        <f t="shared" si="54"/>
        <v>#N/A</v>
      </c>
      <c r="G367" t="e">
        <f t="shared" si="55"/>
        <v>#N/A</v>
      </c>
      <c r="H367" t="e">
        <f t="shared" si="56"/>
        <v>#N/A</v>
      </c>
      <c r="I367" t="e">
        <f t="shared" si="57"/>
        <v>#N/A</v>
      </c>
      <c r="J367" t="e">
        <f t="shared" si="58"/>
        <v>#N/A</v>
      </c>
      <c r="K367">
        <f t="shared" si="59"/>
        <v>7.9954819013537733E-3</v>
      </c>
      <c r="L367" t="e">
        <f>IF(AND(ABS((ChartCalculations!A367-Calculations!$F$3)/Calculations!$F$4)&lt;5,OR(A367&lt;=Calculations!$F$7,A367&gt;=Calculations!$F$8)),0.2*_xlfn.NORM.DIST(100,100,15,FALSE)*_xlfn.NORM.DIST(A367,Calculations!$F$3,Calculations!$F$4,FALSE)/_xlfn.NORM.DIST(Calculations!$F$3,Calculations!$F$3,Calculations!$F$4,FALSE),NA())</f>
        <v>#N/A</v>
      </c>
      <c r="M367" t="e">
        <f>IF(AND(A367&gt;=Calculations!$F$7,A367&lt;=Calculations!$F$8),0.2*_xlfn.NORM.DIST(100,100,15,FALSE)*_xlfn.NORM.DIST(A367,Calculations!$F$3,Calculations!$F$4,FALSE)/_xlfn.NORM.DIST(Calculations!$F$3,Calculations!$F$3,Calculations!$F$4,FALSE),NA())</f>
        <v>#N/A</v>
      </c>
    </row>
    <row r="368" spans="1:13" x14ac:dyDescent="0.25">
      <c r="A368">
        <v>76.600000000000506</v>
      </c>
      <c r="B368" t="e">
        <f t="shared" si="50"/>
        <v>#N/A</v>
      </c>
      <c r="C368" t="e">
        <f t="shared" si="51"/>
        <v>#N/A</v>
      </c>
      <c r="D368">
        <f t="shared" si="52"/>
        <v>7.8771530039725667E-3</v>
      </c>
      <c r="E368" t="e">
        <f t="shared" si="53"/>
        <v>#N/A</v>
      </c>
      <c r="F368" t="e">
        <f t="shared" si="54"/>
        <v>#N/A</v>
      </c>
      <c r="G368" t="e">
        <f t="shared" si="55"/>
        <v>#N/A</v>
      </c>
      <c r="H368" t="e">
        <f t="shared" si="56"/>
        <v>#N/A</v>
      </c>
      <c r="I368" t="e">
        <f t="shared" si="57"/>
        <v>#N/A</v>
      </c>
      <c r="J368" t="e">
        <f t="shared" si="58"/>
        <v>#N/A</v>
      </c>
      <c r="K368">
        <f t="shared" si="59"/>
        <v>8.0771530039725672E-3</v>
      </c>
      <c r="L368" t="e">
        <f>IF(AND(ABS((ChartCalculations!A368-Calculations!$F$3)/Calculations!$F$4)&lt;5,OR(A368&lt;=Calculations!$F$7,A368&gt;=Calculations!$F$8)),0.2*_xlfn.NORM.DIST(100,100,15,FALSE)*_xlfn.NORM.DIST(A368,Calculations!$F$3,Calculations!$F$4,FALSE)/_xlfn.NORM.DIST(Calculations!$F$3,Calculations!$F$3,Calculations!$F$4,FALSE),NA())</f>
        <v>#N/A</v>
      </c>
      <c r="M368" t="e">
        <f>IF(AND(A368&gt;=Calculations!$F$7,A368&lt;=Calculations!$F$8),0.2*_xlfn.NORM.DIST(100,100,15,FALSE)*_xlfn.NORM.DIST(A368,Calculations!$F$3,Calculations!$F$4,FALSE)/_xlfn.NORM.DIST(Calculations!$F$3,Calculations!$F$3,Calculations!$F$4,FALSE),NA())</f>
        <v>#N/A</v>
      </c>
    </row>
    <row r="369" spans="1:13" x14ac:dyDescent="0.25">
      <c r="A369">
        <v>76.7000000000005</v>
      </c>
      <c r="B369" t="e">
        <f t="shared" si="50"/>
        <v>#N/A</v>
      </c>
      <c r="C369" t="e">
        <f t="shared" si="51"/>
        <v>#N/A</v>
      </c>
      <c r="D369">
        <f t="shared" si="52"/>
        <v>7.9593259964073071E-3</v>
      </c>
      <c r="E369" t="e">
        <f t="shared" si="53"/>
        <v>#N/A</v>
      </c>
      <c r="F369" t="e">
        <f t="shared" si="54"/>
        <v>#N/A</v>
      </c>
      <c r="G369" t="e">
        <f t="shared" si="55"/>
        <v>#N/A</v>
      </c>
      <c r="H369" t="e">
        <f t="shared" si="56"/>
        <v>#N/A</v>
      </c>
      <c r="I369" t="e">
        <f t="shared" si="57"/>
        <v>#N/A</v>
      </c>
      <c r="J369" t="e">
        <f t="shared" si="58"/>
        <v>#N/A</v>
      </c>
      <c r="K369">
        <f t="shared" si="59"/>
        <v>8.1593259964073076E-3</v>
      </c>
      <c r="L369" t="e">
        <f>IF(AND(ABS((ChartCalculations!A369-Calculations!$F$3)/Calculations!$F$4)&lt;5,OR(A369&lt;=Calculations!$F$7,A369&gt;=Calculations!$F$8)),0.2*_xlfn.NORM.DIST(100,100,15,FALSE)*_xlfn.NORM.DIST(A369,Calculations!$F$3,Calculations!$F$4,FALSE)/_xlfn.NORM.DIST(Calculations!$F$3,Calculations!$F$3,Calculations!$F$4,FALSE),NA())</f>
        <v>#N/A</v>
      </c>
      <c r="M369" t="e">
        <f>IF(AND(A369&gt;=Calculations!$F$7,A369&lt;=Calculations!$F$8),0.2*_xlfn.NORM.DIST(100,100,15,FALSE)*_xlfn.NORM.DIST(A369,Calculations!$F$3,Calculations!$F$4,FALSE)/_xlfn.NORM.DIST(Calculations!$F$3,Calculations!$F$3,Calculations!$F$4,FALSE),NA())</f>
        <v>#N/A</v>
      </c>
    </row>
    <row r="370" spans="1:13" x14ac:dyDescent="0.25">
      <c r="A370">
        <v>76.800000000000495</v>
      </c>
      <c r="B370" t="e">
        <f t="shared" si="50"/>
        <v>#N/A</v>
      </c>
      <c r="C370" t="e">
        <f t="shared" si="51"/>
        <v>#N/A</v>
      </c>
      <c r="D370">
        <f t="shared" si="52"/>
        <v>8.0419987720778425E-3</v>
      </c>
      <c r="E370" t="e">
        <f t="shared" si="53"/>
        <v>#N/A</v>
      </c>
      <c r="F370" t="e">
        <f t="shared" si="54"/>
        <v>#N/A</v>
      </c>
      <c r="G370" t="e">
        <f t="shared" si="55"/>
        <v>#N/A</v>
      </c>
      <c r="H370" t="e">
        <f t="shared" si="56"/>
        <v>#N/A</v>
      </c>
      <c r="I370" t="e">
        <f t="shared" si="57"/>
        <v>#N/A</v>
      </c>
      <c r="J370" t="e">
        <f t="shared" si="58"/>
        <v>#N/A</v>
      </c>
      <c r="K370">
        <f t="shared" si="59"/>
        <v>8.241998772077843E-3</v>
      </c>
      <c r="L370" t="e">
        <f>IF(AND(ABS((ChartCalculations!A370-Calculations!$F$3)/Calculations!$F$4)&lt;5,OR(A370&lt;=Calculations!$F$7,A370&gt;=Calculations!$F$8)),0.2*_xlfn.NORM.DIST(100,100,15,FALSE)*_xlfn.NORM.DIST(A370,Calculations!$F$3,Calculations!$F$4,FALSE)/_xlfn.NORM.DIST(Calculations!$F$3,Calculations!$F$3,Calculations!$F$4,FALSE),NA())</f>
        <v>#N/A</v>
      </c>
      <c r="M370" t="e">
        <f>IF(AND(A370&gt;=Calculations!$F$7,A370&lt;=Calculations!$F$8),0.2*_xlfn.NORM.DIST(100,100,15,FALSE)*_xlfn.NORM.DIST(A370,Calculations!$F$3,Calculations!$F$4,FALSE)/_xlfn.NORM.DIST(Calculations!$F$3,Calculations!$F$3,Calculations!$F$4,FALSE),NA())</f>
        <v>#N/A</v>
      </c>
    </row>
    <row r="371" spans="1:13" x14ac:dyDescent="0.25">
      <c r="A371">
        <v>76.900000000000503</v>
      </c>
      <c r="B371" t="e">
        <f t="shared" si="50"/>
        <v>#N/A</v>
      </c>
      <c r="C371" t="e">
        <f t="shared" si="51"/>
        <v>#N/A</v>
      </c>
      <c r="D371">
        <f t="shared" si="52"/>
        <v>8.1251691354938711E-3</v>
      </c>
      <c r="E371" t="e">
        <f t="shared" si="53"/>
        <v>#N/A</v>
      </c>
      <c r="F371" t="e">
        <f t="shared" si="54"/>
        <v>#N/A</v>
      </c>
      <c r="G371" t="e">
        <f t="shared" si="55"/>
        <v>#N/A</v>
      </c>
      <c r="H371" t="e">
        <f t="shared" si="56"/>
        <v>#N/A</v>
      </c>
      <c r="I371" t="e">
        <f t="shared" si="57"/>
        <v>#N/A</v>
      </c>
      <c r="J371" t="e">
        <f t="shared" si="58"/>
        <v>#N/A</v>
      </c>
      <c r="K371">
        <f t="shared" si="59"/>
        <v>8.3251691354938716E-3</v>
      </c>
      <c r="L371" t="e">
        <f>IF(AND(ABS((ChartCalculations!A371-Calculations!$F$3)/Calculations!$F$4)&lt;5,OR(A371&lt;=Calculations!$F$7,A371&gt;=Calculations!$F$8)),0.2*_xlfn.NORM.DIST(100,100,15,FALSE)*_xlfn.NORM.DIST(A371,Calculations!$F$3,Calculations!$F$4,FALSE)/_xlfn.NORM.DIST(Calculations!$F$3,Calculations!$F$3,Calculations!$F$4,FALSE),NA())</f>
        <v>#N/A</v>
      </c>
      <c r="M371" t="e">
        <f>IF(AND(A371&gt;=Calculations!$F$7,A371&lt;=Calculations!$F$8),0.2*_xlfn.NORM.DIST(100,100,15,FALSE)*_xlfn.NORM.DIST(A371,Calculations!$F$3,Calculations!$F$4,FALSE)/_xlfn.NORM.DIST(Calculations!$F$3,Calculations!$F$3,Calculations!$F$4,FALSE),NA())</f>
        <v>#N/A</v>
      </c>
    </row>
    <row r="372" spans="1:13" x14ac:dyDescent="0.25">
      <c r="A372">
        <v>77.000000000000497</v>
      </c>
      <c r="B372" t="e">
        <f t="shared" si="50"/>
        <v>#N/A</v>
      </c>
      <c r="C372" t="e">
        <f t="shared" si="51"/>
        <v>#N/A</v>
      </c>
      <c r="D372">
        <f t="shared" si="52"/>
        <v>8.2088348017237238E-3</v>
      </c>
      <c r="E372" t="e">
        <f t="shared" si="53"/>
        <v>#N/A</v>
      </c>
      <c r="F372" t="e">
        <f t="shared" si="54"/>
        <v>#N/A</v>
      </c>
      <c r="G372" t="e">
        <f t="shared" si="55"/>
        <v>#N/A</v>
      </c>
      <c r="H372" t="e">
        <f t="shared" si="56"/>
        <v>#N/A</v>
      </c>
      <c r="I372" t="e">
        <f t="shared" si="57"/>
        <v>#N/A</v>
      </c>
      <c r="J372" t="e">
        <f t="shared" si="58"/>
        <v>#N/A</v>
      </c>
      <c r="K372">
        <f t="shared" si="59"/>
        <v>8.4088348017237243E-3</v>
      </c>
      <c r="L372" t="e">
        <f>IF(AND(ABS((ChartCalculations!A372-Calculations!$F$3)/Calculations!$F$4)&lt;5,OR(A372&lt;=Calculations!$F$7,A372&gt;=Calculations!$F$8)),0.2*_xlfn.NORM.DIST(100,100,15,FALSE)*_xlfn.NORM.DIST(A372,Calculations!$F$3,Calculations!$F$4,FALSE)/_xlfn.NORM.DIST(Calculations!$F$3,Calculations!$F$3,Calculations!$F$4,FALSE),NA())</f>
        <v>#N/A</v>
      </c>
      <c r="M372" t="e">
        <f>IF(AND(A372&gt;=Calculations!$F$7,A372&lt;=Calculations!$F$8),0.2*_xlfn.NORM.DIST(100,100,15,FALSE)*_xlfn.NORM.DIST(A372,Calculations!$F$3,Calculations!$F$4,FALSE)/_xlfn.NORM.DIST(Calculations!$F$3,Calculations!$F$3,Calculations!$F$4,FALSE),NA())</f>
        <v>#N/A</v>
      </c>
    </row>
    <row r="373" spans="1:13" x14ac:dyDescent="0.25">
      <c r="A373">
        <v>77.100000000000506</v>
      </c>
      <c r="B373" t="e">
        <f t="shared" si="50"/>
        <v>#N/A</v>
      </c>
      <c r="C373" t="e">
        <f t="shared" si="51"/>
        <v>#N/A</v>
      </c>
      <c r="D373">
        <f t="shared" si="52"/>
        <v>8.292993395877751E-3</v>
      </c>
      <c r="E373" t="e">
        <f t="shared" si="53"/>
        <v>#N/A</v>
      </c>
      <c r="F373" t="e">
        <f t="shared" si="54"/>
        <v>#N/A</v>
      </c>
      <c r="G373" t="e">
        <f t="shared" si="55"/>
        <v>#N/A</v>
      </c>
      <c r="H373" t="e">
        <f t="shared" si="56"/>
        <v>#N/A</v>
      </c>
      <c r="I373" t="e">
        <f t="shared" si="57"/>
        <v>#N/A</v>
      </c>
      <c r="J373" t="e">
        <f t="shared" si="58"/>
        <v>#N/A</v>
      </c>
      <c r="K373">
        <f t="shared" si="59"/>
        <v>8.4929933958777515E-3</v>
      </c>
      <c r="L373" t="e">
        <f>IF(AND(ABS((ChartCalculations!A373-Calculations!$F$3)/Calculations!$F$4)&lt;5,OR(A373&lt;=Calculations!$F$7,A373&gt;=Calculations!$F$8)),0.2*_xlfn.NORM.DIST(100,100,15,FALSE)*_xlfn.NORM.DIST(A373,Calculations!$F$3,Calculations!$F$4,FALSE)/_xlfn.NORM.DIST(Calculations!$F$3,Calculations!$F$3,Calculations!$F$4,FALSE),NA())</f>
        <v>#N/A</v>
      </c>
      <c r="M373" t="e">
        <f>IF(AND(A373&gt;=Calculations!$F$7,A373&lt;=Calculations!$F$8),0.2*_xlfn.NORM.DIST(100,100,15,FALSE)*_xlfn.NORM.DIST(A373,Calculations!$F$3,Calculations!$F$4,FALSE)/_xlfn.NORM.DIST(Calculations!$F$3,Calculations!$F$3,Calculations!$F$4,FALSE),NA())</f>
        <v>#N/A</v>
      </c>
    </row>
    <row r="374" spans="1:13" x14ac:dyDescent="0.25">
      <c r="A374">
        <v>77.2000000000005</v>
      </c>
      <c r="B374" t="e">
        <f t="shared" si="50"/>
        <v>#N/A</v>
      </c>
      <c r="C374" t="e">
        <f t="shared" si="51"/>
        <v>#N/A</v>
      </c>
      <c r="D374">
        <f t="shared" si="52"/>
        <v>8.377642452606299E-3</v>
      </c>
      <c r="E374" t="e">
        <f t="shared" si="53"/>
        <v>#N/A</v>
      </c>
      <c r="F374" t="e">
        <f t="shared" si="54"/>
        <v>#N/A</v>
      </c>
      <c r="G374" t="e">
        <f t="shared" si="55"/>
        <v>#N/A</v>
      </c>
      <c r="H374" t="e">
        <f t="shared" si="56"/>
        <v>#N/A</v>
      </c>
      <c r="I374" t="e">
        <f t="shared" si="57"/>
        <v>#N/A</v>
      </c>
      <c r="J374" t="e">
        <f t="shared" si="58"/>
        <v>#N/A</v>
      </c>
      <c r="K374">
        <f t="shared" si="59"/>
        <v>8.5776424526062996E-3</v>
      </c>
      <c r="L374" t="e">
        <f>IF(AND(ABS((ChartCalculations!A374-Calculations!$F$3)/Calculations!$F$4)&lt;5,OR(A374&lt;=Calculations!$F$7,A374&gt;=Calculations!$F$8)),0.2*_xlfn.NORM.DIST(100,100,15,FALSE)*_xlfn.NORM.DIST(A374,Calculations!$F$3,Calculations!$F$4,FALSE)/_xlfn.NORM.DIST(Calculations!$F$3,Calculations!$F$3,Calculations!$F$4,FALSE),NA())</f>
        <v>#N/A</v>
      </c>
      <c r="M374" t="e">
        <f>IF(AND(A374&gt;=Calculations!$F$7,A374&lt;=Calculations!$F$8),0.2*_xlfn.NORM.DIST(100,100,15,FALSE)*_xlfn.NORM.DIST(A374,Calculations!$F$3,Calculations!$F$4,FALSE)/_xlfn.NORM.DIST(Calculations!$F$3,Calculations!$F$3,Calculations!$F$4,FALSE),NA())</f>
        <v>#N/A</v>
      </c>
    </row>
    <row r="375" spans="1:13" x14ac:dyDescent="0.25">
      <c r="A375">
        <v>77.300000000000495</v>
      </c>
      <c r="B375" t="e">
        <f t="shared" si="50"/>
        <v>#N/A</v>
      </c>
      <c r="C375" t="e">
        <f t="shared" si="51"/>
        <v>#N/A</v>
      </c>
      <c r="D375">
        <f t="shared" si="52"/>
        <v>8.4627794156129209E-3</v>
      </c>
      <c r="E375" t="e">
        <f t="shared" si="53"/>
        <v>#N/A</v>
      </c>
      <c r="F375" t="e">
        <f t="shared" si="54"/>
        <v>#N/A</v>
      </c>
      <c r="G375" t="e">
        <f t="shared" si="55"/>
        <v>#N/A</v>
      </c>
      <c r="H375" t="e">
        <f t="shared" si="56"/>
        <v>#N/A</v>
      </c>
      <c r="I375" t="e">
        <f t="shared" si="57"/>
        <v>#N/A</v>
      </c>
      <c r="J375" t="e">
        <f t="shared" si="58"/>
        <v>#N/A</v>
      </c>
      <c r="K375">
        <f t="shared" si="59"/>
        <v>8.6627794156129215E-3</v>
      </c>
      <c r="L375" t="e">
        <f>IF(AND(ABS((ChartCalculations!A375-Calculations!$F$3)/Calculations!$F$4)&lt;5,OR(A375&lt;=Calculations!$F$7,A375&gt;=Calculations!$F$8)),0.2*_xlfn.NORM.DIST(100,100,15,FALSE)*_xlfn.NORM.DIST(A375,Calculations!$F$3,Calculations!$F$4,FALSE)/_xlfn.NORM.DIST(Calculations!$F$3,Calculations!$F$3,Calculations!$F$4,FALSE),NA())</f>
        <v>#N/A</v>
      </c>
      <c r="M375" t="e">
        <f>IF(AND(A375&gt;=Calculations!$F$7,A375&lt;=Calculations!$F$8),0.2*_xlfn.NORM.DIST(100,100,15,FALSE)*_xlfn.NORM.DIST(A375,Calculations!$F$3,Calculations!$F$4,FALSE)/_xlfn.NORM.DIST(Calculations!$F$3,Calculations!$F$3,Calculations!$F$4,FALSE),NA())</f>
        <v>#N/A</v>
      </c>
    </row>
    <row r="376" spans="1:13" x14ac:dyDescent="0.25">
      <c r="A376">
        <v>77.400000000000503</v>
      </c>
      <c r="B376" t="e">
        <f t="shared" si="50"/>
        <v>#N/A</v>
      </c>
      <c r="C376" t="e">
        <f t="shared" si="51"/>
        <v>#N/A</v>
      </c>
      <c r="D376">
        <f t="shared" si="52"/>
        <v>8.5484016371827464E-3</v>
      </c>
      <c r="E376" t="e">
        <f t="shared" si="53"/>
        <v>#N/A</v>
      </c>
      <c r="F376" t="e">
        <f t="shared" si="54"/>
        <v>#N/A</v>
      </c>
      <c r="G376" t="e">
        <f t="shared" si="55"/>
        <v>#N/A</v>
      </c>
      <c r="H376" t="e">
        <f t="shared" si="56"/>
        <v>#N/A</v>
      </c>
      <c r="I376" t="e">
        <f t="shared" si="57"/>
        <v>#N/A</v>
      </c>
      <c r="J376" t="e">
        <f t="shared" si="58"/>
        <v>#N/A</v>
      </c>
      <c r="K376">
        <f t="shared" si="59"/>
        <v>8.7484016371827469E-3</v>
      </c>
      <c r="L376" t="e">
        <f>IF(AND(ABS((ChartCalculations!A376-Calculations!$F$3)/Calculations!$F$4)&lt;5,OR(A376&lt;=Calculations!$F$7,A376&gt;=Calculations!$F$8)),0.2*_xlfn.NORM.DIST(100,100,15,FALSE)*_xlfn.NORM.DIST(A376,Calculations!$F$3,Calculations!$F$4,FALSE)/_xlfn.NORM.DIST(Calculations!$F$3,Calculations!$F$3,Calculations!$F$4,FALSE),NA())</f>
        <v>#N/A</v>
      </c>
      <c r="M376" t="e">
        <f>IF(AND(A376&gt;=Calculations!$F$7,A376&lt;=Calculations!$F$8),0.2*_xlfn.NORM.DIST(100,100,15,FALSE)*_xlfn.NORM.DIST(A376,Calculations!$F$3,Calculations!$F$4,FALSE)/_xlfn.NORM.DIST(Calculations!$F$3,Calculations!$F$3,Calculations!$F$4,FALSE),NA())</f>
        <v>#N/A</v>
      </c>
    </row>
    <row r="377" spans="1:13" x14ac:dyDescent="0.25">
      <c r="A377">
        <v>77.500000000000497</v>
      </c>
      <c r="B377" t="e">
        <f t="shared" si="50"/>
        <v>#N/A</v>
      </c>
      <c r="C377" t="e">
        <f t="shared" si="51"/>
        <v>#N/A</v>
      </c>
      <c r="D377">
        <f t="shared" si="52"/>
        <v>8.6345063777265463E-3</v>
      </c>
      <c r="E377" t="e">
        <f t="shared" si="53"/>
        <v>#N/A</v>
      </c>
      <c r="F377" t="e">
        <f t="shared" si="54"/>
        <v>#N/A</v>
      </c>
      <c r="G377" t="e">
        <f t="shared" si="55"/>
        <v>#N/A</v>
      </c>
      <c r="H377" t="e">
        <f t="shared" si="56"/>
        <v>#N/A</v>
      </c>
      <c r="I377" t="e">
        <f t="shared" si="57"/>
        <v>#N/A</v>
      </c>
      <c r="J377" t="e">
        <f t="shared" si="58"/>
        <v>#N/A</v>
      </c>
      <c r="K377">
        <f t="shared" si="59"/>
        <v>8.8345063777265469E-3</v>
      </c>
      <c r="L377" t="e">
        <f>IF(AND(ABS((ChartCalculations!A377-Calculations!$F$3)/Calculations!$F$4)&lt;5,OR(A377&lt;=Calculations!$F$7,A377&gt;=Calculations!$F$8)),0.2*_xlfn.NORM.DIST(100,100,15,FALSE)*_xlfn.NORM.DIST(A377,Calculations!$F$3,Calculations!$F$4,FALSE)/_xlfn.NORM.DIST(Calculations!$F$3,Calculations!$F$3,Calculations!$F$4,FALSE),NA())</f>
        <v>#N/A</v>
      </c>
      <c r="M377" t="e">
        <f>IF(AND(A377&gt;=Calculations!$F$7,A377&lt;=Calculations!$F$8),0.2*_xlfn.NORM.DIST(100,100,15,FALSE)*_xlfn.NORM.DIST(A377,Calculations!$F$3,Calculations!$F$4,FALSE)/_xlfn.NORM.DIST(Calculations!$F$3,Calculations!$F$3,Calculations!$F$4,FALSE),NA())</f>
        <v>#N/A</v>
      </c>
    </row>
    <row r="378" spans="1:13" x14ac:dyDescent="0.25">
      <c r="A378">
        <v>77.600000000000506</v>
      </c>
      <c r="B378" t="e">
        <f t="shared" si="50"/>
        <v>#N/A</v>
      </c>
      <c r="C378" t="e">
        <f t="shared" si="51"/>
        <v>#N/A</v>
      </c>
      <c r="D378">
        <f t="shared" si="52"/>
        <v>8.7210908053407497E-3</v>
      </c>
      <c r="E378" t="e">
        <f t="shared" si="53"/>
        <v>#N/A</v>
      </c>
      <c r="F378" t="e">
        <f t="shared" si="54"/>
        <v>#N/A</v>
      </c>
      <c r="G378" t="e">
        <f t="shared" si="55"/>
        <v>#N/A</v>
      </c>
      <c r="H378" t="e">
        <f t="shared" si="56"/>
        <v>#N/A</v>
      </c>
      <c r="I378" t="e">
        <f t="shared" si="57"/>
        <v>#N/A</v>
      </c>
      <c r="J378" t="e">
        <f t="shared" si="58"/>
        <v>#N/A</v>
      </c>
      <c r="K378">
        <f t="shared" si="59"/>
        <v>8.9210908053407503E-3</v>
      </c>
      <c r="L378" t="e">
        <f>IF(AND(ABS((ChartCalculations!A378-Calculations!$F$3)/Calculations!$F$4)&lt;5,OR(A378&lt;=Calculations!$F$7,A378&gt;=Calculations!$F$8)),0.2*_xlfn.NORM.DIST(100,100,15,FALSE)*_xlfn.NORM.DIST(A378,Calculations!$F$3,Calculations!$F$4,FALSE)/_xlfn.NORM.DIST(Calculations!$F$3,Calculations!$F$3,Calculations!$F$4,FALSE),NA())</f>
        <v>#N/A</v>
      </c>
      <c r="M378" t="e">
        <f>IF(AND(A378&gt;=Calculations!$F$7,A378&lt;=Calculations!$F$8),0.2*_xlfn.NORM.DIST(100,100,15,FALSE)*_xlfn.NORM.DIST(A378,Calculations!$F$3,Calculations!$F$4,FALSE)/_xlfn.NORM.DIST(Calculations!$F$3,Calculations!$F$3,Calculations!$F$4,FALSE),NA())</f>
        <v>#N/A</v>
      </c>
    </row>
    <row r="379" spans="1:13" x14ac:dyDescent="0.25">
      <c r="A379">
        <v>77.7000000000005</v>
      </c>
      <c r="B379" t="e">
        <f t="shared" si="50"/>
        <v>#N/A</v>
      </c>
      <c r="C379" t="e">
        <f t="shared" si="51"/>
        <v>#N/A</v>
      </c>
      <c r="D379">
        <f t="shared" si="52"/>
        <v>8.8081519953834876E-3</v>
      </c>
      <c r="E379" t="e">
        <f t="shared" si="53"/>
        <v>#N/A</v>
      </c>
      <c r="F379" t="e">
        <f t="shared" si="54"/>
        <v>#N/A</v>
      </c>
      <c r="G379" t="e">
        <f t="shared" si="55"/>
        <v>#N/A</v>
      </c>
      <c r="H379" t="e">
        <f t="shared" si="56"/>
        <v>#N/A</v>
      </c>
      <c r="I379" t="e">
        <f t="shared" si="57"/>
        <v>#N/A</v>
      </c>
      <c r="J379" t="e">
        <f t="shared" si="58"/>
        <v>#N/A</v>
      </c>
      <c r="K379">
        <f t="shared" si="59"/>
        <v>9.0081519953834881E-3</v>
      </c>
      <c r="L379" t="e">
        <f>IF(AND(ABS((ChartCalculations!A379-Calculations!$F$3)/Calculations!$F$4)&lt;5,OR(A379&lt;=Calculations!$F$7,A379&gt;=Calculations!$F$8)),0.2*_xlfn.NORM.DIST(100,100,15,FALSE)*_xlfn.NORM.DIST(A379,Calculations!$F$3,Calculations!$F$4,FALSE)/_xlfn.NORM.DIST(Calculations!$F$3,Calculations!$F$3,Calculations!$F$4,FALSE),NA())</f>
        <v>#N/A</v>
      </c>
      <c r="M379" t="e">
        <f>IF(AND(A379&gt;=Calculations!$F$7,A379&lt;=Calculations!$F$8),0.2*_xlfn.NORM.DIST(100,100,15,FALSE)*_xlfn.NORM.DIST(A379,Calculations!$F$3,Calculations!$F$4,FALSE)/_xlfn.NORM.DIST(Calculations!$F$3,Calculations!$F$3,Calculations!$F$4,FALSE),NA())</f>
        <v>#N/A</v>
      </c>
    </row>
    <row r="380" spans="1:13" x14ac:dyDescent="0.25">
      <c r="A380">
        <v>77.800000000000495</v>
      </c>
      <c r="B380" t="e">
        <f t="shared" si="50"/>
        <v>#N/A</v>
      </c>
      <c r="C380" t="e">
        <f t="shared" si="51"/>
        <v>#N/A</v>
      </c>
      <c r="D380">
        <f t="shared" si="52"/>
        <v>8.895686930067254E-3</v>
      </c>
      <c r="E380" t="e">
        <f t="shared" si="53"/>
        <v>#N/A</v>
      </c>
      <c r="F380" t="e">
        <f t="shared" si="54"/>
        <v>#N/A</v>
      </c>
      <c r="G380" t="e">
        <f t="shared" si="55"/>
        <v>#N/A</v>
      </c>
      <c r="H380" t="e">
        <f t="shared" si="56"/>
        <v>#N/A</v>
      </c>
      <c r="I380" t="e">
        <f t="shared" si="57"/>
        <v>#N/A</v>
      </c>
      <c r="J380" t="e">
        <f t="shared" si="58"/>
        <v>#N/A</v>
      </c>
      <c r="K380">
        <f t="shared" si="59"/>
        <v>9.0956869300672545E-3</v>
      </c>
      <c r="L380" t="e">
        <f>IF(AND(ABS((ChartCalculations!A380-Calculations!$F$3)/Calculations!$F$4)&lt;5,OR(A380&lt;=Calculations!$F$7,A380&gt;=Calculations!$F$8)),0.2*_xlfn.NORM.DIST(100,100,15,FALSE)*_xlfn.NORM.DIST(A380,Calculations!$F$3,Calculations!$F$4,FALSE)/_xlfn.NORM.DIST(Calculations!$F$3,Calculations!$F$3,Calculations!$F$4,FALSE),NA())</f>
        <v>#N/A</v>
      </c>
      <c r="M380" t="e">
        <f>IF(AND(A380&gt;=Calculations!$F$7,A380&lt;=Calculations!$F$8),0.2*_xlfn.NORM.DIST(100,100,15,FALSE)*_xlfn.NORM.DIST(A380,Calculations!$F$3,Calculations!$F$4,FALSE)/_xlfn.NORM.DIST(Calculations!$F$3,Calculations!$F$3,Calculations!$F$4,FALSE),NA())</f>
        <v>#N/A</v>
      </c>
    </row>
    <row r="381" spans="1:13" x14ac:dyDescent="0.25">
      <c r="A381">
        <v>77.900000000000503</v>
      </c>
      <c r="B381" t="e">
        <f t="shared" si="50"/>
        <v>#N/A</v>
      </c>
      <c r="C381" t="e">
        <f t="shared" si="51"/>
        <v>#N/A</v>
      </c>
      <c r="D381">
        <f t="shared" si="52"/>
        <v>8.9836924980681819E-3</v>
      </c>
      <c r="E381" t="e">
        <f t="shared" si="53"/>
        <v>#N/A</v>
      </c>
      <c r="F381" t="e">
        <f t="shared" si="54"/>
        <v>#N/A</v>
      </c>
      <c r="G381" t="e">
        <f t="shared" si="55"/>
        <v>#N/A</v>
      </c>
      <c r="H381" t="e">
        <f t="shared" si="56"/>
        <v>#N/A</v>
      </c>
      <c r="I381" t="e">
        <f t="shared" si="57"/>
        <v>#N/A</v>
      </c>
      <c r="J381" t="e">
        <f t="shared" si="58"/>
        <v>#N/A</v>
      </c>
      <c r="K381">
        <f t="shared" si="59"/>
        <v>9.1836924980681824E-3</v>
      </c>
      <c r="L381" t="e">
        <f>IF(AND(ABS((ChartCalculations!A381-Calculations!$F$3)/Calculations!$F$4)&lt;5,OR(A381&lt;=Calculations!$F$7,A381&gt;=Calculations!$F$8)),0.2*_xlfn.NORM.DIST(100,100,15,FALSE)*_xlfn.NORM.DIST(A381,Calculations!$F$3,Calculations!$F$4,FALSE)/_xlfn.NORM.DIST(Calculations!$F$3,Calculations!$F$3,Calculations!$F$4,FALSE),NA())</f>
        <v>#N/A</v>
      </c>
      <c r="M381" t="e">
        <f>IF(AND(A381&gt;=Calculations!$F$7,A381&lt;=Calculations!$F$8),0.2*_xlfn.NORM.DIST(100,100,15,FALSE)*_xlfn.NORM.DIST(A381,Calculations!$F$3,Calculations!$F$4,FALSE)/_xlfn.NORM.DIST(Calculations!$F$3,Calculations!$F$3,Calculations!$F$4,FALSE),NA())</f>
        <v>#N/A</v>
      </c>
    </row>
    <row r="382" spans="1:13" x14ac:dyDescent="0.25">
      <c r="A382">
        <v>78.000000000000497</v>
      </c>
      <c r="B382" t="e">
        <f t="shared" si="50"/>
        <v>#N/A</v>
      </c>
      <c r="C382" t="e">
        <f t="shared" si="51"/>
        <v>#N/A</v>
      </c>
      <c r="D382">
        <f t="shared" si="52"/>
        <v>9.0721654941523112E-3</v>
      </c>
      <c r="E382" t="e">
        <f t="shared" si="53"/>
        <v>#N/A</v>
      </c>
      <c r="F382" t="e">
        <f t="shared" si="54"/>
        <v>#N/A</v>
      </c>
      <c r="G382" t="e">
        <f t="shared" si="55"/>
        <v>#N/A</v>
      </c>
      <c r="H382" t="e">
        <f t="shared" si="56"/>
        <v>#N/A</v>
      </c>
      <c r="I382" t="e">
        <f t="shared" si="57"/>
        <v>#N/A</v>
      </c>
      <c r="J382" t="e">
        <f t="shared" si="58"/>
        <v>#N/A</v>
      </c>
      <c r="K382">
        <f t="shared" si="59"/>
        <v>9.2721654941523117E-3</v>
      </c>
      <c r="L382" t="e">
        <f>IF(AND(ABS((ChartCalculations!A382-Calculations!$F$3)/Calculations!$F$4)&lt;5,OR(A382&lt;=Calculations!$F$7,A382&gt;=Calculations!$F$8)),0.2*_xlfn.NORM.DIST(100,100,15,FALSE)*_xlfn.NORM.DIST(A382,Calculations!$F$3,Calculations!$F$4,FALSE)/_xlfn.NORM.DIST(Calculations!$F$3,Calculations!$F$3,Calculations!$F$4,FALSE),NA())</f>
        <v>#N/A</v>
      </c>
      <c r="M382" t="e">
        <f>IF(AND(A382&gt;=Calculations!$F$7,A382&lt;=Calculations!$F$8),0.2*_xlfn.NORM.DIST(100,100,15,FALSE)*_xlfn.NORM.DIST(A382,Calculations!$F$3,Calculations!$F$4,FALSE)/_xlfn.NORM.DIST(Calculations!$F$3,Calculations!$F$3,Calculations!$F$4,FALSE),NA())</f>
        <v>#N/A</v>
      </c>
    </row>
    <row r="383" spans="1:13" x14ac:dyDescent="0.25">
      <c r="A383">
        <v>78.100000000000506</v>
      </c>
      <c r="B383" t="e">
        <f t="shared" si="50"/>
        <v>#N/A</v>
      </c>
      <c r="C383" t="e">
        <f t="shared" si="51"/>
        <v>#N/A</v>
      </c>
      <c r="D383">
        <f t="shared" si="52"/>
        <v>9.161102618819238E-3</v>
      </c>
      <c r="E383" t="e">
        <f t="shared" si="53"/>
        <v>#N/A</v>
      </c>
      <c r="F383" t="e">
        <f t="shared" si="54"/>
        <v>#N/A</v>
      </c>
      <c r="G383" t="e">
        <f t="shared" si="55"/>
        <v>#N/A</v>
      </c>
      <c r="H383" t="e">
        <f t="shared" si="56"/>
        <v>#N/A</v>
      </c>
      <c r="I383" t="e">
        <f t="shared" si="57"/>
        <v>#N/A</v>
      </c>
      <c r="J383" t="e">
        <f t="shared" si="58"/>
        <v>#N/A</v>
      </c>
      <c r="K383">
        <f t="shared" si="59"/>
        <v>9.3611026188192385E-3</v>
      </c>
      <c r="L383" t="e">
        <f>IF(AND(ABS((ChartCalculations!A383-Calculations!$F$3)/Calculations!$F$4)&lt;5,OR(A383&lt;=Calculations!$F$7,A383&gt;=Calculations!$F$8)),0.2*_xlfn.NORM.DIST(100,100,15,FALSE)*_xlfn.NORM.DIST(A383,Calculations!$F$3,Calculations!$F$4,FALSE)/_xlfn.NORM.DIST(Calculations!$F$3,Calculations!$F$3,Calculations!$F$4,FALSE),NA())</f>
        <v>#N/A</v>
      </c>
      <c r="M383" t="e">
        <f>IF(AND(A383&gt;=Calculations!$F$7,A383&lt;=Calculations!$F$8),0.2*_xlfn.NORM.DIST(100,100,15,FALSE)*_xlfn.NORM.DIST(A383,Calculations!$F$3,Calculations!$F$4,FALSE)/_xlfn.NORM.DIST(Calculations!$F$3,Calculations!$F$3,Calculations!$F$4,FALSE),NA())</f>
        <v>#N/A</v>
      </c>
    </row>
    <row r="384" spans="1:13" x14ac:dyDescent="0.25">
      <c r="A384">
        <v>78.2000000000005</v>
      </c>
      <c r="B384" t="e">
        <f t="shared" si="50"/>
        <v>#N/A</v>
      </c>
      <c r="C384" t="e">
        <f t="shared" si="51"/>
        <v>#N/A</v>
      </c>
      <c r="D384">
        <f t="shared" si="52"/>
        <v>9.2505004779631136E-3</v>
      </c>
      <c r="E384" t="e">
        <f t="shared" si="53"/>
        <v>#N/A</v>
      </c>
      <c r="F384" t="e">
        <f t="shared" si="54"/>
        <v>#N/A</v>
      </c>
      <c r="G384" t="e">
        <f t="shared" si="55"/>
        <v>#N/A</v>
      </c>
      <c r="H384" t="e">
        <f t="shared" si="56"/>
        <v>#N/A</v>
      </c>
      <c r="I384" t="e">
        <f t="shared" si="57"/>
        <v>#N/A</v>
      </c>
      <c r="J384" t="e">
        <f t="shared" si="58"/>
        <v>#N/A</v>
      </c>
      <c r="K384">
        <f t="shared" si="59"/>
        <v>9.4505004779631141E-3</v>
      </c>
      <c r="L384" t="e">
        <f>IF(AND(ABS((ChartCalculations!A384-Calculations!$F$3)/Calculations!$F$4)&lt;5,OR(A384&lt;=Calculations!$F$7,A384&gt;=Calculations!$F$8)),0.2*_xlfn.NORM.DIST(100,100,15,FALSE)*_xlfn.NORM.DIST(A384,Calculations!$F$3,Calculations!$F$4,FALSE)/_xlfn.NORM.DIST(Calculations!$F$3,Calculations!$F$3,Calculations!$F$4,FALSE),NA())</f>
        <v>#N/A</v>
      </c>
      <c r="M384" t="e">
        <f>IF(AND(A384&gt;=Calculations!$F$7,A384&lt;=Calculations!$F$8),0.2*_xlfn.NORM.DIST(100,100,15,FALSE)*_xlfn.NORM.DIST(A384,Calculations!$F$3,Calculations!$F$4,FALSE)/_xlfn.NORM.DIST(Calculations!$F$3,Calculations!$F$3,Calculations!$F$4,FALSE),NA())</f>
        <v>#N/A</v>
      </c>
    </row>
    <row r="385" spans="1:13" x14ac:dyDescent="0.25">
      <c r="A385">
        <v>78.300000000000495</v>
      </c>
      <c r="B385" t="e">
        <f t="shared" si="50"/>
        <v>#N/A</v>
      </c>
      <c r="C385" t="e">
        <f t="shared" si="51"/>
        <v>#N/A</v>
      </c>
      <c r="D385">
        <f t="shared" si="52"/>
        <v>9.3403555825516595E-3</v>
      </c>
      <c r="E385" t="e">
        <f t="shared" si="53"/>
        <v>#N/A</v>
      </c>
      <c r="F385" t="e">
        <f t="shared" si="54"/>
        <v>#N/A</v>
      </c>
      <c r="G385" t="e">
        <f t="shared" si="55"/>
        <v>#N/A</v>
      </c>
      <c r="H385" t="e">
        <f t="shared" si="56"/>
        <v>#N/A</v>
      </c>
      <c r="I385" t="e">
        <f t="shared" si="57"/>
        <v>#N/A</v>
      </c>
      <c r="J385" t="e">
        <f t="shared" si="58"/>
        <v>#N/A</v>
      </c>
      <c r="K385">
        <f t="shared" si="59"/>
        <v>9.5403555825516601E-3</v>
      </c>
      <c r="L385" t="e">
        <f>IF(AND(ABS((ChartCalculations!A385-Calculations!$F$3)/Calculations!$F$4)&lt;5,OR(A385&lt;=Calculations!$F$7,A385&gt;=Calculations!$F$8)),0.2*_xlfn.NORM.DIST(100,100,15,FALSE)*_xlfn.NORM.DIST(A385,Calculations!$F$3,Calculations!$F$4,FALSE)/_xlfn.NORM.DIST(Calculations!$F$3,Calculations!$F$3,Calculations!$F$4,FALSE),NA())</f>
        <v>#N/A</v>
      </c>
      <c r="M385" t="e">
        <f>IF(AND(A385&gt;=Calculations!$F$7,A385&lt;=Calculations!$F$8),0.2*_xlfn.NORM.DIST(100,100,15,FALSE)*_xlfn.NORM.DIST(A385,Calculations!$F$3,Calculations!$F$4,FALSE)/_xlfn.NORM.DIST(Calculations!$F$3,Calculations!$F$3,Calculations!$F$4,FALSE),NA())</f>
        <v>#N/A</v>
      </c>
    </row>
    <row r="386" spans="1:13" x14ac:dyDescent="0.25">
      <c r="A386">
        <v>78.400000000000503</v>
      </c>
      <c r="B386" t="e">
        <f t="shared" si="50"/>
        <v>#N/A</v>
      </c>
      <c r="C386" t="e">
        <f t="shared" si="51"/>
        <v>#N/A</v>
      </c>
      <c r="D386">
        <f t="shared" si="52"/>
        <v>9.4306643483230441E-3</v>
      </c>
      <c r="E386" t="e">
        <f t="shared" si="53"/>
        <v>#N/A</v>
      </c>
      <c r="F386" t="e">
        <f t="shared" si="54"/>
        <v>#N/A</v>
      </c>
      <c r="G386" t="e">
        <f t="shared" si="55"/>
        <v>#N/A</v>
      </c>
      <c r="H386" t="e">
        <f t="shared" si="56"/>
        <v>#N/A</v>
      </c>
      <c r="I386" t="e">
        <f t="shared" si="57"/>
        <v>#N/A</v>
      </c>
      <c r="J386" t="e">
        <f t="shared" si="58"/>
        <v>#N/A</v>
      </c>
      <c r="K386">
        <f t="shared" si="59"/>
        <v>9.6306643483230446E-3</v>
      </c>
      <c r="L386" t="e">
        <f>IF(AND(ABS((ChartCalculations!A386-Calculations!$F$3)/Calculations!$F$4)&lt;5,OR(A386&lt;=Calculations!$F$7,A386&gt;=Calculations!$F$8)),0.2*_xlfn.NORM.DIST(100,100,15,FALSE)*_xlfn.NORM.DIST(A386,Calculations!$F$3,Calculations!$F$4,FALSE)/_xlfn.NORM.DIST(Calculations!$F$3,Calculations!$F$3,Calculations!$F$4,FALSE),NA())</f>
        <v>#N/A</v>
      </c>
      <c r="M386" t="e">
        <f>IF(AND(A386&gt;=Calculations!$F$7,A386&lt;=Calculations!$F$8),0.2*_xlfn.NORM.DIST(100,100,15,FALSE)*_xlfn.NORM.DIST(A386,Calculations!$F$3,Calculations!$F$4,FALSE)/_xlfn.NORM.DIST(Calculations!$F$3,Calculations!$F$3,Calculations!$F$4,FALSE),NA())</f>
        <v>#N/A</v>
      </c>
    </row>
    <row r="387" spans="1:13" x14ac:dyDescent="0.25">
      <c r="A387">
        <v>78.500000000000497</v>
      </c>
      <c r="B387" t="e">
        <f t="shared" ref="B387:B450" si="60">IF($A387&lt;=60,_xlfn.NORM.DIST($A387,100,15,FALSE),NA())</f>
        <v>#N/A</v>
      </c>
      <c r="C387" t="e">
        <f t="shared" ref="C387:C450" si="61">IF(AND($A387&gt;=60,$A387&lt;=70),_xlfn.NORM.DIST($A387,100,15,FALSE),NA())</f>
        <v>#N/A</v>
      </c>
      <c r="D387">
        <f t="shared" ref="D387:D450" si="62">IF(AND($A387&gt;=70,$A387&lt;=80),_xlfn.NORM.DIST($A387,100,15,FALSE),NA())</f>
        <v>9.5214230955011393E-3</v>
      </c>
      <c r="E387" t="e">
        <f t="shared" ref="E387:E450" si="63">IF(AND($A387&gt;=80,$A387&lt;=90),_xlfn.NORM.DIST($A387,100,15,FALSE),NA())</f>
        <v>#N/A</v>
      </c>
      <c r="F387" t="e">
        <f t="shared" ref="F387:F450" si="64">IF(AND($A387&gt;=90,$A387&lt;=110),_xlfn.NORM.DIST($A387,100,15,FALSE),NA())</f>
        <v>#N/A</v>
      </c>
      <c r="G387" t="e">
        <f t="shared" ref="G387:G450" si="65">IF(AND($A387&gt;=110,$A387&lt;=120),_xlfn.NORM.DIST($A387,100,15,FALSE),NA())</f>
        <v>#N/A</v>
      </c>
      <c r="H387" t="e">
        <f t="shared" ref="H387:H450" si="66">IF(AND($A387&gt;=120,$A387&lt;=130),_xlfn.NORM.DIST($A387,100,15,FALSE),NA())</f>
        <v>#N/A</v>
      </c>
      <c r="I387" t="e">
        <f t="shared" ref="I387:I450" si="67">IF(AND($A387&gt;=130,$A387&lt;=140),_xlfn.NORM.DIST($A387,100,15,FALSE),NA())</f>
        <v>#N/A</v>
      </c>
      <c r="J387" t="e">
        <f t="shared" ref="J387:J450" si="68">IF($A387&gt;=140,_xlfn.NORM.DIST($A387,100,15,FALSE),NA())</f>
        <v>#N/A</v>
      </c>
      <c r="K387">
        <f t="shared" ref="K387:K450" si="69">_xlfn.NORM.DIST($A387,100,15,FALSE)+0.0002</f>
        <v>9.7214230955011399E-3</v>
      </c>
      <c r="L387" t="e">
        <f>IF(AND(ABS((ChartCalculations!A387-Calculations!$F$3)/Calculations!$F$4)&lt;5,OR(A387&lt;=Calculations!$F$7,A387&gt;=Calculations!$F$8)),0.2*_xlfn.NORM.DIST(100,100,15,FALSE)*_xlfn.NORM.DIST(A387,Calculations!$F$3,Calculations!$F$4,FALSE)/_xlfn.NORM.DIST(Calculations!$F$3,Calculations!$F$3,Calculations!$F$4,FALSE),NA())</f>
        <v>#N/A</v>
      </c>
      <c r="M387" t="e">
        <f>IF(AND(A387&gt;=Calculations!$F$7,A387&lt;=Calculations!$F$8),0.2*_xlfn.NORM.DIST(100,100,15,FALSE)*_xlfn.NORM.DIST(A387,Calculations!$F$3,Calculations!$F$4,FALSE)/_xlfn.NORM.DIST(Calculations!$F$3,Calculations!$F$3,Calculations!$F$4,FALSE),NA())</f>
        <v>#N/A</v>
      </c>
    </row>
    <row r="388" spans="1:13" x14ac:dyDescent="0.25">
      <c r="A388">
        <v>78.600000000000506</v>
      </c>
      <c r="B388" t="e">
        <f t="shared" si="60"/>
        <v>#N/A</v>
      </c>
      <c r="C388" t="e">
        <f t="shared" si="61"/>
        <v>#N/A</v>
      </c>
      <c r="D388">
        <f t="shared" si="62"/>
        <v>9.6126280485294459E-3</v>
      </c>
      <c r="E388" t="e">
        <f t="shared" si="63"/>
        <v>#N/A</v>
      </c>
      <c r="F388" t="e">
        <f t="shared" si="64"/>
        <v>#N/A</v>
      </c>
      <c r="G388" t="e">
        <f t="shared" si="65"/>
        <v>#N/A</v>
      </c>
      <c r="H388" t="e">
        <f t="shared" si="66"/>
        <v>#N/A</v>
      </c>
      <c r="I388" t="e">
        <f t="shared" si="67"/>
        <v>#N/A</v>
      </c>
      <c r="J388" t="e">
        <f t="shared" si="68"/>
        <v>#N/A</v>
      </c>
      <c r="K388">
        <f t="shared" si="69"/>
        <v>9.8126280485294464E-3</v>
      </c>
      <c r="L388" t="e">
        <f>IF(AND(ABS((ChartCalculations!A388-Calculations!$F$3)/Calculations!$F$4)&lt;5,OR(A388&lt;=Calculations!$F$7,A388&gt;=Calculations!$F$8)),0.2*_xlfn.NORM.DIST(100,100,15,FALSE)*_xlfn.NORM.DIST(A388,Calculations!$F$3,Calculations!$F$4,FALSE)/_xlfn.NORM.DIST(Calculations!$F$3,Calculations!$F$3,Calculations!$F$4,FALSE),NA())</f>
        <v>#N/A</v>
      </c>
      <c r="M388" t="e">
        <f>IF(AND(A388&gt;=Calculations!$F$7,A388&lt;=Calculations!$F$8),0.2*_xlfn.NORM.DIST(100,100,15,FALSE)*_xlfn.NORM.DIST(A388,Calculations!$F$3,Calculations!$F$4,FALSE)/_xlfn.NORM.DIST(Calculations!$F$3,Calculations!$F$3,Calculations!$F$4,FALSE),NA())</f>
        <v>#N/A</v>
      </c>
    </row>
    <row r="389" spans="1:13" x14ac:dyDescent="0.25">
      <c r="A389">
        <v>78.7000000000005</v>
      </c>
      <c r="B389" t="e">
        <f t="shared" si="60"/>
        <v>#N/A</v>
      </c>
      <c r="C389" t="e">
        <f t="shared" si="61"/>
        <v>#N/A</v>
      </c>
      <c r="D389">
        <f t="shared" si="62"/>
        <v>9.7042753358236328E-3</v>
      </c>
      <c r="E389" t="e">
        <f t="shared" si="63"/>
        <v>#N/A</v>
      </c>
      <c r="F389" t="e">
        <f t="shared" si="64"/>
        <v>#N/A</v>
      </c>
      <c r="G389" t="e">
        <f t="shared" si="65"/>
        <v>#N/A</v>
      </c>
      <c r="H389" t="e">
        <f t="shared" si="66"/>
        <v>#N/A</v>
      </c>
      <c r="I389" t="e">
        <f t="shared" si="67"/>
        <v>#N/A</v>
      </c>
      <c r="J389" t="e">
        <f t="shared" si="68"/>
        <v>#N/A</v>
      </c>
      <c r="K389">
        <f t="shared" si="69"/>
        <v>9.9042753358236334E-3</v>
      </c>
      <c r="L389" t="e">
        <f>IF(AND(ABS((ChartCalculations!A389-Calculations!$F$3)/Calculations!$F$4)&lt;5,OR(A389&lt;=Calculations!$F$7,A389&gt;=Calculations!$F$8)),0.2*_xlfn.NORM.DIST(100,100,15,FALSE)*_xlfn.NORM.DIST(A389,Calculations!$F$3,Calculations!$F$4,FALSE)/_xlfn.NORM.DIST(Calculations!$F$3,Calculations!$F$3,Calculations!$F$4,FALSE),NA())</f>
        <v>#N/A</v>
      </c>
      <c r="M389" t="e">
        <f>IF(AND(A389&gt;=Calculations!$F$7,A389&lt;=Calculations!$F$8),0.2*_xlfn.NORM.DIST(100,100,15,FALSE)*_xlfn.NORM.DIST(A389,Calculations!$F$3,Calculations!$F$4,FALSE)/_xlfn.NORM.DIST(Calculations!$F$3,Calculations!$F$3,Calculations!$F$4,FALSE),NA())</f>
        <v>#N/A</v>
      </c>
    </row>
    <row r="390" spans="1:13" x14ac:dyDescent="0.25">
      <c r="A390">
        <v>78.800000000000594</v>
      </c>
      <c r="B390" t="e">
        <f t="shared" si="60"/>
        <v>#N/A</v>
      </c>
      <c r="C390" t="e">
        <f t="shared" si="61"/>
        <v>#N/A</v>
      </c>
      <c r="D390">
        <f t="shared" si="62"/>
        <v>9.7963609895434442E-3</v>
      </c>
      <c r="E390" t="e">
        <f t="shared" si="63"/>
        <v>#N/A</v>
      </c>
      <c r="F390" t="e">
        <f t="shared" si="64"/>
        <v>#N/A</v>
      </c>
      <c r="G390" t="e">
        <f t="shared" si="65"/>
        <v>#N/A</v>
      </c>
      <c r="H390" t="e">
        <f t="shared" si="66"/>
        <v>#N/A</v>
      </c>
      <c r="I390" t="e">
        <f t="shared" si="67"/>
        <v>#N/A</v>
      </c>
      <c r="J390" t="e">
        <f t="shared" si="68"/>
        <v>#N/A</v>
      </c>
      <c r="K390">
        <f t="shared" si="69"/>
        <v>9.9963609895434447E-3</v>
      </c>
      <c r="L390" t="e">
        <f>IF(AND(ABS((ChartCalculations!A390-Calculations!$F$3)/Calculations!$F$4)&lt;5,OR(A390&lt;=Calculations!$F$7,A390&gt;=Calculations!$F$8)),0.2*_xlfn.NORM.DIST(100,100,15,FALSE)*_xlfn.NORM.DIST(A390,Calculations!$F$3,Calculations!$F$4,FALSE)/_xlfn.NORM.DIST(Calculations!$F$3,Calculations!$F$3,Calculations!$F$4,FALSE),NA())</f>
        <v>#N/A</v>
      </c>
      <c r="M390" t="e">
        <f>IF(AND(A390&gt;=Calculations!$F$7,A390&lt;=Calculations!$F$8),0.2*_xlfn.NORM.DIST(100,100,15,FALSE)*_xlfn.NORM.DIST(A390,Calculations!$F$3,Calculations!$F$4,FALSE)/_xlfn.NORM.DIST(Calculations!$F$3,Calculations!$F$3,Calculations!$F$4,FALSE),NA())</f>
        <v>#N/A</v>
      </c>
    </row>
    <row r="391" spans="1:13" x14ac:dyDescent="0.25">
      <c r="A391">
        <v>78.900000000000603</v>
      </c>
      <c r="B391" t="e">
        <f t="shared" si="60"/>
        <v>#N/A</v>
      </c>
      <c r="C391" t="e">
        <f t="shared" si="61"/>
        <v>#N/A</v>
      </c>
      <c r="D391">
        <f t="shared" si="62"/>
        <v>9.8888809453833333E-3</v>
      </c>
      <c r="E391" t="e">
        <f t="shared" si="63"/>
        <v>#N/A</v>
      </c>
      <c r="F391" t="e">
        <f t="shared" si="64"/>
        <v>#N/A</v>
      </c>
      <c r="G391" t="e">
        <f t="shared" si="65"/>
        <v>#N/A</v>
      </c>
      <c r="H391" t="e">
        <f t="shared" si="66"/>
        <v>#N/A</v>
      </c>
      <c r="I391" t="e">
        <f t="shared" si="67"/>
        <v>#N/A</v>
      </c>
      <c r="J391" t="e">
        <f t="shared" si="68"/>
        <v>#N/A</v>
      </c>
      <c r="K391">
        <f t="shared" si="69"/>
        <v>1.0088880945383334E-2</v>
      </c>
      <c r="L391" t="e">
        <f>IF(AND(ABS((ChartCalculations!A391-Calculations!$F$3)/Calculations!$F$4)&lt;5,OR(A391&lt;=Calculations!$F$7,A391&gt;=Calculations!$F$8)),0.2*_xlfn.NORM.DIST(100,100,15,FALSE)*_xlfn.NORM.DIST(A391,Calculations!$F$3,Calculations!$F$4,FALSE)/_xlfn.NORM.DIST(Calculations!$F$3,Calculations!$F$3,Calculations!$F$4,FALSE),NA())</f>
        <v>#N/A</v>
      </c>
      <c r="M391" t="e">
        <f>IF(AND(A391&gt;=Calculations!$F$7,A391&lt;=Calculations!$F$8),0.2*_xlfn.NORM.DIST(100,100,15,FALSE)*_xlfn.NORM.DIST(A391,Calculations!$F$3,Calculations!$F$4,FALSE)/_xlfn.NORM.DIST(Calculations!$F$3,Calculations!$F$3,Calculations!$F$4,FALSE),NA())</f>
        <v>#N/A</v>
      </c>
    </row>
    <row r="392" spans="1:13" x14ac:dyDescent="0.25">
      <c r="A392">
        <v>79.000000000000597</v>
      </c>
      <c r="B392" t="e">
        <f t="shared" si="60"/>
        <v>#N/A</v>
      </c>
      <c r="C392" t="e">
        <f t="shared" si="61"/>
        <v>#N/A</v>
      </c>
      <c r="D392">
        <f t="shared" si="62"/>
        <v>9.9818310423835464E-3</v>
      </c>
      <c r="E392" t="e">
        <f t="shared" si="63"/>
        <v>#N/A</v>
      </c>
      <c r="F392" t="e">
        <f t="shared" si="64"/>
        <v>#N/A</v>
      </c>
      <c r="G392" t="e">
        <f t="shared" si="65"/>
        <v>#N/A</v>
      </c>
      <c r="H392" t="e">
        <f t="shared" si="66"/>
        <v>#N/A</v>
      </c>
      <c r="I392" t="e">
        <f t="shared" si="67"/>
        <v>#N/A</v>
      </c>
      <c r="J392" t="e">
        <f t="shared" si="68"/>
        <v>#N/A</v>
      </c>
      <c r="K392">
        <f t="shared" si="69"/>
        <v>1.0181831042383547E-2</v>
      </c>
      <c r="L392" t="e">
        <f>IF(AND(ABS((ChartCalculations!A392-Calculations!$F$3)/Calculations!$F$4)&lt;5,OR(A392&lt;=Calculations!$F$7,A392&gt;=Calculations!$F$8)),0.2*_xlfn.NORM.DIST(100,100,15,FALSE)*_xlfn.NORM.DIST(A392,Calculations!$F$3,Calculations!$F$4,FALSE)/_xlfn.NORM.DIST(Calculations!$F$3,Calculations!$F$3,Calculations!$F$4,FALSE),NA())</f>
        <v>#N/A</v>
      </c>
      <c r="M392" t="e">
        <f>IF(AND(A392&gt;=Calculations!$F$7,A392&lt;=Calculations!$F$8),0.2*_xlfn.NORM.DIST(100,100,15,FALSE)*_xlfn.NORM.DIST(A392,Calculations!$F$3,Calculations!$F$4,FALSE)/_xlfn.NORM.DIST(Calculations!$F$3,Calculations!$F$3,Calculations!$F$4,FALSE),NA())</f>
        <v>#N/A</v>
      </c>
    </row>
    <row r="393" spans="1:13" x14ac:dyDescent="0.25">
      <c r="A393">
        <v>79.100000000000605</v>
      </c>
      <c r="B393" t="e">
        <f t="shared" si="60"/>
        <v>#N/A</v>
      </c>
      <c r="C393" t="e">
        <f t="shared" si="61"/>
        <v>#N/A</v>
      </c>
      <c r="D393">
        <f t="shared" si="62"/>
        <v>1.0075207022760217E-2</v>
      </c>
      <c r="E393" t="e">
        <f t="shared" si="63"/>
        <v>#N/A</v>
      </c>
      <c r="F393" t="e">
        <f t="shared" si="64"/>
        <v>#N/A</v>
      </c>
      <c r="G393" t="e">
        <f t="shared" si="65"/>
        <v>#N/A</v>
      </c>
      <c r="H393" t="e">
        <f t="shared" si="66"/>
        <v>#N/A</v>
      </c>
      <c r="I393" t="e">
        <f t="shared" si="67"/>
        <v>#N/A</v>
      </c>
      <c r="J393" t="e">
        <f t="shared" si="68"/>
        <v>#N/A</v>
      </c>
      <c r="K393">
        <f t="shared" si="69"/>
        <v>1.0275207022760217E-2</v>
      </c>
      <c r="L393" t="e">
        <f>IF(AND(ABS((ChartCalculations!A393-Calculations!$F$3)/Calculations!$F$4)&lt;5,OR(A393&lt;=Calculations!$F$7,A393&gt;=Calculations!$F$8)),0.2*_xlfn.NORM.DIST(100,100,15,FALSE)*_xlfn.NORM.DIST(A393,Calculations!$F$3,Calculations!$F$4,FALSE)/_xlfn.NORM.DIST(Calculations!$F$3,Calculations!$F$3,Calculations!$F$4,FALSE),NA())</f>
        <v>#N/A</v>
      </c>
      <c r="M393" t="e">
        <f>IF(AND(A393&gt;=Calculations!$F$7,A393&lt;=Calculations!$F$8),0.2*_xlfn.NORM.DIST(100,100,15,FALSE)*_xlfn.NORM.DIST(A393,Calculations!$F$3,Calculations!$F$4,FALSE)/_xlfn.NORM.DIST(Calculations!$F$3,Calculations!$F$3,Calculations!$F$4,FALSE),NA())</f>
        <v>#N/A</v>
      </c>
    </row>
    <row r="394" spans="1:13" x14ac:dyDescent="0.25">
      <c r="A394">
        <v>79.2000000000006</v>
      </c>
      <c r="B394" t="e">
        <f t="shared" si="60"/>
        <v>#N/A</v>
      </c>
      <c r="C394" t="e">
        <f t="shared" si="61"/>
        <v>#N/A</v>
      </c>
      <c r="D394">
        <f t="shared" si="62"/>
        <v>1.0169004531755732E-2</v>
      </c>
      <c r="E394" t="e">
        <f t="shared" si="63"/>
        <v>#N/A</v>
      </c>
      <c r="F394" t="e">
        <f t="shared" si="64"/>
        <v>#N/A</v>
      </c>
      <c r="G394" t="e">
        <f t="shared" si="65"/>
        <v>#N/A</v>
      </c>
      <c r="H394" t="e">
        <f t="shared" si="66"/>
        <v>#N/A</v>
      </c>
      <c r="I394" t="e">
        <f t="shared" si="67"/>
        <v>#N/A</v>
      </c>
      <c r="J394" t="e">
        <f t="shared" si="68"/>
        <v>#N/A</v>
      </c>
      <c r="K394">
        <f t="shared" si="69"/>
        <v>1.0369004531755733E-2</v>
      </c>
      <c r="L394" t="e">
        <f>IF(AND(ABS((ChartCalculations!A394-Calculations!$F$3)/Calculations!$F$4)&lt;5,OR(A394&lt;=Calculations!$F$7,A394&gt;=Calculations!$F$8)),0.2*_xlfn.NORM.DIST(100,100,15,FALSE)*_xlfn.NORM.DIST(A394,Calculations!$F$3,Calculations!$F$4,FALSE)/_xlfn.NORM.DIST(Calculations!$F$3,Calculations!$F$3,Calculations!$F$4,FALSE),NA())</f>
        <v>#N/A</v>
      </c>
      <c r="M394" t="e">
        <f>IF(AND(A394&gt;=Calculations!$F$7,A394&lt;=Calculations!$F$8),0.2*_xlfn.NORM.DIST(100,100,15,FALSE)*_xlfn.NORM.DIST(A394,Calculations!$F$3,Calculations!$F$4,FALSE)/_xlfn.NORM.DIST(Calculations!$F$3,Calculations!$F$3,Calculations!$F$4,FALSE),NA())</f>
        <v>#N/A</v>
      </c>
    </row>
    <row r="395" spans="1:13" x14ac:dyDescent="0.25">
      <c r="A395">
        <v>79.300000000000594</v>
      </c>
      <c r="B395" t="e">
        <f t="shared" si="60"/>
        <v>#N/A</v>
      </c>
      <c r="C395" t="e">
        <f t="shared" si="61"/>
        <v>#N/A</v>
      </c>
      <c r="D395">
        <f t="shared" si="62"/>
        <v>1.0263219117509475E-2</v>
      </c>
      <c r="E395" t="e">
        <f t="shared" si="63"/>
        <v>#N/A</v>
      </c>
      <c r="F395" t="e">
        <f t="shared" si="64"/>
        <v>#N/A</v>
      </c>
      <c r="G395" t="e">
        <f t="shared" si="65"/>
        <v>#N/A</v>
      </c>
      <c r="H395" t="e">
        <f t="shared" si="66"/>
        <v>#N/A</v>
      </c>
      <c r="I395" t="e">
        <f t="shared" si="67"/>
        <v>#N/A</v>
      </c>
      <c r="J395" t="e">
        <f t="shared" si="68"/>
        <v>#N/A</v>
      </c>
      <c r="K395">
        <f t="shared" si="69"/>
        <v>1.0463219117509475E-2</v>
      </c>
      <c r="L395" t="e">
        <f>IF(AND(ABS((ChartCalculations!A395-Calculations!$F$3)/Calculations!$F$4)&lt;5,OR(A395&lt;=Calculations!$F$7,A395&gt;=Calculations!$F$8)),0.2*_xlfn.NORM.DIST(100,100,15,FALSE)*_xlfn.NORM.DIST(A395,Calculations!$F$3,Calculations!$F$4,FALSE)/_xlfn.NORM.DIST(Calculations!$F$3,Calculations!$F$3,Calculations!$F$4,FALSE),NA())</f>
        <v>#N/A</v>
      </c>
      <c r="M395" t="e">
        <f>IF(AND(A395&gt;=Calculations!$F$7,A395&lt;=Calculations!$F$8),0.2*_xlfn.NORM.DIST(100,100,15,FALSE)*_xlfn.NORM.DIST(A395,Calculations!$F$3,Calculations!$F$4,FALSE)/_xlfn.NORM.DIST(Calculations!$F$3,Calculations!$F$3,Calculations!$F$4,FALSE),NA())</f>
        <v>#N/A</v>
      </c>
    </row>
    <row r="396" spans="1:13" x14ac:dyDescent="0.25">
      <c r="A396">
        <v>79.400000000000603</v>
      </c>
      <c r="B396" t="e">
        <f t="shared" si="60"/>
        <v>#N/A</v>
      </c>
      <c r="C396" t="e">
        <f t="shared" si="61"/>
        <v>#N/A</v>
      </c>
      <c r="D396">
        <f t="shared" si="62"/>
        <v>1.0357846230948868E-2</v>
      </c>
      <c r="E396" t="e">
        <f t="shared" si="63"/>
        <v>#N/A</v>
      </c>
      <c r="F396" t="e">
        <f t="shared" si="64"/>
        <v>#N/A</v>
      </c>
      <c r="G396" t="e">
        <f t="shared" si="65"/>
        <v>#N/A</v>
      </c>
      <c r="H396" t="e">
        <f t="shared" si="66"/>
        <v>#N/A</v>
      </c>
      <c r="I396" t="e">
        <f t="shared" si="67"/>
        <v>#N/A</v>
      </c>
      <c r="J396" t="e">
        <f t="shared" si="68"/>
        <v>#N/A</v>
      </c>
      <c r="K396">
        <f t="shared" si="69"/>
        <v>1.0557846230948869E-2</v>
      </c>
      <c r="L396" t="e">
        <f>IF(AND(ABS((ChartCalculations!A396-Calculations!$F$3)/Calculations!$F$4)&lt;5,OR(A396&lt;=Calculations!$F$7,A396&gt;=Calculations!$F$8)),0.2*_xlfn.NORM.DIST(100,100,15,FALSE)*_xlfn.NORM.DIST(A396,Calculations!$F$3,Calculations!$F$4,FALSE)/_xlfn.NORM.DIST(Calculations!$F$3,Calculations!$F$3,Calculations!$F$4,FALSE),NA())</f>
        <v>#N/A</v>
      </c>
      <c r="M396" t="e">
        <f>IF(AND(A396&gt;=Calculations!$F$7,A396&lt;=Calculations!$F$8),0.2*_xlfn.NORM.DIST(100,100,15,FALSE)*_xlfn.NORM.DIST(A396,Calculations!$F$3,Calculations!$F$4,FALSE)/_xlfn.NORM.DIST(Calculations!$F$3,Calculations!$F$3,Calculations!$F$4,FALSE),NA())</f>
        <v>#N/A</v>
      </c>
    </row>
    <row r="397" spans="1:13" x14ac:dyDescent="0.25">
      <c r="A397">
        <v>79.500000000000597</v>
      </c>
      <c r="B397" t="e">
        <f t="shared" si="60"/>
        <v>#N/A</v>
      </c>
      <c r="C397" t="e">
        <f t="shared" si="61"/>
        <v>#N/A</v>
      </c>
      <c r="D397">
        <f t="shared" si="62"/>
        <v>1.0452881225701141E-2</v>
      </c>
      <c r="E397" t="e">
        <f t="shared" si="63"/>
        <v>#N/A</v>
      </c>
      <c r="F397" t="e">
        <f t="shared" si="64"/>
        <v>#N/A</v>
      </c>
      <c r="G397" t="e">
        <f t="shared" si="65"/>
        <v>#N/A</v>
      </c>
      <c r="H397" t="e">
        <f t="shared" si="66"/>
        <v>#N/A</v>
      </c>
      <c r="I397" t="e">
        <f t="shared" si="67"/>
        <v>#N/A</v>
      </c>
      <c r="J397" t="e">
        <f t="shared" si="68"/>
        <v>#N/A</v>
      </c>
      <c r="K397">
        <f t="shared" si="69"/>
        <v>1.0652881225701141E-2</v>
      </c>
      <c r="L397" t="e">
        <f>IF(AND(ABS((ChartCalculations!A397-Calculations!$F$3)/Calculations!$F$4)&lt;5,OR(A397&lt;=Calculations!$F$7,A397&gt;=Calculations!$F$8)),0.2*_xlfn.NORM.DIST(100,100,15,FALSE)*_xlfn.NORM.DIST(A397,Calculations!$F$3,Calculations!$F$4,FALSE)/_xlfn.NORM.DIST(Calculations!$F$3,Calculations!$F$3,Calculations!$F$4,FALSE),NA())</f>
        <v>#N/A</v>
      </c>
      <c r="M397" t="e">
        <f>IF(AND(A397&gt;=Calculations!$F$7,A397&lt;=Calculations!$F$8),0.2*_xlfn.NORM.DIST(100,100,15,FALSE)*_xlfn.NORM.DIST(A397,Calculations!$F$3,Calculations!$F$4,FALSE)/_xlfn.NORM.DIST(Calculations!$F$3,Calculations!$F$3,Calculations!$F$4,FALSE),NA())</f>
        <v>#N/A</v>
      </c>
    </row>
    <row r="398" spans="1:13" x14ac:dyDescent="0.25">
      <c r="A398">
        <v>79.600000000000605</v>
      </c>
      <c r="B398" t="e">
        <f t="shared" si="60"/>
        <v>#N/A</v>
      </c>
      <c r="C398" t="e">
        <f t="shared" si="61"/>
        <v>#N/A</v>
      </c>
      <c r="D398">
        <f t="shared" si="62"/>
        <v>1.0548319358026114E-2</v>
      </c>
      <c r="E398" t="e">
        <f t="shared" si="63"/>
        <v>#N/A</v>
      </c>
      <c r="F398" t="e">
        <f t="shared" si="64"/>
        <v>#N/A</v>
      </c>
      <c r="G398" t="e">
        <f t="shared" si="65"/>
        <v>#N/A</v>
      </c>
      <c r="H398" t="e">
        <f t="shared" si="66"/>
        <v>#N/A</v>
      </c>
      <c r="I398" t="e">
        <f t="shared" si="67"/>
        <v>#N/A</v>
      </c>
      <c r="J398" t="e">
        <f t="shared" si="68"/>
        <v>#N/A</v>
      </c>
      <c r="K398">
        <f t="shared" si="69"/>
        <v>1.0748319358026115E-2</v>
      </c>
      <c r="L398" t="e">
        <f>IF(AND(ABS((ChartCalculations!A398-Calculations!$F$3)/Calculations!$F$4)&lt;5,OR(A398&lt;=Calculations!$F$7,A398&gt;=Calculations!$F$8)),0.2*_xlfn.NORM.DIST(100,100,15,FALSE)*_xlfn.NORM.DIST(A398,Calculations!$F$3,Calculations!$F$4,FALSE)/_xlfn.NORM.DIST(Calculations!$F$3,Calculations!$F$3,Calculations!$F$4,FALSE),NA())</f>
        <v>#N/A</v>
      </c>
      <c r="M398" t="e">
        <f>IF(AND(A398&gt;=Calculations!$F$7,A398&lt;=Calculations!$F$8),0.2*_xlfn.NORM.DIST(100,100,15,FALSE)*_xlfn.NORM.DIST(A398,Calculations!$F$3,Calculations!$F$4,FALSE)/_xlfn.NORM.DIST(Calculations!$F$3,Calculations!$F$3,Calculations!$F$4,FALSE),NA())</f>
        <v>#N/A</v>
      </c>
    </row>
    <row r="399" spans="1:13" x14ac:dyDescent="0.25">
      <c r="A399">
        <v>79.7000000000006</v>
      </c>
      <c r="B399" t="e">
        <f t="shared" si="60"/>
        <v>#N/A</v>
      </c>
      <c r="C399" t="e">
        <f t="shared" si="61"/>
        <v>#N/A</v>
      </c>
      <c r="D399">
        <f t="shared" si="62"/>
        <v>1.0644155786769922E-2</v>
      </c>
      <c r="E399" t="e">
        <f t="shared" si="63"/>
        <v>#N/A</v>
      </c>
      <c r="F399" t="e">
        <f t="shared" si="64"/>
        <v>#N/A</v>
      </c>
      <c r="G399" t="e">
        <f t="shared" si="65"/>
        <v>#N/A</v>
      </c>
      <c r="H399" t="e">
        <f t="shared" si="66"/>
        <v>#N/A</v>
      </c>
      <c r="I399" t="e">
        <f t="shared" si="67"/>
        <v>#N/A</v>
      </c>
      <c r="J399" t="e">
        <f t="shared" si="68"/>
        <v>#N/A</v>
      </c>
      <c r="K399">
        <f t="shared" si="69"/>
        <v>1.0844155786769923E-2</v>
      </c>
      <c r="L399" t="e">
        <f>IF(AND(ABS((ChartCalculations!A399-Calculations!$F$3)/Calculations!$F$4)&lt;5,OR(A399&lt;=Calculations!$F$7,A399&gt;=Calculations!$F$8)),0.2*_xlfn.NORM.DIST(100,100,15,FALSE)*_xlfn.NORM.DIST(A399,Calculations!$F$3,Calculations!$F$4,FALSE)/_xlfn.NORM.DIST(Calculations!$F$3,Calculations!$F$3,Calculations!$F$4,FALSE),NA())</f>
        <v>#N/A</v>
      </c>
      <c r="M399" t="e">
        <f>IF(AND(A399&gt;=Calculations!$F$7,A399&lt;=Calculations!$F$8),0.2*_xlfn.NORM.DIST(100,100,15,FALSE)*_xlfn.NORM.DIST(A399,Calculations!$F$3,Calculations!$F$4,FALSE)/_xlfn.NORM.DIST(Calculations!$F$3,Calculations!$F$3,Calculations!$F$4,FALSE),NA())</f>
        <v>#N/A</v>
      </c>
    </row>
    <row r="400" spans="1:13" x14ac:dyDescent="0.25">
      <c r="A400">
        <v>79.800000000000594</v>
      </c>
      <c r="B400" t="e">
        <f t="shared" si="60"/>
        <v>#N/A</v>
      </c>
      <c r="C400" t="e">
        <f t="shared" si="61"/>
        <v>#N/A</v>
      </c>
      <c r="D400">
        <f t="shared" si="62"/>
        <v>1.0740385573340226E-2</v>
      </c>
      <c r="E400" t="e">
        <f t="shared" si="63"/>
        <v>#N/A</v>
      </c>
      <c r="F400" t="e">
        <f t="shared" si="64"/>
        <v>#N/A</v>
      </c>
      <c r="G400" t="e">
        <f t="shared" si="65"/>
        <v>#N/A</v>
      </c>
      <c r="H400" t="e">
        <f t="shared" si="66"/>
        <v>#N/A</v>
      </c>
      <c r="I400" t="e">
        <f t="shared" si="67"/>
        <v>#N/A</v>
      </c>
      <c r="J400" t="e">
        <f t="shared" si="68"/>
        <v>#N/A</v>
      </c>
      <c r="K400">
        <f t="shared" si="69"/>
        <v>1.0940385573340226E-2</v>
      </c>
      <c r="L400" t="e">
        <f>IF(AND(ABS((ChartCalculations!A400-Calculations!$F$3)/Calculations!$F$4)&lt;5,OR(A400&lt;=Calculations!$F$7,A400&gt;=Calculations!$F$8)),0.2*_xlfn.NORM.DIST(100,100,15,FALSE)*_xlfn.NORM.DIST(A400,Calculations!$F$3,Calculations!$F$4,FALSE)/_xlfn.NORM.DIST(Calculations!$F$3,Calculations!$F$3,Calculations!$F$4,FALSE),NA())</f>
        <v>#N/A</v>
      </c>
      <c r="M400" t="e">
        <f>IF(AND(A400&gt;=Calculations!$F$7,A400&lt;=Calculations!$F$8),0.2*_xlfn.NORM.DIST(100,100,15,FALSE)*_xlfn.NORM.DIST(A400,Calculations!$F$3,Calculations!$F$4,FALSE)/_xlfn.NORM.DIST(Calculations!$F$3,Calculations!$F$3,Calculations!$F$4,FALSE),NA())</f>
        <v>#N/A</v>
      </c>
    </row>
    <row r="401" spans="1:13" x14ac:dyDescent="0.25">
      <c r="A401">
        <v>79.900000000000603</v>
      </c>
      <c r="B401" t="e">
        <f t="shared" si="60"/>
        <v>#N/A</v>
      </c>
      <c r="C401" t="e">
        <f t="shared" si="61"/>
        <v>#N/A</v>
      </c>
      <c r="D401">
        <f t="shared" si="62"/>
        <v>1.0837003681702859E-2</v>
      </c>
      <c r="E401" t="e">
        <f t="shared" si="63"/>
        <v>#N/A</v>
      </c>
      <c r="F401" t="e">
        <f t="shared" si="64"/>
        <v>#N/A</v>
      </c>
      <c r="G401" t="e">
        <f t="shared" si="65"/>
        <v>#N/A</v>
      </c>
      <c r="H401" t="e">
        <f t="shared" si="66"/>
        <v>#N/A</v>
      </c>
      <c r="I401" t="e">
        <f t="shared" si="67"/>
        <v>#N/A</v>
      </c>
      <c r="J401" t="e">
        <f t="shared" si="68"/>
        <v>#N/A</v>
      </c>
      <c r="K401">
        <f t="shared" si="69"/>
        <v>1.1037003681702859E-2</v>
      </c>
      <c r="L401" t="e">
        <f>IF(AND(ABS((ChartCalculations!A401-Calculations!$F$3)/Calculations!$F$4)&lt;5,OR(A401&lt;=Calculations!$F$7,A401&gt;=Calculations!$F$8)),0.2*_xlfn.NORM.DIST(100,100,15,FALSE)*_xlfn.NORM.DIST(A401,Calculations!$F$3,Calculations!$F$4,FALSE)/_xlfn.NORM.DIST(Calculations!$F$3,Calculations!$F$3,Calculations!$F$4,FALSE),NA())</f>
        <v>#N/A</v>
      </c>
      <c r="M401" t="e">
        <f>IF(AND(A401&gt;=Calculations!$F$7,A401&lt;=Calculations!$F$8),0.2*_xlfn.NORM.DIST(100,100,15,FALSE)*_xlfn.NORM.DIST(A401,Calculations!$F$3,Calculations!$F$4,FALSE)/_xlfn.NORM.DIST(Calculations!$F$3,Calculations!$F$3,Calculations!$F$4,FALSE),NA())</f>
        <v>#N/A</v>
      </c>
    </row>
    <row r="402" spans="1:13" x14ac:dyDescent="0.25">
      <c r="A402">
        <v>80.000000000000597</v>
      </c>
      <c r="B402" t="e">
        <f t="shared" si="60"/>
        <v>#N/A</v>
      </c>
      <c r="C402" t="e">
        <f t="shared" si="61"/>
        <v>#N/A</v>
      </c>
      <c r="D402" t="e">
        <f t="shared" si="62"/>
        <v>#N/A</v>
      </c>
      <c r="E402">
        <f t="shared" si="63"/>
        <v>1.0934004978400155E-2</v>
      </c>
      <c r="F402" t="e">
        <f t="shared" si="64"/>
        <v>#N/A</v>
      </c>
      <c r="G402" t="e">
        <f t="shared" si="65"/>
        <v>#N/A</v>
      </c>
      <c r="H402" t="e">
        <f t="shared" si="66"/>
        <v>#N/A</v>
      </c>
      <c r="I402" t="e">
        <f t="shared" si="67"/>
        <v>#N/A</v>
      </c>
      <c r="J402" t="e">
        <f t="shared" si="68"/>
        <v>#N/A</v>
      </c>
      <c r="K402">
        <f t="shared" si="69"/>
        <v>1.1134004978400155E-2</v>
      </c>
      <c r="L402" t="e">
        <f>IF(AND(ABS((ChartCalculations!A402-Calculations!$F$3)/Calculations!$F$4)&lt;5,OR(A402&lt;=Calculations!$F$7,A402&gt;=Calculations!$F$8)),0.2*_xlfn.NORM.DIST(100,100,15,FALSE)*_xlfn.NORM.DIST(A402,Calculations!$F$3,Calculations!$F$4,FALSE)/_xlfn.NORM.DIST(Calculations!$F$3,Calculations!$F$3,Calculations!$F$4,FALSE),NA())</f>
        <v>#N/A</v>
      </c>
      <c r="M402" t="e">
        <f>IF(AND(A402&gt;=Calculations!$F$7,A402&lt;=Calculations!$F$8),0.2*_xlfn.NORM.DIST(100,100,15,FALSE)*_xlfn.NORM.DIST(A402,Calculations!$F$3,Calculations!$F$4,FALSE)/_xlfn.NORM.DIST(Calculations!$F$3,Calculations!$F$3,Calculations!$F$4,FALSE),NA())</f>
        <v>#N/A</v>
      </c>
    </row>
    <row r="403" spans="1:13" x14ac:dyDescent="0.25">
      <c r="A403">
        <v>80.100000000000605</v>
      </c>
      <c r="B403" t="e">
        <f t="shared" si="60"/>
        <v>#N/A</v>
      </c>
      <c r="C403" t="e">
        <f t="shared" si="61"/>
        <v>#N/A</v>
      </c>
      <c r="D403" t="e">
        <f t="shared" si="62"/>
        <v>#N/A</v>
      </c>
      <c r="E403">
        <f t="shared" si="63"/>
        <v>1.1031384232591345E-2</v>
      </c>
      <c r="F403" t="e">
        <f t="shared" si="64"/>
        <v>#N/A</v>
      </c>
      <c r="G403" t="e">
        <f t="shared" si="65"/>
        <v>#N/A</v>
      </c>
      <c r="H403" t="e">
        <f t="shared" si="66"/>
        <v>#N/A</v>
      </c>
      <c r="I403" t="e">
        <f t="shared" si="67"/>
        <v>#N/A</v>
      </c>
      <c r="J403" t="e">
        <f t="shared" si="68"/>
        <v>#N/A</v>
      </c>
      <c r="K403">
        <f t="shared" si="69"/>
        <v>1.1231384232591346E-2</v>
      </c>
      <c r="L403" t="e">
        <f>IF(AND(ABS((ChartCalculations!A403-Calculations!$F$3)/Calculations!$F$4)&lt;5,OR(A403&lt;=Calculations!$F$7,A403&gt;=Calculations!$F$8)),0.2*_xlfn.NORM.DIST(100,100,15,FALSE)*_xlfn.NORM.DIST(A403,Calculations!$F$3,Calculations!$F$4,FALSE)/_xlfn.NORM.DIST(Calculations!$F$3,Calculations!$F$3,Calculations!$F$4,FALSE),NA())</f>
        <v>#N/A</v>
      </c>
      <c r="M403" t="e">
        <f>IF(AND(A403&gt;=Calculations!$F$7,A403&lt;=Calculations!$F$8),0.2*_xlfn.NORM.DIST(100,100,15,FALSE)*_xlfn.NORM.DIST(A403,Calculations!$F$3,Calculations!$F$4,FALSE)/_xlfn.NORM.DIST(Calculations!$F$3,Calculations!$F$3,Calculations!$F$4,FALSE),NA())</f>
        <v>#N/A</v>
      </c>
    </row>
    <row r="404" spans="1:13" x14ac:dyDescent="0.25">
      <c r="A404">
        <v>80.2000000000006</v>
      </c>
      <c r="B404" t="e">
        <f t="shared" si="60"/>
        <v>#N/A</v>
      </c>
      <c r="C404" t="e">
        <f t="shared" si="61"/>
        <v>#N/A</v>
      </c>
      <c r="D404" t="e">
        <f t="shared" si="62"/>
        <v>#N/A</v>
      </c>
      <c r="E404">
        <f t="shared" si="63"/>
        <v>1.1129136116114841E-2</v>
      </c>
      <c r="F404" t="e">
        <f t="shared" si="64"/>
        <v>#N/A</v>
      </c>
      <c r="G404" t="e">
        <f t="shared" si="65"/>
        <v>#N/A</v>
      </c>
      <c r="H404" t="e">
        <f t="shared" si="66"/>
        <v>#N/A</v>
      </c>
      <c r="I404" t="e">
        <f t="shared" si="67"/>
        <v>#N/A</v>
      </c>
      <c r="J404" t="e">
        <f t="shared" si="68"/>
        <v>#N/A</v>
      </c>
      <c r="K404">
        <f t="shared" si="69"/>
        <v>1.1329136116114842E-2</v>
      </c>
      <c r="L404" t="e">
        <f>IF(AND(ABS((ChartCalculations!A404-Calculations!$F$3)/Calculations!$F$4)&lt;5,OR(A404&lt;=Calculations!$F$7,A404&gt;=Calculations!$F$8)),0.2*_xlfn.NORM.DIST(100,100,15,FALSE)*_xlfn.NORM.DIST(A404,Calculations!$F$3,Calculations!$F$4,FALSE)/_xlfn.NORM.DIST(Calculations!$F$3,Calculations!$F$3,Calculations!$F$4,FALSE),NA())</f>
        <v>#N/A</v>
      </c>
      <c r="M404" t="e">
        <f>IF(AND(A404&gt;=Calculations!$F$7,A404&lt;=Calculations!$F$8),0.2*_xlfn.NORM.DIST(100,100,15,FALSE)*_xlfn.NORM.DIST(A404,Calculations!$F$3,Calculations!$F$4,FALSE)/_xlfn.NORM.DIST(Calculations!$F$3,Calculations!$F$3,Calculations!$F$4,FALSE),NA())</f>
        <v>#N/A</v>
      </c>
    </row>
    <row r="405" spans="1:13" x14ac:dyDescent="0.25">
      <c r="A405">
        <v>80.300000000000594</v>
      </c>
      <c r="B405" t="e">
        <f t="shared" si="60"/>
        <v>#N/A</v>
      </c>
      <c r="C405" t="e">
        <f t="shared" si="61"/>
        <v>#N/A</v>
      </c>
      <c r="D405" t="e">
        <f t="shared" si="62"/>
        <v>#N/A</v>
      </c>
      <c r="E405">
        <f t="shared" si="63"/>
        <v>1.1227255203573013E-2</v>
      </c>
      <c r="F405" t="e">
        <f t="shared" si="64"/>
        <v>#N/A</v>
      </c>
      <c r="G405" t="e">
        <f t="shared" si="65"/>
        <v>#N/A</v>
      </c>
      <c r="H405" t="e">
        <f t="shared" si="66"/>
        <v>#N/A</v>
      </c>
      <c r="I405" t="e">
        <f t="shared" si="67"/>
        <v>#N/A</v>
      </c>
      <c r="J405" t="e">
        <f t="shared" si="68"/>
        <v>#N/A</v>
      </c>
      <c r="K405">
        <f t="shared" si="69"/>
        <v>1.1427255203573013E-2</v>
      </c>
      <c r="L405" t="e">
        <f>IF(AND(ABS((ChartCalculations!A405-Calculations!$F$3)/Calculations!$F$4)&lt;5,OR(A405&lt;=Calculations!$F$7,A405&gt;=Calculations!$F$8)),0.2*_xlfn.NORM.DIST(100,100,15,FALSE)*_xlfn.NORM.DIST(A405,Calculations!$F$3,Calculations!$F$4,FALSE)/_xlfn.NORM.DIST(Calculations!$F$3,Calculations!$F$3,Calculations!$F$4,FALSE),NA())</f>
        <v>#N/A</v>
      </c>
      <c r="M405" t="e">
        <f>IF(AND(A405&gt;=Calculations!$F$7,A405&lt;=Calculations!$F$8),0.2*_xlfn.NORM.DIST(100,100,15,FALSE)*_xlfn.NORM.DIST(A405,Calculations!$F$3,Calculations!$F$4,FALSE)/_xlfn.NORM.DIST(Calculations!$F$3,Calculations!$F$3,Calculations!$F$4,FALSE),NA())</f>
        <v>#N/A</v>
      </c>
    </row>
    <row r="406" spans="1:13" x14ac:dyDescent="0.25">
      <c r="A406">
        <v>80.400000000000603</v>
      </c>
      <c r="B406" t="e">
        <f t="shared" si="60"/>
        <v>#N/A</v>
      </c>
      <c r="C406" t="e">
        <f t="shared" si="61"/>
        <v>#N/A</v>
      </c>
      <c r="D406" t="e">
        <f t="shared" si="62"/>
        <v>#N/A</v>
      </c>
      <c r="E406">
        <f t="shared" si="63"/>
        <v>1.1325735972439263E-2</v>
      </c>
      <c r="F406" t="e">
        <f t="shared" si="64"/>
        <v>#N/A</v>
      </c>
      <c r="G406" t="e">
        <f t="shared" si="65"/>
        <v>#N/A</v>
      </c>
      <c r="H406" t="e">
        <f t="shared" si="66"/>
        <v>#N/A</v>
      </c>
      <c r="I406" t="e">
        <f t="shared" si="67"/>
        <v>#N/A</v>
      </c>
      <c r="J406" t="e">
        <f t="shared" si="68"/>
        <v>#N/A</v>
      </c>
      <c r="K406">
        <f t="shared" si="69"/>
        <v>1.1525735972439263E-2</v>
      </c>
      <c r="L406" t="e">
        <f>IF(AND(ABS((ChartCalculations!A406-Calculations!$F$3)/Calculations!$F$4)&lt;5,OR(A406&lt;=Calculations!$F$7,A406&gt;=Calculations!$F$8)),0.2*_xlfn.NORM.DIST(100,100,15,FALSE)*_xlfn.NORM.DIST(A406,Calculations!$F$3,Calculations!$F$4,FALSE)/_xlfn.NORM.DIST(Calculations!$F$3,Calculations!$F$3,Calculations!$F$4,FALSE),NA())</f>
        <v>#N/A</v>
      </c>
      <c r="M406" t="e">
        <f>IF(AND(A406&gt;=Calculations!$F$7,A406&lt;=Calculations!$F$8),0.2*_xlfn.NORM.DIST(100,100,15,FALSE)*_xlfn.NORM.DIST(A406,Calculations!$F$3,Calculations!$F$4,FALSE)/_xlfn.NORM.DIST(Calculations!$F$3,Calculations!$F$3,Calculations!$F$4,FALSE),NA())</f>
        <v>#N/A</v>
      </c>
    </row>
    <row r="407" spans="1:13" x14ac:dyDescent="0.25">
      <c r="A407">
        <v>80.500000000000597</v>
      </c>
      <c r="B407" t="e">
        <f t="shared" si="60"/>
        <v>#N/A</v>
      </c>
      <c r="C407" t="e">
        <f t="shared" si="61"/>
        <v>#N/A</v>
      </c>
      <c r="D407" t="e">
        <f t="shared" si="62"/>
        <v>#N/A</v>
      </c>
      <c r="E407">
        <f t="shared" si="63"/>
        <v>1.1424572803187748E-2</v>
      </c>
      <c r="F407" t="e">
        <f t="shared" si="64"/>
        <v>#N/A</v>
      </c>
      <c r="G407" t="e">
        <f t="shared" si="65"/>
        <v>#N/A</v>
      </c>
      <c r="H407" t="e">
        <f t="shared" si="66"/>
        <v>#N/A</v>
      </c>
      <c r="I407" t="e">
        <f t="shared" si="67"/>
        <v>#N/A</v>
      </c>
      <c r="J407" t="e">
        <f t="shared" si="68"/>
        <v>#N/A</v>
      </c>
      <c r="K407">
        <f t="shared" si="69"/>
        <v>1.1624572803187749E-2</v>
      </c>
      <c r="L407" t="e">
        <f>IF(AND(ABS((ChartCalculations!A407-Calculations!$F$3)/Calculations!$F$4)&lt;5,OR(A407&lt;=Calculations!$F$7,A407&gt;=Calculations!$F$8)),0.2*_xlfn.NORM.DIST(100,100,15,FALSE)*_xlfn.NORM.DIST(A407,Calculations!$F$3,Calculations!$F$4,FALSE)/_xlfn.NORM.DIST(Calculations!$F$3,Calculations!$F$3,Calculations!$F$4,FALSE),NA())</f>
        <v>#N/A</v>
      </c>
      <c r="M407" t="e">
        <f>IF(AND(A407&gt;=Calculations!$F$7,A407&lt;=Calculations!$F$8),0.2*_xlfn.NORM.DIST(100,100,15,FALSE)*_xlfn.NORM.DIST(A407,Calculations!$F$3,Calculations!$F$4,FALSE)/_xlfn.NORM.DIST(Calculations!$F$3,Calculations!$F$3,Calculations!$F$4,FALSE),NA())</f>
        <v>#N/A</v>
      </c>
    </row>
    <row r="408" spans="1:13" x14ac:dyDescent="0.25">
      <c r="A408">
        <v>80.600000000000605</v>
      </c>
      <c r="B408" t="e">
        <f t="shared" si="60"/>
        <v>#N/A</v>
      </c>
      <c r="C408" t="e">
        <f t="shared" si="61"/>
        <v>#N/A</v>
      </c>
      <c r="D408" t="e">
        <f t="shared" si="62"/>
        <v>#N/A</v>
      </c>
      <c r="E408">
        <f t="shared" si="63"/>
        <v>1.1523759979446024E-2</v>
      </c>
      <c r="F408" t="e">
        <f t="shared" si="64"/>
        <v>#N/A</v>
      </c>
      <c r="G408" t="e">
        <f t="shared" si="65"/>
        <v>#N/A</v>
      </c>
      <c r="H408" t="e">
        <f t="shared" si="66"/>
        <v>#N/A</v>
      </c>
      <c r="I408" t="e">
        <f t="shared" si="67"/>
        <v>#N/A</v>
      </c>
      <c r="J408" t="e">
        <f t="shared" si="68"/>
        <v>#N/A</v>
      </c>
      <c r="K408">
        <f t="shared" si="69"/>
        <v>1.1723759979446025E-2</v>
      </c>
      <c r="L408" t="e">
        <f>IF(AND(ABS((ChartCalculations!A408-Calculations!$F$3)/Calculations!$F$4)&lt;5,OR(A408&lt;=Calculations!$F$7,A408&gt;=Calculations!$F$8)),0.2*_xlfn.NORM.DIST(100,100,15,FALSE)*_xlfn.NORM.DIST(A408,Calculations!$F$3,Calculations!$F$4,FALSE)/_xlfn.NORM.DIST(Calculations!$F$3,Calculations!$F$3,Calculations!$F$4,FALSE),NA())</f>
        <v>#N/A</v>
      </c>
      <c r="M408" t="e">
        <f>IF(AND(A408&gt;=Calculations!$F$7,A408&lt;=Calculations!$F$8),0.2*_xlfn.NORM.DIST(100,100,15,FALSE)*_xlfn.NORM.DIST(A408,Calculations!$F$3,Calculations!$F$4,FALSE)/_xlfn.NORM.DIST(Calculations!$F$3,Calculations!$F$3,Calculations!$F$4,FALSE),NA())</f>
        <v>#N/A</v>
      </c>
    </row>
    <row r="409" spans="1:13" x14ac:dyDescent="0.25">
      <c r="A409">
        <v>80.7000000000006</v>
      </c>
      <c r="B409" t="e">
        <f t="shared" si="60"/>
        <v>#N/A</v>
      </c>
      <c r="C409" t="e">
        <f t="shared" si="61"/>
        <v>#N/A</v>
      </c>
      <c r="D409" t="e">
        <f t="shared" si="62"/>
        <v>#N/A</v>
      </c>
      <c r="E409">
        <f t="shared" si="63"/>
        <v>1.1623291688170426E-2</v>
      </c>
      <c r="F409" t="e">
        <f t="shared" si="64"/>
        <v>#N/A</v>
      </c>
      <c r="G409" t="e">
        <f t="shared" si="65"/>
        <v>#N/A</v>
      </c>
      <c r="H409" t="e">
        <f t="shared" si="66"/>
        <v>#N/A</v>
      </c>
      <c r="I409" t="e">
        <f t="shared" si="67"/>
        <v>#N/A</v>
      </c>
      <c r="J409" t="e">
        <f t="shared" si="68"/>
        <v>#N/A</v>
      </c>
      <c r="K409">
        <f t="shared" si="69"/>
        <v>1.1823291688170427E-2</v>
      </c>
      <c r="L409" t="e">
        <f>IF(AND(ABS((ChartCalculations!A409-Calculations!$F$3)/Calculations!$F$4)&lt;5,OR(A409&lt;=Calculations!$F$7,A409&gt;=Calculations!$F$8)),0.2*_xlfn.NORM.DIST(100,100,15,FALSE)*_xlfn.NORM.DIST(A409,Calculations!$F$3,Calculations!$F$4,FALSE)/_xlfn.NORM.DIST(Calculations!$F$3,Calculations!$F$3,Calculations!$F$4,FALSE),NA())</f>
        <v>#N/A</v>
      </c>
      <c r="M409" t="e">
        <f>IF(AND(A409&gt;=Calculations!$F$7,A409&lt;=Calculations!$F$8),0.2*_xlfn.NORM.DIST(100,100,15,FALSE)*_xlfn.NORM.DIST(A409,Calculations!$F$3,Calculations!$F$4,FALSE)/_xlfn.NORM.DIST(Calculations!$F$3,Calculations!$F$3,Calculations!$F$4,FALSE),NA())</f>
        <v>#N/A</v>
      </c>
    </row>
    <row r="410" spans="1:13" x14ac:dyDescent="0.25">
      <c r="A410">
        <v>80.800000000000594</v>
      </c>
      <c r="B410" t="e">
        <f t="shared" si="60"/>
        <v>#N/A</v>
      </c>
      <c r="C410" t="e">
        <f t="shared" si="61"/>
        <v>#N/A</v>
      </c>
      <c r="D410" t="e">
        <f t="shared" si="62"/>
        <v>#N/A</v>
      </c>
      <c r="E410">
        <f t="shared" si="63"/>
        <v>1.1723162019844751E-2</v>
      </c>
      <c r="F410" t="e">
        <f t="shared" si="64"/>
        <v>#N/A</v>
      </c>
      <c r="G410" t="e">
        <f t="shared" si="65"/>
        <v>#N/A</v>
      </c>
      <c r="H410" t="e">
        <f t="shared" si="66"/>
        <v>#N/A</v>
      </c>
      <c r="I410" t="e">
        <f t="shared" si="67"/>
        <v>#N/A</v>
      </c>
      <c r="J410" t="e">
        <f t="shared" si="68"/>
        <v>#N/A</v>
      </c>
      <c r="K410">
        <f t="shared" si="69"/>
        <v>1.1923162019844752E-2</v>
      </c>
      <c r="L410" t="e">
        <f>IF(AND(ABS((ChartCalculations!A410-Calculations!$F$3)/Calculations!$F$4)&lt;5,OR(A410&lt;=Calculations!$F$7,A410&gt;=Calculations!$F$8)),0.2*_xlfn.NORM.DIST(100,100,15,FALSE)*_xlfn.NORM.DIST(A410,Calculations!$F$3,Calculations!$F$4,FALSE)/_xlfn.NORM.DIST(Calculations!$F$3,Calculations!$F$3,Calculations!$F$4,FALSE),NA())</f>
        <v>#N/A</v>
      </c>
      <c r="M410" t="e">
        <f>IF(AND(A410&gt;=Calculations!$F$7,A410&lt;=Calculations!$F$8),0.2*_xlfn.NORM.DIST(100,100,15,FALSE)*_xlfn.NORM.DIST(A410,Calculations!$F$3,Calculations!$F$4,FALSE)/_xlfn.NORM.DIST(Calculations!$F$3,Calculations!$F$3,Calculations!$F$4,FALSE),NA())</f>
        <v>#N/A</v>
      </c>
    </row>
    <row r="411" spans="1:13" x14ac:dyDescent="0.25">
      <c r="A411">
        <v>80.900000000000603</v>
      </c>
      <c r="B411" t="e">
        <f t="shared" si="60"/>
        <v>#N/A</v>
      </c>
      <c r="C411" t="e">
        <f t="shared" si="61"/>
        <v>#N/A</v>
      </c>
      <c r="D411" t="e">
        <f t="shared" si="62"/>
        <v>#N/A</v>
      </c>
      <c r="E411">
        <f t="shared" si="63"/>
        <v>1.1823364968702083E-2</v>
      </c>
      <c r="F411" t="e">
        <f t="shared" si="64"/>
        <v>#N/A</v>
      </c>
      <c r="G411" t="e">
        <f t="shared" si="65"/>
        <v>#N/A</v>
      </c>
      <c r="H411" t="e">
        <f t="shared" si="66"/>
        <v>#N/A</v>
      </c>
      <c r="I411" t="e">
        <f t="shared" si="67"/>
        <v>#N/A</v>
      </c>
      <c r="J411" t="e">
        <f t="shared" si="68"/>
        <v>#N/A</v>
      </c>
      <c r="K411">
        <f t="shared" si="69"/>
        <v>1.2023364968702084E-2</v>
      </c>
      <c r="L411" t="e">
        <f>IF(AND(ABS((ChartCalculations!A411-Calculations!$F$3)/Calculations!$F$4)&lt;5,OR(A411&lt;=Calculations!$F$7,A411&gt;=Calculations!$F$8)),0.2*_xlfn.NORM.DIST(100,100,15,FALSE)*_xlfn.NORM.DIST(A411,Calculations!$F$3,Calculations!$F$4,FALSE)/_xlfn.NORM.DIST(Calculations!$F$3,Calculations!$F$3,Calculations!$F$4,FALSE),NA())</f>
        <v>#N/A</v>
      </c>
      <c r="M411" t="e">
        <f>IF(AND(A411&gt;=Calculations!$F$7,A411&lt;=Calculations!$F$8),0.2*_xlfn.NORM.DIST(100,100,15,FALSE)*_xlfn.NORM.DIST(A411,Calculations!$F$3,Calculations!$F$4,FALSE)/_xlfn.NORM.DIST(Calculations!$F$3,Calculations!$F$3,Calculations!$F$4,FALSE),NA())</f>
        <v>#N/A</v>
      </c>
    </row>
    <row r="412" spans="1:13" x14ac:dyDescent="0.25">
      <c r="A412">
        <v>81.000000000000597</v>
      </c>
      <c r="B412" t="e">
        <f t="shared" si="60"/>
        <v>#N/A</v>
      </c>
      <c r="C412" t="e">
        <f t="shared" si="61"/>
        <v>#N/A</v>
      </c>
      <c r="D412" t="e">
        <f t="shared" si="62"/>
        <v>#N/A</v>
      </c>
      <c r="E412">
        <f t="shared" si="63"/>
        <v>1.1923894432969971E-2</v>
      </c>
      <c r="F412" t="e">
        <f t="shared" si="64"/>
        <v>#N/A</v>
      </c>
      <c r="G412" t="e">
        <f t="shared" si="65"/>
        <v>#N/A</v>
      </c>
      <c r="H412" t="e">
        <f t="shared" si="66"/>
        <v>#N/A</v>
      </c>
      <c r="I412" t="e">
        <f t="shared" si="67"/>
        <v>#N/A</v>
      </c>
      <c r="J412" t="e">
        <f t="shared" si="68"/>
        <v>#N/A</v>
      </c>
      <c r="K412">
        <f t="shared" si="69"/>
        <v>1.2123894432969972E-2</v>
      </c>
      <c r="L412" t="e">
        <f>IF(AND(ABS((ChartCalculations!A412-Calculations!$F$3)/Calculations!$F$4)&lt;5,OR(A412&lt;=Calculations!$F$7,A412&gt;=Calculations!$F$8)),0.2*_xlfn.NORM.DIST(100,100,15,FALSE)*_xlfn.NORM.DIST(A412,Calculations!$F$3,Calculations!$F$4,FALSE)/_xlfn.NORM.DIST(Calculations!$F$3,Calculations!$F$3,Calculations!$F$4,FALSE),NA())</f>
        <v>#N/A</v>
      </c>
      <c r="M412" t="e">
        <f>IF(AND(A412&gt;=Calculations!$F$7,A412&lt;=Calculations!$F$8),0.2*_xlfn.NORM.DIST(100,100,15,FALSE)*_xlfn.NORM.DIST(A412,Calculations!$F$3,Calculations!$F$4,FALSE)/_xlfn.NORM.DIST(Calculations!$F$3,Calculations!$F$3,Calculations!$F$4,FALSE),NA())</f>
        <v>#N/A</v>
      </c>
    </row>
    <row r="413" spans="1:13" x14ac:dyDescent="0.25">
      <c r="A413">
        <v>81.100000000000605</v>
      </c>
      <c r="B413" t="e">
        <f t="shared" si="60"/>
        <v>#N/A</v>
      </c>
      <c r="C413" t="e">
        <f t="shared" si="61"/>
        <v>#N/A</v>
      </c>
      <c r="D413" t="e">
        <f t="shared" si="62"/>
        <v>#N/A</v>
      </c>
      <c r="E413">
        <f t="shared" si="63"/>
        <v>1.2024744215139301E-2</v>
      </c>
      <c r="F413" t="e">
        <f t="shared" si="64"/>
        <v>#N/A</v>
      </c>
      <c r="G413" t="e">
        <f t="shared" si="65"/>
        <v>#N/A</v>
      </c>
      <c r="H413" t="e">
        <f t="shared" si="66"/>
        <v>#N/A</v>
      </c>
      <c r="I413" t="e">
        <f t="shared" si="67"/>
        <v>#N/A</v>
      </c>
      <c r="J413" t="e">
        <f t="shared" si="68"/>
        <v>#N/A</v>
      </c>
      <c r="K413">
        <f t="shared" si="69"/>
        <v>1.2224744215139301E-2</v>
      </c>
      <c r="L413" t="e">
        <f>IF(AND(ABS((ChartCalculations!A413-Calculations!$F$3)/Calculations!$F$4)&lt;5,OR(A413&lt;=Calculations!$F$7,A413&gt;=Calculations!$F$8)),0.2*_xlfn.NORM.DIST(100,100,15,FALSE)*_xlfn.NORM.DIST(A413,Calculations!$F$3,Calculations!$F$4,FALSE)/_xlfn.NORM.DIST(Calculations!$F$3,Calculations!$F$3,Calculations!$F$4,FALSE),NA())</f>
        <v>#N/A</v>
      </c>
      <c r="M413" t="e">
        <f>IF(AND(A413&gt;=Calculations!$F$7,A413&lt;=Calculations!$F$8),0.2*_xlfn.NORM.DIST(100,100,15,FALSE)*_xlfn.NORM.DIST(A413,Calculations!$F$3,Calculations!$F$4,FALSE)/_xlfn.NORM.DIST(Calculations!$F$3,Calculations!$F$3,Calculations!$F$4,FALSE),NA())</f>
        <v>#N/A</v>
      </c>
    </row>
    <row r="414" spans="1:13" x14ac:dyDescent="0.25">
      <c r="A414">
        <v>81.2000000000006</v>
      </c>
      <c r="B414" t="e">
        <f t="shared" si="60"/>
        <v>#N/A</v>
      </c>
      <c r="C414" t="e">
        <f t="shared" si="61"/>
        <v>#N/A</v>
      </c>
      <c r="D414" t="e">
        <f t="shared" si="62"/>
        <v>#N/A</v>
      </c>
      <c r="E414">
        <f t="shared" si="63"/>
        <v>1.2125908022256599E-2</v>
      </c>
      <c r="F414" t="e">
        <f t="shared" si="64"/>
        <v>#N/A</v>
      </c>
      <c r="G414" t="e">
        <f t="shared" si="65"/>
        <v>#N/A</v>
      </c>
      <c r="H414" t="e">
        <f t="shared" si="66"/>
        <v>#N/A</v>
      </c>
      <c r="I414" t="e">
        <f t="shared" si="67"/>
        <v>#N/A</v>
      </c>
      <c r="J414" t="e">
        <f t="shared" si="68"/>
        <v>#N/A</v>
      </c>
      <c r="K414">
        <f t="shared" si="69"/>
        <v>1.2325908022256599E-2</v>
      </c>
      <c r="L414" t="e">
        <f>IF(AND(ABS((ChartCalculations!A414-Calculations!$F$3)/Calculations!$F$4)&lt;5,OR(A414&lt;=Calculations!$F$7,A414&gt;=Calculations!$F$8)),0.2*_xlfn.NORM.DIST(100,100,15,FALSE)*_xlfn.NORM.DIST(A414,Calculations!$F$3,Calculations!$F$4,FALSE)/_xlfn.NORM.DIST(Calculations!$F$3,Calculations!$F$3,Calculations!$F$4,FALSE),NA())</f>
        <v>#N/A</v>
      </c>
      <c r="M414" t="e">
        <f>IF(AND(A414&gt;=Calculations!$F$7,A414&lt;=Calculations!$F$8),0.2*_xlfn.NORM.DIST(100,100,15,FALSE)*_xlfn.NORM.DIST(A414,Calculations!$F$3,Calculations!$F$4,FALSE)/_xlfn.NORM.DIST(Calculations!$F$3,Calculations!$F$3,Calculations!$F$4,FALSE),NA())</f>
        <v>#N/A</v>
      </c>
    </row>
    <row r="415" spans="1:13" x14ac:dyDescent="0.25">
      <c r="A415">
        <v>81.300000000000594</v>
      </c>
      <c r="B415" t="e">
        <f t="shared" si="60"/>
        <v>#N/A</v>
      </c>
      <c r="C415" t="e">
        <f t="shared" si="61"/>
        <v>#N/A</v>
      </c>
      <c r="D415" t="e">
        <f t="shared" si="62"/>
        <v>#N/A</v>
      </c>
      <c r="E415">
        <f t="shared" si="63"/>
        <v>1.2227379466240336E-2</v>
      </c>
      <c r="F415" t="e">
        <f t="shared" si="64"/>
        <v>#N/A</v>
      </c>
      <c r="G415" t="e">
        <f t="shared" si="65"/>
        <v>#N/A</v>
      </c>
      <c r="H415" t="e">
        <f t="shared" si="66"/>
        <v>#N/A</v>
      </c>
      <c r="I415" t="e">
        <f t="shared" si="67"/>
        <v>#N/A</v>
      </c>
      <c r="J415" t="e">
        <f t="shared" si="68"/>
        <v>#N/A</v>
      </c>
      <c r="K415">
        <f t="shared" si="69"/>
        <v>1.2427379466240337E-2</v>
      </c>
      <c r="L415" t="e">
        <f>IF(AND(ABS((ChartCalculations!A415-Calculations!$F$3)/Calculations!$F$4)&lt;5,OR(A415&lt;=Calculations!$F$7,A415&gt;=Calculations!$F$8)),0.2*_xlfn.NORM.DIST(100,100,15,FALSE)*_xlfn.NORM.DIST(A415,Calculations!$F$3,Calculations!$F$4,FALSE)/_xlfn.NORM.DIST(Calculations!$F$3,Calculations!$F$3,Calculations!$F$4,FALSE),NA())</f>
        <v>#N/A</v>
      </c>
      <c r="M415" t="e">
        <f>IF(AND(A415&gt;=Calculations!$F$7,A415&lt;=Calculations!$F$8),0.2*_xlfn.NORM.DIST(100,100,15,FALSE)*_xlfn.NORM.DIST(A415,Calculations!$F$3,Calculations!$F$4,FALSE)/_xlfn.NORM.DIST(Calculations!$F$3,Calculations!$F$3,Calculations!$F$4,FALSE),NA())</f>
        <v>#N/A</v>
      </c>
    </row>
    <row r="416" spans="1:13" x14ac:dyDescent="0.25">
      <c r="A416">
        <v>81.400000000000603</v>
      </c>
      <c r="B416" t="e">
        <f t="shared" si="60"/>
        <v>#N/A</v>
      </c>
      <c r="C416" t="e">
        <f t="shared" si="61"/>
        <v>#N/A</v>
      </c>
      <c r="D416" t="e">
        <f t="shared" si="62"/>
        <v>#N/A</v>
      </c>
      <c r="E416">
        <f t="shared" si="63"/>
        <v>1.2329152064220967E-2</v>
      </c>
      <c r="F416" t="e">
        <f t="shared" si="64"/>
        <v>#N/A</v>
      </c>
      <c r="G416" t="e">
        <f t="shared" si="65"/>
        <v>#N/A</v>
      </c>
      <c r="H416" t="e">
        <f t="shared" si="66"/>
        <v>#N/A</v>
      </c>
      <c r="I416" t="e">
        <f t="shared" si="67"/>
        <v>#N/A</v>
      </c>
      <c r="J416" t="e">
        <f t="shared" si="68"/>
        <v>#N/A</v>
      </c>
      <c r="K416">
        <f t="shared" si="69"/>
        <v>1.2529152064220967E-2</v>
      </c>
      <c r="L416" t="e">
        <f>IF(AND(ABS((ChartCalculations!A416-Calculations!$F$3)/Calculations!$F$4)&lt;5,OR(A416&lt;=Calculations!$F$7,A416&gt;=Calculations!$F$8)),0.2*_xlfn.NORM.DIST(100,100,15,FALSE)*_xlfn.NORM.DIST(A416,Calculations!$F$3,Calculations!$F$4,FALSE)/_xlfn.NORM.DIST(Calculations!$F$3,Calculations!$F$3,Calculations!$F$4,FALSE),NA())</f>
        <v>#N/A</v>
      </c>
      <c r="M416" t="e">
        <f>IF(AND(A416&gt;=Calculations!$F$7,A416&lt;=Calculations!$F$8),0.2*_xlfn.NORM.DIST(100,100,15,FALSE)*_xlfn.NORM.DIST(A416,Calculations!$F$3,Calculations!$F$4,FALSE)/_xlfn.NORM.DIST(Calculations!$F$3,Calculations!$F$3,Calculations!$F$4,FALSE),NA())</f>
        <v>#N/A</v>
      </c>
    </row>
    <row r="417" spans="1:13" x14ac:dyDescent="0.25">
      <c r="A417">
        <v>81.500000000000597</v>
      </c>
      <c r="B417" t="e">
        <f t="shared" si="60"/>
        <v>#N/A</v>
      </c>
      <c r="C417" t="e">
        <f t="shared" si="61"/>
        <v>#N/A</v>
      </c>
      <c r="D417" t="e">
        <f t="shared" si="62"/>
        <v>#N/A</v>
      </c>
      <c r="E417">
        <f t="shared" si="63"/>
        <v>1.2431219238904993E-2</v>
      </c>
      <c r="F417" t="e">
        <f t="shared" si="64"/>
        <v>#N/A</v>
      </c>
      <c r="G417" t="e">
        <f t="shared" si="65"/>
        <v>#N/A</v>
      </c>
      <c r="H417" t="e">
        <f t="shared" si="66"/>
        <v>#N/A</v>
      </c>
      <c r="I417" t="e">
        <f t="shared" si="67"/>
        <v>#N/A</v>
      </c>
      <c r="J417" t="e">
        <f t="shared" si="68"/>
        <v>#N/A</v>
      </c>
      <c r="K417">
        <f t="shared" si="69"/>
        <v>1.2631219238904994E-2</v>
      </c>
      <c r="L417" t="e">
        <f>IF(AND(ABS((ChartCalculations!A417-Calculations!$F$3)/Calculations!$F$4)&lt;5,OR(A417&lt;=Calculations!$F$7,A417&gt;=Calculations!$F$8)),0.2*_xlfn.NORM.DIST(100,100,15,FALSE)*_xlfn.NORM.DIST(A417,Calculations!$F$3,Calculations!$F$4,FALSE)/_xlfn.NORM.DIST(Calculations!$F$3,Calculations!$F$3,Calculations!$F$4,FALSE),NA())</f>
        <v>#N/A</v>
      </c>
      <c r="M417" t="e">
        <f>IF(AND(A417&gt;=Calculations!$F$7,A417&lt;=Calculations!$F$8),0.2*_xlfn.NORM.DIST(100,100,15,FALSE)*_xlfn.NORM.DIST(A417,Calculations!$F$3,Calculations!$F$4,FALSE)/_xlfn.NORM.DIST(Calculations!$F$3,Calculations!$F$3,Calculations!$F$4,FALSE),NA())</f>
        <v>#N/A</v>
      </c>
    </row>
    <row r="418" spans="1:13" x14ac:dyDescent="0.25">
      <c r="A418">
        <v>81.600000000000605</v>
      </c>
      <c r="B418" t="e">
        <f t="shared" si="60"/>
        <v>#N/A</v>
      </c>
      <c r="C418" t="e">
        <f t="shared" si="61"/>
        <v>#N/A</v>
      </c>
      <c r="D418" t="e">
        <f t="shared" si="62"/>
        <v>#N/A</v>
      </c>
      <c r="E418">
        <f t="shared" si="63"/>
        <v>1.2533574318963269E-2</v>
      </c>
      <c r="F418" t="e">
        <f t="shared" si="64"/>
        <v>#N/A</v>
      </c>
      <c r="G418" t="e">
        <f t="shared" si="65"/>
        <v>#N/A</v>
      </c>
      <c r="H418" t="e">
        <f t="shared" si="66"/>
        <v>#N/A</v>
      </c>
      <c r="I418" t="e">
        <f t="shared" si="67"/>
        <v>#N/A</v>
      </c>
      <c r="J418" t="e">
        <f t="shared" si="68"/>
        <v>#N/A</v>
      </c>
      <c r="K418">
        <f t="shared" si="69"/>
        <v>1.273357431896327E-2</v>
      </c>
      <c r="L418" t="e">
        <f>IF(AND(ABS((ChartCalculations!A418-Calculations!$F$3)/Calculations!$F$4)&lt;5,OR(A418&lt;=Calculations!$F$7,A418&gt;=Calculations!$F$8)),0.2*_xlfn.NORM.DIST(100,100,15,FALSE)*_xlfn.NORM.DIST(A418,Calculations!$F$3,Calculations!$F$4,FALSE)/_xlfn.NORM.DIST(Calculations!$F$3,Calculations!$F$3,Calculations!$F$4,FALSE),NA())</f>
        <v>#N/A</v>
      </c>
      <c r="M418" t="e">
        <f>IF(AND(A418&gt;=Calculations!$F$7,A418&lt;=Calculations!$F$8),0.2*_xlfn.NORM.DIST(100,100,15,FALSE)*_xlfn.NORM.DIST(A418,Calculations!$F$3,Calculations!$F$4,FALSE)/_xlfn.NORM.DIST(Calculations!$F$3,Calculations!$F$3,Calculations!$F$4,FALSE),NA())</f>
        <v>#N/A</v>
      </c>
    </row>
    <row r="419" spans="1:13" x14ac:dyDescent="0.25">
      <c r="A419">
        <v>81.7000000000006</v>
      </c>
      <c r="B419" t="e">
        <f t="shared" si="60"/>
        <v>#N/A</v>
      </c>
      <c r="C419" t="e">
        <f t="shared" si="61"/>
        <v>#N/A</v>
      </c>
      <c r="D419" t="e">
        <f t="shared" si="62"/>
        <v>#N/A</v>
      </c>
      <c r="E419">
        <f t="shared" si="63"/>
        <v>1.2636210539443297E-2</v>
      </c>
      <c r="F419" t="e">
        <f t="shared" si="64"/>
        <v>#N/A</v>
      </c>
      <c r="G419" t="e">
        <f t="shared" si="65"/>
        <v>#N/A</v>
      </c>
      <c r="H419" t="e">
        <f t="shared" si="66"/>
        <v>#N/A</v>
      </c>
      <c r="I419" t="e">
        <f t="shared" si="67"/>
        <v>#N/A</v>
      </c>
      <c r="J419" t="e">
        <f t="shared" si="68"/>
        <v>#N/A</v>
      </c>
      <c r="K419">
        <f t="shared" si="69"/>
        <v>1.2836210539443298E-2</v>
      </c>
      <c r="L419" t="e">
        <f>IF(AND(ABS((ChartCalculations!A419-Calculations!$F$3)/Calculations!$F$4)&lt;5,OR(A419&lt;=Calculations!$F$7,A419&gt;=Calculations!$F$8)),0.2*_xlfn.NORM.DIST(100,100,15,FALSE)*_xlfn.NORM.DIST(A419,Calculations!$F$3,Calculations!$F$4,FALSE)/_xlfn.NORM.DIST(Calculations!$F$3,Calculations!$F$3,Calculations!$F$4,FALSE),NA())</f>
        <v>#N/A</v>
      </c>
      <c r="M419" t="e">
        <f>IF(AND(A419&gt;=Calculations!$F$7,A419&lt;=Calculations!$F$8),0.2*_xlfn.NORM.DIST(100,100,15,FALSE)*_xlfn.NORM.DIST(A419,Calculations!$F$3,Calculations!$F$4,FALSE)/_xlfn.NORM.DIST(Calculations!$F$3,Calculations!$F$3,Calculations!$F$4,FALSE),NA())</f>
        <v>#N/A</v>
      </c>
    </row>
    <row r="420" spans="1:13" x14ac:dyDescent="0.25">
      <c r="A420">
        <v>81.800000000000594</v>
      </c>
      <c r="B420" t="e">
        <f t="shared" si="60"/>
        <v>#N/A</v>
      </c>
      <c r="C420" t="e">
        <f t="shared" si="61"/>
        <v>#N/A</v>
      </c>
      <c r="D420" t="e">
        <f t="shared" si="62"/>
        <v>#N/A</v>
      </c>
      <c r="E420">
        <f t="shared" si="63"/>
        <v>1.273912104220604E-2</v>
      </c>
      <c r="F420" t="e">
        <f t="shared" si="64"/>
        <v>#N/A</v>
      </c>
      <c r="G420" t="e">
        <f t="shared" si="65"/>
        <v>#N/A</v>
      </c>
      <c r="H420" t="e">
        <f t="shared" si="66"/>
        <v>#N/A</v>
      </c>
      <c r="I420" t="e">
        <f t="shared" si="67"/>
        <v>#N/A</v>
      </c>
      <c r="J420" t="e">
        <f t="shared" si="68"/>
        <v>#N/A</v>
      </c>
      <c r="K420">
        <f t="shared" si="69"/>
        <v>1.293912104220604E-2</v>
      </c>
      <c r="L420" t="e">
        <f>IF(AND(ABS((ChartCalculations!A420-Calculations!$F$3)/Calculations!$F$4)&lt;5,OR(A420&lt;=Calculations!$F$7,A420&gt;=Calculations!$F$8)),0.2*_xlfn.NORM.DIST(100,100,15,FALSE)*_xlfn.NORM.DIST(A420,Calculations!$F$3,Calculations!$F$4,FALSE)/_xlfn.NORM.DIST(Calculations!$F$3,Calculations!$F$3,Calculations!$F$4,FALSE),NA())</f>
        <v>#N/A</v>
      </c>
      <c r="M420" t="e">
        <f>IF(AND(A420&gt;=Calculations!$F$7,A420&lt;=Calculations!$F$8),0.2*_xlfn.NORM.DIST(100,100,15,FALSE)*_xlfn.NORM.DIST(A420,Calculations!$F$3,Calculations!$F$4,FALSE)/_xlfn.NORM.DIST(Calculations!$F$3,Calculations!$F$3,Calculations!$F$4,FALSE),NA())</f>
        <v>#N/A</v>
      </c>
    </row>
    <row r="421" spans="1:13" x14ac:dyDescent="0.25">
      <c r="A421">
        <v>81.900000000000603</v>
      </c>
      <c r="B421" t="e">
        <f t="shared" si="60"/>
        <v>#N/A</v>
      </c>
      <c r="C421" t="e">
        <f t="shared" si="61"/>
        <v>#N/A</v>
      </c>
      <c r="D421" t="e">
        <f t="shared" si="62"/>
        <v>#N/A</v>
      </c>
      <c r="E421">
        <f t="shared" si="63"/>
        <v>1.2842298876386951E-2</v>
      </c>
      <c r="F421" t="e">
        <f t="shared" si="64"/>
        <v>#N/A</v>
      </c>
      <c r="G421" t="e">
        <f t="shared" si="65"/>
        <v>#N/A</v>
      </c>
      <c r="H421" t="e">
        <f t="shared" si="66"/>
        <v>#N/A</v>
      </c>
      <c r="I421" t="e">
        <f t="shared" si="67"/>
        <v>#N/A</v>
      </c>
      <c r="J421" t="e">
        <f t="shared" si="68"/>
        <v>#N/A</v>
      </c>
      <c r="K421">
        <f t="shared" si="69"/>
        <v>1.3042298876386952E-2</v>
      </c>
      <c r="L421" t="e">
        <f>IF(AND(ABS((ChartCalculations!A421-Calculations!$F$3)/Calculations!$F$4)&lt;5,OR(A421&lt;=Calculations!$F$7,A421&gt;=Calculations!$F$8)),0.2*_xlfn.NORM.DIST(100,100,15,FALSE)*_xlfn.NORM.DIST(A421,Calculations!$F$3,Calculations!$F$4,FALSE)/_xlfn.NORM.DIST(Calculations!$F$3,Calculations!$F$3,Calculations!$F$4,FALSE),NA())</f>
        <v>#N/A</v>
      </c>
      <c r="M421" t="e">
        <f>IF(AND(A421&gt;=Calculations!$F$7,A421&lt;=Calculations!$F$8),0.2*_xlfn.NORM.DIST(100,100,15,FALSE)*_xlfn.NORM.DIST(A421,Calculations!$F$3,Calculations!$F$4,FALSE)/_xlfn.NORM.DIST(Calculations!$F$3,Calculations!$F$3,Calculations!$F$4,FALSE),NA())</f>
        <v>#N/A</v>
      </c>
    </row>
    <row r="422" spans="1:13" x14ac:dyDescent="0.25">
      <c r="A422">
        <v>82.000000000000597</v>
      </c>
      <c r="B422" t="e">
        <f t="shared" si="60"/>
        <v>#N/A</v>
      </c>
      <c r="C422" t="e">
        <f t="shared" si="61"/>
        <v>#N/A</v>
      </c>
      <c r="D422" t="e">
        <f t="shared" si="62"/>
        <v>#N/A</v>
      </c>
      <c r="E422">
        <f t="shared" si="63"/>
        <v>1.294573699888148E-2</v>
      </c>
      <c r="F422" t="e">
        <f t="shared" si="64"/>
        <v>#N/A</v>
      </c>
      <c r="G422" t="e">
        <f t="shared" si="65"/>
        <v>#N/A</v>
      </c>
      <c r="H422" t="e">
        <f t="shared" si="66"/>
        <v>#N/A</v>
      </c>
      <c r="I422" t="e">
        <f t="shared" si="67"/>
        <v>#N/A</v>
      </c>
      <c r="J422" t="e">
        <f t="shared" si="68"/>
        <v>#N/A</v>
      </c>
      <c r="K422">
        <f t="shared" si="69"/>
        <v>1.3145736998881481E-2</v>
      </c>
      <c r="L422" t="e">
        <f>IF(AND(ABS((ChartCalculations!A422-Calculations!$F$3)/Calculations!$F$4)&lt;5,OR(A422&lt;=Calculations!$F$7,A422&gt;=Calculations!$F$8)),0.2*_xlfn.NORM.DIST(100,100,15,FALSE)*_xlfn.NORM.DIST(A422,Calculations!$F$3,Calculations!$F$4,FALSE)/_xlfn.NORM.DIST(Calculations!$F$3,Calculations!$F$3,Calculations!$F$4,FALSE),NA())</f>
        <v>#N/A</v>
      </c>
      <c r="M422" t="e">
        <f>IF(AND(A422&gt;=Calculations!$F$7,A422&lt;=Calculations!$F$8),0.2*_xlfn.NORM.DIST(100,100,15,FALSE)*_xlfn.NORM.DIST(A422,Calculations!$F$3,Calculations!$F$4,FALSE)/_xlfn.NORM.DIST(Calculations!$F$3,Calculations!$F$3,Calculations!$F$4,FALSE),NA())</f>
        <v>#N/A</v>
      </c>
    </row>
    <row r="423" spans="1:13" x14ac:dyDescent="0.25">
      <c r="A423">
        <v>82.100000000000605</v>
      </c>
      <c r="B423" t="e">
        <f t="shared" si="60"/>
        <v>#N/A</v>
      </c>
      <c r="C423" t="e">
        <f t="shared" si="61"/>
        <v>#N/A</v>
      </c>
      <c r="D423" t="e">
        <f t="shared" si="62"/>
        <v>#N/A</v>
      </c>
      <c r="E423">
        <f t="shared" si="63"/>
        <v>1.3049428274855239E-2</v>
      </c>
      <c r="F423" t="e">
        <f t="shared" si="64"/>
        <v>#N/A</v>
      </c>
      <c r="G423" t="e">
        <f t="shared" si="65"/>
        <v>#N/A</v>
      </c>
      <c r="H423" t="e">
        <f t="shared" si="66"/>
        <v>#N/A</v>
      </c>
      <c r="I423" t="e">
        <f t="shared" si="67"/>
        <v>#N/A</v>
      </c>
      <c r="J423" t="e">
        <f t="shared" si="68"/>
        <v>#N/A</v>
      </c>
      <c r="K423">
        <f t="shared" si="69"/>
        <v>1.324942827485524E-2</v>
      </c>
      <c r="L423" t="e">
        <f>IF(AND(ABS((ChartCalculations!A423-Calculations!$F$3)/Calculations!$F$4)&lt;5,OR(A423&lt;=Calculations!$F$7,A423&gt;=Calculations!$F$8)),0.2*_xlfn.NORM.DIST(100,100,15,FALSE)*_xlfn.NORM.DIST(A423,Calculations!$F$3,Calculations!$F$4,FALSE)/_xlfn.NORM.DIST(Calculations!$F$3,Calculations!$F$3,Calculations!$F$4,FALSE),NA())</f>
        <v>#N/A</v>
      </c>
      <c r="M423" t="e">
        <f>IF(AND(A423&gt;=Calculations!$F$7,A423&lt;=Calculations!$F$8),0.2*_xlfn.NORM.DIST(100,100,15,FALSE)*_xlfn.NORM.DIST(A423,Calculations!$F$3,Calculations!$F$4,FALSE)/_xlfn.NORM.DIST(Calculations!$F$3,Calculations!$F$3,Calculations!$F$4,FALSE),NA())</f>
        <v>#N/A</v>
      </c>
    </row>
    <row r="424" spans="1:13" x14ac:dyDescent="0.25">
      <c r="A424">
        <v>82.2000000000006</v>
      </c>
      <c r="B424" t="e">
        <f t="shared" si="60"/>
        <v>#N/A</v>
      </c>
      <c r="C424" t="e">
        <f t="shared" si="61"/>
        <v>#N/A</v>
      </c>
      <c r="D424" t="e">
        <f t="shared" si="62"/>
        <v>#N/A</v>
      </c>
      <c r="E424">
        <f t="shared" si="63"/>
        <v>1.3153365478278511E-2</v>
      </c>
      <c r="F424" t="e">
        <f t="shared" si="64"/>
        <v>#N/A</v>
      </c>
      <c r="G424" t="e">
        <f t="shared" si="65"/>
        <v>#N/A</v>
      </c>
      <c r="H424" t="e">
        <f t="shared" si="66"/>
        <v>#N/A</v>
      </c>
      <c r="I424" t="e">
        <f t="shared" si="67"/>
        <v>#N/A</v>
      </c>
      <c r="J424" t="e">
        <f t="shared" si="68"/>
        <v>#N/A</v>
      </c>
      <c r="K424">
        <f t="shared" si="69"/>
        <v>1.3353365478278511E-2</v>
      </c>
      <c r="L424" t="e">
        <f>IF(AND(ABS((ChartCalculations!A424-Calculations!$F$3)/Calculations!$F$4)&lt;5,OR(A424&lt;=Calculations!$F$7,A424&gt;=Calculations!$F$8)),0.2*_xlfn.NORM.DIST(100,100,15,FALSE)*_xlfn.NORM.DIST(A424,Calculations!$F$3,Calculations!$F$4,FALSE)/_xlfn.NORM.DIST(Calculations!$F$3,Calculations!$F$3,Calculations!$F$4,FALSE),NA())</f>
        <v>#N/A</v>
      </c>
      <c r="M424" t="e">
        <f>IF(AND(A424&gt;=Calculations!$F$7,A424&lt;=Calculations!$F$8),0.2*_xlfn.NORM.DIST(100,100,15,FALSE)*_xlfn.NORM.DIST(A424,Calculations!$F$3,Calculations!$F$4,FALSE)/_xlfn.NORM.DIST(Calculations!$F$3,Calculations!$F$3,Calculations!$F$4,FALSE),NA())</f>
        <v>#N/A</v>
      </c>
    </row>
    <row r="425" spans="1:13" x14ac:dyDescent="0.25">
      <c r="A425">
        <v>82.300000000000594</v>
      </c>
      <c r="B425" t="e">
        <f t="shared" si="60"/>
        <v>#N/A</v>
      </c>
      <c r="C425" t="e">
        <f t="shared" si="61"/>
        <v>#N/A</v>
      </c>
      <c r="D425" t="e">
        <f t="shared" si="62"/>
        <v>#N/A</v>
      </c>
      <c r="E425">
        <f t="shared" si="63"/>
        <v>1.3257541292485681E-2</v>
      </c>
      <c r="F425" t="e">
        <f t="shared" si="64"/>
        <v>#N/A</v>
      </c>
      <c r="G425" t="e">
        <f t="shared" si="65"/>
        <v>#N/A</v>
      </c>
      <c r="H425" t="e">
        <f t="shared" si="66"/>
        <v>#N/A</v>
      </c>
      <c r="I425" t="e">
        <f t="shared" si="67"/>
        <v>#N/A</v>
      </c>
      <c r="J425" t="e">
        <f t="shared" si="68"/>
        <v>#N/A</v>
      </c>
      <c r="K425">
        <f t="shared" si="69"/>
        <v>1.3457541292485681E-2</v>
      </c>
      <c r="L425" t="e">
        <f>IF(AND(ABS((ChartCalculations!A425-Calculations!$F$3)/Calculations!$F$4)&lt;5,OR(A425&lt;=Calculations!$F$7,A425&gt;=Calculations!$F$8)),0.2*_xlfn.NORM.DIST(100,100,15,FALSE)*_xlfn.NORM.DIST(A425,Calculations!$F$3,Calculations!$F$4,FALSE)/_xlfn.NORM.DIST(Calculations!$F$3,Calculations!$F$3,Calculations!$F$4,FALSE),NA())</f>
        <v>#N/A</v>
      </c>
      <c r="M425" t="e">
        <f>IF(AND(A425&gt;=Calculations!$F$7,A425&lt;=Calculations!$F$8),0.2*_xlfn.NORM.DIST(100,100,15,FALSE)*_xlfn.NORM.DIST(A425,Calculations!$F$3,Calculations!$F$4,FALSE)/_xlfn.NORM.DIST(Calculations!$F$3,Calculations!$F$3,Calculations!$F$4,FALSE),NA())</f>
        <v>#N/A</v>
      </c>
    </row>
    <row r="426" spans="1:13" x14ac:dyDescent="0.25">
      <c r="A426">
        <v>82.400000000000603</v>
      </c>
      <c r="B426" t="e">
        <f t="shared" si="60"/>
        <v>#N/A</v>
      </c>
      <c r="C426" t="e">
        <f t="shared" si="61"/>
        <v>#N/A</v>
      </c>
      <c r="D426" t="e">
        <f t="shared" si="62"/>
        <v>#N/A</v>
      </c>
      <c r="E426">
        <f t="shared" si="63"/>
        <v>1.336194831075912E-2</v>
      </c>
      <c r="F426" t="e">
        <f t="shared" si="64"/>
        <v>#N/A</v>
      </c>
      <c r="G426" t="e">
        <f t="shared" si="65"/>
        <v>#N/A</v>
      </c>
      <c r="H426" t="e">
        <f t="shared" si="66"/>
        <v>#N/A</v>
      </c>
      <c r="I426" t="e">
        <f t="shared" si="67"/>
        <v>#N/A</v>
      </c>
      <c r="J426" t="e">
        <f t="shared" si="68"/>
        <v>#N/A</v>
      </c>
      <c r="K426">
        <f t="shared" si="69"/>
        <v>1.3561948310759121E-2</v>
      </c>
      <c r="L426" t="e">
        <f>IF(AND(ABS((ChartCalculations!A426-Calculations!$F$3)/Calculations!$F$4)&lt;5,OR(A426&lt;=Calculations!$F$7,A426&gt;=Calculations!$F$8)),0.2*_xlfn.NORM.DIST(100,100,15,FALSE)*_xlfn.NORM.DIST(A426,Calculations!$F$3,Calculations!$F$4,FALSE)/_xlfn.NORM.DIST(Calculations!$F$3,Calculations!$F$3,Calculations!$F$4,FALSE),NA())</f>
        <v>#N/A</v>
      </c>
      <c r="M426" t="e">
        <f>IF(AND(A426&gt;=Calculations!$F$7,A426&lt;=Calculations!$F$8),0.2*_xlfn.NORM.DIST(100,100,15,FALSE)*_xlfn.NORM.DIST(A426,Calculations!$F$3,Calculations!$F$4,FALSE)/_xlfn.NORM.DIST(Calculations!$F$3,Calculations!$F$3,Calculations!$F$4,FALSE),NA())</f>
        <v>#N/A</v>
      </c>
    </row>
    <row r="427" spans="1:13" x14ac:dyDescent="0.25">
      <c r="A427">
        <v>82.500000000000597</v>
      </c>
      <c r="B427" t="e">
        <f t="shared" si="60"/>
        <v>#N/A</v>
      </c>
      <c r="C427" t="e">
        <f t="shared" si="61"/>
        <v>#N/A</v>
      </c>
      <c r="D427" t="e">
        <f t="shared" si="62"/>
        <v>#N/A</v>
      </c>
      <c r="E427">
        <f t="shared" si="63"/>
        <v>1.3466579036937886E-2</v>
      </c>
      <c r="F427" t="e">
        <f t="shared" si="64"/>
        <v>#N/A</v>
      </c>
      <c r="G427" t="e">
        <f t="shared" si="65"/>
        <v>#N/A</v>
      </c>
      <c r="H427" t="e">
        <f t="shared" si="66"/>
        <v>#N/A</v>
      </c>
      <c r="I427" t="e">
        <f t="shared" si="67"/>
        <v>#N/A</v>
      </c>
      <c r="J427" t="e">
        <f t="shared" si="68"/>
        <v>#N/A</v>
      </c>
      <c r="K427">
        <f t="shared" si="69"/>
        <v>1.3666579036937887E-2</v>
      </c>
      <c r="L427" t="e">
        <f>IF(AND(ABS((ChartCalculations!A427-Calculations!$F$3)/Calculations!$F$4)&lt;5,OR(A427&lt;=Calculations!$F$7,A427&gt;=Calculations!$F$8)),0.2*_xlfn.NORM.DIST(100,100,15,FALSE)*_xlfn.NORM.DIST(A427,Calculations!$F$3,Calculations!$F$4,FALSE)/_xlfn.NORM.DIST(Calculations!$F$3,Calculations!$F$3,Calculations!$F$4,FALSE),NA())</f>
        <v>#N/A</v>
      </c>
      <c r="M427" t="e">
        <f>IF(AND(A427&gt;=Calculations!$F$7,A427&lt;=Calculations!$F$8),0.2*_xlfn.NORM.DIST(100,100,15,FALSE)*_xlfn.NORM.DIST(A427,Calculations!$F$3,Calculations!$F$4,FALSE)/_xlfn.NORM.DIST(Calculations!$F$3,Calculations!$F$3,Calculations!$F$4,FALSE),NA())</f>
        <v>#N/A</v>
      </c>
    </row>
    <row r="428" spans="1:13" x14ac:dyDescent="0.25">
      <c r="A428">
        <v>82.600000000000605</v>
      </c>
      <c r="B428" t="e">
        <f t="shared" si="60"/>
        <v>#N/A</v>
      </c>
      <c r="C428" t="e">
        <f t="shared" si="61"/>
        <v>#N/A</v>
      </c>
      <c r="D428" t="e">
        <f t="shared" si="62"/>
        <v>#N/A</v>
      </c>
      <c r="E428">
        <f t="shared" si="63"/>
        <v>1.3571425886051263E-2</v>
      </c>
      <c r="F428" t="e">
        <f t="shared" si="64"/>
        <v>#N/A</v>
      </c>
      <c r="G428" t="e">
        <f t="shared" si="65"/>
        <v>#N/A</v>
      </c>
      <c r="H428" t="e">
        <f t="shared" si="66"/>
        <v>#N/A</v>
      </c>
      <c r="I428" t="e">
        <f t="shared" si="67"/>
        <v>#N/A</v>
      </c>
      <c r="J428" t="e">
        <f t="shared" si="68"/>
        <v>#N/A</v>
      </c>
      <c r="K428">
        <f t="shared" si="69"/>
        <v>1.3771425886051264E-2</v>
      </c>
      <c r="L428" t="e">
        <f>IF(AND(ABS((ChartCalculations!A428-Calculations!$F$3)/Calculations!$F$4)&lt;5,OR(A428&lt;=Calculations!$F$7,A428&gt;=Calculations!$F$8)),0.2*_xlfn.NORM.DIST(100,100,15,FALSE)*_xlfn.NORM.DIST(A428,Calculations!$F$3,Calculations!$F$4,FALSE)/_xlfn.NORM.DIST(Calculations!$F$3,Calculations!$F$3,Calculations!$F$4,FALSE),NA())</f>
        <v>#N/A</v>
      </c>
      <c r="M428" t="e">
        <f>IF(AND(A428&gt;=Calculations!$F$7,A428&lt;=Calculations!$F$8),0.2*_xlfn.NORM.DIST(100,100,15,FALSE)*_xlfn.NORM.DIST(A428,Calculations!$F$3,Calculations!$F$4,FALSE)/_xlfn.NORM.DIST(Calculations!$F$3,Calculations!$F$3,Calculations!$F$4,FALSE),NA())</f>
        <v>#N/A</v>
      </c>
    </row>
    <row r="429" spans="1:13" x14ac:dyDescent="0.25">
      <c r="A429">
        <v>82.7000000000006</v>
      </c>
      <c r="B429" t="e">
        <f t="shared" si="60"/>
        <v>#N/A</v>
      </c>
      <c r="C429" t="e">
        <f t="shared" si="61"/>
        <v>#N/A</v>
      </c>
      <c r="D429" t="e">
        <f t="shared" si="62"/>
        <v>#N/A</v>
      </c>
      <c r="E429">
        <f t="shared" si="63"/>
        <v>1.3676481184976922E-2</v>
      </c>
      <c r="F429" t="e">
        <f t="shared" si="64"/>
        <v>#N/A</v>
      </c>
      <c r="G429" t="e">
        <f t="shared" si="65"/>
        <v>#N/A</v>
      </c>
      <c r="H429" t="e">
        <f t="shared" si="66"/>
        <v>#N/A</v>
      </c>
      <c r="I429" t="e">
        <f t="shared" si="67"/>
        <v>#N/A</v>
      </c>
      <c r="J429" t="e">
        <f t="shared" si="68"/>
        <v>#N/A</v>
      </c>
      <c r="K429">
        <f t="shared" si="69"/>
        <v>1.3876481184976922E-2</v>
      </c>
      <c r="L429" t="e">
        <f>IF(AND(ABS((ChartCalculations!A429-Calculations!$F$3)/Calculations!$F$4)&lt;5,OR(A429&lt;=Calculations!$F$7,A429&gt;=Calculations!$F$8)),0.2*_xlfn.NORM.DIST(100,100,15,FALSE)*_xlfn.NORM.DIST(A429,Calculations!$F$3,Calculations!$F$4,FALSE)/_xlfn.NORM.DIST(Calculations!$F$3,Calculations!$F$3,Calculations!$F$4,FALSE),NA())</f>
        <v>#N/A</v>
      </c>
      <c r="M429" t="e">
        <f>IF(AND(A429&gt;=Calculations!$F$7,A429&lt;=Calculations!$F$8),0.2*_xlfn.NORM.DIST(100,100,15,FALSE)*_xlfn.NORM.DIST(A429,Calculations!$F$3,Calculations!$F$4,FALSE)/_xlfn.NORM.DIST(Calculations!$F$3,Calculations!$F$3,Calculations!$F$4,FALSE),NA())</f>
        <v>#N/A</v>
      </c>
    </row>
    <row r="430" spans="1:13" x14ac:dyDescent="0.25">
      <c r="A430">
        <v>82.800000000000594</v>
      </c>
      <c r="B430" t="e">
        <f t="shared" si="60"/>
        <v>#N/A</v>
      </c>
      <c r="C430" t="e">
        <f t="shared" si="61"/>
        <v>#N/A</v>
      </c>
      <c r="D430" t="e">
        <f t="shared" si="62"/>
        <v>#N/A</v>
      </c>
      <c r="E430">
        <f t="shared" si="63"/>
        <v>1.3781737173124049E-2</v>
      </c>
      <c r="F430" t="e">
        <f t="shared" si="64"/>
        <v>#N/A</v>
      </c>
      <c r="G430" t="e">
        <f t="shared" si="65"/>
        <v>#N/A</v>
      </c>
      <c r="H430" t="e">
        <f t="shared" si="66"/>
        <v>#N/A</v>
      </c>
      <c r="I430" t="e">
        <f t="shared" si="67"/>
        <v>#N/A</v>
      </c>
      <c r="J430" t="e">
        <f t="shared" si="68"/>
        <v>#N/A</v>
      </c>
      <c r="K430">
        <f t="shared" si="69"/>
        <v>1.3981737173124049E-2</v>
      </c>
      <c r="L430" t="e">
        <f>IF(AND(ABS((ChartCalculations!A430-Calculations!$F$3)/Calculations!$F$4)&lt;5,OR(A430&lt;=Calculations!$F$7,A430&gt;=Calculations!$F$8)),0.2*_xlfn.NORM.DIST(100,100,15,FALSE)*_xlfn.NORM.DIST(A430,Calculations!$F$3,Calculations!$F$4,FALSE)/_xlfn.NORM.DIST(Calculations!$F$3,Calculations!$F$3,Calculations!$F$4,FALSE),NA())</f>
        <v>#N/A</v>
      </c>
      <c r="M430" t="e">
        <f>IF(AND(A430&gt;=Calculations!$F$7,A430&lt;=Calculations!$F$8),0.2*_xlfn.NORM.DIST(100,100,15,FALSE)*_xlfn.NORM.DIST(A430,Calculations!$F$3,Calculations!$F$4,FALSE)/_xlfn.NORM.DIST(Calculations!$F$3,Calculations!$F$3,Calculations!$F$4,FALSE),NA())</f>
        <v>#N/A</v>
      </c>
    </row>
    <row r="431" spans="1:13" x14ac:dyDescent="0.25">
      <c r="A431">
        <v>82.900000000000603</v>
      </c>
      <c r="B431" t="e">
        <f t="shared" si="60"/>
        <v>#N/A</v>
      </c>
      <c r="C431" t="e">
        <f t="shared" si="61"/>
        <v>#N/A</v>
      </c>
      <c r="D431" t="e">
        <f t="shared" si="62"/>
        <v>#N/A</v>
      </c>
      <c r="E431">
        <f t="shared" si="63"/>
        <v>1.3887186003141191E-2</v>
      </c>
      <c r="F431" t="e">
        <f t="shared" si="64"/>
        <v>#N/A</v>
      </c>
      <c r="G431" t="e">
        <f t="shared" si="65"/>
        <v>#N/A</v>
      </c>
      <c r="H431" t="e">
        <f t="shared" si="66"/>
        <v>#N/A</v>
      </c>
      <c r="I431" t="e">
        <f t="shared" si="67"/>
        <v>#N/A</v>
      </c>
      <c r="J431" t="e">
        <f t="shared" si="68"/>
        <v>#N/A</v>
      </c>
      <c r="K431">
        <f t="shared" si="69"/>
        <v>1.4087186003141192E-2</v>
      </c>
      <c r="L431" t="e">
        <f>IF(AND(ABS((ChartCalculations!A431-Calculations!$F$3)/Calculations!$F$4)&lt;5,OR(A431&lt;=Calculations!$F$7,A431&gt;=Calculations!$F$8)),0.2*_xlfn.NORM.DIST(100,100,15,FALSE)*_xlfn.NORM.DIST(A431,Calculations!$F$3,Calculations!$F$4,FALSE)/_xlfn.NORM.DIST(Calculations!$F$3,Calculations!$F$3,Calculations!$F$4,FALSE),NA())</f>
        <v>#N/A</v>
      </c>
      <c r="M431" t="e">
        <f>IF(AND(A431&gt;=Calculations!$F$7,A431&lt;=Calculations!$F$8),0.2*_xlfn.NORM.DIST(100,100,15,FALSE)*_xlfn.NORM.DIST(A431,Calculations!$F$3,Calculations!$F$4,FALSE)/_xlfn.NORM.DIST(Calculations!$F$3,Calculations!$F$3,Calculations!$F$4,FALSE),NA())</f>
        <v>#N/A</v>
      </c>
    </row>
    <row r="432" spans="1:13" x14ac:dyDescent="0.25">
      <c r="A432">
        <v>83.000000000000597</v>
      </c>
      <c r="B432" t="e">
        <f t="shared" si="60"/>
        <v>#N/A</v>
      </c>
      <c r="C432" t="e">
        <f t="shared" si="61"/>
        <v>#N/A</v>
      </c>
      <c r="D432" t="e">
        <f t="shared" si="62"/>
        <v>#N/A</v>
      </c>
      <c r="E432">
        <f t="shared" si="63"/>
        <v>1.3992819741648913E-2</v>
      </c>
      <c r="F432" t="e">
        <f t="shared" si="64"/>
        <v>#N/A</v>
      </c>
      <c r="G432" t="e">
        <f t="shared" si="65"/>
        <v>#N/A</v>
      </c>
      <c r="H432" t="e">
        <f t="shared" si="66"/>
        <v>#N/A</v>
      </c>
      <c r="I432" t="e">
        <f t="shared" si="67"/>
        <v>#N/A</v>
      </c>
      <c r="J432" t="e">
        <f t="shared" si="68"/>
        <v>#N/A</v>
      </c>
      <c r="K432">
        <f t="shared" si="69"/>
        <v>1.4192819741648913E-2</v>
      </c>
      <c r="L432" t="e">
        <f>IF(AND(ABS((ChartCalculations!A432-Calculations!$F$3)/Calculations!$F$4)&lt;5,OR(A432&lt;=Calculations!$F$7,A432&gt;=Calculations!$F$8)),0.2*_xlfn.NORM.DIST(100,100,15,FALSE)*_xlfn.NORM.DIST(A432,Calculations!$F$3,Calculations!$F$4,FALSE)/_xlfn.NORM.DIST(Calculations!$F$3,Calculations!$F$3,Calculations!$F$4,FALSE),NA())</f>
        <v>#N/A</v>
      </c>
      <c r="M432" t="e">
        <f>IF(AND(A432&gt;=Calculations!$F$7,A432&lt;=Calculations!$F$8),0.2*_xlfn.NORM.DIST(100,100,15,FALSE)*_xlfn.NORM.DIST(A432,Calculations!$F$3,Calculations!$F$4,FALSE)/_xlfn.NORM.DIST(Calculations!$F$3,Calculations!$F$3,Calculations!$F$4,FALSE),NA())</f>
        <v>#N/A</v>
      </c>
    </row>
    <row r="433" spans="1:13" x14ac:dyDescent="0.25">
      <c r="A433">
        <v>83.100000000000605</v>
      </c>
      <c r="B433" t="e">
        <f t="shared" si="60"/>
        <v>#N/A</v>
      </c>
      <c r="C433" t="e">
        <f t="shared" si="61"/>
        <v>#N/A</v>
      </c>
      <c r="D433" t="e">
        <f t="shared" si="62"/>
        <v>#N/A</v>
      </c>
      <c r="E433">
        <f t="shared" si="63"/>
        <v>1.4098630369997365E-2</v>
      </c>
      <c r="F433" t="e">
        <f t="shared" si="64"/>
        <v>#N/A</v>
      </c>
      <c r="G433" t="e">
        <f t="shared" si="65"/>
        <v>#N/A</v>
      </c>
      <c r="H433" t="e">
        <f t="shared" si="66"/>
        <v>#N/A</v>
      </c>
      <c r="I433" t="e">
        <f t="shared" si="67"/>
        <v>#N/A</v>
      </c>
      <c r="J433" t="e">
        <f t="shared" si="68"/>
        <v>#N/A</v>
      </c>
      <c r="K433">
        <f t="shared" si="69"/>
        <v>1.4298630369997366E-2</v>
      </c>
      <c r="L433" t="e">
        <f>IF(AND(ABS((ChartCalculations!A433-Calculations!$F$3)/Calculations!$F$4)&lt;5,OR(A433&lt;=Calculations!$F$7,A433&gt;=Calculations!$F$8)),0.2*_xlfn.NORM.DIST(100,100,15,FALSE)*_xlfn.NORM.DIST(A433,Calculations!$F$3,Calculations!$F$4,FALSE)/_xlfn.NORM.DIST(Calculations!$F$3,Calculations!$F$3,Calculations!$F$4,FALSE),NA())</f>
        <v>#N/A</v>
      </c>
      <c r="M433" t="e">
        <f>IF(AND(A433&gt;=Calculations!$F$7,A433&lt;=Calculations!$F$8),0.2*_xlfn.NORM.DIST(100,100,15,FALSE)*_xlfn.NORM.DIST(A433,Calculations!$F$3,Calculations!$F$4,FALSE)/_xlfn.NORM.DIST(Calculations!$F$3,Calculations!$F$3,Calculations!$F$4,FALSE),NA())</f>
        <v>#N/A</v>
      </c>
    </row>
    <row r="434" spans="1:13" x14ac:dyDescent="0.25">
      <c r="A434">
        <v>83.2000000000006</v>
      </c>
      <c r="B434" t="e">
        <f t="shared" si="60"/>
        <v>#N/A</v>
      </c>
      <c r="C434" t="e">
        <f t="shared" si="61"/>
        <v>#N/A</v>
      </c>
      <c r="D434" t="e">
        <f t="shared" si="62"/>
        <v>#N/A</v>
      </c>
      <c r="E434">
        <f t="shared" si="63"/>
        <v>1.4204609785048497E-2</v>
      </c>
      <c r="F434" t="e">
        <f t="shared" si="64"/>
        <v>#N/A</v>
      </c>
      <c r="G434" t="e">
        <f t="shared" si="65"/>
        <v>#N/A</v>
      </c>
      <c r="H434" t="e">
        <f t="shared" si="66"/>
        <v>#N/A</v>
      </c>
      <c r="I434" t="e">
        <f t="shared" si="67"/>
        <v>#N/A</v>
      </c>
      <c r="J434" t="e">
        <f t="shared" si="68"/>
        <v>#N/A</v>
      </c>
      <c r="K434">
        <f t="shared" si="69"/>
        <v>1.4404609785048497E-2</v>
      </c>
      <c r="L434" t="e">
        <f>IF(AND(ABS((ChartCalculations!A434-Calculations!$F$3)/Calculations!$F$4)&lt;5,OR(A434&lt;=Calculations!$F$7,A434&gt;=Calculations!$F$8)),0.2*_xlfn.NORM.DIST(100,100,15,FALSE)*_xlfn.NORM.DIST(A434,Calculations!$F$3,Calculations!$F$4,FALSE)/_xlfn.NORM.DIST(Calculations!$F$3,Calculations!$F$3,Calculations!$F$4,FALSE),NA())</f>
        <v>#N/A</v>
      </c>
      <c r="M434" t="e">
        <f>IF(AND(A434&gt;=Calculations!$F$7,A434&lt;=Calculations!$F$8),0.2*_xlfn.NORM.DIST(100,100,15,FALSE)*_xlfn.NORM.DIST(A434,Calculations!$F$3,Calculations!$F$4,FALSE)/_xlfn.NORM.DIST(Calculations!$F$3,Calculations!$F$3,Calculations!$F$4,FALSE),NA())</f>
        <v>#N/A</v>
      </c>
    </row>
    <row r="435" spans="1:13" x14ac:dyDescent="0.25">
      <c r="A435">
        <v>83.300000000000594</v>
      </c>
      <c r="B435" t="e">
        <f t="shared" si="60"/>
        <v>#N/A</v>
      </c>
      <c r="C435" t="e">
        <f t="shared" si="61"/>
        <v>#N/A</v>
      </c>
      <c r="D435" t="e">
        <f t="shared" si="62"/>
        <v>#N/A</v>
      </c>
      <c r="E435">
        <f t="shared" si="63"/>
        <v>1.4310749799983213E-2</v>
      </c>
      <c r="F435" t="e">
        <f t="shared" si="64"/>
        <v>#N/A</v>
      </c>
      <c r="G435" t="e">
        <f t="shared" si="65"/>
        <v>#N/A</v>
      </c>
      <c r="H435" t="e">
        <f t="shared" si="66"/>
        <v>#N/A</v>
      </c>
      <c r="I435" t="e">
        <f t="shared" si="67"/>
        <v>#N/A</v>
      </c>
      <c r="J435" t="e">
        <f t="shared" si="68"/>
        <v>#N/A</v>
      </c>
      <c r="K435">
        <f t="shared" si="69"/>
        <v>1.4510749799983213E-2</v>
      </c>
      <c r="L435" t="e">
        <f>IF(AND(ABS((ChartCalculations!A435-Calculations!$F$3)/Calculations!$F$4)&lt;5,OR(A435&lt;=Calculations!$F$7,A435&gt;=Calculations!$F$8)),0.2*_xlfn.NORM.DIST(100,100,15,FALSE)*_xlfn.NORM.DIST(A435,Calculations!$F$3,Calculations!$F$4,FALSE)/_xlfn.NORM.DIST(Calculations!$F$3,Calculations!$F$3,Calculations!$F$4,FALSE),NA())</f>
        <v>#N/A</v>
      </c>
      <c r="M435" t="e">
        <f>IF(AND(A435&gt;=Calculations!$F$7,A435&lt;=Calculations!$F$8),0.2*_xlfn.NORM.DIST(100,100,15,FALSE)*_xlfn.NORM.DIST(A435,Calculations!$F$3,Calculations!$F$4,FALSE)/_xlfn.NORM.DIST(Calculations!$F$3,Calculations!$F$3,Calculations!$F$4,FALSE),NA())</f>
        <v>#N/A</v>
      </c>
    </row>
    <row r="436" spans="1:13" x14ac:dyDescent="0.25">
      <c r="A436">
        <v>83.400000000000603</v>
      </c>
      <c r="B436" t="e">
        <f t="shared" si="60"/>
        <v>#N/A</v>
      </c>
      <c r="C436" t="e">
        <f t="shared" si="61"/>
        <v>#N/A</v>
      </c>
      <c r="D436" t="e">
        <f t="shared" si="62"/>
        <v>#N/A</v>
      </c>
      <c r="E436">
        <f t="shared" si="63"/>
        <v>1.4417042145133193E-2</v>
      </c>
      <c r="F436" t="e">
        <f t="shared" si="64"/>
        <v>#N/A</v>
      </c>
      <c r="G436" t="e">
        <f t="shared" si="65"/>
        <v>#N/A</v>
      </c>
      <c r="H436" t="e">
        <f t="shared" si="66"/>
        <v>#N/A</v>
      </c>
      <c r="I436" t="e">
        <f t="shared" si="67"/>
        <v>#N/A</v>
      </c>
      <c r="J436" t="e">
        <f t="shared" si="68"/>
        <v>#N/A</v>
      </c>
      <c r="K436">
        <f t="shared" si="69"/>
        <v>1.4617042145133194E-2</v>
      </c>
      <c r="L436" t="e">
        <f>IF(AND(ABS((ChartCalculations!A436-Calculations!$F$3)/Calculations!$F$4)&lt;5,OR(A436&lt;=Calculations!$F$7,A436&gt;=Calculations!$F$8)),0.2*_xlfn.NORM.DIST(100,100,15,FALSE)*_xlfn.NORM.DIST(A436,Calculations!$F$3,Calculations!$F$4,FALSE)/_xlfn.NORM.DIST(Calculations!$F$3,Calculations!$F$3,Calculations!$F$4,FALSE),NA())</f>
        <v>#N/A</v>
      </c>
      <c r="M436" t="e">
        <f>IF(AND(A436&gt;=Calculations!$F$7,A436&lt;=Calculations!$F$8),0.2*_xlfn.NORM.DIST(100,100,15,FALSE)*_xlfn.NORM.DIST(A436,Calculations!$F$3,Calculations!$F$4,FALSE)/_xlfn.NORM.DIST(Calculations!$F$3,Calculations!$F$3,Calculations!$F$4,FALSE),NA())</f>
        <v>#N/A</v>
      </c>
    </row>
    <row r="437" spans="1:13" x14ac:dyDescent="0.25">
      <c r="A437">
        <v>83.500000000000597</v>
      </c>
      <c r="B437" t="e">
        <f t="shared" si="60"/>
        <v>#N/A</v>
      </c>
      <c r="C437" t="e">
        <f t="shared" si="61"/>
        <v>#N/A</v>
      </c>
      <c r="D437" t="e">
        <f t="shared" si="62"/>
        <v>#N/A</v>
      </c>
      <c r="E437">
        <f t="shared" si="63"/>
        <v>1.452347846883734E-2</v>
      </c>
      <c r="F437" t="e">
        <f t="shared" si="64"/>
        <v>#N/A</v>
      </c>
      <c r="G437" t="e">
        <f t="shared" si="65"/>
        <v>#N/A</v>
      </c>
      <c r="H437" t="e">
        <f t="shared" si="66"/>
        <v>#N/A</v>
      </c>
      <c r="I437" t="e">
        <f t="shared" si="67"/>
        <v>#N/A</v>
      </c>
      <c r="J437" t="e">
        <f t="shared" si="68"/>
        <v>#N/A</v>
      </c>
      <c r="K437">
        <f t="shared" si="69"/>
        <v>1.472347846883734E-2</v>
      </c>
      <c r="L437" t="e">
        <f>IF(AND(ABS((ChartCalculations!A437-Calculations!$F$3)/Calculations!$F$4)&lt;5,OR(A437&lt;=Calculations!$F$7,A437&gt;=Calculations!$F$8)),0.2*_xlfn.NORM.DIST(100,100,15,FALSE)*_xlfn.NORM.DIST(A437,Calculations!$F$3,Calculations!$F$4,FALSE)/_xlfn.NORM.DIST(Calculations!$F$3,Calculations!$F$3,Calculations!$F$4,FALSE),NA())</f>
        <v>#N/A</v>
      </c>
      <c r="M437" t="e">
        <f>IF(AND(A437&gt;=Calculations!$F$7,A437&lt;=Calculations!$F$8),0.2*_xlfn.NORM.DIST(100,100,15,FALSE)*_xlfn.NORM.DIST(A437,Calculations!$F$3,Calculations!$F$4,FALSE)/_xlfn.NORM.DIST(Calculations!$F$3,Calculations!$F$3,Calculations!$F$4,FALSE),NA())</f>
        <v>#N/A</v>
      </c>
    </row>
    <row r="438" spans="1:13" x14ac:dyDescent="0.25">
      <c r="A438">
        <v>83.600000000000605</v>
      </c>
      <c r="B438" t="e">
        <f t="shared" si="60"/>
        <v>#N/A</v>
      </c>
      <c r="C438" t="e">
        <f t="shared" si="61"/>
        <v>#N/A</v>
      </c>
      <c r="D438" t="e">
        <f t="shared" si="62"/>
        <v>#N/A</v>
      </c>
      <c r="E438">
        <f t="shared" si="63"/>
        <v>1.463005033832313E-2</v>
      </c>
      <c r="F438" t="e">
        <f t="shared" si="64"/>
        <v>#N/A</v>
      </c>
      <c r="G438" t="e">
        <f t="shared" si="65"/>
        <v>#N/A</v>
      </c>
      <c r="H438" t="e">
        <f t="shared" si="66"/>
        <v>#N/A</v>
      </c>
      <c r="I438" t="e">
        <f t="shared" si="67"/>
        <v>#N/A</v>
      </c>
      <c r="J438" t="e">
        <f t="shared" si="68"/>
        <v>#N/A</v>
      </c>
      <c r="K438">
        <f t="shared" si="69"/>
        <v>1.4830050338323131E-2</v>
      </c>
      <c r="L438" t="e">
        <f>IF(AND(ABS((ChartCalculations!A438-Calculations!$F$3)/Calculations!$F$4)&lt;5,OR(A438&lt;=Calculations!$F$7,A438&gt;=Calculations!$F$8)),0.2*_xlfn.NORM.DIST(100,100,15,FALSE)*_xlfn.NORM.DIST(A438,Calculations!$F$3,Calculations!$F$4,FALSE)/_xlfn.NORM.DIST(Calculations!$F$3,Calculations!$F$3,Calculations!$F$4,FALSE),NA())</f>
        <v>#N/A</v>
      </c>
      <c r="M438" t="e">
        <f>IF(AND(A438&gt;=Calculations!$F$7,A438&lt;=Calculations!$F$8),0.2*_xlfn.NORM.DIST(100,100,15,FALSE)*_xlfn.NORM.DIST(A438,Calculations!$F$3,Calculations!$F$4,FALSE)/_xlfn.NORM.DIST(Calculations!$F$3,Calculations!$F$3,Calculations!$F$4,FALSE),NA())</f>
        <v>#N/A</v>
      </c>
    </row>
    <row r="439" spans="1:13" x14ac:dyDescent="0.25">
      <c r="A439">
        <v>83.7000000000006</v>
      </c>
      <c r="B439" t="e">
        <f t="shared" si="60"/>
        <v>#N/A</v>
      </c>
      <c r="C439" t="e">
        <f t="shared" si="61"/>
        <v>#N/A</v>
      </c>
      <c r="D439" t="e">
        <f t="shared" si="62"/>
        <v>#N/A</v>
      </c>
      <c r="E439">
        <f t="shared" si="63"/>
        <v>1.4736749240612312E-2</v>
      </c>
      <c r="F439" t="e">
        <f t="shared" si="64"/>
        <v>#N/A</v>
      </c>
      <c r="G439" t="e">
        <f t="shared" si="65"/>
        <v>#N/A</v>
      </c>
      <c r="H439" t="e">
        <f t="shared" si="66"/>
        <v>#N/A</v>
      </c>
      <c r="I439" t="e">
        <f t="shared" si="67"/>
        <v>#N/A</v>
      </c>
      <c r="J439" t="e">
        <f t="shared" si="68"/>
        <v>#N/A</v>
      </c>
      <c r="K439">
        <f t="shared" si="69"/>
        <v>1.4936749240612312E-2</v>
      </c>
      <c r="L439" t="e">
        <f>IF(AND(ABS((ChartCalculations!A439-Calculations!$F$3)/Calculations!$F$4)&lt;5,OR(A439&lt;=Calculations!$F$7,A439&gt;=Calculations!$F$8)),0.2*_xlfn.NORM.DIST(100,100,15,FALSE)*_xlfn.NORM.DIST(A439,Calculations!$F$3,Calculations!$F$4,FALSE)/_xlfn.NORM.DIST(Calculations!$F$3,Calculations!$F$3,Calculations!$F$4,FALSE),NA())</f>
        <v>#N/A</v>
      </c>
      <c r="M439" t="e">
        <f>IF(AND(A439&gt;=Calculations!$F$7,A439&lt;=Calculations!$F$8),0.2*_xlfn.NORM.DIST(100,100,15,FALSE)*_xlfn.NORM.DIST(A439,Calculations!$F$3,Calculations!$F$4,FALSE)/_xlfn.NORM.DIST(Calculations!$F$3,Calculations!$F$3,Calculations!$F$4,FALSE),NA())</f>
        <v>#N/A</v>
      </c>
    </row>
    <row r="440" spans="1:13" x14ac:dyDescent="0.25">
      <c r="A440">
        <v>83.800000000000594</v>
      </c>
      <c r="B440" t="e">
        <f t="shared" si="60"/>
        <v>#N/A</v>
      </c>
      <c r="C440" t="e">
        <f t="shared" si="61"/>
        <v>#N/A</v>
      </c>
      <c r="D440" t="e">
        <f t="shared" si="62"/>
        <v>#N/A</v>
      </c>
      <c r="E440">
        <f t="shared" si="63"/>
        <v>1.4843566583451378E-2</v>
      </c>
      <c r="F440" t="e">
        <f t="shared" si="64"/>
        <v>#N/A</v>
      </c>
      <c r="G440" t="e">
        <f t="shared" si="65"/>
        <v>#N/A</v>
      </c>
      <c r="H440" t="e">
        <f t="shared" si="66"/>
        <v>#N/A</v>
      </c>
      <c r="I440" t="e">
        <f t="shared" si="67"/>
        <v>#N/A</v>
      </c>
      <c r="J440" t="e">
        <f t="shared" si="68"/>
        <v>#N/A</v>
      </c>
      <c r="K440">
        <f t="shared" si="69"/>
        <v>1.5043566583451379E-2</v>
      </c>
      <c r="L440" t="e">
        <f>IF(AND(ABS((ChartCalculations!A440-Calculations!$F$3)/Calculations!$F$4)&lt;5,OR(A440&lt;=Calculations!$F$7,A440&gt;=Calculations!$F$8)),0.2*_xlfn.NORM.DIST(100,100,15,FALSE)*_xlfn.NORM.DIST(A440,Calculations!$F$3,Calculations!$F$4,FALSE)/_xlfn.NORM.DIST(Calculations!$F$3,Calculations!$F$3,Calculations!$F$4,FALSE),NA())</f>
        <v>#N/A</v>
      </c>
      <c r="M440" t="e">
        <f>IF(AND(A440&gt;=Calculations!$F$7,A440&lt;=Calculations!$F$8),0.2*_xlfn.NORM.DIST(100,100,15,FALSE)*_xlfn.NORM.DIST(A440,Calculations!$F$3,Calculations!$F$4,FALSE)/_xlfn.NORM.DIST(Calculations!$F$3,Calculations!$F$3,Calculations!$F$4,FALSE),NA())</f>
        <v>#N/A</v>
      </c>
    </row>
    <row r="441" spans="1:13" x14ac:dyDescent="0.25">
      <c r="A441">
        <v>83.900000000000603</v>
      </c>
      <c r="B441" t="e">
        <f t="shared" si="60"/>
        <v>#N/A</v>
      </c>
      <c r="C441" t="e">
        <f t="shared" si="61"/>
        <v>#N/A</v>
      </c>
      <c r="D441" t="e">
        <f t="shared" si="62"/>
        <v>#N/A</v>
      </c>
      <c r="E441">
        <f t="shared" si="63"/>
        <v>1.4950493696266404E-2</v>
      </c>
      <c r="F441" t="e">
        <f t="shared" si="64"/>
        <v>#N/A</v>
      </c>
      <c r="G441" t="e">
        <f t="shared" si="65"/>
        <v>#N/A</v>
      </c>
      <c r="H441" t="e">
        <f t="shared" si="66"/>
        <v>#N/A</v>
      </c>
      <c r="I441" t="e">
        <f t="shared" si="67"/>
        <v>#N/A</v>
      </c>
      <c r="J441" t="e">
        <f t="shared" si="68"/>
        <v>#N/A</v>
      </c>
      <c r="K441">
        <f t="shared" si="69"/>
        <v>1.5150493696266405E-2</v>
      </c>
      <c r="L441" t="e">
        <f>IF(AND(ABS((ChartCalculations!A441-Calculations!$F$3)/Calculations!$F$4)&lt;5,OR(A441&lt;=Calculations!$F$7,A441&gt;=Calculations!$F$8)),0.2*_xlfn.NORM.DIST(100,100,15,FALSE)*_xlfn.NORM.DIST(A441,Calculations!$F$3,Calculations!$F$4,FALSE)/_xlfn.NORM.DIST(Calculations!$F$3,Calculations!$F$3,Calculations!$F$4,FALSE),NA())</f>
        <v>#N/A</v>
      </c>
      <c r="M441" t="e">
        <f>IF(AND(A441&gt;=Calculations!$F$7,A441&lt;=Calculations!$F$8),0.2*_xlfn.NORM.DIST(100,100,15,FALSE)*_xlfn.NORM.DIST(A441,Calculations!$F$3,Calculations!$F$4,FALSE)/_xlfn.NORM.DIST(Calculations!$F$3,Calculations!$F$3,Calculations!$F$4,FALSE),NA())</f>
        <v>#N/A</v>
      </c>
    </row>
    <row r="442" spans="1:13" x14ac:dyDescent="0.25">
      <c r="A442">
        <v>84.000000000000597</v>
      </c>
      <c r="B442" t="e">
        <f t="shared" si="60"/>
        <v>#N/A</v>
      </c>
      <c r="C442" t="e">
        <f t="shared" si="61"/>
        <v>#N/A</v>
      </c>
      <c r="D442" t="e">
        <f t="shared" si="62"/>
        <v>#N/A</v>
      </c>
      <c r="E442">
        <f t="shared" si="63"/>
        <v>1.505752183114227E-2</v>
      </c>
      <c r="F442" t="e">
        <f t="shared" si="64"/>
        <v>#N/A</v>
      </c>
      <c r="G442" t="e">
        <f t="shared" si="65"/>
        <v>#N/A</v>
      </c>
      <c r="H442" t="e">
        <f t="shared" si="66"/>
        <v>#N/A</v>
      </c>
      <c r="I442" t="e">
        <f t="shared" si="67"/>
        <v>#N/A</v>
      </c>
      <c r="J442" t="e">
        <f t="shared" si="68"/>
        <v>#N/A</v>
      </c>
      <c r="K442">
        <f t="shared" si="69"/>
        <v>1.5257521831142271E-2</v>
      </c>
      <c r="L442" t="e">
        <f>IF(AND(ABS((ChartCalculations!A442-Calculations!$F$3)/Calculations!$F$4)&lt;5,OR(A442&lt;=Calculations!$F$7,A442&gt;=Calculations!$F$8)),0.2*_xlfn.NORM.DIST(100,100,15,FALSE)*_xlfn.NORM.DIST(A442,Calculations!$F$3,Calculations!$F$4,FALSE)/_xlfn.NORM.DIST(Calculations!$F$3,Calculations!$F$3,Calculations!$F$4,FALSE),NA())</f>
        <v>#N/A</v>
      </c>
      <c r="M442" t="e">
        <f>IF(AND(A442&gt;=Calculations!$F$7,A442&lt;=Calculations!$F$8),0.2*_xlfn.NORM.DIST(100,100,15,FALSE)*_xlfn.NORM.DIST(A442,Calculations!$F$3,Calculations!$F$4,FALSE)/_xlfn.NORM.DIST(Calculations!$F$3,Calculations!$F$3,Calculations!$F$4,FALSE),NA())</f>
        <v>#N/A</v>
      </c>
    </row>
    <row r="443" spans="1:13" x14ac:dyDescent="0.25">
      <c r="A443">
        <v>84.100000000000605</v>
      </c>
      <c r="B443" t="e">
        <f t="shared" si="60"/>
        <v>#N/A</v>
      </c>
      <c r="C443" t="e">
        <f t="shared" si="61"/>
        <v>#N/A</v>
      </c>
      <c r="D443" t="e">
        <f t="shared" si="62"/>
        <v>#N/A</v>
      </c>
      <c r="E443">
        <f t="shared" si="63"/>
        <v>1.5164642163826375E-2</v>
      </c>
      <c r="F443" t="e">
        <f t="shared" si="64"/>
        <v>#N/A</v>
      </c>
      <c r="G443" t="e">
        <f t="shared" si="65"/>
        <v>#N/A</v>
      </c>
      <c r="H443" t="e">
        <f t="shared" si="66"/>
        <v>#N/A</v>
      </c>
      <c r="I443" t="e">
        <f t="shared" si="67"/>
        <v>#N/A</v>
      </c>
      <c r="J443" t="e">
        <f t="shared" si="68"/>
        <v>#N/A</v>
      </c>
      <c r="K443">
        <f t="shared" si="69"/>
        <v>1.5364642163826376E-2</v>
      </c>
      <c r="L443" t="e">
        <f>IF(AND(ABS((ChartCalculations!A443-Calculations!$F$3)/Calculations!$F$4)&lt;5,OR(A443&lt;=Calculations!$F$7,A443&gt;=Calculations!$F$8)),0.2*_xlfn.NORM.DIST(100,100,15,FALSE)*_xlfn.NORM.DIST(A443,Calculations!$F$3,Calculations!$F$4,FALSE)/_xlfn.NORM.DIST(Calculations!$F$3,Calculations!$F$3,Calculations!$F$4,FALSE),NA())</f>
        <v>#N/A</v>
      </c>
      <c r="M443" t="e">
        <f>IF(AND(A443&gt;=Calculations!$F$7,A443&lt;=Calculations!$F$8),0.2*_xlfn.NORM.DIST(100,100,15,FALSE)*_xlfn.NORM.DIST(A443,Calculations!$F$3,Calculations!$F$4,FALSE)/_xlfn.NORM.DIST(Calculations!$F$3,Calculations!$F$3,Calculations!$F$4,FALSE),NA())</f>
        <v>#N/A</v>
      </c>
    </row>
    <row r="444" spans="1:13" x14ac:dyDescent="0.25">
      <c r="A444">
        <v>84.2000000000006</v>
      </c>
      <c r="B444" t="e">
        <f t="shared" si="60"/>
        <v>#N/A</v>
      </c>
      <c r="C444" t="e">
        <f t="shared" si="61"/>
        <v>#N/A</v>
      </c>
      <c r="D444" t="e">
        <f t="shared" si="62"/>
        <v>#N/A</v>
      </c>
      <c r="E444">
        <f t="shared" si="63"/>
        <v>1.5271845794756338E-2</v>
      </c>
      <c r="F444" t="e">
        <f t="shared" si="64"/>
        <v>#N/A</v>
      </c>
      <c r="G444" t="e">
        <f t="shared" si="65"/>
        <v>#N/A</v>
      </c>
      <c r="H444" t="e">
        <f t="shared" si="66"/>
        <v>#N/A</v>
      </c>
      <c r="I444" t="e">
        <f t="shared" si="67"/>
        <v>#N/A</v>
      </c>
      <c r="J444" t="e">
        <f t="shared" si="68"/>
        <v>#N/A</v>
      </c>
      <c r="K444">
        <f t="shared" si="69"/>
        <v>1.5471845794756339E-2</v>
      </c>
      <c r="L444" t="e">
        <f>IF(AND(ABS((ChartCalculations!A444-Calculations!$F$3)/Calculations!$F$4)&lt;5,OR(A444&lt;=Calculations!$F$7,A444&gt;=Calculations!$F$8)),0.2*_xlfn.NORM.DIST(100,100,15,FALSE)*_xlfn.NORM.DIST(A444,Calculations!$F$3,Calculations!$F$4,FALSE)/_xlfn.NORM.DIST(Calculations!$F$3,Calculations!$F$3,Calculations!$F$4,FALSE),NA())</f>
        <v>#N/A</v>
      </c>
      <c r="M444" t="e">
        <f>IF(AND(A444&gt;=Calculations!$F$7,A444&lt;=Calculations!$F$8),0.2*_xlfn.NORM.DIST(100,100,15,FALSE)*_xlfn.NORM.DIST(A444,Calculations!$F$3,Calculations!$F$4,FALSE)/_xlfn.NORM.DIST(Calculations!$F$3,Calculations!$F$3,Calculations!$F$4,FALSE),NA())</f>
        <v>#N/A</v>
      </c>
    </row>
    <row r="445" spans="1:13" x14ac:dyDescent="0.25">
      <c r="A445">
        <v>84.300000000000594</v>
      </c>
      <c r="B445" t="e">
        <f t="shared" si="60"/>
        <v>#N/A</v>
      </c>
      <c r="C445" t="e">
        <f t="shared" si="61"/>
        <v>#N/A</v>
      </c>
      <c r="D445" t="e">
        <f t="shared" si="62"/>
        <v>#N/A</v>
      </c>
      <c r="E445">
        <f t="shared" si="63"/>
        <v>1.5379123750112075E-2</v>
      </c>
      <c r="F445" t="e">
        <f t="shared" si="64"/>
        <v>#N/A</v>
      </c>
      <c r="G445" t="e">
        <f t="shared" si="65"/>
        <v>#N/A</v>
      </c>
      <c r="H445" t="e">
        <f t="shared" si="66"/>
        <v>#N/A</v>
      </c>
      <c r="I445" t="e">
        <f t="shared" si="67"/>
        <v>#N/A</v>
      </c>
      <c r="J445" t="e">
        <f t="shared" si="68"/>
        <v>#N/A</v>
      </c>
      <c r="K445">
        <f t="shared" si="69"/>
        <v>1.5579123750112075E-2</v>
      </c>
      <c r="L445" t="e">
        <f>IF(AND(ABS((ChartCalculations!A445-Calculations!$F$3)/Calculations!$F$4)&lt;5,OR(A445&lt;=Calculations!$F$7,A445&gt;=Calculations!$F$8)),0.2*_xlfn.NORM.DIST(100,100,15,FALSE)*_xlfn.NORM.DIST(A445,Calculations!$F$3,Calculations!$F$4,FALSE)/_xlfn.NORM.DIST(Calculations!$F$3,Calculations!$F$3,Calculations!$F$4,FALSE),NA())</f>
        <v>#N/A</v>
      </c>
      <c r="M445" t="e">
        <f>IF(AND(A445&gt;=Calculations!$F$7,A445&lt;=Calculations!$F$8),0.2*_xlfn.NORM.DIST(100,100,15,FALSE)*_xlfn.NORM.DIST(A445,Calculations!$F$3,Calculations!$F$4,FALSE)/_xlfn.NORM.DIST(Calculations!$F$3,Calculations!$F$3,Calculations!$F$4,FALSE),NA())</f>
        <v>#N/A</v>
      </c>
    </row>
    <row r="446" spans="1:13" x14ac:dyDescent="0.25">
      <c r="A446">
        <v>84.400000000000603</v>
      </c>
      <c r="B446" t="e">
        <f t="shared" si="60"/>
        <v>#N/A</v>
      </c>
      <c r="C446" t="e">
        <f t="shared" si="61"/>
        <v>#N/A</v>
      </c>
      <c r="D446" t="e">
        <f t="shared" si="62"/>
        <v>#N/A</v>
      </c>
      <c r="E446">
        <f t="shared" si="63"/>
        <v>1.5486466982891725E-2</v>
      </c>
      <c r="F446" t="e">
        <f t="shared" si="64"/>
        <v>#N/A</v>
      </c>
      <c r="G446" t="e">
        <f t="shared" si="65"/>
        <v>#N/A</v>
      </c>
      <c r="H446" t="e">
        <f t="shared" si="66"/>
        <v>#N/A</v>
      </c>
      <c r="I446" t="e">
        <f t="shared" si="67"/>
        <v>#N/A</v>
      </c>
      <c r="J446" t="e">
        <f t="shared" si="68"/>
        <v>#N/A</v>
      </c>
      <c r="K446">
        <f t="shared" si="69"/>
        <v>1.5686466982891726E-2</v>
      </c>
      <c r="L446" t="e">
        <f>IF(AND(ABS((ChartCalculations!A446-Calculations!$F$3)/Calculations!$F$4)&lt;5,OR(A446&lt;=Calculations!$F$7,A446&gt;=Calculations!$F$8)),0.2*_xlfn.NORM.DIST(100,100,15,FALSE)*_xlfn.NORM.DIST(A446,Calculations!$F$3,Calculations!$F$4,FALSE)/_xlfn.NORM.DIST(Calculations!$F$3,Calculations!$F$3,Calculations!$F$4,FALSE),NA())</f>
        <v>#N/A</v>
      </c>
      <c r="M446" t="e">
        <f>IF(AND(A446&gt;=Calculations!$F$7,A446&lt;=Calculations!$F$8),0.2*_xlfn.NORM.DIST(100,100,15,FALSE)*_xlfn.NORM.DIST(A446,Calculations!$F$3,Calculations!$F$4,FALSE)/_xlfn.NORM.DIST(Calculations!$F$3,Calculations!$F$3,Calculations!$F$4,FALSE),NA())</f>
        <v>#N/A</v>
      </c>
    </row>
    <row r="447" spans="1:13" x14ac:dyDescent="0.25">
      <c r="A447">
        <v>84.500000000000597</v>
      </c>
      <c r="B447" t="e">
        <f t="shared" si="60"/>
        <v>#N/A</v>
      </c>
      <c r="C447" t="e">
        <f t="shared" si="61"/>
        <v>#N/A</v>
      </c>
      <c r="D447" t="e">
        <f t="shared" si="62"/>
        <v>#N/A</v>
      </c>
      <c r="E447">
        <f t="shared" si="63"/>
        <v>1.5593866374011509E-2</v>
      </c>
      <c r="F447" t="e">
        <f t="shared" si="64"/>
        <v>#N/A</v>
      </c>
      <c r="G447" t="e">
        <f t="shared" si="65"/>
        <v>#N/A</v>
      </c>
      <c r="H447" t="e">
        <f t="shared" si="66"/>
        <v>#N/A</v>
      </c>
      <c r="I447" t="e">
        <f t="shared" si="67"/>
        <v>#N/A</v>
      </c>
      <c r="J447" t="e">
        <f t="shared" si="68"/>
        <v>#N/A</v>
      </c>
      <c r="K447">
        <f t="shared" si="69"/>
        <v>1.5793866374011509E-2</v>
      </c>
      <c r="L447" t="e">
        <f>IF(AND(ABS((ChartCalculations!A447-Calculations!$F$3)/Calculations!$F$4)&lt;5,OR(A447&lt;=Calculations!$F$7,A447&gt;=Calculations!$F$8)),0.2*_xlfn.NORM.DIST(100,100,15,FALSE)*_xlfn.NORM.DIST(A447,Calculations!$F$3,Calculations!$F$4,FALSE)/_xlfn.NORM.DIST(Calculations!$F$3,Calculations!$F$3,Calculations!$F$4,FALSE),NA())</f>
        <v>#N/A</v>
      </c>
      <c r="M447" t="e">
        <f>IF(AND(A447&gt;=Calculations!$F$7,A447&lt;=Calculations!$F$8),0.2*_xlfn.NORM.DIST(100,100,15,FALSE)*_xlfn.NORM.DIST(A447,Calculations!$F$3,Calculations!$F$4,FALSE)/_xlfn.NORM.DIST(Calculations!$F$3,Calculations!$F$3,Calculations!$F$4,FALSE),NA())</f>
        <v>#N/A</v>
      </c>
    </row>
    <row r="448" spans="1:13" x14ac:dyDescent="0.25">
      <c r="A448">
        <v>84.600000000000605</v>
      </c>
      <c r="B448" t="e">
        <f t="shared" si="60"/>
        <v>#N/A</v>
      </c>
      <c r="C448" t="e">
        <f t="shared" si="61"/>
        <v>#N/A</v>
      </c>
      <c r="D448" t="e">
        <f t="shared" si="62"/>
        <v>#N/A</v>
      </c>
      <c r="E448">
        <f t="shared" si="63"/>
        <v>1.5701312733429462E-2</v>
      </c>
      <c r="F448" t="e">
        <f t="shared" si="64"/>
        <v>#N/A</v>
      </c>
      <c r="G448" t="e">
        <f t="shared" si="65"/>
        <v>#N/A</v>
      </c>
      <c r="H448" t="e">
        <f t="shared" si="66"/>
        <v>#N/A</v>
      </c>
      <c r="I448" t="e">
        <f t="shared" si="67"/>
        <v>#N/A</v>
      </c>
      <c r="J448" t="e">
        <f t="shared" si="68"/>
        <v>#N/A</v>
      </c>
      <c r="K448">
        <f t="shared" si="69"/>
        <v>1.590131273342946E-2</v>
      </c>
      <c r="L448" t="e">
        <f>IF(AND(ABS((ChartCalculations!A448-Calculations!$F$3)/Calculations!$F$4)&lt;5,OR(A448&lt;=Calculations!$F$7,A448&gt;=Calculations!$F$8)),0.2*_xlfn.NORM.DIST(100,100,15,FALSE)*_xlfn.NORM.DIST(A448,Calculations!$F$3,Calculations!$F$4,FALSE)/_xlfn.NORM.DIST(Calculations!$F$3,Calculations!$F$3,Calculations!$F$4,FALSE),NA())</f>
        <v>#N/A</v>
      </c>
      <c r="M448" t="e">
        <f>IF(AND(A448&gt;=Calculations!$F$7,A448&lt;=Calculations!$F$8),0.2*_xlfn.NORM.DIST(100,100,15,FALSE)*_xlfn.NORM.DIST(A448,Calculations!$F$3,Calculations!$F$4,FALSE)/_xlfn.NORM.DIST(Calculations!$F$3,Calculations!$F$3,Calculations!$F$4,FALSE),NA())</f>
        <v>#N/A</v>
      </c>
    </row>
    <row r="449" spans="1:13" x14ac:dyDescent="0.25">
      <c r="A449">
        <v>84.7000000000006</v>
      </c>
      <c r="B449" t="e">
        <f t="shared" si="60"/>
        <v>#N/A</v>
      </c>
      <c r="C449" t="e">
        <f t="shared" si="61"/>
        <v>#N/A</v>
      </c>
      <c r="D449" t="e">
        <f t="shared" si="62"/>
        <v>#N/A</v>
      </c>
      <c r="E449">
        <f t="shared" si="63"/>
        <v>1.5808796801292616E-2</v>
      </c>
      <c r="F449" t="e">
        <f t="shared" si="64"/>
        <v>#N/A</v>
      </c>
      <c r="G449" t="e">
        <f t="shared" si="65"/>
        <v>#N/A</v>
      </c>
      <c r="H449" t="e">
        <f t="shared" si="66"/>
        <v>#N/A</v>
      </c>
      <c r="I449" t="e">
        <f t="shared" si="67"/>
        <v>#N/A</v>
      </c>
      <c r="J449" t="e">
        <f t="shared" si="68"/>
        <v>#N/A</v>
      </c>
      <c r="K449">
        <f t="shared" si="69"/>
        <v>1.6008796801292614E-2</v>
      </c>
      <c r="L449" t="e">
        <f>IF(AND(ABS((ChartCalculations!A449-Calculations!$F$3)/Calculations!$F$4)&lt;5,OR(A449&lt;=Calculations!$F$7,A449&gt;=Calculations!$F$8)),0.2*_xlfn.NORM.DIST(100,100,15,FALSE)*_xlfn.NORM.DIST(A449,Calculations!$F$3,Calculations!$F$4,FALSE)/_xlfn.NORM.DIST(Calculations!$F$3,Calculations!$F$3,Calculations!$F$4,FALSE),NA())</f>
        <v>#N/A</v>
      </c>
      <c r="M449" t="e">
        <f>IF(AND(A449&gt;=Calculations!$F$7,A449&lt;=Calculations!$F$8),0.2*_xlfn.NORM.DIST(100,100,15,FALSE)*_xlfn.NORM.DIST(A449,Calculations!$F$3,Calculations!$F$4,FALSE)/_xlfn.NORM.DIST(Calculations!$F$3,Calculations!$F$3,Calculations!$F$4,FALSE),NA())</f>
        <v>#N/A</v>
      </c>
    </row>
    <row r="450" spans="1:13" x14ac:dyDescent="0.25">
      <c r="A450">
        <v>84.800000000000594</v>
      </c>
      <c r="B450" t="e">
        <f t="shared" si="60"/>
        <v>#N/A</v>
      </c>
      <c r="C450" t="e">
        <f t="shared" si="61"/>
        <v>#N/A</v>
      </c>
      <c r="D450" t="e">
        <f t="shared" si="62"/>
        <v>#N/A</v>
      </c>
      <c r="E450">
        <f t="shared" si="63"/>
        <v>1.5916309249107943E-2</v>
      </c>
      <c r="F450" t="e">
        <f t="shared" si="64"/>
        <v>#N/A</v>
      </c>
      <c r="G450" t="e">
        <f t="shared" si="65"/>
        <v>#N/A</v>
      </c>
      <c r="H450" t="e">
        <f t="shared" si="66"/>
        <v>#N/A</v>
      </c>
      <c r="I450" t="e">
        <f t="shared" si="67"/>
        <v>#N/A</v>
      </c>
      <c r="J450" t="e">
        <f t="shared" si="68"/>
        <v>#N/A</v>
      </c>
      <c r="K450">
        <f t="shared" si="69"/>
        <v>1.6116309249107941E-2</v>
      </c>
      <c r="L450" t="e">
        <f>IF(AND(ABS((ChartCalculations!A450-Calculations!$F$3)/Calculations!$F$4)&lt;5,OR(A450&lt;=Calculations!$F$7,A450&gt;=Calculations!$F$8)),0.2*_xlfn.NORM.DIST(100,100,15,FALSE)*_xlfn.NORM.DIST(A450,Calculations!$F$3,Calculations!$F$4,FALSE)/_xlfn.NORM.DIST(Calculations!$F$3,Calculations!$F$3,Calculations!$F$4,FALSE),NA())</f>
        <v>#N/A</v>
      </c>
      <c r="M450" t="e">
        <f>IF(AND(A450&gt;=Calculations!$F$7,A450&lt;=Calculations!$F$8),0.2*_xlfn.NORM.DIST(100,100,15,FALSE)*_xlfn.NORM.DIST(A450,Calculations!$F$3,Calculations!$F$4,FALSE)/_xlfn.NORM.DIST(Calculations!$F$3,Calculations!$F$3,Calculations!$F$4,FALSE),NA())</f>
        <v>#N/A</v>
      </c>
    </row>
    <row r="451" spans="1:13" x14ac:dyDescent="0.25">
      <c r="A451">
        <v>84.900000000000603</v>
      </c>
      <c r="B451" t="e">
        <f t="shared" ref="B451:B514" si="70">IF($A451&lt;=60,_xlfn.NORM.DIST($A451,100,15,FALSE),NA())</f>
        <v>#N/A</v>
      </c>
      <c r="C451" t="e">
        <f t="shared" ref="C451:C514" si="71">IF(AND($A451&gt;=60,$A451&lt;=70),_xlfn.NORM.DIST($A451,100,15,FALSE),NA())</f>
        <v>#N/A</v>
      </c>
      <c r="D451" t="e">
        <f t="shared" ref="D451:D514" si="72">IF(AND($A451&gt;=70,$A451&lt;=80),_xlfn.NORM.DIST($A451,100,15,FALSE),NA())</f>
        <v>#N/A</v>
      </c>
      <c r="E451">
        <f t="shared" ref="E451:E514" si="73">IF(AND($A451&gt;=80,$A451&lt;=90),_xlfn.NORM.DIST($A451,100,15,FALSE),NA())</f>
        <v>1.6023840680936392E-2</v>
      </c>
      <c r="F451" t="e">
        <f t="shared" ref="F451:F514" si="74">IF(AND($A451&gt;=90,$A451&lt;=110),_xlfn.NORM.DIST($A451,100,15,FALSE),NA())</f>
        <v>#N/A</v>
      </c>
      <c r="G451" t="e">
        <f t="shared" ref="G451:G514" si="75">IF(AND($A451&gt;=110,$A451&lt;=120),_xlfn.NORM.DIST($A451,100,15,FALSE),NA())</f>
        <v>#N/A</v>
      </c>
      <c r="H451" t="e">
        <f t="shared" ref="H451:H514" si="76">IF(AND($A451&gt;=120,$A451&lt;=130),_xlfn.NORM.DIST($A451,100,15,FALSE),NA())</f>
        <v>#N/A</v>
      </c>
      <c r="I451" t="e">
        <f t="shared" ref="I451:I514" si="77">IF(AND($A451&gt;=130,$A451&lt;=140),_xlfn.NORM.DIST($A451,100,15,FALSE),NA())</f>
        <v>#N/A</v>
      </c>
      <c r="J451" t="e">
        <f t="shared" ref="J451:J514" si="78">IF($A451&gt;=140,_xlfn.NORM.DIST($A451,100,15,FALSE),NA())</f>
        <v>#N/A</v>
      </c>
      <c r="K451">
        <f t="shared" ref="K451:K514" si="79">_xlfn.NORM.DIST($A451,100,15,FALSE)+0.0002</f>
        <v>1.622384068093639E-2</v>
      </c>
      <c r="L451" t="e">
        <f>IF(AND(ABS((ChartCalculations!A451-Calculations!$F$3)/Calculations!$F$4)&lt;5,OR(A451&lt;=Calculations!$F$7,A451&gt;=Calculations!$F$8)),0.2*_xlfn.NORM.DIST(100,100,15,FALSE)*_xlfn.NORM.DIST(A451,Calculations!$F$3,Calculations!$F$4,FALSE)/_xlfn.NORM.DIST(Calculations!$F$3,Calculations!$F$3,Calculations!$F$4,FALSE),NA())</f>
        <v>#N/A</v>
      </c>
      <c r="M451" t="e">
        <f>IF(AND(A451&gt;=Calculations!$F$7,A451&lt;=Calculations!$F$8),0.2*_xlfn.NORM.DIST(100,100,15,FALSE)*_xlfn.NORM.DIST(A451,Calculations!$F$3,Calculations!$F$4,FALSE)/_xlfn.NORM.DIST(Calculations!$F$3,Calculations!$F$3,Calculations!$F$4,FALSE),NA())</f>
        <v>#N/A</v>
      </c>
    </row>
    <row r="452" spans="1:13" x14ac:dyDescent="0.25">
      <c r="A452">
        <v>85.000000000000597</v>
      </c>
      <c r="B452" t="e">
        <f t="shared" si="70"/>
        <v>#N/A</v>
      </c>
      <c r="C452" t="e">
        <f t="shared" si="71"/>
        <v>#N/A</v>
      </c>
      <c r="D452" t="e">
        <f t="shared" si="72"/>
        <v>#N/A</v>
      </c>
      <c r="E452">
        <f t="shared" si="73"/>
        <v>1.6131381634610198E-2</v>
      </c>
      <c r="F452" t="e">
        <f t="shared" si="74"/>
        <v>#N/A</v>
      </c>
      <c r="G452" t="e">
        <f t="shared" si="75"/>
        <v>#N/A</v>
      </c>
      <c r="H452" t="e">
        <f t="shared" si="76"/>
        <v>#N/A</v>
      </c>
      <c r="I452" t="e">
        <f t="shared" si="77"/>
        <v>#N/A</v>
      </c>
      <c r="J452" t="e">
        <f t="shared" si="78"/>
        <v>#N/A</v>
      </c>
      <c r="K452">
        <f t="shared" si="79"/>
        <v>1.6331381634610197E-2</v>
      </c>
      <c r="L452" t="e">
        <f>IF(AND(ABS((ChartCalculations!A452-Calculations!$F$3)/Calculations!$F$4)&lt;5,OR(A452&lt;=Calculations!$F$7,A452&gt;=Calculations!$F$8)),0.2*_xlfn.NORM.DIST(100,100,15,FALSE)*_xlfn.NORM.DIST(A452,Calculations!$F$3,Calculations!$F$4,FALSE)/_xlfn.NORM.DIST(Calculations!$F$3,Calculations!$F$3,Calculations!$F$4,FALSE),NA())</f>
        <v>#N/A</v>
      </c>
      <c r="M452" t="e">
        <f>IF(AND(A452&gt;=Calculations!$F$7,A452&lt;=Calculations!$F$8),0.2*_xlfn.NORM.DIST(100,100,15,FALSE)*_xlfn.NORM.DIST(A452,Calculations!$F$3,Calculations!$F$4,FALSE)/_xlfn.NORM.DIST(Calculations!$F$3,Calculations!$F$3,Calculations!$F$4,FALSE),NA())</f>
        <v>#N/A</v>
      </c>
    </row>
    <row r="453" spans="1:13" x14ac:dyDescent="0.25">
      <c r="A453">
        <v>85.100000000000605</v>
      </c>
      <c r="B453" t="e">
        <f t="shared" si="70"/>
        <v>#N/A</v>
      </c>
      <c r="C453" t="e">
        <f t="shared" si="71"/>
        <v>#N/A</v>
      </c>
      <c r="D453" t="e">
        <f t="shared" si="72"/>
        <v>#N/A</v>
      </c>
      <c r="E453">
        <f t="shared" si="73"/>
        <v>1.6238922582973343E-2</v>
      </c>
      <c r="F453" t="e">
        <f t="shared" si="74"/>
        <v>#N/A</v>
      </c>
      <c r="G453" t="e">
        <f t="shared" si="75"/>
        <v>#N/A</v>
      </c>
      <c r="H453" t="e">
        <f t="shared" si="76"/>
        <v>#N/A</v>
      </c>
      <c r="I453" t="e">
        <f t="shared" si="77"/>
        <v>#N/A</v>
      </c>
      <c r="J453" t="e">
        <f t="shared" si="78"/>
        <v>#N/A</v>
      </c>
      <c r="K453">
        <f t="shared" si="79"/>
        <v>1.6438922582973341E-2</v>
      </c>
      <c r="L453" t="e">
        <f>IF(AND(ABS((ChartCalculations!A453-Calculations!$F$3)/Calculations!$F$4)&lt;5,OR(A453&lt;=Calculations!$F$7,A453&gt;=Calculations!$F$8)),0.2*_xlfn.NORM.DIST(100,100,15,FALSE)*_xlfn.NORM.DIST(A453,Calculations!$F$3,Calculations!$F$4,FALSE)/_xlfn.NORM.DIST(Calculations!$F$3,Calculations!$F$3,Calculations!$F$4,FALSE),NA())</f>
        <v>#N/A</v>
      </c>
      <c r="M453" t="e">
        <f>IF(AND(A453&gt;=Calculations!$F$7,A453&lt;=Calculations!$F$8),0.2*_xlfn.NORM.DIST(100,100,15,FALSE)*_xlfn.NORM.DIST(A453,Calculations!$F$3,Calculations!$F$4,FALSE)/_xlfn.NORM.DIST(Calculations!$F$3,Calculations!$F$3,Calculations!$F$4,FALSE),NA())</f>
        <v>#N/A</v>
      </c>
    </row>
    <row r="454" spans="1:13" x14ac:dyDescent="0.25">
      <c r="A454">
        <v>85.2000000000006</v>
      </c>
      <c r="B454" t="e">
        <f t="shared" si="70"/>
        <v>#N/A</v>
      </c>
      <c r="C454" t="e">
        <f t="shared" si="71"/>
        <v>#N/A</v>
      </c>
      <c r="D454" t="e">
        <f t="shared" si="72"/>
        <v>#N/A</v>
      </c>
      <c r="E454">
        <f t="shared" si="73"/>
        <v>1.6346453935144598E-2</v>
      </c>
      <c r="F454" t="e">
        <f t="shared" si="74"/>
        <v>#N/A</v>
      </c>
      <c r="G454" t="e">
        <f t="shared" si="75"/>
        <v>#N/A</v>
      </c>
      <c r="H454" t="e">
        <f t="shared" si="76"/>
        <v>#N/A</v>
      </c>
      <c r="I454" t="e">
        <f t="shared" si="77"/>
        <v>#N/A</v>
      </c>
      <c r="J454" t="e">
        <f t="shared" si="78"/>
        <v>#N/A</v>
      </c>
      <c r="K454">
        <f t="shared" si="79"/>
        <v>1.6546453935144596E-2</v>
      </c>
      <c r="L454" t="e">
        <f>IF(AND(ABS((ChartCalculations!A454-Calculations!$F$3)/Calculations!$F$4)&lt;5,OR(A454&lt;=Calculations!$F$7,A454&gt;=Calculations!$F$8)),0.2*_xlfn.NORM.DIST(100,100,15,FALSE)*_xlfn.NORM.DIST(A454,Calculations!$F$3,Calculations!$F$4,FALSE)/_xlfn.NORM.DIST(Calculations!$F$3,Calculations!$F$3,Calculations!$F$4,FALSE),NA())</f>
        <v>#N/A</v>
      </c>
      <c r="M454" t="e">
        <f>IF(AND(A454&gt;=Calculations!$F$7,A454&lt;=Calculations!$F$8),0.2*_xlfn.NORM.DIST(100,100,15,FALSE)*_xlfn.NORM.DIST(A454,Calculations!$F$3,Calculations!$F$4,FALSE)/_xlfn.NORM.DIST(Calculations!$F$3,Calculations!$F$3,Calculations!$F$4,FALSE),NA())</f>
        <v>#N/A</v>
      </c>
    </row>
    <row r="455" spans="1:13" x14ac:dyDescent="0.25">
      <c r="A455">
        <v>85.300000000000594</v>
      </c>
      <c r="B455" t="e">
        <f t="shared" si="70"/>
        <v>#N/A</v>
      </c>
      <c r="C455" t="e">
        <f t="shared" si="71"/>
        <v>#N/A</v>
      </c>
      <c r="D455" t="e">
        <f t="shared" si="72"/>
        <v>#N/A</v>
      </c>
      <c r="E455">
        <f t="shared" si="73"/>
        <v>1.6453966037803486E-2</v>
      </c>
      <c r="F455" t="e">
        <f t="shared" si="74"/>
        <v>#N/A</v>
      </c>
      <c r="G455" t="e">
        <f t="shared" si="75"/>
        <v>#N/A</v>
      </c>
      <c r="H455" t="e">
        <f t="shared" si="76"/>
        <v>#N/A</v>
      </c>
      <c r="I455" t="e">
        <f t="shared" si="77"/>
        <v>#N/A</v>
      </c>
      <c r="J455" t="e">
        <f t="shared" si="78"/>
        <v>#N/A</v>
      </c>
      <c r="K455">
        <f t="shared" si="79"/>
        <v>1.6653966037803485E-2</v>
      </c>
      <c r="L455" t="e">
        <f>IF(AND(ABS((ChartCalculations!A455-Calculations!$F$3)/Calculations!$F$4)&lt;5,OR(A455&lt;=Calculations!$F$7,A455&gt;=Calculations!$F$8)),0.2*_xlfn.NORM.DIST(100,100,15,FALSE)*_xlfn.NORM.DIST(A455,Calculations!$F$3,Calculations!$F$4,FALSE)/_xlfn.NORM.DIST(Calculations!$F$3,Calculations!$F$3,Calculations!$F$4,FALSE),NA())</f>
        <v>#N/A</v>
      </c>
      <c r="M455" t="e">
        <f>IF(AND(A455&gt;=Calculations!$F$7,A455&lt;=Calculations!$F$8),0.2*_xlfn.NORM.DIST(100,100,15,FALSE)*_xlfn.NORM.DIST(A455,Calculations!$F$3,Calculations!$F$4,FALSE)/_xlfn.NORM.DIST(Calculations!$F$3,Calculations!$F$3,Calculations!$F$4,FALSE),NA())</f>
        <v>#N/A</v>
      </c>
    </row>
    <row r="456" spans="1:13" x14ac:dyDescent="0.25">
      <c r="A456">
        <v>85.400000000000603</v>
      </c>
      <c r="B456" t="e">
        <f t="shared" si="70"/>
        <v>#N/A</v>
      </c>
      <c r="C456" t="e">
        <f t="shared" si="71"/>
        <v>#N/A</v>
      </c>
      <c r="D456" t="e">
        <f t="shared" si="72"/>
        <v>#N/A</v>
      </c>
      <c r="E456">
        <f t="shared" si="73"/>
        <v>1.6561449176498551E-2</v>
      </c>
      <c r="F456" t="e">
        <f t="shared" si="74"/>
        <v>#N/A</v>
      </c>
      <c r="G456" t="e">
        <f t="shared" si="75"/>
        <v>#N/A</v>
      </c>
      <c r="H456" t="e">
        <f t="shared" si="76"/>
        <v>#N/A</v>
      </c>
      <c r="I456" t="e">
        <f t="shared" si="77"/>
        <v>#N/A</v>
      </c>
      <c r="J456" t="e">
        <f t="shared" si="78"/>
        <v>#N/A</v>
      </c>
      <c r="K456">
        <f t="shared" si="79"/>
        <v>1.676144917649855E-2</v>
      </c>
      <c r="L456" t="e">
        <f>IF(AND(ABS((ChartCalculations!A456-Calculations!$F$3)/Calculations!$F$4)&lt;5,OR(A456&lt;=Calculations!$F$7,A456&gt;=Calculations!$F$8)),0.2*_xlfn.NORM.DIST(100,100,15,FALSE)*_xlfn.NORM.DIST(A456,Calculations!$F$3,Calculations!$F$4,FALSE)/_xlfn.NORM.DIST(Calculations!$F$3,Calculations!$F$3,Calculations!$F$4,FALSE),NA())</f>
        <v>#N/A</v>
      </c>
      <c r="M456" t="e">
        <f>IF(AND(A456&gt;=Calculations!$F$7,A456&lt;=Calculations!$F$8),0.2*_xlfn.NORM.DIST(100,100,15,FALSE)*_xlfn.NORM.DIST(A456,Calculations!$F$3,Calculations!$F$4,FALSE)/_xlfn.NORM.DIST(Calculations!$F$3,Calculations!$F$3,Calculations!$F$4,FALSE),NA())</f>
        <v>#N/A</v>
      </c>
    </row>
    <row r="457" spans="1:13" x14ac:dyDescent="0.25">
      <c r="A457">
        <v>85.500000000000597</v>
      </c>
      <c r="B457" t="e">
        <f t="shared" si="70"/>
        <v>#N/A</v>
      </c>
      <c r="C457" t="e">
        <f t="shared" si="71"/>
        <v>#N/A</v>
      </c>
      <c r="D457" t="e">
        <f t="shared" si="72"/>
        <v>#N/A</v>
      </c>
      <c r="E457">
        <f t="shared" si="73"/>
        <v>1.6668893576977869E-2</v>
      </c>
      <c r="F457" t="e">
        <f t="shared" si="74"/>
        <v>#N/A</v>
      </c>
      <c r="G457" t="e">
        <f t="shared" si="75"/>
        <v>#N/A</v>
      </c>
      <c r="H457" t="e">
        <f t="shared" si="76"/>
        <v>#N/A</v>
      </c>
      <c r="I457" t="e">
        <f t="shared" si="77"/>
        <v>#N/A</v>
      </c>
      <c r="J457" t="e">
        <f t="shared" si="78"/>
        <v>#N/A</v>
      </c>
      <c r="K457">
        <f t="shared" si="79"/>
        <v>1.6868893576977868E-2</v>
      </c>
      <c r="L457" t="e">
        <f>IF(AND(ABS((ChartCalculations!A457-Calculations!$F$3)/Calculations!$F$4)&lt;5,OR(A457&lt;=Calculations!$F$7,A457&gt;=Calculations!$F$8)),0.2*_xlfn.NORM.DIST(100,100,15,FALSE)*_xlfn.NORM.DIST(A457,Calculations!$F$3,Calculations!$F$4,FALSE)/_xlfn.NORM.DIST(Calculations!$F$3,Calculations!$F$3,Calculations!$F$4,FALSE),NA())</f>
        <v>#N/A</v>
      </c>
      <c r="M457" t="e">
        <f>IF(AND(A457&gt;=Calculations!$F$7,A457&lt;=Calculations!$F$8),0.2*_xlfn.NORM.DIST(100,100,15,FALSE)*_xlfn.NORM.DIST(A457,Calculations!$F$3,Calculations!$F$4,FALSE)/_xlfn.NORM.DIST(Calculations!$F$3,Calculations!$F$3,Calculations!$F$4,FALSE),NA())</f>
        <v>#N/A</v>
      </c>
    </row>
    <row r="458" spans="1:13" x14ac:dyDescent="0.25">
      <c r="A458">
        <v>85.600000000000605</v>
      </c>
      <c r="B458" t="e">
        <f t="shared" si="70"/>
        <v>#N/A</v>
      </c>
      <c r="C458" t="e">
        <f t="shared" si="71"/>
        <v>#N/A</v>
      </c>
      <c r="D458" t="e">
        <f t="shared" si="72"/>
        <v>#N/A</v>
      </c>
      <c r="E458">
        <f t="shared" si="73"/>
        <v>1.677628940654179E-2</v>
      </c>
      <c r="F458" t="e">
        <f t="shared" si="74"/>
        <v>#N/A</v>
      </c>
      <c r="G458" t="e">
        <f t="shared" si="75"/>
        <v>#N/A</v>
      </c>
      <c r="H458" t="e">
        <f t="shared" si="76"/>
        <v>#N/A</v>
      </c>
      <c r="I458" t="e">
        <f t="shared" si="77"/>
        <v>#N/A</v>
      </c>
      <c r="J458" t="e">
        <f t="shared" si="78"/>
        <v>#N/A</v>
      </c>
      <c r="K458">
        <f t="shared" si="79"/>
        <v>1.6976289406541788E-2</v>
      </c>
      <c r="L458" t="e">
        <f>IF(AND(ABS((ChartCalculations!A458-Calculations!$F$3)/Calculations!$F$4)&lt;5,OR(A458&lt;=Calculations!$F$7,A458&gt;=Calculations!$F$8)),0.2*_xlfn.NORM.DIST(100,100,15,FALSE)*_xlfn.NORM.DIST(A458,Calculations!$F$3,Calculations!$F$4,FALSE)/_xlfn.NORM.DIST(Calculations!$F$3,Calculations!$F$3,Calculations!$F$4,FALSE),NA())</f>
        <v>#N/A</v>
      </c>
      <c r="M458" t="e">
        <f>IF(AND(A458&gt;=Calculations!$F$7,A458&lt;=Calculations!$F$8),0.2*_xlfn.NORM.DIST(100,100,15,FALSE)*_xlfn.NORM.DIST(A458,Calculations!$F$3,Calculations!$F$4,FALSE)/_xlfn.NORM.DIST(Calculations!$F$3,Calculations!$F$3,Calculations!$F$4,FALSE),NA())</f>
        <v>#N/A</v>
      </c>
    </row>
    <row r="459" spans="1:13" x14ac:dyDescent="0.25">
      <c r="A459">
        <v>85.7000000000006</v>
      </c>
      <c r="B459" t="e">
        <f t="shared" si="70"/>
        <v>#N/A</v>
      </c>
      <c r="C459" t="e">
        <f t="shared" si="71"/>
        <v>#N/A</v>
      </c>
      <c r="D459" t="e">
        <f t="shared" si="72"/>
        <v>#N/A</v>
      </c>
      <c r="E459">
        <f t="shared" si="73"/>
        <v>1.6883626775417264E-2</v>
      </c>
      <c r="F459" t="e">
        <f t="shared" si="74"/>
        <v>#N/A</v>
      </c>
      <c r="G459" t="e">
        <f t="shared" si="75"/>
        <v>#N/A</v>
      </c>
      <c r="H459" t="e">
        <f t="shared" si="76"/>
        <v>#N/A</v>
      </c>
      <c r="I459" t="e">
        <f t="shared" si="77"/>
        <v>#N/A</v>
      </c>
      <c r="J459" t="e">
        <f t="shared" si="78"/>
        <v>#N/A</v>
      </c>
      <c r="K459">
        <f t="shared" si="79"/>
        <v>1.7083626775417263E-2</v>
      </c>
      <c r="L459" t="e">
        <f>IF(AND(ABS((ChartCalculations!A459-Calculations!$F$3)/Calculations!$F$4)&lt;5,OR(A459&lt;=Calculations!$F$7,A459&gt;=Calculations!$F$8)),0.2*_xlfn.NORM.DIST(100,100,15,FALSE)*_xlfn.NORM.DIST(A459,Calculations!$F$3,Calculations!$F$4,FALSE)/_xlfn.NORM.DIST(Calculations!$F$3,Calculations!$F$3,Calculations!$F$4,FALSE),NA())</f>
        <v>#N/A</v>
      </c>
      <c r="M459" t="e">
        <f>IF(AND(A459&gt;=Calculations!$F$7,A459&lt;=Calculations!$F$8),0.2*_xlfn.NORM.DIST(100,100,15,FALSE)*_xlfn.NORM.DIST(A459,Calculations!$F$3,Calculations!$F$4,FALSE)/_xlfn.NORM.DIST(Calculations!$F$3,Calculations!$F$3,Calculations!$F$4,FALSE),NA())</f>
        <v>#N/A</v>
      </c>
    </row>
    <row r="460" spans="1:13" x14ac:dyDescent="0.25">
      <c r="A460">
        <v>85.800000000000693</v>
      </c>
      <c r="B460" t="e">
        <f t="shared" si="70"/>
        <v>#N/A</v>
      </c>
      <c r="C460" t="e">
        <f t="shared" si="71"/>
        <v>#N/A</v>
      </c>
      <c r="D460" t="e">
        <f t="shared" si="72"/>
        <v>#N/A</v>
      </c>
      <c r="E460">
        <f t="shared" si="73"/>
        <v>1.6990895738154134E-2</v>
      </c>
      <c r="F460" t="e">
        <f t="shared" si="74"/>
        <v>#N/A</v>
      </c>
      <c r="G460" t="e">
        <f t="shared" si="75"/>
        <v>#N/A</v>
      </c>
      <c r="H460" t="e">
        <f t="shared" si="76"/>
        <v>#N/A</v>
      </c>
      <c r="I460" t="e">
        <f t="shared" si="77"/>
        <v>#N/A</v>
      </c>
      <c r="J460" t="e">
        <f t="shared" si="78"/>
        <v>#N/A</v>
      </c>
      <c r="K460">
        <f t="shared" si="79"/>
        <v>1.7190895738154133E-2</v>
      </c>
      <c r="L460" t="e">
        <f>IF(AND(ABS((ChartCalculations!A460-Calculations!$F$3)/Calculations!$F$4)&lt;5,OR(A460&lt;=Calculations!$F$7,A460&gt;=Calculations!$F$8)),0.2*_xlfn.NORM.DIST(100,100,15,FALSE)*_xlfn.NORM.DIST(A460,Calculations!$F$3,Calculations!$F$4,FALSE)/_xlfn.NORM.DIST(Calculations!$F$3,Calculations!$F$3,Calculations!$F$4,FALSE),NA())</f>
        <v>#N/A</v>
      </c>
      <c r="M460" t="e">
        <f>IF(AND(A460&gt;=Calculations!$F$7,A460&lt;=Calculations!$F$8),0.2*_xlfn.NORM.DIST(100,100,15,FALSE)*_xlfn.NORM.DIST(A460,Calculations!$F$3,Calculations!$F$4,FALSE)/_xlfn.NORM.DIST(Calculations!$F$3,Calculations!$F$3,Calculations!$F$4,FALSE),NA())</f>
        <v>#N/A</v>
      </c>
    </row>
    <row r="461" spans="1:13" x14ac:dyDescent="0.25">
      <c r="A461">
        <v>85.900000000000702</v>
      </c>
      <c r="B461" t="e">
        <f t="shared" si="70"/>
        <v>#N/A</v>
      </c>
      <c r="C461" t="e">
        <f t="shared" si="71"/>
        <v>#N/A</v>
      </c>
      <c r="D461" t="e">
        <f t="shared" si="72"/>
        <v>#N/A</v>
      </c>
      <c r="E461">
        <f t="shared" si="73"/>
        <v>1.7098086295042111E-2</v>
      </c>
      <c r="F461" t="e">
        <f t="shared" si="74"/>
        <v>#N/A</v>
      </c>
      <c r="G461" t="e">
        <f t="shared" si="75"/>
        <v>#N/A</v>
      </c>
      <c r="H461" t="e">
        <f t="shared" si="76"/>
        <v>#N/A</v>
      </c>
      <c r="I461" t="e">
        <f t="shared" si="77"/>
        <v>#N/A</v>
      </c>
      <c r="J461" t="e">
        <f t="shared" si="78"/>
        <v>#N/A</v>
      </c>
      <c r="K461">
        <f t="shared" si="79"/>
        <v>1.729808629504211E-2</v>
      </c>
      <c r="L461" t="e">
        <f>IF(AND(ABS((ChartCalculations!A461-Calculations!$F$3)/Calculations!$F$4)&lt;5,OR(A461&lt;=Calculations!$F$7,A461&gt;=Calculations!$F$8)),0.2*_xlfn.NORM.DIST(100,100,15,FALSE)*_xlfn.NORM.DIST(A461,Calculations!$F$3,Calculations!$F$4,FALSE)/_xlfn.NORM.DIST(Calculations!$F$3,Calculations!$F$3,Calculations!$F$4,FALSE),NA())</f>
        <v>#N/A</v>
      </c>
      <c r="M461" t="e">
        <f>IF(AND(A461&gt;=Calculations!$F$7,A461&lt;=Calculations!$F$8),0.2*_xlfn.NORM.DIST(100,100,15,FALSE)*_xlfn.NORM.DIST(A461,Calculations!$F$3,Calculations!$F$4,FALSE)/_xlfn.NORM.DIST(Calculations!$F$3,Calculations!$F$3,Calculations!$F$4,FALSE),NA())</f>
        <v>#N/A</v>
      </c>
    </row>
    <row r="462" spans="1:13" x14ac:dyDescent="0.25">
      <c r="A462">
        <v>86.000000000000696</v>
      </c>
      <c r="B462" t="e">
        <f t="shared" si="70"/>
        <v>#N/A</v>
      </c>
      <c r="C462" t="e">
        <f t="shared" si="71"/>
        <v>#N/A</v>
      </c>
      <c r="D462" t="e">
        <f t="shared" si="72"/>
        <v>#N/A</v>
      </c>
      <c r="E462">
        <f t="shared" si="73"/>
        <v>1.7205188393549925E-2</v>
      </c>
      <c r="F462" t="e">
        <f t="shared" si="74"/>
        <v>#N/A</v>
      </c>
      <c r="G462" t="e">
        <f t="shared" si="75"/>
        <v>#N/A</v>
      </c>
      <c r="H462" t="e">
        <f t="shared" si="76"/>
        <v>#N/A</v>
      </c>
      <c r="I462" t="e">
        <f t="shared" si="77"/>
        <v>#N/A</v>
      </c>
      <c r="J462" t="e">
        <f t="shared" si="78"/>
        <v>#N/A</v>
      </c>
      <c r="K462">
        <f t="shared" si="79"/>
        <v>1.7405188393549924E-2</v>
      </c>
      <c r="L462" t="e">
        <f>IF(AND(ABS((ChartCalculations!A462-Calculations!$F$3)/Calculations!$F$4)&lt;5,OR(A462&lt;=Calculations!$F$7,A462&gt;=Calculations!$F$8)),0.2*_xlfn.NORM.DIST(100,100,15,FALSE)*_xlfn.NORM.DIST(A462,Calculations!$F$3,Calculations!$F$4,FALSE)/_xlfn.NORM.DIST(Calculations!$F$3,Calculations!$F$3,Calculations!$F$4,FALSE),NA())</f>
        <v>#N/A</v>
      </c>
      <c r="M462" t="e">
        <f>IF(AND(A462&gt;=Calculations!$F$7,A462&lt;=Calculations!$F$8),0.2*_xlfn.NORM.DIST(100,100,15,FALSE)*_xlfn.NORM.DIST(A462,Calculations!$F$3,Calculations!$F$4,FALSE)/_xlfn.NORM.DIST(Calculations!$F$3,Calculations!$F$3,Calculations!$F$4,FALSE),NA())</f>
        <v>#N/A</v>
      </c>
    </row>
    <row r="463" spans="1:13" x14ac:dyDescent="0.25">
      <c r="A463">
        <v>86.100000000000705</v>
      </c>
      <c r="B463" t="e">
        <f t="shared" si="70"/>
        <v>#N/A</v>
      </c>
      <c r="C463" t="e">
        <f t="shared" si="71"/>
        <v>#N/A</v>
      </c>
      <c r="D463" t="e">
        <f t="shared" si="72"/>
        <v>#N/A</v>
      </c>
      <c r="E463">
        <f t="shared" si="73"/>
        <v>1.7312191929784494E-2</v>
      </c>
      <c r="F463" t="e">
        <f t="shared" si="74"/>
        <v>#N/A</v>
      </c>
      <c r="G463" t="e">
        <f t="shared" si="75"/>
        <v>#N/A</v>
      </c>
      <c r="H463" t="e">
        <f t="shared" si="76"/>
        <v>#N/A</v>
      </c>
      <c r="I463" t="e">
        <f t="shared" si="77"/>
        <v>#N/A</v>
      </c>
      <c r="J463" t="e">
        <f t="shared" si="78"/>
        <v>#N/A</v>
      </c>
      <c r="K463">
        <f t="shared" si="79"/>
        <v>1.7512191929784492E-2</v>
      </c>
      <c r="L463" t="e">
        <f>IF(AND(ABS((ChartCalculations!A463-Calculations!$F$3)/Calculations!$F$4)&lt;5,OR(A463&lt;=Calculations!$F$7,A463&gt;=Calculations!$F$8)),0.2*_xlfn.NORM.DIST(100,100,15,FALSE)*_xlfn.NORM.DIST(A463,Calculations!$F$3,Calculations!$F$4,FALSE)/_xlfn.NORM.DIST(Calculations!$F$3,Calculations!$F$3,Calculations!$F$4,FALSE),NA())</f>
        <v>#N/A</v>
      </c>
      <c r="M463" t="e">
        <f>IF(AND(A463&gt;=Calculations!$F$7,A463&lt;=Calculations!$F$8),0.2*_xlfn.NORM.DIST(100,100,15,FALSE)*_xlfn.NORM.DIST(A463,Calculations!$F$3,Calculations!$F$4,FALSE)/_xlfn.NORM.DIST(Calculations!$F$3,Calculations!$F$3,Calculations!$F$4,FALSE),NA())</f>
        <v>#N/A</v>
      </c>
    </row>
    <row r="464" spans="1:13" x14ac:dyDescent="0.25">
      <c r="A464">
        <v>86.200000000000699</v>
      </c>
      <c r="B464" t="e">
        <f t="shared" si="70"/>
        <v>#N/A</v>
      </c>
      <c r="C464" t="e">
        <f t="shared" si="71"/>
        <v>#N/A</v>
      </c>
      <c r="D464" t="e">
        <f t="shared" si="72"/>
        <v>#N/A</v>
      </c>
      <c r="E464">
        <f t="shared" si="73"/>
        <v>1.7419086749970957E-2</v>
      </c>
      <c r="F464" t="e">
        <f t="shared" si="74"/>
        <v>#N/A</v>
      </c>
      <c r="G464" t="e">
        <f t="shared" si="75"/>
        <v>#N/A</v>
      </c>
      <c r="H464" t="e">
        <f t="shared" si="76"/>
        <v>#N/A</v>
      </c>
      <c r="I464" t="e">
        <f t="shared" si="77"/>
        <v>#N/A</v>
      </c>
      <c r="J464" t="e">
        <f t="shared" si="78"/>
        <v>#N/A</v>
      </c>
      <c r="K464">
        <f t="shared" si="79"/>
        <v>1.7619086749970956E-2</v>
      </c>
      <c r="L464" t="e">
        <f>IF(AND(ABS((ChartCalculations!A464-Calculations!$F$3)/Calculations!$F$4)&lt;5,OR(A464&lt;=Calculations!$F$7,A464&gt;=Calculations!$F$8)),0.2*_xlfn.NORM.DIST(100,100,15,FALSE)*_xlfn.NORM.DIST(A464,Calculations!$F$3,Calculations!$F$4,FALSE)/_xlfn.NORM.DIST(Calculations!$F$3,Calculations!$F$3,Calculations!$F$4,FALSE),NA())</f>
        <v>#N/A</v>
      </c>
      <c r="M464" t="e">
        <f>IF(AND(A464&gt;=Calculations!$F$7,A464&lt;=Calculations!$F$8),0.2*_xlfn.NORM.DIST(100,100,15,FALSE)*_xlfn.NORM.DIST(A464,Calculations!$F$3,Calculations!$F$4,FALSE)/_xlfn.NORM.DIST(Calculations!$F$3,Calculations!$F$3,Calculations!$F$4,FALSE),NA())</f>
        <v>#N/A</v>
      </c>
    </row>
    <row r="465" spans="1:13" x14ac:dyDescent="0.25">
      <c r="A465">
        <v>86.300000000000693</v>
      </c>
      <c r="B465" t="e">
        <f t="shared" si="70"/>
        <v>#N/A</v>
      </c>
      <c r="C465" t="e">
        <f t="shared" si="71"/>
        <v>#N/A</v>
      </c>
      <c r="D465" t="e">
        <f t="shared" si="72"/>
        <v>#N/A</v>
      </c>
      <c r="E465">
        <f t="shared" si="73"/>
        <v>1.7525862651953262E-2</v>
      </c>
      <c r="F465" t="e">
        <f t="shared" si="74"/>
        <v>#N/A</v>
      </c>
      <c r="G465" t="e">
        <f t="shared" si="75"/>
        <v>#N/A</v>
      </c>
      <c r="H465" t="e">
        <f t="shared" si="76"/>
        <v>#N/A</v>
      </c>
      <c r="I465" t="e">
        <f t="shared" si="77"/>
        <v>#N/A</v>
      </c>
      <c r="J465" t="e">
        <f t="shared" si="78"/>
        <v>#N/A</v>
      </c>
      <c r="K465">
        <f t="shared" si="79"/>
        <v>1.7725862651953261E-2</v>
      </c>
      <c r="L465" t="e">
        <f>IF(AND(ABS((ChartCalculations!A465-Calculations!$F$3)/Calculations!$F$4)&lt;5,OR(A465&lt;=Calculations!$F$7,A465&gt;=Calculations!$F$8)),0.2*_xlfn.NORM.DIST(100,100,15,FALSE)*_xlfn.NORM.DIST(A465,Calculations!$F$3,Calculations!$F$4,FALSE)/_xlfn.NORM.DIST(Calculations!$F$3,Calculations!$F$3,Calculations!$F$4,FALSE),NA())</f>
        <v>#N/A</v>
      </c>
      <c r="M465" t="e">
        <f>IF(AND(A465&gt;=Calculations!$F$7,A465&lt;=Calculations!$F$8),0.2*_xlfn.NORM.DIST(100,100,15,FALSE)*_xlfn.NORM.DIST(A465,Calculations!$F$3,Calculations!$F$4,FALSE)/_xlfn.NORM.DIST(Calculations!$F$3,Calculations!$F$3,Calculations!$F$4,FALSE),NA())</f>
        <v>#N/A</v>
      </c>
    </row>
    <row r="466" spans="1:13" x14ac:dyDescent="0.25">
      <c r="A466">
        <v>86.400000000000702</v>
      </c>
      <c r="B466" t="e">
        <f t="shared" si="70"/>
        <v>#N/A</v>
      </c>
      <c r="C466" t="e">
        <f t="shared" si="71"/>
        <v>#N/A</v>
      </c>
      <c r="D466" t="e">
        <f t="shared" si="72"/>
        <v>#N/A</v>
      </c>
      <c r="E466">
        <f t="shared" si="73"/>
        <v>1.7632509386714609E-2</v>
      </c>
      <c r="F466" t="e">
        <f t="shared" si="74"/>
        <v>#N/A</v>
      </c>
      <c r="G466" t="e">
        <f t="shared" si="75"/>
        <v>#N/A</v>
      </c>
      <c r="H466" t="e">
        <f t="shared" si="76"/>
        <v>#N/A</v>
      </c>
      <c r="I466" t="e">
        <f t="shared" si="77"/>
        <v>#N/A</v>
      </c>
      <c r="J466" t="e">
        <f t="shared" si="78"/>
        <v>#N/A</v>
      </c>
      <c r="K466">
        <f t="shared" si="79"/>
        <v>1.7832509386714608E-2</v>
      </c>
      <c r="L466" t="e">
        <f>IF(AND(ABS((ChartCalculations!A466-Calculations!$F$3)/Calculations!$F$4)&lt;5,OR(A466&lt;=Calculations!$F$7,A466&gt;=Calculations!$F$8)),0.2*_xlfn.NORM.DIST(100,100,15,FALSE)*_xlfn.NORM.DIST(A466,Calculations!$F$3,Calculations!$F$4,FALSE)/_xlfn.NORM.DIST(Calculations!$F$3,Calculations!$F$3,Calculations!$F$4,FALSE),NA())</f>
        <v>#N/A</v>
      </c>
      <c r="M466" t="e">
        <f>IF(AND(A466&gt;=Calculations!$F$7,A466&lt;=Calculations!$F$8),0.2*_xlfn.NORM.DIST(100,100,15,FALSE)*_xlfn.NORM.DIST(A466,Calculations!$F$3,Calculations!$F$4,FALSE)/_xlfn.NORM.DIST(Calculations!$F$3,Calculations!$F$3,Calculations!$F$4,FALSE),NA())</f>
        <v>#N/A</v>
      </c>
    </row>
    <row r="467" spans="1:13" x14ac:dyDescent="0.25">
      <c r="A467">
        <v>86.500000000000696</v>
      </c>
      <c r="B467" t="e">
        <f t="shared" si="70"/>
        <v>#N/A</v>
      </c>
      <c r="C467" t="e">
        <f t="shared" si="71"/>
        <v>#N/A</v>
      </c>
      <c r="D467" t="e">
        <f t="shared" si="72"/>
        <v>#N/A</v>
      </c>
      <c r="E467">
        <f t="shared" si="73"/>
        <v>1.7739016659917731E-2</v>
      </c>
      <c r="F467" t="e">
        <f t="shared" si="74"/>
        <v>#N/A</v>
      </c>
      <c r="G467" t="e">
        <f t="shared" si="75"/>
        <v>#N/A</v>
      </c>
      <c r="H467" t="e">
        <f t="shared" si="76"/>
        <v>#N/A</v>
      </c>
      <c r="I467" t="e">
        <f t="shared" si="77"/>
        <v>#N/A</v>
      </c>
      <c r="J467" t="e">
        <f t="shared" si="78"/>
        <v>#N/A</v>
      </c>
      <c r="K467">
        <f t="shared" si="79"/>
        <v>1.793901665991773E-2</v>
      </c>
      <c r="L467" t="e">
        <f>IF(AND(ABS((ChartCalculations!A467-Calculations!$F$3)/Calculations!$F$4)&lt;5,OR(A467&lt;=Calculations!$F$7,A467&gt;=Calculations!$F$8)),0.2*_xlfn.NORM.DIST(100,100,15,FALSE)*_xlfn.NORM.DIST(A467,Calculations!$F$3,Calculations!$F$4,FALSE)/_xlfn.NORM.DIST(Calculations!$F$3,Calculations!$F$3,Calculations!$F$4,FALSE),NA())</f>
        <v>#N/A</v>
      </c>
      <c r="M467" t="e">
        <f>IF(AND(A467&gt;=Calculations!$F$7,A467&lt;=Calculations!$F$8),0.2*_xlfn.NORM.DIST(100,100,15,FALSE)*_xlfn.NORM.DIST(A467,Calculations!$F$3,Calculations!$F$4,FALSE)/_xlfn.NORM.DIST(Calculations!$F$3,Calculations!$F$3,Calculations!$F$4,FALSE),NA())</f>
        <v>#N/A</v>
      </c>
    </row>
    <row r="468" spans="1:13" x14ac:dyDescent="0.25">
      <c r="A468">
        <v>86.600000000000705</v>
      </c>
      <c r="B468" t="e">
        <f t="shared" si="70"/>
        <v>#N/A</v>
      </c>
      <c r="C468" t="e">
        <f t="shared" si="71"/>
        <v>#N/A</v>
      </c>
      <c r="D468" t="e">
        <f t="shared" si="72"/>
        <v>#N/A</v>
      </c>
      <c r="E468">
        <f t="shared" si="73"/>
        <v>1.7845374133464844E-2</v>
      </c>
      <c r="F468" t="e">
        <f t="shared" si="74"/>
        <v>#N/A</v>
      </c>
      <c r="G468" t="e">
        <f t="shared" si="75"/>
        <v>#N/A</v>
      </c>
      <c r="H468" t="e">
        <f t="shared" si="76"/>
        <v>#N/A</v>
      </c>
      <c r="I468" t="e">
        <f t="shared" si="77"/>
        <v>#N/A</v>
      </c>
      <c r="J468" t="e">
        <f t="shared" si="78"/>
        <v>#N/A</v>
      </c>
      <c r="K468">
        <f t="shared" si="79"/>
        <v>1.8045374133464843E-2</v>
      </c>
      <c r="L468" t="e">
        <f>IF(AND(ABS((ChartCalculations!A468-Calculations!$F$3)/Calculations!$F$4)&lt;5,OR(A468&lt;=Calculations!$F$7,A468&gt;=Calculations!$F$8)),0.2*_xlfn.NORM.DIST(100,100,15,FALSE)*_xlfn.NORM.DIST(A468,Calculations!$F$3,Calculations!$F$4,FALSE)/_xlfn.NORM.DIST(Calculations!$F$3,Calculations!$F$3,Calculations!$F$4,FALSE),NA())</f>
        <v>#N/A</v>
      </c>
      <c r="M468" t="e">
        <f>IF(AND(A468&gt;=Calculations!$F$7,A468&lt;=Calculations!$F$8),0.2*_xlfn.NORM.DIST(100,100,15,FALSE)*_xlfn.NORM.DIST(A468,Calculations!$F$3,Calculations!$F$4,FALSE)/_xlfn.NORM.DIST(Calculations!$F$3,Calculations!$F$3,Calculations!$F$4,FALSE),NA())</f>
        <v>#N/A</v>
      </c>
    </row>
    <row r="469" spans="1:13" x14ac:dyDescent="0.25">
      <c r="A469">
        <v>86.700000000000699</v>
      </c>
      <c r="B469" t="e">
        <f t="shared" si="70"/>
        <v>#N/A</v>
      </c>
      <c r="C469" t="e">
        <f t="shared" si="71"/>
        <v>#N/A</v>
      </c>
      <c r="D469" t="e">
        <f t="shared" si="72"/>
        <v>#N/A</v>
      </c>
      <c r="E469">
        <f t="shared" si="73"/>
        <v>1.7951571427076565E-2</v>
      </c>
      <c r="F469" t="e">
        <f t="shared" si="74"/>
        <v>#N/A</v>
      </c>
      <c r="G469" t="e">
        <f t="shared" si="75"/>
        <v>#N/A</v>
      </c>
      <c r="H469" t="e">
        <f t="shared" si="76"/>
        <v>#N/A</v>
      </c>
      <c r="I469" t="e">
        <f t="shared" si="77"/>
        <v>#N/A</v>
      </c>
      <c r="J469" t="e">
        <f t="shared" si="78"/>
        <v>#N/A</v>
      </c>
      <c r="K469">
        <f t="shared" si="79"/>
        <v>1.8151571427076563E-2</v>
      </c>
      <c r="L469" t="e">
        <f>IF(AND(ABS((ChartCalculations!A469-Calculations!$F$3)/Calculations!$F$4)&lt;5,OR(A469&lt;=Calculations!$F$7,A469&gt;=Calculations!$F$8)),0.2*_xlfn.NORM.DIST(100,100,15,FALSE)*_xlfn.NORM.DIST(A469,Calculations!$F$3,Calculations!$F$4,FALSE)/_xlfn.NORM.DIST(Calculations!$F$3,Calculations!$F$3,Calculations!$F$4,FALSE),NA())</f>
        <v>#N/A</v>
      </c>
      <c r="M469" t="e">
        <f>IF(AND(A469&gt;=Calculations!$F$7,A469&lt;=Calculations!$F$8),0.2*_xlfn.NORM.DIST(100,100,15,FALSE)*_xlfn.NORM.DIST(A469,Calculations!$F$3,Calculations!$F$4,FALSE)/_xlfn.NORM.DIST(Calculations!$F$3,Calculations!$F$3,Calculations!$F$4,FALSE),NA())</f>
        <v>#N/A</v>
      </c>
    </row>
    <row r="470" spans="1:13" x14ac:dyDescent="0.25">
      <c r="A470">
        <v>86.800000000000693</v>
      </c>
      <c r="B470" t="e">
        <f t="shared" si="70"/>
        <v>#N/A</v>
      </c>
      <c r="C470" t="e">
        <f t="shared" si="71"/>
        <v>#N/A</v>
      </c>
      <c r="D470" t="e">
        <f t="shared" si="72"/>
        <v>#N/A</v>
      </c>
      <c r="E470">
        <f t="shared" si="73"/>
        <v>1.8057598119889936E-2</v>
      </c>
      <c r="F470" t="e">
        <f t="shared" si="74"/>
        <v>#N/A</v>
      </c>
      <c r="G470" t="e">
        <f t="shared" si="75"/>
        <v>#N/A</v>
      </c>
      <c r="H470" t="e">
        <f t="shared" si="76"/>
        <v>#N/A</v>
      </c>
      <c r="I470" t="e">
        <f t="shared" si="77"/>
        <v>#N/A</v>
      </c>
      <c r="J470" t="e">
        <f t="shared" si="78"/>
        <v>#N/A</v>
      </c>
      <c r="K470">
        <f t="shared" si="79"/>
        <v>1.8257598119889935E-2</v>
      </c>
      <c r="L470" t="e">
        <f>IF(AND(ABS((ChartCalculations!A470-Calculations!$F$3)/Calculations!$F$4)&lt;5,OR(A470&lt;=Calculations!$F$7,A470&gt;=Calculations!$F$8)),0.2*_xlfn.NORM.DIST(100,100,15,FALSE)*_xlfn.NORM.DIST(A470,Calculations!$F$3,Calculations!$F$4,FALSE)/_xlfn.NORM.DIST(Calculations!$F$3,Calculations!$F$3,Calculations!$F$4,FALSE),NA())</f>
        <v>#N/A</v>
      </c>
      <c r="M470" t="e">
        <f>IF(AND(A470&gt;=Calculations!$F$7,A470&lt;=Calculations!$F$8),0.2*_xlfn.NORM.DIST(100,100,15,FALSE)*_xlfn.NORM.DIST(A470,Calculations!$F$3,Calculations!$F$4,FALSE)/_xlfn.NORM.DIST(Calculations!$F$3,Calculations!$F$3,Calculations!$F$4,FALSE),NA())</f>
        <v>#N/A</v>
      </c>
    </row>
    <row r="471" spans="1:13" x14ac:dyDescent="0.25">
      <c r="A471">
        <v>86.900000000000702</v>
      </c>
      <c r="B471" t="e">
        <f t="shared" si="70"/>
        <v>#N/A</v>
      </c>
      <c r="C471" t="e">
        <f t="shared" si="71"/>
        <v>#N/A</v>
      </c>
      <c r="D471" t="e">
        <f t="shared" si="72"/>
        <v>#N/A</v>
      </c>
      <c r="E471">
        <f t="shared" si="73"/>
        <v>1.8163443752074956E-2</v>
      </c>
      <c r="F471" t="e">
        <f t="shared" si="74"/>
        <v>#N/A</v>
      </c>
      <c r="G471" t="e">
        <f t="shared" si="75"/>
        <v>#N/A</v>
      </c>
      <c r="H471" t="e">
        <f t="shared" si="76"/>
        <v>#N/A</v>
      </c>
      <c r="I471" t="e">
        <f t="shared" si="77"/>
        <v>#N/A</v>
      </c>
      <c r="J471" t="e">
        <f t="shared" si="78"/>
        <v>#N/A</v>
      </c>
      <c r="K471">
        <f t="shared" si="79"/>
        <v>1.8363443752074955E-2</v>
      </c>
      <c r="L471" t="e">
        <f>IF(AND(ABS((ChartCalculations!A471-Calculations!$F$3)/Calculations!$F$4)&lt;5,OR(A471&lt;=Calculations!$F$7,A471&gt;=Calculations!$F$8)),0.2*_xlfn.NORM.DIST(100,100,15,FALSE)*_xlfn.NORM.DIST(A471,Calculations!$F$3,Calculations!$F$4,FALSE)/_xlfn.NORM.DIST(Calculations!$F$3,Calculations!$F$3,Calculations!$F$4,FALSE),NA())</f>
        <v>#N/A</v>
      </c>
      <c r="M471" t="e">
        <f>IF(AND(A471&gt;=Calculations!$F$7,A471&lt;=Calculations!$F$8),0.2*_xlfn.NORM.DIST(100,100,15,FALSE)*_xlfn.NORM.DIST(A471,Calculations!$F$3,Calculations!$F$4,FALSE)/_xlfn.NORM.DIST(Calculations!$F$3,Calculations!$F$3,Calculations!$F$4,FALSE),NA())</f>
        <v>#N/A</v>
      </c>
    </row>
    <row r="472" spans="1:13" x14ac:dyDescent="0.25">
      <c r="A472">
        <v>87.000000000000696</v>
      </c>
      <c r="B472" t="e">
        <f t="shared" si="70"/>
        <v>#N/A</v>
      </c>
      <c r="C472" t="e">
        <f t="shared" si="71"/>
        <v>#N/A</v>
      </c>
      <c r="D472" t="e">
        <f t="shared" si="72"/>
        <v>#N/A</v>
      </c>
      <c r="E472">
        <f t="shared" si="73"/>
        <v>1.8269097826469297E-2</v>
      </c>
      <c r="F472" t="e">
        <f t="shared" si="74"/>
        <v>#N/A</v>
      </c>
      <c r="G472" t="e">
        <f t="shared" si="75"/>
        <v>#N/A</v>
      </c>
      <c r="H472" t="e">
        <f t="shared" si="76"/>
        <v>#N/A</v>
      </c>
      <c r="I472" t="e">
        <f t="shared" si="77"/>
        <v>#N/A</v>
      </c>
      <c r="J472" t="e">
        <f t="shared" si="78"/>
        <v>#N/A</v>
      </c>
      <c r="K472">
        <f t="shared" si="79"/>
        <v>1.8469097826469296E-2</v>
      </c>
      <c r="L472" t="e">
        <f>IF(AND(ABS((ChartCalculations!A472-Calculations!$F$3)/Calculations!$F$4)&lt;5,OR(A472&lt;=Calculations!$F$7,A472&gt;=Calculations!$F$8)),0.2*_xlfn.NORM.DIST(100,100,15,FALSE)*_xlfn.NORM.DIST(A472,Calculations!$F$3,Calculations!$F$4,FALSE)/_xlfn.NORM.DIST(Calculations!$F$3,Calculations!$F$3,Calculations!$F$4,FALSE),NA())</f>
        <v>#N/A</v>
      </c>
      <c r="M472" t="e">
        <f>IF(AND(A472&gt;=Calculations!$F$7,A472&lt;=Calculations!$F$8),0.2*_xlfn.NORM.DIST(100,100,15,FALSE)*_xlfn.NORM.DIST(A472,Calculations!$F$3,Calculations!$F$4,FALSE)/_xlfn.NORM.DIST(Calculations!$F$3,Calculations!$F$3,Calculations!$F$4,FALSE),NA())</f>
        <v>#N/A</v>
      </c>
    </row>
    <row r="473" spans="1:13" x14ac:dyDescent="0.25">
      <c r="A473">
        <v>87.100000000000705</v>
      </c>
      <c r="B473" t="e">
        <f t="shared" si="70"/>
        <v>#N/A</v>
      </c>
      <c r="C473" t="e">
        <f t="shared" si="71"/>
        <v>#N/A</v>
      </c>
      <c r="D473" t="e">
        <f t="shared" si="72"/>
        <v>#N/A</v>
      </c>
      <c r="E473">
        <f t="shared" si="73"/>
        <v>1.8374549810231188E-2</v>
      </c>
      <c r="F473" t="e">
        <f t="shared" si="74"/>
        <v>#N/A</v>
      </c>
      <c r="G473" t="e">
        <f t="shared" si="75"/>
        <v>#N/A</v>
      </c>
      <c r="H473" t="e">
        <f t="shared" si="76"/>
        <v>#N/A</v>
      </c>
      <c r="I473" t="e">
        <f t="shared" si="77"/>
        <v>#N/A</v>
      </c>
      <c r="J473" t="e">
        <f t="shared" si="78"/>
        <v>#N/A</v>
      </c>
      <c r="K473">
        <f t="shared" si="79"/>
        <v>1.8574549810231187E-2</v>
      </c>
      <c r="L473" t="e">
        <f>IF(AND(ABS((ChartCalculations!A473-Calculations!$F$3)/Calculations!$F$4)&lt;5,OR(A473&lt;=Calculations!$F$7,A473&gt;=Calculations!$F$8)),0.2*_xlfn.NORM.DIST(100,100,15,FALSE)*_xlfn.NORM.DIST(A473,Calculations!$F$3,Calculations!$F$4,FALSE)/_xlfn.NORM.DIST(Calculations!$F$3,Calculations!$F$3,Calculations!$F$4,FALSE),NA())</f>
        <v>#N/A</v>
      </c>
      <c r="M473" t="e">
        <f>IF(AND(A473&gt;=Calculations!$F$7,A473&lt;=Calculations!$F$8),0.2*_xlfn.NORM.DIST(100,100,15,FALSE)*_xlfn.NORM.DIST(A473,Calculations!$F$3,Calculations!$F$4,FALSE)/_xlfn.NORM.DIST(Calculations!$F$3,Calculations!$F$3,Calculations!$F$4,FALSE),NA())</f>
        <v>#N/A</v>
      </c>
    </row>
    <row r="474" spans="1:13" x14ac:dyDescent="0.25">
      <c r="A474">
        <v>87.200000000000699</v>
      </c>
      <c r="B474" t="e">
        <f t="shared" si="70"/>
        <v>#N/A</v>
      </c>
      <c r="C474" t="e">
        <f t="shared" si="71"/>
        <v>#N/A</v>
      </c>
      <c r="D474" t="e">
        <f t="shared" si="72"/>
        <v>#N/A</v>
      </c>
      <c r="E474">
        <f t="shared" si="73"/>
        <v>1.8479789136509609E-2</v>
      </c>
      <c r="F474" t="e">
        <f t="shared" si="74"/>
        <v>#N/A</v>
      </c>
      <c r="G474" t="e">
        <f t="shared" si="75"/>
        <v>#N/A</v>
      </c>
      <c r="H474" t="e">
        <f t="shared" si="76"/>
        <v>#N/A</v>
      </c>
      <c r="I474" t="e">
        <f t="shared" si="77"/>
        <v>#N/A</v>
      </c>
      <c r="J474" t="e">
        <f t="shared" si="78"/>
        <v>#N/A</v>
      </c>
      <c r="K474">
        <f t="shared" si="79"/>
        <v>1.8679789136509608E-2</v>
      </c>
      <c r="L474" t="e">
        <f>IF(AND(ABS((ChartCalculations!A474-Calculations!$F$3)/Calculations!$F$4)&lt;5,OR(A474&lt;=Calculations!$F$7,A474&gt;=Calculations!$F$8)),0.2*_xlfn.NORM.DIST(100,100,15,FALSE)*_xlfn.NORM.DIST(A474,Calculations!$F$3,Calculations!$F$4,FALSE)/_xlfn.NORM.DIST(Calculations!$F$3,Calculations!$F$3,Calculations!$F$4,FALSE),NA())</f>
        <v>#N/A</v>
      </c>
      <c r="M474" t="e">
        <f>IF(AND(A474&gt;=Calculations!$F$7,A474&lt;=Calculations!$F$8),0.2*_xlfn.NORM.DIST(100,100,15,FALSE)*_xlfn.NORM.DIST(A474,Calculations!$F$3,Calculations!$F$4,FALSE)/_xlfn.NORM.DIST(Calculations!$F$3,Calculations!$F$3,Calculations!$F$4,FALSE),NA())</f>
        <v>#N/A</v>
      </c>
    </row>
    <row r="475" spans="1:13" x14ac:dyDescent="0.25">
      <c r="A475">
        <v>87.300000000000693</v>
      </c>
      <c r="B475" t="e">
        <f t="shared" si="70"/>
        <v>#N/A</v>
      </c>
      <c r="C475" t="e">
        <f t="shared" si="71"/>
        <v>#N/A</v>
      </c>
      <c r="D475" t="e">
        <f t="shared" si="72"/>
        <v>#N/A</v>
      </c>
      <c r="E475">
        <f t="shared" si="73"/>
        <v>1.858480520613201E-2</v>
      </c>
      <c r="F475" t="e">
        <f t="shared" si="74"/>
        <v>#N/A</v>
      </c>
      <c r="G475" t="e">
        <f t="shared" si="75"/>
        <v>#N/A</v>
      </c>
      <c r="H475" t="e">
        <f t="shared" si="76"/>
        <v>#N/A</v>
      </c>
      <c r="I475" t="e">
        <f t="shared" si="77"/>
        <v>#N/A</v>
      </c>
      <c r="J475" t="e">
        <f t="shared" si="78"/>
        <v>#N/A</v>
      </c>
      <c r="K475">
        <f t="shared" si="79"/>
        <v>1.8784805206132009E-2</v>
      </c>
      <c r="L475" t="e">
        <f>IF(AND(ABS((ChartCalculations!A475-Calculations!$F$3)/Calculations!$F$4)&lt;5,OR(A475&lt;=Calculations!$F$7,A475&gt;=Calculations!$F$8)),0.2*_xlfn.NORM.DIST(100,100,15,FALSE)*_xlfn.NORM.DIST(A475,Calculations!$F$3,Calculations!$F$4,FALSE)/_xlfn.NORM.DIST(Calculations!$F$3,Calculations!$F$3,Calculations!$F$4,FALSE),NA())</f>
        <v>#N/A</v>
      </c>
      <c r="M475" t="e">
        <f>IF(AND(A475&gt;=Calculations!$F$7,A475&lt;=Calculations!$F$8),0.2*_xlfn.NORM.DIST(100,100,15,FALSE)*_xlfn.NORM.DIST(A475,Calculations!$F$3,Calculations!$F$4,FALSE)/_xlfn.NORM.DIST(Calculations!$F$3,Calculations!$F$3,Calculations!$F$4,FALSE),NA())</f>
        <v>#N/A</v>
      </c>
    </row>
    <row r="476" spans="1:13" x14ac:dyDescent="0.25">
      <c r="A476">
        <v>87.400000000000702</v>
      </c>
      <c r="B476" t="e">
        <f t="shared" si="70"/>
        <v>#N/A</v>
      </c>
      <c r="C476" t="e">
        <f t="shared" si="71"/>
        <v>#N/A</v>
      </c>
      <c r="D476" t="e">
        <f t="shared" si="72"/>
        <v>#N/A</v>
      </c>
      <c r="E476">
        <f t="shared" si="73"/>
        <v>1.8689587389308773E-2</v>
      </c>
      <c r="F476" t="e">
        <f t="shared" si="74"/>
        <v>#N/A</v>
      </c>
      <c r="G476" t="e">
        <f t="shared" si="75"/>
        <v>#N/A</v>
      </c>
      <c r="H476" t="e">
        <f t="shared" si="76"/>
        <v>#N/A</v>
      </c>
      <c r="I476" t="e">
        <f t="shared" si="77"/>
        <v>#N/A</v>
      </c>
      <c r="J476" t="e">
        <f t="shared" si="78"/>
        <v>#N/A</v>
      </c>
      <c r="K476">
        <f t="shared" si="79"/>
        <v>1.8889587389308772E-2</v>
      </c>
      <c r="L476" t="e">
        <f>IF(AND(ABS((ChartCalculations!A476-Calculations!$F$3)/Calculations!$F$4)&lt;5,OR(A476&lt;=Calculations!$F$7,A476&gt;=Calculations!$F$8)),0.2*_xlfn.NORM.DIST(100,100,15,FALSE)*_xlfn.NORM.DIST(A476,Calculations!$F$3,Calculations!$F$4,FALSE)/_xlfn.NORM.DIST(Calculations!$F$3,Calculations!$F$3,Calculations!$F$4,FALSE),NA())</f>
        <v>#N/A</v>
      </c>
      <c r="M476" t="e">
        <f>IF(AND(A476&gt;=Calculations!$F$7,A476&lt;=Calculations!$F$8),0.2*_xlfn.NORM.DIST(100,100,15,FALSE)*_xlfn.NORM.DIST(A476,Calculations!$F$3,Calculations!$F$4,FALSE)/_xlfn.NORM.DIST(Calculations!$F$3,Calculations!$F$3,Calculations!$F$4,FALSE),NA())</f>
        <v>#N/A</v>
      </c>
    </row>
    <row r="477" spans="1:13" x14ac:dyDescent="0.25">
      <c r="A477">
        <v>87.500000000000696</v>
      </c>
      <c r="B477" t="e">
        <f t="shared" si="70"/>
        <v>#N/A</v>
      </c>
      <c r="C477" t="e">
        <f t="shared" si="71"/>
        <v>#N/A</v>
      </c>
      <c r="D477" t="e">
        <f t="shared" si="72"/>
        <v>#N/A</v>
      </c>
      <c r="E477">
        <f t="shared" si="73"/>
        <v>1.8794125027354232E-2</v>
      </c>
      <c r="F477" t="e">
        <f t="shared" si="74"/>
        <v>#N/A</v>
      </c>
      <c r="G477" t="e">
        <f t="shared" si="75"/>
        <v>#N/A</v>
      </c>
      <c r="H477" t="e">
        <f t="shared" si="76"/>
        <v>#N/A</v>
      </c>
      <c r="I477" t="e">
        <f t="shared" si="77"/>
        <v>#N/A</v>
      </c>
      <c r="J477" t="e">
        <f t="shared" si="78"/>
        <v>#N/A</v>
      </c>
      <c r="K477">
        <f t="shared" si="79"/>
        <v>1.8994125027354231E-2</v>
      </c>
      <c r="L477" t="e">
        <f>IF(AND(ABS((ChartCalculations!A477-Calculations!$F$3)/Calculations!$F$4)&lt;5,OR(A477&lt;=Calculations!$F$7,A477&gt;=Calculations!$F$8)),0.2*_xlfn.NORM.DIST(100,100,15,FALSE)*_xlfn.NORM.DIST(A477,Calculations!$F$3,Calculations!$F$4,FALSE)/_xlfn.NORM.DIST(Calculations!$F$3,Calculations!$F$3,Calculations!$F$4,FALSE),NA())</f>
        <v>#N/A</v>
      </c>
      <c r="M477" t="e">
        <f>IF(AND(A477&gt;=Calculations!$F$7,A477&lt;=Calculations!$F$8),0.2*_xlfn.NORM.DIST(100,100,15,FALSE)*_xlfn.NORM.DIST(A477,Calculations!$F$3,Calculations!$F$4,FALSE)/_xlfn.NORM.DIST(Calculations!$F$3,Calculations!$F$3,Calculations!$F$4,FALSE),NA())</f>
        <v>#N/A</v>
      </c>
    </row>
    <row r="478" spans="1:13" x14ac:dyDescent="0.25">
      <c r="A478">
        <v>87.600000000000705</v>
      </c>
      <c r="B478" t="e">
        <f t="shared" si="70"/>
        <v>#N/A</v>
      </c>
      <c r="C478" t="e">
        <f t="shared" si="71"/>
        <v>#N/A</v>
      </c>
      <c r="D478" t="e">
        <f t="shared" si="72"/>
        <v>#N/A</v>
      </c>
      <c r="E478">
        <f t="shared" si="73"/>
        <v>1.8898407434423989E-2</v>
      </c>
      <c r="F478" t="e">
        <f t="shared" si="74"/>
        <v>#N/A</v>
      </c>
      <c r="G478" t="e">
        <f t="shared" si="75"/>
        <v>#N/A</v>
      </c>
      <c r="H478" t="e">
        <f t="shared" si="76"/>
        <v>#N/A</v>
      </c>
      <c r="I478" t="e">
        <f t="shared" si="77"/>
        <v>#N/A</v>
      </c>
      <c r="J478" t="e">
        <f t="shared" si="78"/>
        <v>#N/A</v>
      </c>
      <c r="K478">
        <f t="shared" si="79"/>
        <v>1.9098407434423988E-2</v>
      </c>
      <c r="L478" t="e">
        <f>IF(AND(ABS((ChartCalculations!A478-Calculations!$F$3)/Calculations!$F$4)&lt;5,OR(A478&lt;=Calculations!$F$7,A478&gt;=Calculations!$F$8)),0.2*_xlfn.NORM.DIST(100,100,15,FALSE)*_xlfn.NORM.DIST(A478,Calculations!$F$3,Calculations!$F$4,FALSE)/_xlfn.NORM.DIST(Calculations!$F$3,Calculations!$F$3,Calculations!$F$4,FALSE),NA())</f>
        <v>#N/A</v>
      </c>
      <c r="M478" t="e">
        <f>IF(AND(A478&gt;=Calculations!$F$7,A478&lt;=Calculations!$F$8),0.2*_xlfn.NORM.DIST(100,100,15,FALSE)*_xlfn.NORM.DIST(A478,Calculations!$F$3,Calculations!$F$4,FALSE)/_xlfn.NORM.DIST(Calculations!$F$3,Calculations!$F$3,Calculations!$F$4,FALSE),NA())</f>
        <v>#N/A</v>
      </c>
    </row>
    <row r="479" spans="1:13" x14ac:dyDescent="0.25">
      <c r="A479">
        <v>87.700000000000699</v>
      </c>
      <c r="B479" t="e">
        <f t="shared" si="70"/>
        <v>#N/A</v>
      </c>
      <c r="C479" t="e">
        <f t="shared" si="71"/>
        <v>#N/A</v>
      </c>
      <c r="D479" t="e">
        <f t="shared" si="72"/>
        <v>#N/A</v>
      </c>
      <c r="E479">
        <f t="shared" si="73"/>
        <v>1.9002423899267873E-2</v>
      </c>
      <c r="F479" t="e">
        <f t="shared" si="74"/>
        <v>#N/A</v>
      </c>
      <c r="G479" t="e">
        <f t="shared" si="75"/>
        <v>#N/A</v>
      </c>
      <c r="H479" t="e">
        <f t="shared" si="76"/>
        <v>#N/A</v>
      </c>
      <c r="I479" t="e">
        <f t="shared" si="77"/>
        <v>#N/A</v>
      </c>
      <c r="J479" t="e">
        <f t="shared" si="78"/>
        <v>#N/A</v>
      </c>
      <c r="K479">
        <f t="shared" si="79"/>
        <v>1.9202423899267872E-2</v>
      </c>
      <c r="L479" t="e">
        <f>IF(AND(ABS((ChartCalculations!A479-Calculations!$F$3)/Calculations!$F$4)&lt;5,OR(A479&lt;=Calculations!$F$7,A479&gt;=Calculations!$F$8)),0.2*_xlfn.NORM.DIST(100,100,15,FALSE)*_xlfn.NORM.DIST(A479,Calculations!$F$3,Calculations!$F$4,FALSE)/_xlfn.NORM.DIST(Calculations!$F$3,Calculations!$F$3,Calculations!$F$4,FALSE),NA())</f>
        <v>#N/A</v>
      </c>
      <c r="M479" t="e">
        <f>IF(AND(A479&gt;=Calculations!$F$7,A479&lt;=Calculations!$F$8),0.2*_xlfn.NORM.DIST(100,100,15,FALSE)*_xlfn.NORM.DIST(A479,Calculations!$F$3,Calculations!$F$4,FALSE)/_xlfn.NORM.DIST(Calculations!$F$3,Calculations!$F$3,Calculations!$F$4,FALSE),NA())</f>
        <v>#N/A</v>
      </c>
    </row>
    <row r="480" spans="1:13" x14ac:dyDescent="0.25">
      <c r="A480">
        <v>87.800000000000693</v>
      </c>
      <c r="B480" t="e">
        <f t="shared" si="70"/>
        <v>#N/A</v>
      </c>
      <c r="C480" t="e">
        <f t="shared" si="71"/>
        <v>#N/A</v>
      </c>
      <c r="D480" t="e">
        <f t="shared" si="72"/>
        <v>#N/A</v>
      </c>
      <c r="E480">
        <f t="shared" si="73"/>
        <v>1.9106163686998474E-2</v>
      </c>
      <c r="F480" t="e">
        <f t="shared" si="74"/>
        <v>#N/A</v>
      </c>
      <c r="G480" t="e">
        <f t="shared" si="75"/>
        <v>#N/A</v>
      </c>
      <c r="H480" t="e">
        <f t="shared" si="76"/>
        <v>#N/A</v>
      </c>
      <c r="I480" t="e">
        <f t="shared" si="77"/>
        <v>#N/A</v>
      </c>
      <c r="J480" t="e">
        <f t="shared" si="78"/>
        <v>#N/A</v>
      </c>
      <c r="K480">
        <f t="shared" si="79"/>
        <v>1.9306163686998473E-2</v>
      </c>
      <c r="L480" t="e">
        <f>IF(AND(ABS((ChartCalculations!A480-Calculations!$F$3)/Calculations!$F$4)&lt;5,OR(A480&lt;=Calculations!$F$7,A480&gt;=Calculations!$F$8)),0.2*_xlfn.NORM.DIST(100,100,15,FALSE)*_xlfn.NORM.DIST(A480,Calculations!$F$3,Calculations!$F$4,FALSE)/_xlfn.NORM.DIST(Calculations!$F$3,Calculations!$F$3,Calculations!$F$4,FALSE),NA())</f>
        <v>#N/A</v>
      </c>
      <c r="M480" t="e">
        <f>IF(AND(A480&gt;=Calculations!$F$7,A480&lt;=Calculations!$F$8),0.2*_xlfn.NORM.DIST(100,100,15,FALSE)*_xlfn.NORM.DIST(A480,Calculations!$F$3,Calculations!$F$4,FALSE)/_xlfn.NORM.DIST(Calculations!$F$3,Calculations!$F$3,Calculations!$F$4,FALSE),NA())</f>
        <v>#N/A</v>
      </c>
    </row>
    <row r="481" spans="1:13" x14ac:dyDescent="0.25">
      <c r="A481">
        <v>87.900000000000702</v>
      </c>
      <c r="B481" t="e">
        <f t="shared" si="70"/>
        <v>#N/A</v>
      </c>
      <c r="C481" t="e">
        <f t="shared" si="71"/>
        <v>#N/A</v>
      </c>
      <c r="D481" t="e">
        <f t="shared" si="72"/>
        <v>#N/A</v>
      </c>
      <c r="E481">
        <f t="shared" si="73"/>
        <v>1.9209616040874636E-2</v>
      </c>
      <c r="F481" t="e">
        <f t="shared" si="74"/>
        <v>#N/A</v>
      </c>
      <c r="G481" t="e">
        <f t="shared" si="75"/>
        <v>#N/A</v>
      </c>
      <c r="H481" t="e">
        <f t="shared" si="76"/>
        <v>#N/A</v>
      </c>
      <c r="I481" t="e">
        <f t="shared" si="77"/>
        <v>#N/A</v>
      </c>
      <c r="J481" t="e">
        <f t="shared" si="78"/>
        <v>#N/A</v>
      </c>
      <c r="K481">
        <f t="shared" si="79"/>
        <v>1.9409616040874635E-2</v>
      </c>
      <c r="L481" t="e">
        <f>IF(AND(ABS((ChartCalculations!A481-Calculations!$F$3)/Calculations!$F$4)&lt;5,OR(A481&lt;=Calculations!$F$7,A481&gt;=Calculations!$F$8)),0.2*_xlfn.NORM.DIST(100,100,15,FALSE)*_xlfn.NORM.DIST(A481,Calculations!$F$3,Calculations!$F$4,FALSE)/_xlfn.NORM.DIST(Calculations!$F$3,Calculations!$F$3,Calculations!$F$4,FALSE),NA())</f>
        <v>#N/A</v>
      </c>
      <c r="M481" t="e">
        <f>IF(AND(A481&gt;=Calculations!$F$7,A481&lt;=Calculations!$F$8),0.2*_xlfn.NORM.DIST(100,100,15,FALSE)*_xlfn.NORM.DIST(A481,Calculations!$F$3,Calculations!$F$4,FALSE)/_xlfn.NORM.DIST(Calculations!$F$3,Calculations!$F$3,Calculations!$F$4,FALSE),NA())</f>
        <v>#N/A</v>
      </c>
    </row>
    <row r="482" spans="1:13" x14ac:dyDescent="0.25">
      <c r="A482">
        <v>88.000000000000696</v>
      </c>
      <c r="B482" t="e">
        <f t="shared" si="70"/>
        <v>#N/A</v>
      </c>
      <c r="C482" t="e">
        <f t="shared" si="71"/>
        <v>#N/A</v>
      </c>
      <c r="D482" t="e">
        <f t="shared" si="72"/>
        <v>#N/A</v>
      </c>
      <c r="E482">
        <f t="shared" si="73"/>
        <v>1.9312770184099569E-2</v>
      </c>
      <c r="F482" t="e">
        <f t="shared" si="74"/>
        <v>#N/A</v>
      </c>
      <c r="G482" t="e">
        <f t="shared" si="75"/>
        <v>#N/A</v>
      </c>
      <c r="H482" t="e">
        <f t="shared" si="76"/>
        <v>#N/A</v>
      </c>
      <c r="I482" t="e">
        <f t="shared" si="77"/>
        <v>#N/A</v>
      </c>
      <c r="J482" t="e">
        <f t="shared" si="78"/>
        <v>#N/A</v>
      </c>
      <c r="K482">
        <f t="shared" si="79"/>
        <v>1.9512770184099568E-2</v>
      </c>
      <c r="L482" t="e">
        <f>IF(AND(ABS((ChartCalculations!A482-Calculations!$F$3)/Calculations!$F$4)&lt;5,OR(A482&lt;=Calculations!$F$7,A482&gt;=Calculations!$F$8)),0.2*_xlfn.NORM.DIST(100,100,15,FALSE)*_xlfn.NORM.DIST(A482,Calculations!$F$3,Calculations!$F$4,FALSE)/_xlfn.NORM.DIST(Calculations!$F$3,Calculations!$F$3,Calculations!$F$4,FALSE),NA())</f>
        <v>#N/A</v>
      </c>
      <c r="M482" t="e">
        <f>IF(AND(A482&gt;=Calculations!$F$7,A482&lt;=Calculations!$F$8),0.2*_xlfn.NORM.DIST(100,100,15,FALSE)*_xlfn.NORM.DIST(A482,Calculations!$F$3,Calculations!$F$4,FALSE)/_xlfn.NORM.DIST(Calculations!$F$3,Calculations!$F$3,Calculations!$F$4,FALSE),NA())</f>
        <v>#N/A</v>
      </c>
    </row>
    <row r="483" spans="1:13" x14ac:dyDescent="0.25">
      <c r="A483">
        <v>88.100000000000705</v>
      </c>
      <c r="B483" t="e">
        <f t="shared" si="70"/>
        <v>#N/A</v>
      </c>
      <c r="C483" t="e">
        <f t="shared" si="71"/>
        <v>#N/A</v>
      </c>
      <c r="D483" t="e">
        <f t="shared" si="72"/>
        <v>#N/A</v>
      </c>
      <c r="E483">
        <f t="shared" si="73"/>
        <v>1.9415615321633335E-2</v>
      </c>
      <c r="F483" t="e">
        <f t="shared" si="74"/>
        <v>#N/A</v>
      </c>
      <c r="G483" t="e">
        <f t="shared" si="75"/>
        <v>#N/A</v>
      </c>
      <c r="H483" t="e">
        <f t="shared" si="76"/>
        <v>#N/A</v>
      </c>
      <c r="I483" t="e">
        <f t="shared" si="77"/>
        <v>#N/A</v>
      </c>
      <c r="J483" t="e">
        <f t="shared" si="78"/>
        <v>#N/A</v>
      </c>
      <c r="K483">
        <f t="shared" si="79"/>
        <v>1.9615615321633334E-2</v>
      </c>
      <c r="L483" t="e">
        <f>IF(AND(ABS((ChartCalculations!A483-Calculations!$F$3)/Calculations!$F$4)&lt;5,OR(A483&lt;=Calculations!$F$7,A483&gt;=Calculations!$F$8)),0.2*_xlfn.NORM.DIST(100,100,15,FALSE)*_xlfn.NORM.DIST(A483,Calculations!$F$3,Calculations!$F$4,FALSE)/_xlfn.NORM.DIST(Calculations!$F$3,Calculations!$F$3,Calculations!$F$4,FALSE),NA())</f>
        <v>#N/A</v>
      </c>
      <c r="M483" t="e">
        <f>IF(AND(A483&gt;=Calculations!$F$7,A483&lt;=Calculations!$F$8),0.2*_xlfn.NORM.DIST(100,100,15,FALSE)*_xlfn.NORM.DIST(A483,Calculations!$F$3,Calculations!$F$4,FALSE)/_xlfn.NORM.DIST(Calculations!$F$3,Calculations!$F$3,Calculations!$F$4,FALSE),NA())</f>
        <v>#N/A</v>
      </c>
    </row>
    <row r="484" spans="1:13" x14ac:dyDescent="0.25">
      <c r="A484">
        <v>88.200000000000699</v>
      </c>
      <c r="B484" t="e">
        <f t="shared" si="70"/>
        <v>#N/A</v>
      </c>
      <c r="C484" t="e">
        <f t="shared" si="71"/>
        <v>#N/A</v>
      </c>
      <c r="D484" t="e">
        <f t="shared" si="72"/>
        <v>#N/A</v>
      </c>
      <c r="E484">
        <f t="shared" si="73"/>
        <v>1.9518140642019007E-2</v>
      </c>
      <c r="F484" t="e">
        <f t="shared" si="74"/>
        <v>#N/A</v>
      </c>
      <c r="G484" t="e">
        <f t="shared" si="75"/>
        <v>#N/A</v>
      </c>
      <c r="H484" t="e">
        <f t="shared" si="76"/>
        <v>#N/A</v>
      </c>
      <c r="I484" t="e">
        <f t="shared" si="77"/>
        <v>#N/A</v>
      </c>
      <c r="J484" t="e">
        <f t="shared" si="78"/>
        <v>#N/A</v>
      </c>
      <c r="K484">
        <f t="shared" si="79"/>
        <v>1.9718140642019006E-2</v>
      </c>
      <c r="L484" t="e">
        <f>IF(AND(ABS((ChartCalculations!A484-Calculations!$F$3)/Calculations!$F$4)&lt;5,OR(A484&lt;=Calculations!$F$7,A484&gt;=Calculations!$F$8)),0.2*_xlfn.NORM.DIST(100,100,15,FALSE)*_xlfn.NORM.DIST(A484,Calculations!$F$3,Calculations!$F$4,FALSE)/_xlfn.NORM.DIST(Calculations!$F$3,Calculations!$F$3,Calculations!$F$4,FALSE),NA())</f>
        <v>#N/A</v>
      </c>
      <c r="M484" t="e">
        <f>IF(AND(A484&gt;=Calculations!$F$7,A484&lt;=Calculations!$F$8),0.2*_xlfn.NORM.DIST(100,100,15,FALSE)*_xlfn.NORM.DIST(A484,Calculations!$F$3,Calculations!$F$4,FALSE)/_xlfn.NORM.DIST(Calculations!$F$3,Calculations!$F$3,Calculations!$F$4,FALSE),NA())</f>
        <v>#N/A</v>
      </c>
    </row>
    <row r="485" spans="1:13" x14ac:dyDescent="0.25">
      <c r="A485">
        <v>88.300000000000693</v>
      </c>
      <c r="B485" t="e">
        <f t="shared" si="70"/>
        <v>#N/A</v>
      </c>
      <c r="C485" t="e">
        <f t="shared" si="71"/>
        <v>#N/A</v>
      </c>
      <c r="D485" t="e">
        <f t="shared" si="72"/>
        <v>#N/A</v>
      </c>
      <c r="E485">
        <f t="shared" si="73"/>
        <v>1.9620335319222387E-2</v>
      </c>
      <c r="F485" t="e">
        <f t="shared" si="74"/>
        <v>#N/A</v>
      </c>
      <c r="G485" t="e">
        <f t="shared" si="75"/>
        <v>#N/A</v>
      </c>
      <c r="H485" t="e">
        <f t="shared" si="76"/>
        <v>#N/A</v>
      </c>
      <c r="I485" t="e">
        <f t="shared" si="77"/>
        <v>#N/A</v>
      </c>
      <c r="J485" t="e">
        <f t="shared" si="78"/>
        <v>#N/A</v>
      </c>
      <c r="K485">
        <f t="shared" si="79"/>
        <v>1.9820335319222386E-2</v>
      </c>
      <c r="L485" t="e">
        <f>IF(AND(ABS((ChartCalculations!A485-Calculations!$F$3)/Calculations!$F$4)&lt;5,OR(A485&lt;=Calculations!$F$7,A485&gt;=Calculations!$F$8)),0.2*_xlfn.NORM.DIST(100,100,15,FALSE)*_xlfn.NORM.DIST(A485,Calculations!$F$3,Calculations!$F$4,FALSE)/_xlfn.NORM.DIST(Calculations!$F$3,Calculations!$F$3,Calculations!$F$4,FALSE),NA())</f>
        <v>#N/A</v>
      </c>
      <c r="M485" t="e">
        <f>IF(AND(A485&gt;=Calculations!$F$7,A485&lt;=Calculations!$F$8),0.2*_xlfn.NORM.DIST(100,100,15,FALSE)*_xlfn.NORM.DIST(A485,Calculations!$F$3,Calculations!$F$4,FALSE)/_xlfn.NORM.DIST(Calculations!$F$3,Calculations!$F$3,Calculations!$F$4,FALSE),NA())</f>
        <v>#N/A</v>
      </c>
    </row>
    <row r="486" spans="1:13" x14ac:dyDescent="0.25">
      <c r="A486">
        <v>88.400000000000702</v>
      </c>
      <c r="B486" t="e">
        <f t="shared" si="70"/>
        <v>#N/A</v>
      </c>
      <c r="C486" t="e">
        <f t="shared" si="71"/>
        <v>#N/A</v>
      </c>
      <c r="D486" t="e">
        <f t="shared" si="72"/>
        <v>#N/A</v>
      </c>
      <c r="E486">
        <f t="shared" si="73"/>
        <v>1.9722188514484644E-2</v>
      </c>
      <c r="F486" t="e">
        <f t="shared" si="74"/>
        <v>#N/A</v>
      </c>
      <c r="G486" t="e">
        <f t="shared" si="75"/>
        <v>#N/A</v>
      </c>
      <c r="H486" t="e">
        <f t="shared" si="76"/>
        <v>#N/A</v>
      </c>
      <c r="I486" t="e">
        <f t="shared" si="77"/>
        <v>#N/A</v>
      </c>
      <c r="J486" t="e">
        <f t="shared" si="78"/>
        <v>#N/A</v>
      </c>
      <c r="K486">
        <f t="shared" si="79"/>
        <v>1.9922188514484643E-2</v>
      </c>
      <c r="L486" t="e">
        <f>IF(AND(ABS((ChartCalculations!A486-Calculations!$F$3)/Calculations!$F$4)&lt;5,OR(A486&lt;=Calculations!$F$7,A486&gt;=Calculations!$F$8)),0.2*_xlfn.NORM.DIST(100,100,15,FALSE)*_xlfn.NORM.DIST(A486,Calculations!$F$3,Calculations!$F$4,FALSE)/_xlfn.NORM.DIST(Calculations!$F$3,Calculations!$F$3,Calculations!$F$4,FALSE),NA())</f>
        <v>#N/A</v>
      </c>
      <c r="M486" t="e">
        <f>IF(AND(A486&gt;=Calculations!$F$7,A486&lt;=Calculations!$F$8),0.2*_xlfn.NORM.DIST(100,100,15,FALSE)*_xlfn.NORM.DIST(A486,Calculations!$F$3,Calculations!$F$4,FALSE)/_xlfn.NORM.DIST(Calculations!$F$3,Calculations!$F$3,Calculations!$F$4,FALSE),NA())</f>
        <v>#N/A</v>
      </c>
    </row>
    <row r="487" spans="1:13" x14ac:dyDescent="0.25">
      <c r="A487">
        <v>88.500000000000696</v>
      </c>
      <c r="B487" t="e">
        <f t="shared" si="70"/>
        <v>#N/A</v>
      </c>
      <c r="C487" t="e">
        <f t="shared" si="71"/>
        <v>#N/A</v>
      </c>
      <c r="D487" t="e">
        <f t="shared" si="72"/>
        <v>#N/A</v>
      </c>
      <c r="E487">
        <f t="shared" si="73"/>
        <v>1.9823689378187546E-2</v>
      </c>
      <c r="F487" t="e">
        <f t="shared" si="74"/>
        <v>#N/A</v>
      </c>
      <c r="G487" t="e">
        <f t="shared" si="75"/>
        <v>#N/A</v>
      </c>
      <c r="H487" t="e">
        <f t="shared" si="76"/>
        <v>#N/A</v>
      </c>
      <c r="I487" t="e">
        <f t="shared" si="77"/>
        <v>#N/A</v>
      </c>
      <c r="J487" t="e">
        <f t="shared" si="78"/>
        <v>#N/A</v>
      </c>
      <c r="K487">
        <f t="shared" si="79"/>
        <v>2.0023689378187545E-2</v>
      </c>
      <c r="L487" t="e">
        <f>IF(AND(ABS((ChartCalculations!A487-Calculations!$F$3)/Calculations!$F$4)&lt;5,OR(A487&lt;=Calculations!$F$7,A487&gt;=Calculations!$F$8)),0.2*_xlfn.NORM.DIST(100,100,15,FALSE)*_xlfn.NORM.DIST(A487,Calculations!$F$3,Calculations!$F$4,FALSE)/_xlfn.NORM.DIST(Calculations!$F$3,Calculations!$F$3,Calculations!$F$4,FALSE),NA())</f>
        <v>#N/A</v>
      </c>
      <c r="M487" t="e">
        <f>IF(AND(A487&gt;=Calculations!$F$7,A487&lt;=Calculations!$F$8),0.2*_xlfn.NORM.DIST(100,100,15,FALSE)*_xlfn.NORM.DIST(A487,Calculations!$F$3,Calculations!$F$4,FALSE)/_xlfn.NORM.DIST(Calculations!$F$3,Calculations!$F$3,Calculations!$F$4,FALSE),NA())</f>
        <v>#N/A</v>
      </c>
    </row>
    <row r="488" spans="1:13" x14ac:dyDescent="0.25">
      <c r="A488">
        <v>88.600000000000705</v>
      </c>
      <c r="B488" t="e">
        <f t="shared" si="70"/>
        <v>#N/A</v>
      </c>
      <c r="C488" t="e">
        <f t="shared" si="71"/>
        <v>#N/A</v>
      </c>
      <c r="D488" t="e">
        <f t="shared" si="72"/>
        <v>#N/A</v>
      </c>
      <c r="E488">
        <f t="shared" si="73"/>
        <v>1.9924827051730893E-2</v>
      </c>
      <c r="F488" t="e">
        <f t="shared" si="74"/>
        <v>#N/A</v>
      </c>
      <c r="G488" t="e">
        <f t="shared" si="75"/>
        <v>#N/A</v>
      </c>
      <c r="H488" t="e">
        <f t="shared" si="76"/>
        <v>#N/A</v>
      </c>
      <c r="I488" t="e">
        <f t="shared" si="77"/>
        <v>#N/A</v>
      </c>
      <c r="J488" t="e">
        <f t="shared" si="78"/>
        <v>#N/A</v>
      </c>
      <c r="K488">
        <f t="shared" si="79"/>
        <v>2.0124827051730892E-2</v>
      </c>
      <c r="L488" t="e">
        <f>IF(AND(ABS((ChartCalculations!A488-Calculations!$F$3)/Calculations!$F$4)&lt;5,OR(A488&lt;=Calculations!$F$7,A488&gt;=Calculations!$F$8)),0.2*_xlfn.NORM.DIST(100,100,15,FALSE)*_xlfn.NORM.DIST(A488,Calculations!$F$3,Calculations!$F$4,FALSE)/_xlfn.NORM.DIST(Calculations!$F$3,Calculations!$F$3,Calculations!$F$4,FALSE),NA())</f>
        <v>#N/A</v>
      </c>
      <c r="M488" t="e">
        <f>IF(AND(A488&gt;=Calculations!$F$7,A488&lt;=Calculations!$F$8),0.2*_xlfn.NORM.DIST(100,100,15,FALSE)*_xlfn.NORM.DIST(A488,Calculations!$F$3,Calculations!$F$4,FALSE)/_xlfn.NORM.DIST(Calculations!$F$3,Calculations!$F$3,Calculations!$F$4,FALSE),NA())</f>
        <v>#N/A</v>
      </c>
    </row>
    <row r="489" spans="1:13" x14ac:dyDescent="0.25">
      <c r="A489">
        <v>88.700000000000699</v>
      </c>
      <c r="B489" t="e">
        <f t="shared" si="70"/>
        <v>#N/A</v>
      </c>
      <c r="C489" t="e">
        <f t="shared" si="71"/>
        <v>#N/A</v>
      </c>
      <c r="D489" t="e">
        <f t="shared" si="72"/>
        <v>#N/A</v>
      </c>
      <c r="E489">
        <f t="shared" si="73"/>
        <v>2.0025590669421549E-2</v>
      </c>
      <c r="F489" t="e">
        <f t="shared" si="74"/>
        <v>#N/A</v>
      </c>
      <c r="G489" t="e">
        <f t="shared" si="75"/>
        <v>#N/A</v>
      </c>
      <c r="H489" t="e">
        <f t="shared" si="76"/>
        <v>#N/A</v>
      </c>
      <c r="I489" t="e">
        <f t="shared" si="77"/>
        <v>#N/A</v>
      </c>
      <c r="J489" t="e">
        <f t="shared" si="78"/>
        <v>#N/A</v>
      </c>
      <c r="K489">
        <f t="shared" si="79"/>
        <v>2.0225590669421548E-2</v>
      </c>
      <c r="L489" t="e">
        <f>IF(AND(ABS((ChartCalculations!A489-Calculations!$F$3)/Calculations!$F$4)&lt;5,OR(A489&lt;=Calculations!$F$7,A489&gt;=Calculations!$F$8)),0.2*_xlfn.NORM.DIST(100,100,15,FALSE)*_xlfn.NORM.DIST(A489,Calculations!$F$3,Calculations!$F$4,FALSE)/_xlfn.NORM.DIST(Calculations!$F$3,Calculations!$F$3,Calculations!$F$4,FALSE),NA())</f>
        <v>#N/A</v>
      </c>
      <c r="M489" t="e">
        <f>IF(AND(A489&gt;=Calculations!$F$7,A489&lt;=Calculations!$F$8),0.2*_xlfn.NORM.DIST(100,100,15,FALSE)*_xlfn.NORM.DIST(A489,Calculations!$F$3,Calculations!$F$4,FALSE)/_xlfn.NORM.DIST(Calculations!$F$3,Calculations!$F$3,Calculations!$F$4,FALSE),NA())</f>
        <v>#N/A</v>
      </c>
    </row>
    <row r="490" spans="1:13" x14ac:dyDescent="0.25">
      <c r="A490">
        <v>88.800000000000693</v>
      </c>
      <c r="B490" t="e">
        <f t="shared" si="70"/>
        <v>#N/A</v>
      </c>
      <c r="C490" t="e">
        <f t="shared" si="71"/>
        <v>#N/A</v>
      </c>
      <c r="D490" t="e">
        <f t="shared" si="72"/>
        <v>#N/A</v>
      </c>
      <c r="E490">
        <f t="shared" si="73"/>
        <v>2.0125969360373842E-2</v>
      </c>
      <c r="F490" t="e">
        <f t="shared" si="74"/>
        <v>#N/A</v>
      </c>
      <c r="G490" t="e">
        <f t="shared" si="75"/>
        <v>#N/A</v>
      </c>
      <c r="H490" t="e">
        <f t="shared" si="76"/>
        <v>#N/A</v>
      </c>
      <c r="I490" t="e">
        <f t="shared" si="77"/>
        <v>#N/A</v>
      </c>
      <c r="J490" t="e">
        <f t="shared" si="78"/>
        <v>#N/A</v>
      </c>
      <c r="K490">
        <f t="shared" si="79"/>
        <v>2.0325969360373841E-2</v>
      </c>
      <c r="L490" t="e">
        <f>IF(AND(ABS((ChartCalculations!A490-Calculations!$F$3)/Calculations!$F$4)&lt;5,OR(A490&lt;=Calculations!$F$7,A490&gt;=Calculations!$F$8)),0.2*_xlfn.NORM.DIST(100,100,15,FALSE)*_xlfn.NORM.DIST(A490,Calculations!$F$3,Calculations!$F$4,FALSE)/_xlfn.NORM.DIST(Calculations!$F$3,Calculations!$F$3,Calculations!$F$4,FALSE),NA())</f>
        <v>#N/A</v>
      </c>
      <c r="M490" t="e">
        <f>IF(AND(A490&gt;=Calculations!$F$7,A490&lt;=Calculations!$F$8),0.2*_xlfn.NORM.DIST(100,100,15,FALSE)*_xlfn.NORM.DIST(A490,Calculations!$F$3,Calculations!$F$4,FALSE)/_xlfn.NORM.DIST(Calculations!$F$3,Calculations!$F$3,Calculations!$F$4,FALSE),NA())</f>
        <v>#N/A</v>
      </c>
    </row>
    <row r="491" spans="1:13" x14ac:dyDescent="0.25">
      <c r="A491">
        <v>88.900000000000702</v>
      </c>
      <c r="B491" t="e">
        <f t="shared" si="70"/>
        <v>#N/A</v>
      </c>
      <c r="C491" t="e">
        <f t="shared" si="71"/>
        <v>#N/A</v>
      </c>
      <c r="D491" t="e">
        <f t="shared" si="72"/>
        <v>#N/A</v>
      </c>
      <c r="E491">
        <f t="shared" si="73"/>
        <v>2.022595225042071E-2</v>
      </c>
      <c r="F491" t="e">
        <f t="shared" si="74"/>
        <v>#N/A</v>
      </c>
      <c r="G491" t="e">
        <f t="shared" si="75"/>
        <v>#N/A</v>
      </c>
      <c r="H491" t="e">
        <f t="shared" si="76"/>
        <v>#N/A</v>
      </c>
      <c r="I491" t="e">
        <f t="shared" si="77"/>
        <v>#N/A</v>
      </c>
      <c r="J491" t="e">
        <f t="shared" si="78"/>
        <v>#N/A</v>
      </c>
      <c r="K491">
        <f t="shared" si="79"/>
        <v>2.0425952250420709E-2</v>
      </c>
      <c r="L491" t="e">
        <f>IF(AND(ABS((ChartCalculations!A491-Calculations!$F$3)/Calculations!$F$4)&lt;5,OR(A491&lt;=Calculations!$F$7,A491&gt;=Calculations!$F$8)),0.2*_xlfn.NORM.DIST(100,100,15,FALSE)*_xlfn.NORM.DIST(A491,Calculations!$F$3,Calculations!$F$4,FALSE)/_xlfn.NORM.DIST(Calculations!$F$3,Calculations!$F$3,Calculations!$F$4,FALSE),NA())</f>
        <v>#N/A</v>
      </c>
      <c r="M491" t="e">
        <f>IF(AND(A491&gt;=Calculations!$F$7,A491&lt;=Calculations!$F$8),0.2*_xlfn.NORM.DIST(100,100,15,FALSE)*_xlfn.NORM.DIST(A491,Calculations!$F$3,Calculations!$F$4,FALSE)/_xlfn.NORM.DIST(Calculations!$F$3,Calculations!$F$3,Calculations!$F$4,FALSE),NA())</f>
        <v>#N/A</v>
      </c>
    </row>
    <row r="492" spans="1:13" x14ac:dyDescent="0.25">
      <c r="A492">
        <v>89.000000000000696</v>
      </c>
      <c r="B492" t="e">
        <f t="shared" si="70"/>
        <v>#N/A</v>
      </c>
      <c r="C492" t="e">
        <f t="shared" si="71"/>
        <v>#N/A</v>
      </c>
      <c r="D492" t="e">
        <f t="shared" si="72"/>
        <v>#N/A</v>
      </c>
      <c r="E492">
        <f t="shared" si="73"/>
        <v>2.032552846403517E-2</v>
      </c>
      <c r="F492" t="e">
        <f t="shared" si="74"/>
        <v>#N/A</v>
      </c>
      <c r="G492" t="e">
        <f t="shared" si="75"/>
        <v>#N/A</v>
      </c>
      <c r="H492" t="e">
        <f t="shared" si="76"/>
        <v>#N/A</v>
      </c>
      <c r="I492" t="e">
        <f t="shared" si="77"/>
        <v>#N/A</v>
      </c>
      <c r="J492" t="e">
        <f t="shared" si="78"/>
        <v>#N/A</v>
      </c>
      <c r="K492">
        <f t="shared" si="79"/>
        <v>2.0525528464035169E-2</v>
      </c>
      <c r="L492" t="e">
        <f>IF(AND(ABS((ChartCalculations!A492-Calculations!$F$3)/Calculations!$F$4)&lt;5,OR(A492&lt;=Calculations!$F$7,A492&gt;=Calculations!$F$8)),0.2*_xlfn.NORM.DIST(100,100,15,FALSE)*_xlfn.NORM.DIST(A492,Calculations!$F$3,Calculations!$F$4,FALSE)/_xlfn.NORM.DIST(Calculations!$F$3,Calculations!$F$3,Calculations!$F$4,FALSE),NA())</f>
        <v>#N/A</v>
      </c>
      <c r="M492" t="e">
        <f>IF(AND(A492&gt;=Calculations!$F$7,A492&lt;=Calculations!$F$8),0.2*_xlfn.NORM.DIST(100,100,15,FALSE)*_xlfn.NORM.DIST(A492,Calculations!$F$3,Calculations!$F$4,FALSE)/_xlfn.NORM.DIST(Calculations!$F$3,Calculations!$F$3,Calculations!$F$4,FALSE),NA())</f>
        <v>#N/A</v>
      </c>
    </row>
    <row r="493" spans="1:13" x14ac:dyDescent="0.25">
      <c r="A493">
        <v>89.100000000000705</v>
      </c>
      <c r="B493" t="e">
        <f t="shared" si="70"/>
        <v>#N/A</v>
      </c>
      <c r="C493" t="e">
        <f t="shared" si="71"/>
        <v>#N/A</v>
      </c>
      <c r="D493" t="e">
        <f t="shared" si="72"/>
        <v>#N/A</v>
      </c>
      <c r="E493">
        <f t="shared" si="73"/>
        <v>2.0424687126261821E-2</v>
      </c>
      <c r="F493" t="e">
        <f t="shared" si="74"/>
        <v>#N/A</v>
      </c>
      <c r="G493" t="e">
        <f t="shared" si="75"/>
        <v>#N/A</v>
      </c>
      <c r="H493" t="e">
        <f t="shared" si="76"/>
        <v>#N/A</v>
      </c>
      <c r="I493" t="e">
        <f t="shared" si="77"/>
        <v>#N/A</v>
      </c>
      <c r="J493" t="e">
        <f t="shared" si="78"/>
        <v>#N/A</v>
      </c>
      <c r="K493">
        <f t="shared" si="79"/>
        <v>2.062468712626182E-2</v>
      </c>
      <c r="L493" t="e">
        <f>IF(AND(ABS((ChartCalculations!A493-Calculations!$F$3)/Calculations!$F$4)&lt;5,OR(A493&lt;=Calculations!$F$7,A493&gt;=Calculations!$F$8)),0.2*_xlfn.NORM.DIST(100,100,15,FALSE)*_xlfn.NORM.DIST(A493,Calculations!$F$3,Calculations!$F$4,FALSE)/_xlfn.NORM.DIST(Calculations!$F$3,Calculations!$F$3,Calculations!$F$4,FALSE),NA())</f>
        <v>#N/A</v>
      </c>
      <c r="M493" t="e">
        <f>IF(AND(A493&gt;=Calculations!$F$7,A493&lt;=Calculations!$F$8),0.2*_xlfn.NORM.DIST(100,100,15,FALSE)*_xlfn.NORM.DIST(A493,Calculations!$F$3,Calculations!$F$4,FALSE)/_xlfn.NORM.DIST(Calculations!$F$3,Calculations!$F$3,Calculations!$F$4,FALSE),NA())</f>
        <v>#N/A</v>
      </c>
    </row>
    <row r="494" spans="1:13" x14ac:dyDescent="0.25">
      <c r="A494">
        <v>89.200000000000699</v>
      </c>
      <c r="B494" t="e">
        <f t="shared" si="70"/>
        <v>#N/A</v>
      </c>
      <c r="C494" t="e">
        <f t="shared" si="71"/>
        <v>#N/A</v>
      </c>
      <c r="D494" t="e">
        <f t="shared" si="72"/>
        <v>#N/A</v>
      </c>
      <c r="E494">
        <f t="shared" si="73"/>
        <v>2.0523417364657553E-2</v>
      </c>
      <c r="F494" t="e">
        <f t="shared" si="74"/>
        <v>#N/A</v>
      </c>
      <c r="G494" t="e">
        <f t="shared" si="75"/>
        <v>#N/A</v>
      </c>
      <c r="H494" t="e">
        <f t="shared" si="76"/>
        <v>#N/A</v>
      </c>
      <c r="I494" t="e">
        <f t="shared" si="77"/>
        <v>#N/A</v>
      </c>
      <c r="J494" t="e">
        <f t="shared" si="78"/>
        <v>#N/A</v>
      </c>
      <c r="K494">
        <f t="shared" si="79"/>
        <v>2.0723417364657552E-2</v>
      </c>
      <c r="L494" t="e">
        <f>IF(AND(ABS((ChartCalculations!A494-Calculations!$F$3)/Calculations!$F$4)&lt;5,OR(A494&lt;=Calculations!$F$7,A494&gt;=Calculations!$F$8)),0.2*_xlfn.NORM.DIST(100,100,15,FALSE)*_xlfn.NORM.DIST(A494,Calculations!$F$3,Calculations!$F$4,FALSE)/_xlfn.NORM.DIST(Calculations!$F$3,Calculations!$F$3,Calculations!$F$4,FALSE),NA())</f>
        <v>#N/A</v>
      </c>
      <c r="M494" t="e">
        <f>IF(AND(A494&gt;=Calculations!$F$7,A494&lt;=Calculations!$F$8),0.2*_xlfn.NORM.DIST(100,100,15,FALSE)*_xlfn.NORM.DIST(A494,Calculations!$F$3,Calculations!$F$4,FALSE)/_xlfn.NORM.DIST(Calculations!$F$3,Calculations!$F$3,Calculations!$F$4,FALSE),NA())</f>
        <v>#N/A</v>
      </c>
    </row>
    <row r="495" spans="1:13" x14ac:dyDescent="0.25">
      <c r="A495">
        <v>89.300000000000693</v>
      </c>
      <c r="B495" t="e">
        <f t="shared" si="70"/>
        <v>#N/A</v>
      </c>
      <c r="C495" t="e">
        <f t="shared" si="71"/>
        <v>#N/A</v>
      </c>
      <c r="D495" t="e">
        <f t="shared" si="72"/>
        <v>#N/A</v>
      </c>
      <c r="E495">
        <f t="shared" si="73"/>
        <v>2.0621708311241434E-2</v>
      </c>
      <c r="F495" t="e">
        <f t="shared" si="74"/>
        <v>#N/A</v>
      </c>
      <c r="G495" t="e">
        <f t="shared" si="75"/>
        <v>#N/A</v>
      </c>
      <c r="H495" t="e">
        <f t="shared" si="76"/>
        <v>#N/A</v>
      </c>
      <c r="I495" t="e">
        <f t="shared" si="77"/>
        <v>#N/A</v>
      </c>
      <c r="J495" t="e">
        <f t="shared" si="78"/>
        <v>#N/A</v>
      </c>
      <c r="K495">
        <f t="shared" si="79"/>
        <v>2.0821708311241433E-2</v>
      </c>
      <c r="L495" t="e">
        <f>IF(AND(ABS((ChartCalculations!A495-Calculations!$F$3)/Calculations!$F$4)&lt;5,OR(A495&lt;=Calculations!$F$7,A495&gt;=Calculations!$F$8)),0.2*_xlfn.NORM.DIST(100,100,15,FALSE)*_xlfn.NORM.DIST(A495,Calculations!$F$3,Calculations!$F$4,FALSE)/_xlfn.NORM.DIST(Calculations!$F$3,Calculations!$F$3,Calculations!$F$4,FALSE),NA())</f>
        <v>#N/A</v>
      </c>
      <c r="M495" t="e">
        <f>IF(AND(A495&gt;=Calculations!$F$7,A495&lt;=Calculations!$F$8),0.2*_xlfn.NORM.DIST(100,100,15,FALSE)*_xlfn.NORM.DIST(A495,Calculations!$F$3,Calculations!$F$4,FALSE)/_xlfn.NORM.DIST(Calculations!$F$3,Calculations!$F$3,Calculations!$F$4,FALSE),NA())</f>
        <v>#N/A</v>
      </c>
    </row>
    <row r="496" spans="1:13" x14ac:dyDescent="0.25">
      <c r="A496">
        <v>89.400000000000702</v>
      </c>
      <c r="B496" t="e">
        <f t="shared" si="70"/>
        <v>#N/A</v>
      </c>
      <c r="C496" t="e">
        <f t="shared" si="71"/>
        <v>#N/A</v>
      </c>
      <c r="D496" t="e">
        <f t="shared" si="72"/>
        <v>#N/A</v>
      </c>
      <c r="E496">
        <f t="shared" si="73"/>
        <v>2.0719549104452929E-2</v>
      </c>
      <c r="F496" t="e">
        <f t="shared" si="74"/>
        <v>#N/A</v>
      </c>
      <c r="G496" t="e">
        <f t="shared" si="75"/>
        <v>#N/A</v>
      </c>
      <c r="H496" t="e">
        <f t="shared" si="76"/>
        <v>#N/A</v>
      </c>
      <c r="I496" t="e">
        <f t="shared" si="77"/>
        <v>#N/A</v>
      </c>
      <c r="J496" t="e">
        <f t="shared" si="78"/>
        <v>#N/A</v>
      </c>
      <c r="K496">
        <f t="shared" si="79"/>
        <v>2.0919549104452928E-2</v>
      </c>
      <c r="L496" t="e">
        <f>IF(AND(ABS((ChartCalculations!A496-Calculations!$F$3)/Calculations!$F$4)&lt;5,OR(A496&lt;=Calculations!$F$7,A496&gt;=Calculations!$F$8)),0.2*_xlfn.NORM.DIST(100,100,15,FALSE)*_xlfn.NORM.DIST(A496,Calculations!$F$3,Calculations!$F$4,FALSE)/_xlfn.NORM.DIST(Calculations!$F$3,Calculations!$F$3,Calculations!$F$4,FALSE),NA())</f>
        <v>#N/A</v>
      </c>
      <c r="M496" t="e">
        <f>IF(AND(A496&gt;=Calculations!$F$7,A496&lt;=Calculations!$F$8),0.2*_xlfn.NORM.DIST(100,100,15,FALSE)*_xlfn.NORM.DIST(A496,Calculations!$F$3,Calculations!$F$4,FALSE)/_xlfn.NORM.DIST(Calculations!$F$3,Calculations!$F$3,Calculations!$F$4,FALSE),NA())</f>
        <v>#N/A</v>
      </c>
    </row>
    <row r="497" spans="1:13" x14ac:dyDescent="0.25">
      <c r="A497">
        <v>89.500000000000696</v>
      </c>
      <c r="B497" t="e">
        <f t="shared" si="70"/>
        <v>#N/A</v>
      </c>
      <c r="C497" t="e">
        <f t="shared" si="71"/>
        <v>#N/A</v>
      </c>
      <c r="D497" t="e">
        <f t="shared" si="72"/>
        <v>#N/A</v>
      </c>
      <c r="E497">
        <f t="shared" si="73"/>
        <v>2.0816928891118094E-2</v>
      </c>
      <c r="F497" t="e">
        <f t="shared" si="74"/>
        <v>#N/A</v>
      </c>
      <c r="G497" t="e">
        <f t="shared" si="75"/>
        <v>#N/A</v>
      </c>
      <c r="H497" t="e">
        <f t="shared" si="76"/>
        <v>#N/A</v>
      </c>
      <c r="I497" t="e">
        <f t="shared" si="77"/>
        <v>#N/A</v>
      </c>
      <c r="J497" t="e">
        <f t="shared" si="78"/>
        <v>#N/A</v>
      </c>
      <c r="K497">
        <f t="shared" si="79"/>
        <v>2.1016928891118093E-2</v>
      </c>
      <c r="L497" t="e">
        <f>IF(AND(ABS((ChartCalculations!A497-Calculations!$F$3)/Calculations!$F$4)&lt;5,OR(A497&lt;=Calculations!$F$7,A497&gt;=Calculations!$F$8)),0.2*_xlfn.NORM.DIST(100,100,15,FALSE)*_xlfn.NORM.DIST(A497,Calculations!$F$3,Calculations!$F$4,FALSE)/_xlfn.NORM.DIST(Calculations!$F$3,Calculations!$F$3,Calculations!$F$4,FALSE),NA())</f>
        <v>#N/A</v>
      </c>
      <c r="M497" t="e">
        <f>IF(AND(A497&gt;=Calculations!$F$7,A497&lt;=Calculations!$F$8),0.2*_xlfn.NORM.DIST(100,100,15,FALSE)*_xlfn.NORM.DIST(A497,Calculations!$F$3,Calculations!$F$4,FALSE)/_xlfn.NORM.DIST(Calculations!$F$3,Calculations!$F$3,Calculations!$F$4,FALSE),NA())</f>
        <v>#N/A</v>
      </c>
    </row>
    <row r="498" spans="1:13" x14ac:dyDescent="0.25">
      <c r="A498">
        <v>89.600000000000705</v>
      </c>
      <c r="B498" t="e">
        <f t="shared" si="70"/>
        <v>#N/A</v>
      </c>
      <c r="C498" t="e">
        <f t="shared" si="71"/>
        <v>#N/A</v>
      </c>
      <c r="D498" t="e">
        <f t="shared" si="72"/>
        <v>#N/A</v>
      </c>
      <c r="E498">
        <f t="shared" si="73"/>
        <v>2.0913836828423432E-2</v>
      </c>
      <c r="F498" t="e">
        <f t="shared" si="74"/>
        <v>#N/A</v>
      </c>
      <c r="G498" t="e">
        <f t="shared" si="75"/>
        <v>#N/A</v>
      </c>
      <c r="H498" t="e">
        <f t="shared" si="76"/>
        <v>#N/A</v>
      </c>
      <c r="I498" t="e">
        <f t="shared" si="77"/>
        <v>#N/A</v>
      </c>
      <c r="J498" t="e">
        <f t="shared" si="78"/>
        <v>#N/A</v>
      </c>
      <c r="K498">
        <f t="shared" si="79"/>
        <v>2.1113836828423431E-2</v>
      </c>
      <c r="L498" t="e">
        <f>IF(AND(ABS((ChartCalculations!A498-Calculations!$F$3)/Calculations!$F$4)&lt;5,OR(A498&lt;=Calculations!$F$7,A498&gt;=Calculations!$F$8)),0.2*_xlfn.NORM.DIST(100,100,15,FALSE)*_xlfn.NORM.DIST(A498,Calculations!$F$3,Calculations!$F$4,FALSE)/_xlfn.NORM.DIST(Calculations!$F$3,Calculations!$F$3,Calculations!$F$4,FALSE),NA())</f>
        <v>#N/A</v>
      </c>
      <c r="M498" t="e">
        <f>IF(AND(A498&gt;=Calculations!$F$7,A498&lt;=Calculations!$F$8),0.2*_xlfn.NORM.DIST(100,100,15,FALSE)*_xlfn.NORM.DIST(A498,Calculations!$F$3,Calculations!$F$4,FALSE)/_xlfn.NORM.DIST(Calculations!$F$3,Calculations!$F$3,Calculations!$F$4,FALSE),NA())</f>
        <v>#N/A</v>
      </c>
    </row>
    <row r="499" spans="1:13" x14ac:dyDescent="0.25">
      <c r="A499">
        <v>89.700000000000699</v>
      </c>
      <c r="B499" t="e">
        <f t="shared" si="70"/>
        <v>#N/A</v>
      </c>
      <c r="C499" t="e">
        <f t="shared" si="71"/>
        <v>#N/A</v>
      </c>
      <c r="D499" t="e">
        <f t="shared" si="72"/>
        <v>#N/A</v>
      </c>
      <c r="E499">
        <f t="shared" si="73"/>
        <v>2.1010262085896545E-2</v>
      </c>
      <c r="F499" t="e">
        <f t="shared" si="74"/>
        <v>#N/A</v>
      </c>
      <c r="G499" t="e">
        <f t="shared" si="75"/>
        <v>#N/A</v>
      </c>
      <c r="H499" t="e">
        <f t="shared" si="76"/>
        <v>#N/A</v>
      </c>
      <c r="I499" t="e">
        <f t="shared" si="77"/>
        <v>#N/A</v>
      </c>
      <c r="J499" t="e">
        <f t="shared" si="78"/>
        <v>#N/A</v>
      </c>
      <c r="K499">
        <f t="shared" si="79"/>
        <v>2.1210262085896544E-2</v>
      </c>
      <c r="L499" t="e">
        <f>IF(AND(ABS((ChartCalculations!A499-Calculations!$F$3)/Calculations!$F$4)&lt;5,OR(A499&lt;=Calculations!$F$7,A499&gt;=Calculations!$F$8)),0.2*_xlfn.NORM.DIST(100,100,15,FALSE)*_xlfn.NORM.DIST(A499,Calculations!$F$3,Calculations!$F$4,FALSE)/_xlfn.NORM.DIST(Calculations!$F$3,Calculations!$F$3,Calculations!$F$4,FALSE),NA())</f>
        <v>#N/A</v>
      </c>
      <c r="M499" t="e">
        <f>IF(AND(A499&gt;=Calculations!$F$7,A499&lt;=Calculations!$F$8),0.2*_xlfn.NORM.DIST(100,100,15,FALSE)*_xlfn.NORM.DIST(A499,Calculations!$F$3,Calculations!$F$4,FALSE)/_xlfn.NORM.DIST(Calculations!$F$3,Calculations!$F$3,Calculations!$F$4,FALSE),NA())</f>
        <v>#N/A</v>
      </c>
    </row>
    <row r="500" spans="1:13" x14ac:dyDescent="0.25">
      <c r="A500">
        <v>89.800000000000693</v>
      </c>
      <c r="B500" t="e">
        <f t="shared" si="70"/>
        <v>#N/A</v>
      </c>
      <c r="C500" t="e">
        <f t="shared" si="71"/>
        <v>#N/A</v>
      </c>
      <c r="D500" t="e">
        <f t="shared" si="72"/>
        <v>#N/A</v>
      </c>
      <c r="E500">
        <f t="shared" si="73"/>
        <v>2.1106193847393519E-2</v>
      </c>
      <c r="F500" t="e">
        <f t="shared" si="74"/>
        <v>#N/A</v>
      </c>
      <c r="G500" t="e">
        <f t="shared" si="75"/>
        <v>#N/A</v>
      </c>
      <c r="H500" t="e">
        <f t="shared" si="76"/>
        <v>#N/A</v>
      </c>
      <c r="I500" t="e">
        <f t="shared" si="77"/>
        <v>#N/A</v>
      </c>
      <c r="J500" t="e">
        <f t="shared" si="78"/>
        <v>#N/A</v>
      </c>
      <c r="K500">
        <f t="shared" si="79"/>
        <v>2.1306193847393518E-2</v>
      </c>
      <c r="L500" t="e">
        <f>IF(AND(ABS((ChartCalculations!A500-Calculations!$F$3)/Calculations!$F$4)&lt;5,OR(A500&lt;=Calculations!$F$7,A500&gt;=Calculations!$F$8)),0.2*_xlfn.NORM.DIST(100,100,15,FALSE)*_xlfn.NORM.DIST(A500,Calculations!$F$3,Calculations!$F$4,FALSE)/_xlfn.NORM.DIST(Calculations!$F$3,Calculations!$F$3,Calculations!$F$4,FALSE),NA())</f>
        <v>#N/A</v>
      </c>
      <c r="M500" t="e">
        <f>IF(AND(A500&gt;=Calculations!$F$7,A500&lt;=Calculations!$F$8),0.2*_xlfn.NORM.DIST(100,100,15,FALSE)*_xlfn.NORM.DIST(A500,Calculations!$F$3,Calculations!$F$4,FALSE)/_xlfn.NORM.DIST(Calculations!$F$3,Calculations!$F$3,Calculations!$F$4,FALSE),NA())</f>
        <v>#N/A</v>
      </c>
    </row>
    <row r="501" spans="1:13" x14ac:dyDescent="0.25">
      <c r="A501">
        <v>89.900000000000702</v>
      </c>
      <c r="B501" t="e">
        <f t="shared" si="70"/>
        <v>#N/A</v>
      </c>
      <c r="C501" t="e">
        <f t="shared" si="71"/>
        <v>#N/A</v>
      </c>
      <c r="D501" t="e">
        <f t="shared" si="72"/>
        <v>#N/A</v>
      </c>
      <c r="E501">
        <f t="shared" si="73"/>
        <v>2.1201621313092167E-2</v>
      </c>
      <c r="F501" t="e">
        <f t="shared" si="74"/>
        <v>#N/A</v>
      </c>
      <c r="G501" t="e">
        <f t="shared" si="75"/>
        <v>#N/A</v>
      </c>
      <c r="H501" t="e">
        <f t="shared" si="76"/>
        <v>#N/A</v>
      </c>
      <c r="I501" t="e">
        <f t="shared" si="77"/>
        <v>#N/A</v>
      </c>
      <c r="J501" t="e">
        <f t="shared" si="78"/>
        <v>#N/A</v>
      </c>
      <c r="K501">
        <f t="shared" si="79"/>
        <v>2.1401621313092166E-2</v>
      </c>
      <c r="L501" t="e">
        <f>IF(AND(ABS((ChartCalculations!A501-Calculations!$F$3)/Calculations!$F$4)&lt;5,OR(A501&lt;=Calculations!$F$7,A501&gt;=Calculations!$F$8)),0.2*_xlfn.NORM.DIST(100,100,15,FALSE)*_xlfn.NORM.DIST(A501,Calculations!$F$3,Calculations!$F$4,FALSE)/_xlfn.NORM.DIST(Calculations!$F$3,Calculations!$F$3,Calculations!$F$4,FALSE),NA())</f>
        <v>#N/A</v>
      </c>
      <c r="M501" t="e">
        <f>IF(AND(A501&gt;=Calculations!$F$7,A501&lt;=Calculations!$F$8),0.2*_xlfn.NORM.DIST(100,100,15,FALSE)*_xlfn.NORM.DIST(A501,Calculations!$F$3,Calculations!$F$4,FALSE)/_xlfn.NORM.DIST(Calculations!$F$3,Calculations!$F$3,Calculations!$F$4,FALSE),NA())</f>
        <v>#N/A</v>
      </c>
    </row>
    <row r="502" spans="1:13" x14ac:dyDescent="0.25">
      <c r="A502">
        <v>90.000000000000696</v>
      </c>
      <c r="B502" t="e">
        <f t="shared" si="70"/>
        <v>#N/A</v>
      </c>
      <c r="C502" t="e">
        <f t="shared" si="71"/>
        <v>#N/A</v>
      </c>
      <c r="D502" t="e">
        <f t="shared" si="72"/>
        <v>#N/A</v>
      </c>
      <c r="E502" t="e">
        <f t="shared" si="73"/>
        <v>#N/A</v>
      </c>
      <c r="F502">
        <f t="shared" si="74"/>
        <v>2.1296533701490809E-2</v>
      </c>
      <c r="G502" t="e">
        <f t="shared" si="75"/>
        <v>#N/A</v>
      </c>
      <c r="H502" t="e">
        <f t="shared" si="76"/>
        <v>#N/A</v>
      </c>
      <c r="I502" t="e">
        <f t="shared" si="77"/>
        <v>#N/A</v>
      </c>
      <c r="J502" t="e">
        <f t="shared" si="78"/>
        <v>#N/A</v>
      </c>
      <c r="K502">
        <f t="shared" si="79"/>
        <v>2.1496533701490808E-2</v>
      </c>
      <c r="L502" t="e">
        <f>IF(AND(ABS((ChartCalculations!A502-Calculations!$F$3)/Calculations!$F$4)&lt;5,OR(A502&lt;=Calculations!$F$7,A502&gt;=Calculations!$F$8)),0.2*_xlfn.NORM.DIST(100,100,15,FALSE)*_xlfn.NORM.DIST(A502,Calculations!$F$3,Calculations!$F$4,FALSE)/_xlfn.NORM.DIST(Calculations!$F$3,Calculations!$F$3,Calculations!$F$4,FALSE),NA())</f>
        <v>#N/A</v>
      </c>
      <c r="M502" t="e">
        <f>IF(AND(A502&gt;=Calculations!$F$7,A502&lt;=Calculations!$F$8),0.2*_xlfn.NORM.DIST(100,100,15,FALSE)*_xlfn.NORM.DIST(A502,Calculations!$F$3,Calculations!$F$4,FALSE)/_xlfn.NORM.DIST(Calculations!$F$3,Calculations!$F$3,Calculations!$F$4,FALSE),NA())</f>
        <v>#N/A</v>
      </c>
    </row>
    <row r="503" spans="1:13" x14ac:dyDescent="0.25">
      <c r="A503">
        <v>90.100000000000705</v>
      </c>
      <c r="B503" t="e">
        <f t="shared" si="70"/>
        <v>#N/A</v>
      </c>
      <c r="C503" t="e">
        <f t="shared" si="71"/>
        <v>#N/A</v>
      </c>
      <c r="D503" t="e">
        <f t="shared" si="72"/>
        <v>#N/A</v>
      </c>
      <c r="E503" t="e">
        <f t="shared" si="73"/>
        <v>#N/A</v>
      </c>
      <c r="F503">
        <f t="shared" si="74"/>
        <v>2.1390920251412166E-2</v>
      </c>
      <c r="G503" t="e">
        <f t="shared" si="75"/>
        <v>#N/A</v>
      </c>
      <c r="H503" t="e">
        <f t="shared" si="76"/>
        <v>#N/A</v>
      </c>
      <c r="I503" t="e">
        <f t="shared" si="77"/>
        <v>#N/A</v>
      </c>
      <c r="J503" t="e">
        <f t="shared" si="78"/>
        <v>#N/A</v>
      </c>
      <c r="K503">
        <f t="shared" si="79"/>
        <v>2.1590920251412165E-2</v>
      </c>
      <c r="L503" t="e">
        <f>IF(AND(ABS((ChartCalculations!A503-Calculations!$F$3)/Calculations!$F$4)&lt;5,OR(A503&lt;=Calculations!$F$7,A503&gt;=Calculations!$F$8)),0.2*_xlfn.NORM.DIST(100,100,15,FALSE)*_xlfn.NORM.DIST(A503,Calculations!$F$3,Calculations!$F$4,FALSE)/_xlfn.NORM.DIST(Calculations!$F$3,Calculations!$F$3,Calculations!$F$4,FALSE),NA())</f>
        <v>#N/A</v>
      </c>
      <c r="M503" t="e">
        <f>IF(AND(A503&gt;=Calculations!$F$7,A503&lt;=Calculations!$F$8),0.2*_xlfn.NORM.DIST(100,100,15,FALSE)*_xlfn.NORM.DIST(A503,Calculations!$F$3,Calculations!$F$4,FALSE)/_xlfn.NORM.DIST(Calculations!$F$3,Calculations!$F$3,Calculations!$F$4,FALSE),NA())</f>
        <v>#N/A</v>
      </c>
    </row>
    <row r="504" spans="1:13" x14ac:dyDescent="0.25">
      <c r="A504">
        <v>90.200000000000699</v>
      </c>
      <c r="B504" t="e">
        <f t="shared" si="70"/>
        <v>#N/A</v>
      </c>
      <c r="C504" t="e">
        <f t="shared" si="71"/>
        <v>#N/A</v>
      </c>
      <c r="D504" t="e">
        <f t="shared" si="72"/>
        <v>#N/A</v>
      </c>
      <c r="E504" t="e">
        <f t="shared" si="73"/>
        <v>#N/A</v>
      </c>
      <c r="F504">
        <f t="shared" si="74"/>
        <v>2.1484770224011549E-2</v>
      </c>
      <c r="G504" t="e">
        <f t="shared" si="75"/>
        <v>#N/A</v>
      </c>
      <c r="H504" t="e">
        <f t="shared" si="76"/>
        <v>#N/A</v>
      </c>
      <c r="I504" t="e">
        <f t="shared" si="77"/>
        <v>#N/A</v>
      </c>
      <c r="J504" t="e">
        <f t="shared" si="78"/>
        <v>#N/A</v>
      </c>
      <c r="K504">
        <f t="shared" si="79"/>
        <v>2.1684770224011548E-2</v>
      </c>
      <c r="L504" t="e">
        <f>IF(AND(ABS((ChartCalculations!A504-Calculations!$F$3)/Calculations!$F$4)&lt;5,OR(A504&lt;=Calculations!$F$7,A504&gt;=Calculations!$F$8)),0.2*_xlfn.NORM.DIST(100,100,15,FALSE)*_xlfn.NORM.DIST(A504,Calculations!$F$3,Calculations!$F$4,FALSE)/_xlfn.NORM.DIST(Calculations!$F$3,Calculations!$F$3,Calculations!$F$4,FALSE),NA())</f>
        <v>#N/A</v>
      </c>
      <c r="M504" t="e">
        <f>IF(AND(A504&gt;=Calculations!$F$7,A504&lt;=Calculations!$F$8),0.2*_xlfn.NORM.DIST(100,100,15,FALSE)*_xlfn.NORM.DIST(A504,Calculations!$F$3,Calculations!$F$4,FALSE)/_xlfn.NORM.DIST(Calculations!$F$3,Calculations!$F$3,Calculations!$F$4,FALSE),NA())</f>
        <v>#N/A</v>
      </c>
    </row>
    <row r="505" spans="1:13" x14ac:dyDescent="0.25">
      <c r="A505">
        <v>90.300000000000693</v>
      </c>
      <c r="B505" t="e">
        <f t="shared" si="70"/>
        <v>#N/A</v>
      </c>
      <c r="C505" t="e">
        <f t="shared" si="71"/>
        <v>#N/A</v>
      </c>
      <c r="D505" t="e">
        <f t="shared" si="72"/>
        <v>#N/A</v>
      </c>
      <c r="E505" t="e">
        <f t="shared" si="73"/>
        <v>#N/A</v>
      </c>
      <c r="F505">
        <f t="shared" si="74"/>
        <v>2.1578072904789233E-2</v>
      </c>
      <c r="G505" t="e">
        <f t="shared" si="75"/>
        <v>#N/A</v>
      </c>
      <c r="H505" t="e">
        <f t="shared" si="76"/>
        <v>#N/A</v>
      </c>
      <c r="I505" t="e">
        <f t="shared" si="77"/>
        <v>#N/A</v>
      </c>
      <c r="J505" t="e">
        <f t="shared" si="78"/>
        <v>#N/A</v>
      </c>
      <c r="K505">
        <f t="shared" si="79"/>
        <v>2.1778072904789232E-2</v>
      </c>
      <c r="L505" t="e">
        <f>IF(AND(ABS((ChartCalculations!A505-Calculations!$F$3)/Calculations!$F$4)&lt;5,OR(A505&lt;=Calculations!$F$7,A505&gt;=Calculations!$F$8)),0.2*_xlfn.NORM.DIST(100,100,15,FALSE)*_xlfn.NORM.DIST(A505,Calculations!$F$3,Calculations!$F$4,FALSE)/_xlfn.NORM.DIST(Calculations!$F$3,Calculations!$F$3,Calculations!$F$4,FALSE),NA())</f>
        <v>#N/A</v>
      </c>
      <c r="M505" t="e">
        <f>IF(AND(A505&gt;=Calculations!$F$7,A505&lt;=Calculations!$F$8),0.2*_xlfn.NORM.DIST(100,100,15,FALSE)*_xlfn.NORM.DIST(A505,Calculations!$F$3,Calculations!$F$4,FALSE)/_xlfn.NORM.DIST(Calculations!$F$3,Calculations!$F$3,Calculations!$F$4,FALSE),NA())</f>
        <v>#N/A</v>
      </c>
    </row>
    <row r="506" spans="1:13" x14ac:dyDescent="0.25">
      <c r="A506">
        <v>90.400000000000702</v>
      </c>
      <c r="B506" t="e">
        <f t="shared" si="70"/>
        <v>#N/A</v>
      </c>
      <c r="C506" t="e">
        <f t="shared" si="71"/>
        <v>#N/A</v>
      </c>
      <c r="D506" t="e">
        <f t="shared" si="72"/>
        <v>#N/A</v>
      </c>
      <c r="E506" t="e">
        <f t="shared" si="73"/>
        <v>#N/A</v>
      </c>
      <c r="F506">
        <f t="shared" si="74"/>
        <v>2.1670817605606126E-2</v>
      </c>
      <c r="G506" t="e">
        <f t="shared" si="75"/>
        <v>#N/A</v>
      </c>
      <c r="H506" t="e">
        <f t="shared" si="76"/>
        <v>#N/A</v>
      </c>
      <c r="I506" t="e">
        <f t="shared" si="77"/>
        <v>#N/A</v>
      </c>
      <c r="J506" t="e">
        <f t="shared" si="78"/>
        <v>#N/A</v>
      </c>
      <c r="K506">
        <f t="shared" si="79"/>
        <v>2.1870817605606125E-2</v>
      </c>
      <c r="L506" t="e">
        <f>IF(AND(ABS((ChartCalculations!A506-Calculations!$F$3)/Calculations!$F$4)&lt;5,OR(A506&lt;=Calculations!$F$7,A506&gt;=Calculations!$F$8)),0.2*_xlfn.NORM.DIST(100,100,15,FALSE)*_xlfn.NORM.DIST(A506,Calculations!$F$3,Calculations!$F$4,FALSE)/_xlfn.NORM.DIST(Calculations!$F$3,Calculations!$F$3,Calculations!$F$4,FALSE),NA())</f>
        <v>#N/A</v>
      </c>
      <c r="M506" t="e">
        <f>IF(AND(A506&gt;=Calculations!$F$7,A506&lt;=Calculations!$F$8),0.2*_xlfn.NORM.DIST(100,100,15,FALSE)*_xlfn.NORM.DIST(A506,Calculations!$F$3,Calculations!$F$4,FALSE)/_xlfn.NORM.DIST(Calculations!$F$3,Calculations!$F$3,Calculations!$F$4,FALSE),NA())</f>
        <v>#N/A</v>
      </c>
    </row>
    <row r="507" spans="1:13" x14ac:dyDescent="0.25">
      <c r="A507">
        <v>90.500000000000696</v>
      </c>
      <c r="B507" t="e">
        <f t="shared" si="70"/>
        <v>#N/A</v>
      </c>
      <c r="C507" t="e">
        <f t="shared" si="71"/>
        <v>#N/A</v>
      </c>
      <c r="D507" t="e">
        <f t="shared" si="72"/>
        <v>#N/A</v>
      </c>
      <c r="E507" t="e">
        <f t="shared" si="73"/>
        <v>#N/A</v>
      </c>
      <c r="F507">
        <f t="shared" si="74"/>
        <v>2.1762993666702372E-2</v>
      </c>
      <c r="G507" t="e">
        <f t="shared" si="75"/>
        <v>#N/A</v>
      </c>
      <c r="H507" t="e">
        <f t="shared" si="76"/>
        <v>#N/A</v>
      </c>
      <c r="I507" t="e">
        <f t="shared" si="77"/>
        <v>#N/A</v>
      </c>
      <c r="J507" t="e">
        <f t="shared" si="78"/>
        <v>#N/A</v>
      </c>
      <c r="K507">
        <f t="shared" si="79"/>
        <v>2.196299366670237E-2</v>
      </c>
      <c r="L507" t="e">
        <f>IF(AND(ABS((ChartCalculations!A507-Calculations!$F$3)/Calculations!$F$4)&lt;5,OR(A507&lt;=Calculations!$F$7,A507&gt;=Calculations!$F$8)),0.2*_xlfn.NORM.DIST(100,100,15,FALSE)*_xlfn.NORM.DIST(A507,Calculations!$F$3,Calculations!$F$4,FALSE)/_xlfn.NORM.DIST(Calculations!$F$3,Calculations!$F$3,Calculations!$F$4,FALSE),NA())</f>
        <v>#N/A</v>
      </c>
      <c r="M507" t="e">
        <f>IF(AND(A507&gt;=Calculations!$F$7,A507&lt;=Calculations!$F$8),0.2*_xlfn.NORM.DIST(100,100,15,FALSE)*_xlfn.NORM.DIST(A507,Calculations!$F$3,Calculations!$F$4,FALSE)/_xlfn.NORM.DIST(Calculations!$F$3,Calculations!$F$3,Calculations!$F$4,FALSE),NA())</f>
        <v>#N/A</v>
      </c>
    </row>
    <row r="508" spans="1:13" x14ac:dyDescent="0.25">
      <c r="A508">
        <v>90.600000000000705</v>
      </c>
      <c r="B508" t="e">
        <f t="shared" si="70"/>
        <v>#N/A</v>
      </c>
      <c r="C508" t="e">
        <f t="shared" si="71"/>
        <v>#N/A</v>
      </c>
      <c r="D508" t="e">
        <f t="shared" si="72"/>
        <v>#N/A</v>
      </c>
      <c r="E508" t="e">
        <f t="shared" si="73"/>
        <v>#N/A</v>
      </c>
      <c r="F508">
        <f t="shared" si="74"/>
        <v>2.1854590458718511E-2</v>
      </c>
      <c r="G508" t="e">
        <f t="shared" si="75"/>
        <v>#N/A</v>
      </c>
      <c r="H508" t="e">
        <f t="shared" si="76"/>
        <v>#N/A</v>
      </c>
      <c r="I508" t="e">
        <f t="shared" si="77"/>
        <v>#N/A</v>
      </c>
      <c r="J508" t="e">
        <f t="shared" si="78"/>
        <v>#N/A</v>
      </c>
      <c r="K508">
        <f t="shared" si="79"/>
        <v>2.205459045871851E-2</v>
      </c>
      <c r="L508" t="e">
        <f>IF(AND(ABS((ChartCalculations!A508-Calculations!$F$3)/Calculations!$F$4)&lt;5,OR(A508&lt;=Calculations!$F$7,A508&gt;=Calculations!$F$8)),0.2*_xlfn.NORM.DIST(100,100,15,FALSE)*_xlfn.NORM.DIST(A508,Calculations!$F$3,Calculations!$F$4,FALSE)/_xlfn.NORM.DIST(Calculations!$F$3,Calculations!$F$3,Calculations!$F$4,FALSE),NA())</f>
        <v>#N/A</v>
      </c>
      <c r="M508" t="e">
        <f>IF(AND(A508&gt;=Calculations!$F$7,A508&lt;=Calculations!$F$8),0.2*_xlfn.NORM.DIST(100,100,15,FALSE)*_xlfn.NORM.DIST(A508,Calculations!$F$3,Calculations!$F$4,FALSE)/_xlfn.NORM.DIST(Calculations!$F$3,Calculations!$F$3,Calculations!$F$4,FALSE),NA())</f>
        <v>#N/A</v>
      </c>
    </row>
    <row r="509" spans="1:13" x14ac:dyDescent="0.25">
      <c r="A509">
        <v>90.700000000000699</v>
      </c>
      <c r="B509" t="e">
        <f t="shared" si="70"/>
        <v>#N/A</v>
      </c>
      <c r="C509" t="e">
        <f t="shared" si="71"/>
        <v>#N/A</v>
      </c>
      <c r="D509" t="e">
        <f t="shared" si="72"/>
        <v>#N/A</v>
      </c>
      <c r="E509" t="e">
        <f t="shared" si="73"/>
        <v>#N/A</v>
      </c>
      <c r="F509">
        <f t="shared" si="74"/>
        <v>2.1945597384718286E-2</v>
      </c>
      <c r="G509" t="e">
        <f t="shared" si="75"/>
        <v>#N/A</v>
      </c>
      <c r="H509" t="e">
        <f t="shared" si="76"/>
        <v>#N/A</v>
      </c>
      <c r="I509" t="e">
        <f t="shared" si="77"/>
        <v>#N/A</v>
      </c>
      <c r="J509" t="e">
        <f t="shared" si="78"/>
        <v>#N/A</v>
      </c>
      <c r="K509">
        <f t="shared" si="79"/>
        <v>2.2145597384718285E-2</v>
      </c>
      <c r="L509" t="e">
        <f>IF(AND(ABS((ChartCalculations!A509-Calculations!$F$3)/Calculations!$F$4)&lt;5,OR(A509&lt;=Calculations!$F$7,A509&gt;=Calculations!$F$8)),0.2*_xlfn.NORM.DIST(100,100,15,FALSE)*_xlfn.NORM.DIST(A509,Calculations!$F$3,Calculations!$F$4,FALSE)/_xlfn.NORM.DIST(Calculations!$F$3,Calculations!$F$3,Calculations!$F$4,FALSE),NA())</f>
        <v>#N/A</v>
      </c>
      <c r="M509" t="e">
        <f>IF(AND(A509&gt;=Calculations!$F$7,A509&lt;=Calculations!$F$8),0.2*_xlfn.NORM.DIST(100,100,15,FALSE)*_xlfn.NORM.DIST(A509,Calculations!$F$3,Calculations!$F$4,FALSE)/_xlfn.NORM.DIST(Calculations!$F$3,Calculations!$F$3,Calculations!$F$4,FALSE),NA())</f>
        <v>#N/A</v>
      </c>
    </row>
    <row r="510" spans="1:13" x14ac:dyDescent="0.25">
      <c r="A510">
        <v>90.800000000000693</v>
      </c>
      <c r="B510" t="e">
        <f t="shared" si="70"/>
        <v>#N/A</v>
      </c>
      <c r="C510" t="e">
        <f t="shared" si="71"/>
        <v>#N/A</v>
      </c>
      <c r="D510" t="e">
        <f t="shared" si="72"/>
        <v>#N/A</v>
      </c>
      <c r="E510" t="e">
        <f t="shared" si="73"/>
        <v>#N/A</v>
      </c>
      <c r="F510">
        <f t="shared" si="74"/>
        <v>2.2036003882212999E-2</v>
      </c>
      <c r="G510" t="e">
        <f t="shared" si="75"/>
        <v>#N/A</v>
      </c>
      <c r="H510" t="e">
        <f t="shared" si="76"/>
        <v>#N/A</v>
      </c>
      <c r="I510" t="e">
        <f t="shared" si="77"/>
        <v>#N/A</v>
      </c>
      <c r="J510" t="e">
        <f t="shared" si="78"/>
        <v>#N/A</v>
      </c>
      <c r="K510">
        <f t="shared" si="79"/>
        <v>2.2236003882212998E-2</v>
      </c>
      <c r="L510" t="e">
        <f>IF(AND(ABS((ChartCalculations!A510-Calculations!$F$3)/Calculations!$F$4)&lt;5,OR(A510&lt;=Calculations!$F$7,A510&gt;=Calculations!$F$8)),0.2*_xlfn.NORM.DIST(100,100,15,FALSE)*_xlfn.NORM.DIST(A510,Calculations!$F$3,Calculations!$F$4,FALSE)/_xlfn.NORM.DIST(Calculations!$F$3,Calculations!$F$3,Calculations!$F$4,FALSE),NA())</f>
        <v>#N/A</v>
      </c>
      <c r="M510" t="e">
        <f>IF(AND(A510&gt;=Calculations!$F$7,A510&lt;=Calculations!$F$8),0.2*_xlfn.NORM.DIST(100,100,15,FALSE)*_xlfn.NORM.DIST(A510,Calculations!$F$3,Calculations!$F$4,FALSE)/_xlfn.NORM.DIST(Calculations!$F$3,Calculations!$F$3,Calculations!$F$4,FALSE),NA())</f>
        <v>#N/A</v>
      </c>
    </row>
    <row r="511" spans="1:13" x14ac:dyDescent="0.25">
      <c r="A511">
        <v>90.900000000000702</v>
      </c>
      <c r="B511" t="e">
        <f t="shared" si="70"/>
        <v>#N/A</v>
      </c>
      <c r="C511" t="e">
        <f t="shared" si="71"/>
        <v>#N/A</v>
      </c>
      <c r="D511" t="e">
        <f t="shared" si="72"/>
        <v>#N/A</v>
      </c>
      <c r="E511" t="e">
        <f t="shared" si="73"/>
        <v>#N/A</v>
      </c>
      <c r="F511">
        <f t="shared" si="74"/>
        <v>2.2125799425186516E-2</v>
      </c>
      <c r="G511" t="e">
        <f t="shared" si="75"/>
        <v>#N/A</v>
      </c>
      <c r="H511" t="e">
        <f t="shared" si="76"/>
        <v>#N/A</v>
      </c>
      <c r="I511" t="e">
        <f t="shared" si="77"/>
        <v>#N/A</v>
      </c>
      <c r="J511" t="e">
        <f t="shared" si="78"/>
        <v>#N/A</v>
      </c>
      <c r="K511">
        <f t="shared" si="79"/>
        <v>2.2325799425186515E-2</v>
      </c>
      <c r="L511" t="e">
        <f>IF(AND(ABS((ChartCalculations!A511-Calculations!$F$3)/Calculations!$F$4)&lt;5,OR(A511&lt;=Calculations!$F$7,A511&gt;=Calculations!$F$8)),0.2*_xlfn.NORM.DIST(100,100,15,FALSE)*_xlfn.NORM.DIST(A511,Calculations!$F$3,Calculations!$F$4,FALSE)/_xlfn.NORM.DIST(Calculations!$F$3,Calculations!$F$3,Calculations!$F$4,FALSE),NA())</f>
        <v>#N/A</v>
      </c>
      <c r="M511" t="e">
        <f>IF(AND(A511&gt;=Calculations!$F$7,A511&lt;=Calculations!$F$8),0.2*_xlfn.NORM.DIST(100,100,15,FALSE)*_xlfn.NORM.DIST(A511,Calculations!$F$3,Calculations!$F$4,FALSE)/_xlfn.NORM.DIST(Calculations!$F$3,Calculations!$F$3,Calculations!$F$4,FALSE),NA())</f>
        <v>#N/A</v>
      </c>
    </row>
    <row r="512" spans="1:13" x14ac:dyDescent="0.25">
      <c r="A512">
        <v>91.000000000000696</v>
      </c>
      <c r="B512" t="e">
        <f t="shared" si="70"/>
        <v>#N/A</v>
      </c>
      <c r="C512" t="e">
        <f t="shared" si="71"/>
        <v>#N/A</v>
      </c>
      <c r="D512" t="e">
        <f t="shared" si="72"/>
        <v>#N/A</v>
      </c>
      <c r="E512" t="e">
        <f t="shared" si="73"/>
        <v>#N/A</v>
      </c>
      <c r="F512">
        <f t="shared" si="74"/>
        <v>2.2214973526120597E-2</v>
      </c>
      <c r="G512" t="e">
        <f t="shared" si="75"/>
        <v>#N/A</v>
      </c>
      <c r="H512" t="e">
        <f t="shared" si="76"/>
        <v>#N/A</v>
      </c>
      <c r="I512" t="e">
        <f t="shared" si="77"/>
        <v>#N/A</v>
      </c>
      <c r="J512" t="e">
        <f t="shared" si="78"/>
        <v>#N/A</v>
      </c>
      <c r="K512">
        <f t="shared" si="79"/>
        <v>2.2414973526120596E-2</v>
      </c>
      <c r="L512" t="e">
        <f>IF(AND(ABS((ChartCalculations!A512-Calculations!$F$3)/Calculations!$F$4)&lt;5,OR(A512&lt;=Calculations!$F$7,A512&gt;=Calculations!$F$8)),0.2*_xlfn.NORM.DIST(100,100,15,FALSE)*_xlfn.NORM.DIST(A512,Calculations!$F$3,Calculations!$F$4,FALSE)/_xlfn.NORM.DIST(Calculations!$F$3,Calculations!$F$3,Calculations!$F$4,FALSE),NA())</f>
        <v>#N/A</v>
      </c>
      <c r="M512" t="e">
        <f>IF(AND(A512&gt;=Calculations!$F$7,A512&lt;=Calculations!$F$8),0.2*_xlfn.NORM.DIST(100,100,15,FALSE)*_xlfn.NORM.DIST(A512,Calculations!$F$3,Calculations!$F$4,FALSE)/_xlfn.NORM.DIST(Calculations!$F$3,Calculations!$F$3,Calculations!$F$4,FALSE),NA())</f>
        <v>#N/A</v>
      </c>
    </row>
    <row r="513" spans="1:13" x14ac:dyDescent="0.25">
      <c r="A513">
        <v>91.100000000000705</v>
      </c>
      <c r="B513" t="e">
        <f t="shared" si="70"/>
        <v>#N/A</v>
      </c>
      <c r="C513" t="e">
        <f t="shared" si="71"/>
        <v>#N/A</v>
      </c>
      <c r="D513" t="e">
        <f t="shared" si="72"/>
        <v>#N/A</v>
      </c>
      <c r="E513" t="e">
        <f t="shared" si="73"/>
        <v>#N/A</v>
      </c>
      <c r="F513">
        <f t="shared" si="74"/>
        <v>2.2303515738020006E-2</v>
      </c>
      <c r="G513" t="e">
        <f t="shared" si="75"/>
        <v>#N/A</v>
      </c>
      <c r="H513" t="e">
        <f t="shared" si="76"/>
        <v>#N/A</v>
      </c>
      <c r="I513" t="e">
        <f t="shared" si="77"/>
        <v>#N/A</v>
      </c>
      <c r="J513" t="e">
        <f t="shared" si="78"/>
        <v>#N/A</v>
      </c>
      <c r="K513">
        <f t="shared" si="79"/>
        <v>2.2503515738020004E-2</v>
      </c>
      <c r="L513" t="e">
        <f>IF(AND(ABS((ChartCalculations!A513-Calculations!$F$3)/Calculations!$F$4)&lt;5,OR(A513&lt;=Calculations!$F$7,A513&gt;=Calculations!$F$8)),0.2*_xlfn.NORM.DIST(100,100,15,FALSE)*_xlfn.NORM.DIST(A513,Calculations!$F$3,Calculations!$F$4,FALSE)/_xlfn.NORM.DIST(Calculations!$F$3,Calculations!$F$3,Calculations!$F$4,FALSE),NA())</f>
        <v>#N/A</v>
      </c>
      <c r="M513" t="e">
        <f>IF(AND(A513&gt;=Calculations!$F$7,A513&lt;=Calculations!$F$8),0.2*_xlfn.NORM.DIST(100,100,15,FALSE)*_xlfn.NORM.DIST(A513,Calculations!$F$3,Calculations!$F$4,FALSE)/_xlfn.NORM.DIST(Calculations!$F$3,Calculations!$F$3,Calculations!$F$4,FALSE),NA())</f>
        <v>#N/A</v>
      </c>
    </row>
    <row r="514" spans="1:13" x14ac:dyDescent="0.25">
      <c r="A514">
        <v>91.200000000000699</v>
      </c>
      <c r="B514" t="e">
        <f t="shared" si="70"/>
        <v>#N/A</v>
      </c>
      <c r="C514" t="e">
        <f t="shared" si="71"/>
        <v>#N/A</v>
      </c>
      <c r="D514" t="e">
        <f t="shared" si="72"/>
        <v>#N/A</v>
      </c>
      <c r="E514" t="e">
        <f t="shared" si="73"/>
        <v>#N/A</v>
      </c>
      <c r="F514">
        <f t="shared" si="74"/>
        <v>2.239141565643667E-2</v>
      </c>
      <c r="G514" t="e">
        <f t="shared" si="75"/>
        <v>#N/A</v>
      </c>
      <c r="H514" t="e">
        <f t="shared" si="76"/>
        <v>#N/A</v>
      </c>
      <c r="I514" t="e">
        <f t="shared" si="77"/>
        <v>#N/A</v>
      </c>
      <c r="J514" t="e">
        <f t="shared" si="78"/>
        <v>#N/A</v>
      </c>
      <c r="K514">
        <f t="shared" si="79"/>
        <v>2.2591415656436669E-2</v>
      </c>
      <c r="L514" t="e">
        <f>IF(AND(ABS((ChartCalculations!A514-Calculations!$F$3)/Calculations!$F$4)&lt;5,OR(A514&lt;=Calculations!$F$7,A514&gt;=Calculations!$F$8)),0.2*_xlfn.NORM.DIST(100,100,15,FALSE)*_xlfn.NORM.DIST(A514,Calculations!$F$3,Calculations!$F$4,FALSE)/_xlfn.NORM.DIST(Calculations!$F$3,Calculations!$F$3,Calculations!$F$4,FALSE),NA())</f>
        <v>#N/A</v>
      </c>
      <c r="M514" t="e">
        <f>IF(AND(A514&gt;=Calculations!$F$7,A514&lt;=Calculations!$F$8),0.2*_xlfn.NORM.DIST(100,100,15,FALSE)*_xlfn.NORM.DIST(A514,Calculations!$F$3,Calculations!$F$4,FALSE)/_xlfn.NORM.DIST(Calculations!$F$3,Calculations!$F$3,Calculations!$F$4,FALSE),NA())</f>
        <v>#N/A</v>
      </c>
    </row>
    <row r="515" spans="1:13" x14ac:dyDescent="0.25">
      <c r="A515">
        <v>91.300000000000693</v>
      </c>
      <c r="B515" t="e">
        <f t="shared" ref="B515:B578" si="80">IF($A515&lt;=60,_xlfn.NORM.DIST($A515,100,15,FALSE),NA())</f>
        <v>#N/A</v>
      </c>
      <c r="C515" t="e">
        <f t="shared" ref="C515:C578" si="81">IF(AND($A515&gt;=60,$A515&lt;=70),_xlfn.NORM.DIST($A515,100,15,FALSE),NA())</f>
        <v>#N/A</v>
      </c>
      <c r="D515" t="e">
        <f t="shared" ref="D515:D578" si="82">IF(AND($A515&gt;=70,$A515&lt;=80),_xlfn.NORM.DIST($A515,100,15,FALSE),NA())</f>
        <v>#N/A</v>
      </c>
      <c r="E515" t="e">
        <f t="shared" ref="E515:E578" si="83">IF(AND($A515&gt;=80,$A515&lt;=90),_xlfn.NORM.DIST($A515,100,15,FALSE),NA())</f>
        <v>#N/A</v>
      </c>
      <c r="F515">
        <f t="shared" ref="F515:F578" si="84">IF(AND($A515&gt;=90,$A515&lt;=110),_xlfn.NORM.DIST($A515,100,15,FALSE),NA())</f>
        <v>2.2478662921492639E-2</v>
      </c>
      <c r="G515" t="e">
        <f t="shared" ref="G515:G578" si="85">IF(AND($A515&gt;=110,$A515&lt;=120),_xlfn.NORM.DIST($A515,100,15,FALSE),NA())</f>
        <v>#N/A</v>
      </c>
      <c r="H515" t="e">
        <f t="shared" ref="H515:H578" si="86">IF(AND($A515&gt;=120,$A515&lt;=130),_xlfn.NORM.DIST($A515,100,15,FALSE),NA())</f>
        <v>#N/A</v>
      </c>
      <c r="I515" t="e">
        <f t="shared" ref="I515:I578" si="87">IF(AND($A515&gt;=130,$A515&lt;=140),_xlfn.NORM.DIST($A515,100,15,FALSE),NA())</f>
        <v>#N/A</v>
      </c>
      <c r="J515" t="e">
        <f t="shared" ref="J515:J578" si="88">IF($A515&gt;=140,_xlfn.NORM.DIST($A515,100,15,FALSE),NA())</f>
        <v>#N/A</v>
      </c>
      <c r="K515">
        <f t="shared" ref="K515:K578" si="89">_xlfn.NORM.DIST($A515,100,15,FALSE)+0.0002</f>
        <v>2.2678662921492638E-2</v>
      </c>
      <c r="L515" t="e">
        <f>IF(AND(ABS((ChartCalculations!A515-Calculations!$F$3)/Calculations!$F$4)&lt;5,OR(A515&lt;=Calculations!$F$7,A515&gt;=Calculations!$F$8)),0.2*_xlfn.NORM.DIST(100,100,15,FALSE)*_xlfn.NORM.DIST(A515,Calculations!$F$3,Calculations!$F$4,FALSE)/_xlfn.NORM.DIST(Calculations!$F$3,Calculations!$F$3,Calculations!$F$4,FALSE),NA())</f>
        <v>#N/A</v>
      </c>
      <c r="M515" t="e">
        <f>IF(AND(A515&gt;=Calculations!$F$7,A515&lt;=Calculations!$F$8),0.2*_xlfn.NORM.DIST(100,100,15,FALSE)*_xlfn.NORM.DIST(A515,Calculations!$F$3,Calculations!$F$4,FALSE)/_xlfn.NORM.DIST(Calculations!$F$3,Calculations!$F$3,Calculations!$F$4,FALSE),NA())</f>
        <v>#N/A</v>
      </c>
    </row>
    <row r="516" spans="1:13" x14ac:dyDescent="0.25">
      <c r="A516">
        <v>91.400000000000702</v>
      </c>
      <c r="B516" t="e">
        <f t="shared" si="80"/>
        <v>#N/A</v>
      </c>
      <c r="C516" t="e">
        <f t="shared" si="81"/>
        <v>#N/A</v>
      </c>
      <c r="D516" t="e">
        <f t="shared" si="82"/>
        <v>#N/A</v>
      </c>
      <c r="E516" t="e">
        <f t="shared" si="83"/>
        <v>#N/A</v>
      </c>
      <c r="F516">
        <f t="shared" si="84"/>
        <v>2.2565247219901021E-2</v>
      </c>
      <c r="G516" t="e">
        <f t="shared" si="85"/>
        <v>#N/A</v>
      </c>
      <c r="H516" t="e">
        <f t="shared" si="86"/>
        <v>#N/A</v>
      </c>
      <c r="I516" t="e">
        <f t="shared" si="87"/>
        <v>#N/A</v>
      </c>
      <c r="J516" t="e">
        <f t="shared" si="88"/>
        <v>#N/A</v>
      </c>
      <c r="K516">
        <f t="shared" si="89"/>
        <v>2.276524721990102E-2</v>
      </c>
      <c r="L516" t="e">
        <f>IF(AND(ABS((ChartCalculations!A516-Calculations!$F$3)/Calculations!$F$4)&lt;5,OR(A516&lt;=Calculations!$F$7,A516&gt;=Calculations!$F$8)),0.2*_xlfn.NORM.DIST(100,100,15,FALSE)*_xlfn.NORM.DIST(A516,Calculations!$F$3,Calculations!$F$4,FALSE)/_xlfn.NORM.DIST(Calculations!$F$3,Calculations!$F$3,Calculations!$F$4,FALSE),NA())</f>
        <v>#N/A</v>
      </c>
      <c r="M516" t="e">
        <f>IF(AND(A516&gt;=Calculations!$F$7,A516&lt;=Calculations!$F$8),0.2*_xlfn.NORM.DIST(100,100,15,FALSE)*_xlfn.NORM.DIST(A516,Calculations!$F$3,Calculations!$F$4,FALSE)/_xlfn.NORM.DIST(Calculations!$F$3,Calculations!$F$3,Calculations!$F$4,FALSE),NA())</f>
        <v>#N/A</v>
      </c>
    </row>
    <row r="517" spans="1:13" x14ac:dyDescent="0.25">
      <c r="A517">
        <v>91.500000000000696</v>
      </c>
      <c r="B517" t="e">
        <f t="shared" si="80"/>
        <v>#N/A</v>
      </c>
      <c r="C517" t="e">
        <f t="shared" si="81"/>
        <v>#N/A</v>
      </c>
      <c r="D517" t="e">
        <f t="shared" si="82"/>
        <v>#N/A</v>
      </c>
      <c r="E517" t="e">
        <f t="shared" si="83"/>
        <v>#N/A</v>
      </c>
      <c r="F517">
        <f t="shared" si="84"/>
        <v>2.2651158286984465E-2</v>
      </c>
      <c r="G517" t="e">
        <f t="shared" si="85"/>
        <v>#N/A</v>
      </c>
      <c r="H517" t="e">
        <f t="shared" si="86"/>
        <v>#N/A</v>
      </c>
      <c r="I517" t="e">
        <f t="shared" si="87"/>
        <v>#N/A</v>
      </c>
      <c r="J517" t="e">
        <f t="shared" si="88"/>
        <v>#N/A</v>
      </c>
      <c r="K517">
        <f t="shared" si="89"/>
        <v>2.2851158286984464E-2</v>
      </c>
      <c r="L517" t="e">
        <f>IF(AND(ABS((ChartCalculations!A517-Calculations!$F$3)/Calculations!$F$4)&lt;5,OR(A517&lt;=Calculations!$F$7,A517&gt;=Calculations!$F$8)),0.2*_xlfn.NORM.DIST(100,100,15,FALSE)*_xlfn.NORM.DIST(A517,Calculations!$F$3,Calculations!$F$4,FALSE)/_xlfn.NORM.DIST(Calculations!$F$3,Calculations!$F$3,Calculations!$F$4,FALSE),NA())</f>
        <v>#N/A</v>
      </c>
      <c r="M517" t="e">
        <f>IF(AND(A517&gt;=Calculations!$F$7,A517&lt;=Calculations!$F$8),0.2*_xlfn.NORM.DIST(100,100,15,FALSE)*_xlfn.NORM.DIST(A517,Calculations!$F$3,Calculations!$F$4,FALSE)/_xlfn.NORM.DIST(Calculations!$F$3,Calculations!$F$3,Calculations!$F$4,FALSE),NA())</f>
        <v>#N/A</v>
      </c>
    </row>
    <row r="518" spans="1:13" x14ac:dyDescent="0.25">
      <c r="A518">
        <v>91.600000000000705</v>
      </c>
      <c r="B518" t="e">
        <f t="shared" si="80"/>
        <v>#N/A</v>
      </c>
      <c r="C518" t="e">
        <f t="shared" si="81"/>
        <v>#N/A</v>
      </c>
      <c r="D518" t="e">
        <f t="shared" si="82"/>
        <v>#N/A</v>
      </c>
      <c r="E518" t="e">
        <f t="shared" si="83"/>
        <v>#N/A</v>
      </c>
      <c r="F518">
        <f t="shared" si="84"/>
        <v>2.273638590869077E-2</v>
      </c>
      <c r="G518" t="e">
        <f t="shared" si="85"/>
        <v>#N/A</v>
      </c>
      <c r="H518" t="e">
        <f t="shared" si="86"/>
        <v>#N/A</v>
      </c>
      <c r="I518" t="e">
        <f t="shared" si="87"/>
        <v>#N/A</v>
      </c>
      <c r="J518" t="e">
        <f t="shared" si="88"/>
        <v>#N/A</v>
      </c>
      <c r="K518">
        <f t="shared" si="89"/>
        <v>2.2936385908690769E-2</v>
      </c>
      <c r="L518" t="e">
        <f>IF(AND(ABS((ChartCalculations!A518-Calculations!$F$3)/Calculations!$F$4)&lt;5,OR(A518&lt;=Calculations!$F$7,A518&gt;=Calculations!$F$8)),0.2*_xlfn.NORM.DIST(100,100,15,FALSE)*_xlfn.NORM.DIST(A518,Calculations!$F$3,Calculations!$F$4,FALSE)/_xlfn.NORM.DIST(Calculations!$F$3,Calculations!$F$3,Calculations!$F$4,FALSE),NA())</f>
        <v>#N/A</v>
      </c>
      <c r="M518" t="e">
        <f>IF(AND(A518&gt;=Calculations!$F$7,A518&lt;=Calculations!$F$8),0.2*_xlfn.NORM.DIST(100,100,15,FALSE)*_xlfn.NORM.DIST(A518,Calculations!$F$3,Calculations!$F$4,FALSE)/_xlfn.NORM.DIST(Calculations!$F$3,Calculations!$F$3,Calculations!$F$4,FALSE),NA())</f>
        <v>#N/A</v>
      </c>
    </row>
    <row r="519" spans="1:13" x14ac:dyDescent="0.25">
      <c r="A519">
        <v>91.700000000000699</v>
      </c>
      <c r="B519" t="e">
        <f t="shared" si="80"/>
        <v>#N/A</v>
      </c>
      <c r="C519" t="e">
        <f t="shared" si="81"/>
        <v>#N/A</v>
      </c>
      <c r="D519" t="e">
        <f t="shared" si="82"/>
        <v>#N/A</v>
      </c>
      <c r="E519" t="e">
        <f t="shared" si="83"/>
        <v>#N/A</v>
      </c>
      <c r="F519">
        <f t="shared" si="84"/>
        <v>2.2820919923604733E-2</v>
      </c>
      <c r="G519" t="e">
        <f t="shared" si="85"/>
        <v>#N/A</v>
      </c>
      <c r="H519" t="e">
        <f t="shared" si="86"/>
        <v>#N/A</v>
      </c>
      <c r="I519" t="e">
        <f t="shared" si="87"/>
        <v>#N/A</v>
      </c>
      <c r="J519" t="e">
        <f t="shared" si="88"/>
        <v>#N/A</v>
      </c>
      <c r="K519">
        <f t="shared" si="89"/>
        <v>2.3020919923604732E-2</v>
      </c>
      <c r="L519" t="e">
        <f>IF(AND(ABS((ChartCalculations!A519-Calculations!$F$3)/Calculations!$F$4)&lt;5,OR(A519&lt;=Calculations!$F$7,A519&gt;=Calculations!$F$8)),0.2*_xlfn.NORM.DIST(100,100,15,FALSE)*_xlfn.NORM.DIST(A519,Calculations!$F$3,Calculations!$F$4,FALSE)/_xlfn.NORM.DIST(Calculations!$F$3,Calculations!$F$3,Calculations!$F$4,FALSE),NA())</f>
        <v>#N/A</v>
      </c>
      <c r="M519" t="e">
        <f>IF(AND(A519&gt;=Calculations!$F$7,A519&lt;=Calculations!$F$8),0.2*_xlfn.NORM.DIST(100,100,15,FALSE)*_xlfn.NORM.DIST(A519,Calculations!$F$3,Calculations!$F$4,FALSE)/_xlfn.NORM.DIST(Calculations!$F$3,Calculations!$F$3,Calculations!$F$4,FALSE),NA())</f>
        <v>#N/A</v>
      </c>
    </row>
    <row r="520" spans="1:13" x14ac:dyDescent="0.25">
      <c r="A520">
        <v>91.800000000000693</v>
      </c>
      <c r="B520" t="e">
        <f t="shared" si="80"/>
        <v>#N/A</v>
      </c>
      <c r="C520" t="e">
        <f t="shared" si="81"/>
        <v>#N/A</v>
      </c>
      <c r="D520" t="e">
        <f t="shared" si="82"/>
        <v>#N/A</v>
      </c>
      <c r="E520" t="e">
        <f t="shared" si="83"/>
        <v>#N/A</v>
      </c>
      <c r="F520">
        <f t="shared" si="84"/>
        <v>2.2904750224956118E-2</v>
      </c>
      <c r="G520" t="e">
        <f t="shared" si="85"/>
        <v>#N/A</v>
      </c>
      <c r="H520" t="e">
        <f t="shared" si="86"/>
        <v>#N/A</v>
      </c>
      <c r="I520" t="e">
        <f t="shared" si="87"/>
        <v>#N/A</v>
      </c>
      <c r="J520" t="e">
        <f t="shared" si="88"/>
        <v>#N/A</v>
      </c>
      <c r="K520">
        <f t="shared" si="89"/>
        <v>2.3104750224956117E-2</v>
      </c>
      <c r="L520" t="e">
        <f>IF(AND(ABS((ChartCalculations!A520-Calculations!$F$3)/Calculations!$F$4)&lt;5,OR(A520&lt;=Calculations!$F$7,A520&gt;=Calculations!$F$8)),0.2*_xlfn.NORM.DIST(100,100,15,FALSE)*_xlfn.NORM.DIST(A520,Calculations!$F$3,Calculations!$F$4,FALSE)/_xlfn.NORM.DIST(Calculations!$F$3,Calculations!$F$3,Calculations!$F$4,FALSE),NA())</f>
        <v>#N/A</v>
      </c>
      <c r="M520" t="e">
        <f>IF(AND(A520&gt;=Calculations!$F$7,A520&lt;=Calculations!$F$8),0.2*_xlfn.NORM.DIST(100,100,15,FALSE)*_xlfn.NORM.DIST(A520,Calculations!$F$3,Calculations!$F$4,FALSE)/_xlfn.NORM.DIST(Calculations!$F$3,Calculations!$F$3,Calculations!$F$4,FALSE),NA())</f>
        <v>#N/A</v>
      </c>
    </row>
    <row r="521" spans="1:13" x14ac:dyDescent="0.25">
      <c r="A521">
        <v>91.900000000000702</v>
      </c>
      <c r="B521" t="e">
        <f t="shared" si="80"/>
        <v>#N/A</v>
      </c>
      <c r="C521" t="e">
        <f t="shared" si="81"/>
        <v>#N/A</v>
      </c>
      <c r="D521" t="e">
        <f t="shared" si="82"/>
        <v>#N/A</v>
      </c>
      <c r="E521" t="e">
        <f t="shared" si="83"/>
        <v>#N/A</v>
      </c>
      <c r="F521">
        <f t="shared" si="84"/>
        <v>2.2987866762622804E-2</v>
      </c>
      <c r="G521" t="e">
        <f t="shared" si="85"/>
        <v>#N/A</v>
      </c>
      <c r="H521" t="e">
        <f t="shared" si="86"/>
        <v>#N/A</v>
      </c>
      <c r="I521" t="e">
        <f t="shared" si="87"/>
        <v>#N/A</v>
      </c>
      <c r="J521" t="e">
        <f t="shared" si="88"/>
        <v>#N/A</v>
      </c>
      <c r="K521">
        <f t="shared" si="89"/>
        <v>2.3187866762622803E-2</v>
      </c>
      <c r="L521" t="e">
        <f>IF(AND(ABS((ChartCalculations!A521-Calculations!$F$3)/Calculations!$F$4)&lt;5,OR(A521&lt;=Calculations!$F$7,A521&gt;=Calculations!$F$8)),0.2*_xlfn.NORM.DIST(100,100,15,FALSE)*_xlfn.NORM.DIST(A521,Calculations!$F$3,Calculations!$F$4,FALSE)/_xlfn.NORM.DIST(Calculations!$F$3,Calculations!$F$3,Calculations!$F$4,FALSE),NA())</f>
        <v>#N/A</v>
      </c>
      <c r="M521" t="e">
        <f>IF(AND(A521&gt;=Calculations!$F$7,A521&lt;=Calculations!$F$8),0.2*_xlfn.NORM.DIST(100,100,15,FALSE)*_xlfn.NORM.DIST(A521,Calculations!$F$3,Calculations!$F$4,FALSE)/_xlfn.NORM.DIST(Calculations!$F$3,Calculations!$F$3,Calculations!$F$4,FALSE),NA())</f>
        <v>#N/A</v>
      </c>
    </row>
    <row r="522" spans="1:13" x14ac:dyDescent="0.25">
      <c r="A522">
        <v>92.000000000000696</v>
      </c>
      <c r="B522" t="e">
        <f t="shared" si="80"/>
        <v>#N/A</v>
      </c>
      <c r="C522" t="e">
        <f t="shared" si="81"/>
        <v>#N/A</v>
      </c>
      <c r="D522" t="e">
        <f t="shared" si="82"/>
        <v>#N/A</v>
      </c>
      <c r="E522" t="e">
        <f t="shared" si="83"/>
        <v>#N/A</v>
      </c>
      <c r="F522">
        <f t="shared" si="84"/>
        <v>2.3070259545128768E-2</v>
      </c>
      <c r="G522" t="e">
        <f t="shared" si="85"/>
        <v>#N/A</v>
      </c>
      <c r="H522" t="e">
        <f t="shared" si="86"/>
        <v>#N/A</v>
      </c>
      <c r="I522" t="e">
        <f t="shared" si="87"/>
        <v>#N/A</v>
      </c>
      <c r="J522" t="e">
        <f t="shared" si="88"/>
        <v>#N/A</v>
      </c>
      <c r="K522">
        <f t="shared" si="89"/>
        <v>2.3270259545128767E-2</v>
      </c>
      <c r="L522" t="e">
        <f>IF(AND(ABS((ChartCalculations!A522-Calculations!$F$3)/Calculations!$F$4)&lt;5,OR(A522&lt;=Calculations!$F$7,A522&gt;=Calculations!$F$8)),0.2*_xlfn.NORM.DIST(100,100,15,FALSE)*_xlfn.NORM.DIST(A522,Calculations!$F$3,Calculations!$F$4,FALSE)/_xlfn.NORM.DIST(Calculations!$F$3,Calculations!$F$3,Calculations!$F$4,FALSE),NA())</f>
        <v>#N/A</v>
      </c>
      <c r="M522" t="e">
        <f>IF(AND(A522&gt;=Calculations!$F$7,A522&lt;=Calculations!$F$8),0.2*_xlfn.NORM.DIST(100,100,15,FALSE)*_xlfn.NORM.DIST(A522,Calculations!$F$3,Calculations!$F$4,FALSE)/_xlfn.NORM.DIST(Calculations!$F$3,Calculations!$F$3,Calculations!$F$4,FALSE),NA())</f>
        <v>#N/A</v>
      </c>
    </row>
    <row r="523" spans="1:13" x14ac:dyDescent="0.25">
      <c r="A523">
        <v>92.100000000000705</v>
      </c>
      <c r="B523" t="e">
        <f t="shared" si="80"/>
        <v>#N/A</v>
      </c>
      <c r="C523" t="e">
        <f t="shared" si="81"/>
        <v>#N/A</v>
      </c>
      <c r="D523" t="e">
        <f t="shared" si="82"/>
        <v>#N/A</v>
      </c>
      <c r="E523" t="e">
        <f t="shared" si="83"/>
        <v>#N/A</v>
      </c>
      <c r="F523">
        <f t="shared" si="84"/>
        <v>2.3151918641636363E-2</v>
      </c>
      <c r="G523" t="e">
        <f t="shared" si="85"/>
        <v>#N/A</v>
      </c>
      <c r="H523" t="e">
        <f t="shared" si="86"/>
        <v>#N/A</v>
      </c>
      <c r="I523" t="e">
        <f t="shared" si="87"/>
        <v>#N/A</v>
      </c>
      <c r="J523" t="e">
        <f t="shared" si="88"/>
        <v>#N/A</v>
      </c>
      <c r="K523">
        <f t="shared" si="89"/>
        <v>2.3351918641636361E-2</v>
      </c>
      <c r="L523" t="e">
        <f>IF(AND(ABS((ChartCalculations!A523-Calculations!$F$3)/Calculations!$F$4)&lt;5,OR(A523&lt;=Calculations!$F$7,A523&gt;=Calculations!$F$8)),0.2*_xlfn.NORM.DIST(100,100,15,FALSE)*_xlfn.NORM.DIST(A523,Calculations!$F$3,Calculations!$F$4,FALSE)/_xlfn.NORM.DIST(Calculations!$F$3,Calculations!$F$3,Calculations!$F$4,FALSE),NA())</f>
        <v>#N/A</v>
      </c>
      <c r="M523" t="e">
        <f>IF(AND(A523&gt;=Calculations!$F$7,A523&lt;=Calculations!$F$8),0.2*_xlfn.NORM.DIST(100,100,15,FALSE)*_xlfn.NORM.DIST(A523,Calculations!$F$3,Calculations!$F$4,FALSE)/_xlfn.NORM.DIST(Calculations!$F$3,Calculations!$F$3,Calculations!$F$4,FALSE),NA())</f>
        <v>#N/A</v>
      </c>
    </row>
    <row r="524" spans="1:13" x14ac:dyDescent="0.25">
      <c r="A524">
        <v>92.200000000000699</v>
      </c>
      <c r="B524" t="e">
        <f t="shared" si="80"/>
        <v>#N/A</v>
      </c>
      <c r="C524" t="e">
        <f t="shared" si="81"/>
        <v>#N/A</v>
      </c>
      <c r="D524" t="e">
        <f t="shared" si="82"/>
        <v>#N/A</v>
      </c>
      <c r="E524" t="e">
        <f t="shared" si="83"/>
        <v>#N/A</v>
      </c>
      <c r="F524">
        <f t="shared" si="84"/>
        <v>2.3232834183932197E-2</v>
      </c>
      <c r="G524" t="e">
        <f t="shared" si="85"/>
        <v>#N/A</v>
      </c>
      <c r="H524" t="e">
        <f t="shared" si="86"/>
        <v>#N/A</v>
      </c>
      <c r="I524" t="e">
        <f t="shared" si="87"/>
        <v>#N/A</v>
      </c>
      <c r="J524" t="e">
        <f t="shared" si="88"/>
        <v>#N/A</v>
      </c>
      <c r="K524">
        <f t="shared" si="89"/>
        <v>2.3432834183932195E-2</v>
      </c>
      <c r="L524" t="e">
        <f>IF(AND(ABS((ChartCalculations!A524-Calculations!$F$3)/Calculations!$F$4)&lt;5,OR(A524&lt;=Calculations!$F$7,A524&gt;=Calculations!$F$8)),0.2*_xlfn.NORM.DIST(100,100,15,FALSE)*_xlfn.NORM.DIST(A524,Calculations!$F$3,Calculations!$F$4,FALSE)/_xlfn.NORM.DIST(Calculations!$F$3,Calculations!$F$3,Calculations!$F$4,FALSE),NA())</f>
        <v>#N/A</v>
      </c>
      <c r="M524" t="e">
        <f>IF(AND(A524&gt;=Calculations!$F$7,A524&lt;=Calculations!$F$8),0.2*_xlfn.NORM.DIST(100,100,15,FALSE)*_xlfn.NORM.DIST(A524,Calculations!$F$3,Calculations!$F$4,FALSE)/_xlfn.NORM.DIST(Calculations!$F$3,Calculations!$F$3,Calculations!$F$4,FALSE),NA())</f>
        <v>#N/A</v>
      </c>
    </row>
    <row r="525" spans="1:13" x14ac:dyDescent="0.25">
      <c r="A525">
        <v>92.300000000000693</v>
      </c>
      <c r="B525" t="e">
        <f t="shared" si="80"/>
        <v>#N/A</v>
      </c>
      <c r="C525" t="e">
        <f t="shared" si="81"/>
        <v>#N/A</v>
      </c>
      <c r="D525" t="e">
        <f t="shared" si="82"/>
        <v>#N/A</v>
      </c>
      <c r="E525" t="e">
        <f t="shared" si="83"/>
        <v>#N/A</v>
      </c>
      <c r="F525">
        <f t="shared" si="84"/>
        <v>2.3312996368406228E-2</v>
      </c>
      <c r="G525" t="e">
        <f t="shared" si="85"/>
        <v>#N/A</v>
      </c>
      <c r="H525" t="e">
        <f t="shared" si="86"/>
        <v>#N/A</v>
      </c>
      <c r="I525" t="e">
        <f t="shared" si="87"/>
        <v>#N/A</v>
      </c>
      <c r="J525" t="e">
        <f t="shared" si="88"/>
        <v>#N/A</v>
      </c>
      <c r="K525">
        <f t="shared" si="89"/>
        <v>2.3512996368406227E-2</v>
      </c>
      <c r="L525" t="e">
        <f>IF(AND(ABS((ChartCalculations!A525-Calculations!$F$3)/Calculations!$F$4)&lt;5,OR(A525&lt;=Calculations!$F$7,A525&gt;=Calculations!$F$8)),0.2*_xlfn.NORM.DIST(100,100,15,FALSE)*_xlfn.NORM.DIST(A525,Calculations!$F$3,Calculations!$F$4,FALSE)/_xlfn.NORM.DIST(Calculations!$F$3,Calculations!$F$3,Calculations!$F$4,FALSE),NA())</f>
        <v>#N/A</v>
      </c>
      <c r="M525" t="e">
        <f>IF(AND(A525&gt;=Calculations!$F$7,A525&lt;=Calculations!$F$8),0.2*_xlfn.NORM.DIST(100,100,15,FALSE)*_xlfn.NORM.DIST(A525,Calculations!$F$3,Calculations!$F$4,FALSE)/_xlfn.NORM.DIST(Calculations!$F$3,Calculations!$F$3,Calculations!$F$4,FALSE),NA())</f>
        <v>#N/A</v>
      </c>
    </row>
    <row r="526" spans="1:13" x14ac:dyDescent="0.25">
      <c r="A526">
        <v>92.400000000000702</v>
      </c>
      <c r="B526" t="e">
        <f t="shared" si="80"/>
        <v>#N/A</v>
      </c>
      <c r="C526" t="e">
        <f t="shared" si="81"/>
        <v>#N/A</v>
      </c>
      <c r="D526" t="e">
        <f t="shared" si="82"/>
        <v>#N/A</v>
      </c>
      <c r="E526" t="e">
        <f t="shared" si="83"/>
        <v>#N/A</v>
      </c>
      <c r="F526">
        <f t="shared" si="84"/>
        <v>2.3392395458023383E-2</v>
      </c>
      <c r="G526" t="e">
        <f t="shared" si="85"/>
        <v>#N/A</v>
      </c>
      <c r="H526" t="e">
        <f t="shared" si="86"/>
        <v>#N/A</v>
      </c>
      <c r="I526" t="e">
        <f t="shared" si="87"/>
        <v>#N/A</v>
      </c>
      <c r="J526" t="e">
        <f t="shared" si="88"/>
        <v>#N/A</v>
      </c>
      <c r="K526">
        <f t="shared" si="89"/>
        <v>2.3592395458023382E-2</v>
      </c>
      <c r="L526" t="e">
        <f>IF(AND(ABS((ChartCalculations!A526-Calculations!$F$3)/Calculations!$F$4)&lt;5,OR(A526&lt;=Calculations!$F$7,A526&gt;=Calculations!$F$8)),0.2*_xlfn.NORM.DIST(100,100,15,FALSE)*_xlfn.NORM.DIST(A526,Calculations!$F$3,Calculations!$F$4,FALSE)/_xlfn.NORM.DIST(Calculations!$F$3,Calculations!$F$3,Calculations!$F$4,FALSE),NA())</f>
        <v>#N/A</v>
      </c>
      <c r="M526" t="e">
        <f>IF(AND(A526&gt;=Calculations!$F$7,A526&lt;=Calculations!$F$8),0.2*_xlfn.NORM.DIST(100,100,15,FALSE)*_xlfn.NORM.DIST(A526,Calculations!$F$3,Calculations!$F$4,FALSE)/_xlfn.NORM.DIST(Calculations!$F$3,Calculations!$F$3,Calculations!$F$4,FALSE),NA())</f>
        <v>#N/A</v>
      </c>
    </row>
    <row r="527" spans="1:13" x14ac:dyDescent="0.25">
      <c r="A527">
        <v>92.500000000000696</v>
      </c>
      <c r="B527" t="e">
        <f t="shared" si="80"/>
        <v>#N/A</v>
      </c>
      <c r="C527" t="e">
        <f t="shared" si="81"/>
        <v>#N/A</v>
      </c>
      <c r="D527" t="e">
        <f t="shared" si="82"/>
        <v>#N/A</v>
      </c>
      <c r="E527" t="e">
        <f t="shared" si="83"/>
        <v>#N/A</v>
      </c>
      <c r="F527">
        <f t="shared" si="84"/>
        <v>2.3471021784287179E-2</v>
      </c>
      <c r="G527" t="e">
        <f t="shared" si="85"/>
        <v>#N/A</v>
      </c>
      <c r="H527" t="e">
        <f t="shared" si="86"/>
        <v>#N/A</v>
      </c>
      <c r="I527" t="e">
        <f t="shared" si="87"/>
        <v>#N/A</v>
      </c>
      <c r="J527" t="e">
        <f t="shared" si="88"/>
        <v>#N/A</v>
      </c>
      <c r="K527">
        <f t="shared" si="89"/>
        <v>2.3671021784287177E-2</v>
      </c>
      <c r="L527" t="e">
        <f>IF(AND(ABS((ChartCalculations!A527-Calculations!$F$3)/Calculations!$F$4)&lt;5,OR(A527&lt;=Calculations!$F$7,A527&gt;=Calculations!$F$8)),0.2*_xlfn.NORM.DIST(100,100,15,FALSE)*_xlfn.NORM.DIST(A527,Calculations!$F$3,Calculations!$F$4,FALSE)/_xlfn.NORM.DIST(Calculations!$F$3,Calculations!$F$3,Calculations!$F$4,FALSE),NA())</f>
        <v>#N/A</v>
      </c>
      <c r="M527" t="e">
        <f>IF(AND(A527&gt;=Calculations!$F$7,A527&lt;=Calculations!$F$8),0.2*_xlfn.NORM.DIST(100,100,15,FALSE)*_xlfn.NORM.DIST(A527,Calculations!$F$3,Calculations!$F$4,FALSE)/_xlfn.NORM.DIST(Calculations!$F$3,Calculations!$F$3,Calculations!$F$4,FALSE),NA())</f>
        <v>#N/A</v>
      </c>
    </row>
    <row r="528" spans="1:13" x14ac:dyDescent="0.25">
      <c r="A528">
        <v>92.600000000000705</v>
      </c>
      <c r="B528" t="e">
        <f t="shared" si="80"/>
        <v>#N/A</v>
      </c>
      <c r="C528" t="e">
        <f t="shared" si="81"/>
        <v>#N/A</v>
      </c>
      <c r="D528" t="e">
        <f t="shared" si="82"/>
        <v>#N/A</v>
      </c>
      <c r="E528" t="e">
        <f t="shared" si="83"/>
        <v>#N/A</v>
      </c>
      <c r="F528">
        <f t="shared" si="84"/>
        <v>2.354886574919493E-2</v>
      </c>
      <c r="G528" t="e">
        <f t="shared" si="85"/>
        <v>#N/A</v>
      </c>
      <c r="H528" t="e">
        <f t="shared" si="86"/>
        <v>#N/A</v>
      </c>
      <c r="I528" t="e">
        <f t="shared" si="87"/>
        <v>#N/A</v>
      </c>
      <c r="J528" t="e">
        <f t="shared" si="88"/>
        <v>#N/A</v>
      </c>
      <c r="K528">
        <f t="shared" si="89"/>
        <v>2.3748865749194929E-2</v>
      </c>
      <c r="L528" t="e">
        <f>IF(AND(ABS((ChartCalculations!A528-Calculations!$F$3)/Calculations!$F$4)&lt;5,OR(A528&lt;=Calculations!$F$7,A528&gt;=Calculations!$F$8)),0.2*_xlfn.NORM.DIST(100,100,15,FALSE)*_xlfn.NORM.DIST(A528,Calculations!$F$3,Calculations!$F$4,FALSE)/_xlfn.NORM.DIST(Calculations!$F$3,Calculations!$F$3,Calculations!$F$4,FALSE),NA())</f>
        <v>#N/A</v>
      </c>
      <c r="M528" t="e">
        <f>IF(AND(A528&gt;=Calculations!$F$7,A528&lt;=Calculations!$F$8),0.2*_xlfn.NORM.DIST(100,100,15,FALSE)*_xlfn.NORM.DIST(A528,Calculations!$F$3,Calculations!$F$4,FALSE)/_xlfn.NORM.DIST(Calculations!$F$3,Calculations!$F$3,Calculations!$F$4,FALSE),NA())</f>
        <v>#N/A</v>
      </c>
    </row>
    <row r="529" spans="1:13" x14ac:dyDescent="0.25">
      <c r="A529">
        <v>92.700000000000699</v>
      </c>
      <c r="B529" t="e">
        <f t="shared" si="80"/>
        <v>#N/A</v>
      </c>
      <c r="C529" t="e">
        <f t="shared" si="81"/>
        <v>#N/A</v>
      </c>
      <c r="D529" t="e">
        <f t="shared" si="82"/>
        <v>#N/A</v>
      </c>
      <c r="E529" t="e">
        <f t="shared" si="83"/>
        <v>#N/A</v>
      </c>
      <c r="F529">
        <f t="shared" si="84"/>
        <v>2.3625917827183745E-2</v>
      </c>
      <c r="G529" t="e">
        <f t="shared" si="85"/>
        <v>#N/A</v>
      </c>
      <c r="H529" t="e">
        <f t="shared" si="86"/>
        <v>#N/A</v>
      </c>
      <c r="I529" t="e">
        <f t="shared" si="87"/>
        <v>#N/A</v>
      </c>
      <c r="J529" t="e">
        <f t="shared" si="88"/>
        <v>#N/A</v>
      </c>
      <c r="K529">
        <f t="shared" si="89"/>
        <v>2.3825917827183744E-2</v>
      </c>
      <c r="L529" t="e">
        <f>IF(AND(ABS((ChartCalculations!A529-Calculations!$F$3)/Calculations!$F$4)&lt;5,OR(A529&lt;=Calculations!$F$7,A529&gt;=Calculations!$F$8)),0.2*_xlfn.NORM.DIST(100,100,15,FALSE)*_xlfn.NORM.DIST(A529,Calculations!$F$3,Calculations!$F$4,FALSE)/_xlfn.NORM.DIST(Calculations!$F$3,Calculations!$F$3,Calculations!$F$4,FALSE),NA())</f>
        <v>#N/A</v>
      </c>
      <c r="M529" t="e">
        <f>IF(AND(A529&gt;=Calculations!$F$7,A529&lt;=Calculations!$F$8),0.2*_xlfn.NORM.DIST(100,100,15,FALSE)*_xlfn.NORM.DIST(A529,Calculations!$F$3,Calculations!$F$4,FALSE)/_xlfn.NORM.DIST(Calculations!$F$3,Calculations!$F$3,Calculations!$F$4,FALSE),NA())</f>
        <v>#N/A</v>
      </c>
    </row>
    <row r="530" spans="1:13" x14ac:dyDescent="0.25">
      <c r="A530">
        <v>92.800000000000793</v>
      </c>
      <c r="B530" t="e">
        <f t="shared" si="80"/>
        <v>#N/A</v>
      </c>
      <c r="C530" t="e">
        <f t="shared" si="81"/>
        <v>#N/A</v>
      </c>
      <c r="D530" t="e">
        <f t="shared" si="82"/>
        <v>#N/A</v>
      </c>
      <c r="E530" t="e">
        <f t="shared" si="83"/>
        <v>#N/A</v>
      </c>
      <c r="F530">
        <f t="shared" si="84"/>
        <v>2.3702168567067073E-2</v>
      </c>
      <c r="G530" t="e">
        <f t="shared" si="85"/>
        <v>#N/A</v>
      </c>
      <c r="H530" t="e">
        <f t="shared" si="86"/>
        <v>#N/A</v>
      </c>
      <c r="I530" t="e">
        <f t="shared" si="87"/>
        <v>#N/A</v>
      </c>
      <c r="J530" t="e">
        <f t="shared" si="88"/>
        <v>#N/A</v>
      </c>
      <c r="K530">
        <f t="shared" si="89"/>
        <v>2.3902168567067072E-2</v>
      </c>
      <c r="L530" t="e">
        <f>IF(AND(ABS((ChartCalculations!A530-Calculations!$F$3)/Calculations!$F$4)&lt;5,OR(A530&lt;=Calculations!$F$7,A530&gt;=Calculations!$F$8)),0.2*_xlfn.NORM.DIST(100,100,15,FALSE)*_xlfn.NORM.DIST(A530,Calculations!$F$3,Calculations!$F$4,FALSE)/_xlfn.NORM.DIST(Calculations!$F$3,Calculations!$F$3,Calculations!$F$4,FALSE),NA())</f>
        <v>#N/A</v>
      </c>
      <c r="M530" t="e">
        <f>IF(AND(A530&gt;=Calculations!$F$7,A530&lt;=Calculations!$F$8),0.2*_xlfn.NORM.DIST(100,100,15,FALSE)*_xlfn.NORM.DIST(A530,Calculations!$F$3,Calculations!$F$4,FALSE)/_xlfn.NORM.DIST(Calculations!$F$3,Calculations!$F$3,Calculations!$F$4,FALSE),NA())</f>
        <v>#N/A</v>
      </c>
    </row>
    <row r="531" spans="1:13" x14ac:dyDescent="0.25">
      <c r="A531">
        <v>92.900000000000801</v>
      </c>
      <c r="B531" t="e">
        <f t="shared" si="80"/>
        <v>#N/A</v>
      </c>
      <c r="C531" t="e">
        <f t="shared" si="81"/>
        <v>#N/A</v>
      </c>
      <c r="D531" t="e">
        <f t="shared" si="82"/>
        <v>#N/A</v>
      </c>
      <c r="E531" t="e">
        <f t="shared" si="83"/>
        <v>#N/A</v>
      </c>
      <c r="F531">
        <f t="shared" si="84"/>
        <v>2.3777608593960671E-2</v>
      </c>
      <c r="G531" t="e">
        <f t="shared" si="85"/>
        <v>#N/A</v>
      </c>
      <c r="H531" t="e">
        <f t="shared" si="86"/>
        <v>#N/A</v>
      </c>
      <c r="I531" t="e">
        <f t="shared" si="87"/>
        <v>#N/A</v>
      </c>
      <c r="J531" t="e">
        <f t="shared" si="88"/>
        <v>#N/A</v>
      </c>
      <c r="K531">
        <f t="shared" si="89"/>
        <v>2.397760859396067E-2</v>
      </c>
      <c r="L531" t="e">
        <f>IF(AND(ABS((ChartCalculations!A531-Calculations!$F$3)/Calculations!$F$4)&lt;5,OR(A531&lt;=Calculations!$F$7,A531&gt;=Calculations!$F$8)),0.2*_xlfn.NORM.DIST(100,100,15,FALSE)*_xlfn.NORM.DIST(A531,Calculations!$F$3,Calculations!$F$4,FALSE)/_xlfn.NORM.DIST(Calculations!$F$3,Calculations!$F$3,Calculations!$F$4,FALSE),NA())</f>
        <v>#N/A</v>
      </c>
      <c r="M531" t="e">
        <f>IF(AND(A531&gt;=Calculations!$F$7,A531&lt;=Calculations!$F$8),0.2*_xlfn.NORM.DIST(100,100,15,FALSE)*_xlfn.NORM.DIST(A531,Calculations!$F$3,Calculations!$F$4,FALSE)/_xlfn.NORM.DIST(Calculations!$F$3,Calculations!$F$3,Calculations!$F$4,FALSE),NA())</f>
        <v>#N/A</v>
      </c>
    </row>
    <row r="532" spans="1:13" x14ac:dyDescent="0.25">
      <c r="A532">
        <v>93.000000000000796</v>
      </c>
      <c r="B532" t="e">
        <f t="shared" si="80"/>
        <v>#N/A</v>
      </c>
      <c r="C532" t="e">
        <f t="shared" si="81"/>
        <v>#N/A</v>
      </c>
      <c r="D532" t="e">
        <f t="shared" si="82"/>
        <v>#N/A</v>
      </c>
      <c r="E532" t="e">
        <f t="shared" si="83"/>
        <v>#N/A</v>
      </c>
      <c r="F532">
        <f t="shared" si="84"/>
        <v>2.3852228611198522E-2</v>
      </c>
      <c r="G532" t="e">
        <f t="shared" si="85"/>
        <v>#N/A</v>
      </c>
      <c r="H532" t="e">
        <f t="shared" si="86"/>
        <v>#N/A</v>
      </c>
      <c r="I532" t="e">
        <f t="shared" si="87"/>
        <v>#N/A</v>
      </c>
      <c r="J532" t="e">
        <f t="shared" si="88"/>
        <v>#N/A</v>
      </c>
      <c r="K532">
        <f t="shared" si="89"/>
        <v>2.4052228611198521E-2</v>
      </c>
      <c r="L532" t="e">
        <f>IF(AND(ABS((ChartCalculations!A532-Calculations!$F$3)/Calculations!$F$4)&lt;5,OR(A532&lt;=Calculations!$F$7,A532&gt;=Calculations!$F$8)),0.2*_xlfn.NORM.DIST(100,100,15,FALSE)*_xlfn.NORM.DIST(A532,Calculations!$F$3,Calculations!$F$4,FALSE)/_xlfn.NORM.DIST(Calculations!$F$3,Calculations!$F$3,Calculations!$F$4,FALSE),NA())</f>
        <v>#N/A</v>
      </c>
      <c r="M532" t="e">
        <f>IF(AND(A532&gt;=Calculations!$F$7,A532&lt;=Calculations!$F$8),0.2*_xlfn.NORM.DIST(100,100,15,FALSE)*_xlfn.NORM.DIST(A532,Calculations!$F$3,Calculations!$F$4,FALSE)/_xlfn.NORM.DIST(Calculations!$F$3,Calculations!$F$3,Calculations!$F$4,FALSE),NA())</f>
        <v>#N/A</v>
      </c>
    </row>
    <row r="533" spans="1:13" x14ac:dyDescent="0.25">
      <c r="A533">
        <v>93.100000000000804</v>
      </c>
      <c r="B533" t="e">
        <f t="shared" si="80"/>
        <v>#N/A</v>
      </c>
      <c r="C533" t="e">
        <f t="shared" si="81"/>
        <v>#N/A</v>
      </c>
      <c r="D533" t="e">
        <f t="shared" si="82"/>
        <v>#N/A</v>
      </c>
      <c r="E533" t="e">
        <f t="shared" si="83"/>
        <v>#N/A</v>
      </c>
      <c r="F533">
        <f t="shared" si="84"/>
        <v>2.39260194022369E-2</v>
      </c>
      <c r="G533" t="e">
        <f t="shared" si="85"/>
        <v>#N/A</v>
      </c>
      <c r="H533" t="e">
        <f t="shared" si="86"/>
        <v>#N/A</v>
      </c>
      <c r="I533" t="e">
        <f t="shared" si="87"/>
        <v>#N/A</v>
      </c>
      <c r="J533" t="e">
        <f t="shared" si="88"/>
        <v>#N/A</v>
      </c>
      <c r="K533">
        <f t="shared" si="89"/>
        <v>2.4126019402236899E-2</v>
      </c>
      <c r="L533" t="e">
        <f>IF(AND(ABS((ChartCalculations!A533-Calculations!$F$3)/Calculations!$F$4)&lt;5,OR(A533&lt;=Calculations!$F$7,A533&gt;=Calculations!$F$8)),0.2*_xlfn.NORM.DIST(100,100,15,FALSE)*_xlfn.NORM.DIST(A533,Calculations!$F$3,Calculations!$F$4,FALSE)/_xlfn.NORM.DIST(Calculations!$F$3,Calculations!$F$3,Calculations!$F$4,FALSE),NA())</f>
        <v>#N/A</v>
      </c>
      <c r="M533" t="e">
        <f>IF(AND(A533&gt;=Calculations!$F$7,A533&lt;=Calculations!$F$8),0.2*_xlfn.NORM.DIST(100,100,15,FALSE)*_xlfn.NORM.DIST(A533,Calculations!$F$3,Calculations!$F$4,FALSE)/_xlfn.NORM.DIST(Calculations!$F$3,Calculations!$F$3,Calculations!$F$4,FALSE),NA())</f>
        <v>#N/A</v>
      </c>
    </row>
    <row r="534" spans="1:13" x14ac:dyDescent="0.25">
      <c r="A534">
        <v>93.200000000000799</v>
      </c>
      <c r="B534" t="e">
        <f t="shared" si="80"/>
        <v>#N/A</v>
      </c>
      <c r="C534" t="e">
        <f t="shared" si="81"/>
        <v>#N/A</v>
      </c>
      <c r="D534" t="e">
        <f t="shared" si="82"/>
        <v>#N/A</v>
      </c>
      <c r="E534" t="e">
        <f t="shared" si="83"/>
        <v>#N/A</v>
      </c>
      <c r="F534">
        <f t="shared" si="84"/>
        <v>2.3998971832546789E-2</v>
      </c>
      <c r="G534" t="e">
        <f t="shared" si="85"/>
        <v>#N/A</v>
      </c>
      <c r="H534" t="e">
        <f t="shared" si="86"/>
        <v>#N/A</v>
      </c>
      <c r="I534" t="e">
        <f t="shared" si="87"/>
        <v>#N/A</v>
      </c>
      <c r="J534" t="e">
        <f t="shared" si="88"/>
        <v>#N/A</v>
      </c>
      <c r="K534">
        <f t="shared" si="89"/>
        <v>2.4198971832546788E-2</v>
      </c>
      <c r="L534" t="e">
        <f>IF(AND(ABS((ChartCalculations!A534-Calculations!$F$3)/Calculations!$F$4)&lt;5,OR(A534&lt;=Calculations!$F$7,A534&gt;=Calculations!$F$8)),0.2*_xlfn.NORM.DIST(100,100,15,FALSE)*_xlfn.NORM.DIST(A534,Calculations!$F$3,Calculations!$F$4,FALSE)/_xlfn.NORM.DIST(Calculations!$F$3,Calculations!$F$3,Calculations!$F$4,FALSE),NA())</f>
        <v>#N/A</v>
      </c>
      <c r="M534" t="e">
        <f>IF(AND(A534&gt;=Calculations!$F$7,A534&lt;=Calculations!$F$8),0.2*_xlfn.NORM.DIST(100,100,15,FALSE)*_xlfn.NORM.DIST(A534,Calculations!$F$3,Calculations!$F$4,FALSE)/_xlfn.NORM.DIST(Calculations!$F$3,Calculations!$F$3,Calculations!$F$4,FALSE),NA())</f>
        <v>#N/A</v>
      </c>
    </row>
    <row r="535" spans="1:13" x14ac:dyDescent="0.25">
      <c r="A535">
        <v>93.300000000000793</v>
      </c>
      <c r="B535" t="e">
        <f t="shared" si="80"/>
        <v>#N/A</v>
      </c>
      <c r="C535" t="e">
        <f t="shared" si="81"/>
        <v>#N/A</v>
      </c>
      <c r="D535" t="e">
        <f t="shared" si="82"/>
        <v>#N/A</v>
      </c>
      <c r="E535" t="e">
        <f t="shared" si="83"/>
        <v>#N/A</v>
      </c>
      <c r="F535">
        <f t="shared" si="84"/>
        <v>2.4071076851494084E-2</v>
      </c>
      <c r="G535" t="e">
        <f t="shared" si="85"/>
        <v>#N/A</v>
      </c>
      <c r="H535" t="e">
        <f t="shared" si="86"/>
        <v>#N/A</v>
      </c>
      <c r="I535" t="e">
        <f t="shared" si="87"/>
        <v>#N/A</v>
      </c>
      <c r="J535" t="e">
        <f t="shared" si="88"/>
        <v>#N/A</v>
      </c>
      <c r="K535">
        <f t="shared" si="89"/>
        <v>2.4271076851494083E-2</v>
      </c>
      <c r="L535" t="e">
        <f>IF(AND(ABS((ChartCalculations!A535-Calculations!$F$3)/Calculations!$F$4)&lt;5,OR(A535&lt;=Calculations!$F$7,A535&gt;=Calculations!$F$8)),0.2*_xlfn.NORM.DIST(100,100,15,FALSE)*_xlfn.NORM.DIST(A535,Calculations!$F$3,Calculations!$F$4,FALSE)/_xlfn.NORM.DIST(Calculations!$F$3,Calculations!$F$3,Calculations!$F$4,FALSE),NA())</f>
        <v>#N/A</v>
      </c>
      <c r="M535" t="e">
        <f>IF(AND(A535&gt;=Calculations!$F$7,A535&lt;=Calculations!$F$8),0.2*_xlfn.NORM.DIST(100,100,15,FALSE)*_xlfn.NORM.DIST(A535,Calculations!$F$3,Calculations!$F$4,FALSE)/_xlfn.NORM.DIST(Calculations!$F$3,Calculations!$F$3,Calculations!$F$4,FALSE),NA())</f>
        <v>#N/A</v>
      </c>
    </row>
    <row r="536" spans="1:13" x14ac:dyDescent="0.25">
      <c r="A536">
        <v>93.400000000000801</v>
      </c>
      <c r="B536" t="e">
        <f t="shared" si="80"/>
        <v>#N/A</v>
      </c>
      <c r="C536" t="e">
        <f t="shared" si="81"/>
        <v>#N/A</v>
      </c>
      <c r="D536" t="e">
        <f t="shared" si="82"/>
        <v>#N/A</v>
      </c>
      <c r="E536" t="e">
        <f t="shared" si="83"/>
        <v>#N/A</v>
      </c>
      <c r="F536">
        <f t="shared" si="84"/>
        <v>2.4142325494206716E-2</v>
      </c>
      <c r="G536" t="e">
        <f t="shared" si="85"/>
        <v>#N/A</v>
      </c>
      <c r="H536" t="e">
        <f t="shared" si="86"/>
        <v>#N/A</v>
      </c>
      <c r="I536" t="e">
        <f t="shared" si="87"/>
        <v>#N/A</v>
      </c>
      <c r="J536" t="e">
        <f t="shared" si="88"/>
        <v>#N/A</v>
      </c>
      <c r="K536">
        <f t="shared" si="89"/>
        <v>2.4342325494206715E-2</v>
      </c>
      <c r="L536" t="e">
        <f>IF(AND(ABS((ChartCalculations!A536-Calculations!$F$3)/Calculations!$F$4)&lt;5,OR(A536&lt;=Calculations!$F$7,A536&gt;=Calculations!$F$8)),0.2*_xlfn.NORM.DIST(100,100,15,FALSE)*_xlfn.NORM.DIST(A536,Calculations!$F$3,Calculations!$F$4,FALSE)/_xlfn.NORM.DIST(Calculations!$F$3,Calculations!$F$3,Calculations!$F$4,FALSE),NA())</f>
        <v>#N/A</v>
      </c>
      <c r="M536" t="e">
        <f>IF(AND(A536&gt;=Calculations!$F$7,A536&lt;=Calculations!$F$8),0.2*_xlfn.NORM.DIST(100,100,15,FALSE)*_xlfn.NORM.DIST(A536,Calculations!$F$3,Calculations!$F$4,FALSE)/_xlfn.NORM.DIST(Calculations!$F$3,Calculations!$F$3,Calculations!$F$4,FALSE),NA())</f>
        <v>#N/A</v>
      </c>
    </row>
    <row r="537" spans="1:13" x14ac:dyDescent="0.25">
      <c r="A537">
        <v>93.500000000000796</v>
      </c>
      <c r="B537" t="e">
        <f t="shared" si="80"/>
        <v>#N/A</v>
      </c>
      <c r="C537" t="e">
        <f t="shared" si="81"/>
        <v>#N/A</v>
      </c>
      <c r="D537" t="e">
        <f t="shared" si="82"/>
        <v>#N/A</v>
      </c>
      <c r="E537" t="e">
        <f t="shared" si="83"/>
        <v>#N/A</v>
      </c>
      <c r="F537">
        <f t="shared" si="84"/>
        <v>2.4212708883428424E-2</v>
      </c>
      <c r="G537" t="e">
        <f t="shared" si="85"/>
        <v>#N/A</v>
      </c>
      <c r="H537" t="e">
        <f t="shared" si="86"/>
        <v>#N/A</v>
      </c>
      <c r="I537" t="e">
        <f t="shared" si="87"/>
        <v>#N/A</v>
      </c>
      <c r="J537" t="e">
        <f t="shared" si="88"/>
        <v>#N/A</v>
      </c>
      <c r="K537">
        <f t="shared" si="89"/>
        <v>2.4412708883428422E-2</v>
      </c>
      <c r="L537" t="e">
        <f>IF(AND(ABS((ChartCalculations!A537-Calculations!$F$3)/Calculations!$F$4)&lt;5,OR(A537&lt;=Calculations!$F$7,A537&gt;=Calculations!$F$8)),0.2*_xlfn.NORM.DIST(100,100,15,FALSE)*_xlfn.NORM.DIST(A537,Calculations!$F$3,Calculations!$F$4,FALSE)/_xlfn.NORM.DIST(Calculations!$F$3,Calculations!$F$3,Calculations!$F$4,FALSE),NA())</f>
        <v>#N/A</v>
      </c>
      <c r="M537" t="e">
        <f>IF(AND(A537&gt;=Calculations!$F$7,A537&lt;=Calculations!$F$8),0.2*_xlfn.NORM.DIST(100,100,15,FALSE)*_xlfn.NORM.DIST(A537,Calculations!$F$3,Calculations!$F$4,FALSE)/_xlfn.NORM.DIST(Calculations!$F$3,Calculations!$F$3,Calculations!$F$4,FALSE),NA())</f>
        <v>#N/A</v>
      </c>
    </row>
    <row r="538" spans="1:13" x14ac:dyDescent="0.25">
      <c r="A538">
        <v>93.600000000000804</v>
      </c>
      <c r="B538" t="e">
        <f t="shared" si="80"/>
        <v>#N/A</v>
      </c>
      <c r="C538" t="e">
        <f t="shared" si="81"/>
        <v>#N/A</v>
      </c>
      <c r="D538" t="e">
        <f t="shared" si="82"/>
        <v>#N/A</v>
      </c>
      <c r="E538" t="e">
        <f t="shared" si="83"/>
        <v>#N/A</v>
      </c>
      <c r="F538">
        <f t="shared" si="84"/>
        <v>2.428221823135859E-2</v>
      </c>
      <c r="G538" t="e">
        <f t="shared" si="85"/>
        <v>#N/A</v>
      </c>
      <c r="H538" t="e">
        <f t="shared" si="86"/>
        <v>#N/A</v>
      </c>
      <c r="I538" t="e">
        <f t="shared" si="87"/>
        <v>#N/A</v>
      </c>
      <c r="J538" t="e">
        <f t="shared" si="88"/>
        <v>#N/A</v>
      </c>
      <c r="K538">
        <f t="shared" si="89"/>
        <v>2.4482218231358589E-2</v>
      </c>
      <c r="L538" t="e">
        <f>IF(AND(ABS((ChartCalculations!A538-Calculations!$F$3)/Calculations!$F$4)&lt;5,OR(A538&lt;=Calculations!$F$7,A538&gt;=Calculations!$F$8)),0.2*_xlfn.NORM.DIST(100,100,15,FALSE)*_xlfn.NORM.DIST(A538,Calculations!$F$3,Calculations!$F$4,FALSE)/_xlfn.NORM.DIST(Calculations!$F$3,Calculations!$F$3,Calculations!$F$4,FALSE),NA())</f>
        <v>#N/A</v>
      </c>
      <c r="M538" t="e">
        <f>IF(AND(A538&gt;=Calculations!$F$7,A538&lt;=Calculations!$F$8),0.2*_xlfn.NORM.DIST(100,100,15,FALSE)*_xlfn.NORM.DIST(A538,Calculations!$F$3,Calculations!$F$4,FALSE)/_xlfn.NORM.DIST(Calculations!$F$3,Calculations!$F$3,Calculations!$F$4,FALSE),NA())</f>
        <v>#N/A</v>
      </c>
    </row>
    <row r="539" spans="1:13" x14ac:dyDescent="0.25">
      <c r="A539">
        <v>93.700000000000799</v>
      </c>
      <c r="B539" t="e">
        <f t="shared" si="80"/>
        <v>#N/A</v>
      </c>
      <c r="C539" t="e">
        <f t="shared" si="81"/>
        <v>#N/A</v>
      </c>
      <c r="D539" t="e">
        <f t="shared" si="82"/>
        <v>#N/A</v>
      </c>
      <c r="E539" t="e">
        <f t="shared" si="83"/>
        <v>#N/A</v>
      </c>
      <c r="F539">
        <f t="shared" si="84"/>
        <v>2.4350844841477471E-2</v>
      </c>
      <c r="G539" t="e">
        <f t="shared" si="85"/>
        <v>#N/A</v>
      </c>
      <c r="H539" t="e">
        <f t="shared" si="86"/>
        <v>#N/A</v>
      </c>
      <c r="I539" t="e">
        <f t="shared" si="87"/>
        <v>#N/A</v>
      </c>
      <c r="J539" t="e">
        <f t="shared" si="88"/>
        <v>#N/A</v>
      </c>
      <c r="K539">
        <f t="shared" si="89"/>
        <v>2.455084484147747E-2</v>
      </c>
      <c r="L539" t="e">
        <f>IF(AND(ABS((ChartCalculations!A539-Calculations!$F$3)/Calculations!$F$4)&lt;5,OR(A539&lt;=Calculations!$F$7,A539&gt;=Calculations!$F$8)),0.2*_xlfn.NORM.DIST(100,100,15,FALSE)*_xlfn.NORM.DIST(A539,Calculations!$F$3,Calculations!$F$4,FALSE)/_xlfn.NORM.DIST(Calculations!$F$3,Calculations!$F$3,Calculations!$F$4,FALSE),NA())</f>
        <v>#N/A</v>
      </c>
      <c r="M539" t="e">
        <f>IF(AND(A539&gt;=Calculations!$F$7,A539&lt;=Calculations!$F$8),0.2*_xlfn.NORM.DIST(100,100,15,FALSE)*_xlfn.NORM.DIST(A539,Calculations!$F$3,Calculations!$F$4,FALSE)/_xlfn.NORM.DIST(Calculations!$F$3,Calculations!$F$3,Calculations!$F$4,FALSE),NA())</f>
        <v>#N/A</v>
      </c>
    </row>
    <row r="540" spans="1:13" x14ac:dyDescent="0.25">
      <c r="A540">
        <v>93.800000000000793</v>
      </c>
      <c r="B540" t="e">
        <f t="shared" si="80"/>
        <v>#N/A</v>
      </c>
      <c r="C540" t="e">
        <f t="shared" si="81"/>
        <v>#N/A</v>
      </c>
      <c r="D540" t="e">
        <f t="shared" si="82"/>
        <v>#N/A</v>
      </c>
      <c r="E540" t="e">
        <f t="shared" si="83"/>
        <v>#N/A</v>
      </c>
      <c r="F540">
        <f t="shared" si="84"/>
        <v>2.4418580110356511E-2</v>
      </c>
      <c r="G540" t="e">
        <f t="shared" si="85"/>
        <v>#N/A</v>
      </c>
      <c r="H540" t="e">
        <f t="shared" si="86"/>
        <v>#N/A</v>
      </c>
      <c r="I540" t="e">
        <f t="shared" si="87"/>
        <v>#N/A</v>
      </c>
      <c r="J540" t="e">
        <f t="shared" si="88"/>
        <v>#N/A</v>
      </c>
      <c r="K540">
        <f t="shared" si="89"/>
        <v>2.461858011035651E-2</v>
      </c>
      <c r="L540" t="e">
        <f>IF(AND(ABS((ChartCalculations!A540-Calculations!$F$3)/Calculations!$F$4)&lt;5,OR(A540&lt;=Calculations!$F$7,A540&gt;=Calculations!$F$8)),0.2*_xlfn.NORM.DIST(100,100,15,FALSE)*_xlfn.NORM.DIST(A540,Calculations!$F$3,Calculations!$F$4,FALSE)/_xlfn.NORM.DIST(Calculations!$F$3,Calculations!$F$3,Calculations!$F$4,FALSE),NA())</f>
        <v>#N/A</v>
      </c>
      <c r="M540" t="e">
        <f>IF(AND(A540&gt;=Calculations!$F$7,A540&lt;=Calculations!$F$8),0.2*_xlfn.NORM.DIST(100,100,15,FALSE)*_xlfn.NORM.DIST(A540,Calculations!$F$3,Calculations!$F$4,FALSE)/_xlfn.NORM.DIST(Calculations!$F$3,Calculations!$F$3,Calculations!$F$4,FALSE),NA())</f>
        <v>#N/A</v>
      </c>
    </row>
    <row r="541" spans="1:13" x14ac:dyDescent="0.25">
      <c r="A541">
        <v>93.900000000000801</v>
      </c>
      <c r="B541" t="e">
        <f t="shared" si="80"/>
        <v>#N/A</v>
      </c>
      <c r="C541" t="e">
        <f t="shared" si="81"/>
        <v>#N/A</v>
      </c>
      <c r="D541" t="e">
        <f t="shared" si="82"/>
        <v>#N/A</v>
      </c>
      <c r="E541" t="e">
        <f t="shared" si="83"/>
        <v>#N/A</v>
      </c>
      <c r="F541">
        <f t="shared" si="84"/>
        <v>2.4485415529453013E-2</v>
      </c>
      <c r="G541" t="e">
        <f t="shared" si="85"/>
        <v>#N/A</v>
      </c>
      <c r="H541" t="e">
        <f t="shared" si="86"/>
        <v>#N/A</v>
      </c>
      <c r="I541" t="e">
        <f t="shared" si="87"/>
        <v>#N/A</v>
      </c>
      <c r="J541" t="e">
        <f t="shared" si="88"/>
        <v>#N/A</v>
      </c>
      <c r="K541">
        <f t="shared" si="89"/>
        <v>2.4685415529453011E-2</v>
      </c>
      <c r="L541" t="e">
        <f>IF(AND(ABS((ChartCalculations!A541-Calculations!$F$3)/Calculations!$F$4)&lt;5,OR(A541&lt;=Calculations!$F$7,A541&gt;=Calculations!$F$8)),0.2*_xlfn.NORM.DIST(100,100,15,FALSE)*_xlfn.NORM.DIST(A541,Calculations!$F$3,Calculations!$F$4,FALSE)/_xlfn.NORM.DIST(Calculations!$F$3,Calculations!$F$3,Calculations!$F$4,FALSE),NA())</f>
        <v>#N/A</v>
      </c>
      <c r="M541" t="e">
        <f>IF(AND(A541&gt;=Calculations!$F$7,A541&lt;=Calculations!$F$8),0.2*_xlfn.NORM.DIST(100,100,15,FALSE)*_xlfn.NORM.DIST(A541,Calculations!$F$3,Calculations!$F$4,FALSE)/_xlfn.NORM.DIST(Calculations!$F$3,Calculations!$F$3,Calculations!$F$4,FALSE),NA())</f>
        <v>#N/A</v>
      </c>
    </row>
    <row r="542" spans="1:13" x14ac:dyDescent="0.25">
      <c r="A542">
        <v>94.000000000000796</v>
      </c>
      <c r="B542" t="e">
        <f t="shared" si="80"/>
        <v>#N/A</v>
      </c>
      <c r="C542" t="e">
        <f t="shared" si="81"/>
        <v>#N/A</v>
      </c>
      <c r="D542" t="e">
        <f t="shared" si="82"/>
        <v>#N/A</v>
      </c>
      <c r="E542" t="e">
        <f t="shared" si="83"/>
        <v>#N/A</v>
      </c>
      <c r="F542">
        <f t="shared" si="84"/>
        <v>2.4551342686888744E-2</v>
      </c>
      <c r="G542" t="e">
        <f t="shared" si="85"/>
        <v>#N/A</v>
      </c>
      <c r="H542" t="e">
        <f t="shared" si="86"/>
        <v>#N/A</v>
      </c>
      <c r="I542" t="e">
        <f t="shared" si="87"/>
        <v>#N/A</v>
      </c>
      <c r="J542" t="e">
        <f t="shared" si="88"/>
        <v>#N/A</v>
      </c>
      <c r="K542">
        <f t="shared" si="89"/>
        <v>2.4751342686888743E-2</v>
      </c>
      <c r="L542" t="e">
        <f>IF(AND(ABS((ChartCalculations!A542-Calculations!$F$3)/Calculations!$F$4)&lt;5,OR(A542&lt;=Calculations!$F$7,A542&gt;=Calculations!$F$8)),0.2*_xlfn.NORM.DIST(100,100,15,FALSE)*_xlfn.NORM.DIST(A542,Calculations!$F$3,Calculations!$F$4,FALSE)/_xlfn.NORM.DIST(Calculations!$F$3,Calculations!$F$3,Calculations!$F$4,FALSE),NA())</f>
        <v>#N/A</v>
      </c>
      <c r="M542" t="e">
        <f>IF(AND(A542&gt;=Calculations!$F$7,A542&lt;=Calculations!$F$8),0.2*_xlfn.NORM.DIST(100,100,15,FALSE)*_xlfn.NORM.DIST(A542,Calculations!$F$3,Calculations!$F$4,FALSE)/_xlfn.NORM.DIST(Calculations!$F$3,Calculations!$F$3,Calculations!$F$4,FALSE),NA())</f>
        <v>#N/A</v>
      </c>
    </row>
    <row r="543" spans="1:13" x14ac:dyDescent="0.25">
      <c r="A543">
        <v>94.100000000000804</v>
      </c>
      <c r="B543" t="e">
        <f t="shared" si="80"/>
        <v>#N/A</v>
      </c>
      <c r="C543" t="e">
        <f t="shared" si="81"/>
        <v>#N/A</v>
      </c>
      <c r="D543" t="e">
        <f t="shared" si="82"/>
        <v>#N/A</v>
      </c>
      <c r="E543" t="e">
        <f t="shared" si="83"/>
        <v>#N/A</v>
      </c>
      <c r="F543">
        <f t="shared" si="84"/>
        <v>2.461635326921198E-2</v>
      </c>
      <c r="G543" t="e">
        <f t="shared" si="85"/>
        <v>#N/A</v>
      </c>
      <c r="H543" t="e">
        <f t="shared" si="86"/>
        <v>#N/A</v>
      </c>
      <c r="I543" t="e">
        <f t="shared" si="87"/>
        <v>#N/A</v>
      </c>
      <c r="J543" t="e">
        <f t="shared" si="88"/>
        <v>#N/A</v>
      </c>
      <c r="K543">
        <f t="shared" si="89"/>
        <v>2.4816353269211978E-2</v>
      </c>
      <c r="L543" t="e">
        <f>IF(AND(ABS((ChartCalculations!A543-Calculations!$F$3)/Calculations!$F$4)&lt;5,OR(A543&lt;=Calculations!$F$7,A543&gt;=Calculations!$F$8)),0.2*_xlfn.NORM.DIST(100,100,15,FALSE)*_xlfn.NORM.DIST(A543,Calculations!$F$3,Calculations!$F$4,FALSE)/_xlfn.NORM.DIST(Calculations!$F$3,Calculations!$F$3,Calculations!$F$4,FALSE),NA())</f>
        <v>#N/A</v>
      </c>
      <c r="M543" t="e">
        <f>IF(AND(A543&gt;=Calculations!$F$7,A543&lt;=Calculations!$F$8),0.2*_xlfn.NORM.DIST(100,100,15,FALSE)*_xlfn.NORM.DIST(A543,Calculations!$F$3,Calculations!$F$4,FALSE)/_xlfn.NORM.DIST(Calculations!$F$3,Calculations!$F$3,Calculations!$F$4,FALSE),NA())</f>
        <v>#N/A</v>
      </c>
    </row>
    <row r="544" spans="1:13" x14ac:dyDescent="0.25">
      <c r="A544">
        <v>94.200000000000799</v>
      </c>
      <c r="B544" t="e">
        <f t="shared" si="80"/>
        <v>#N/A</v>
      </c>
      <c r="C544" t="e">
        <f t="shared" si="81"/>
        <v>#N/A</v>
      </c>
      <c r="D544" t="e">
        <f t="shared" si="82"/>
        <v>#N/A</v>
      </c>
      <c r="E544" t="e">
        <f t="shared" si="83"/>
        <v>#N/A</v>
      </c>
      <c r="F544">
        <f t="shared" si="84"/>
        <v>2.4680439063142368E-2</v>
      </c>
      <c r="G544" t="e">
        <f t="shared" si="85"/>
        <v>#N/A</v>
      </c>
      <c r="H544" t="e">
        <f t="shared" si="86"/>
        <v>#N/A</v>
      </c>
      <c r="I544" t="e">
        <f t="shared" si="87"/>
        <v>#N/A</v>
      </c>
      <c r="J544" t="e">
        <f t="shared" si="88"/>
        <v>#N/A</v>
      </c>
      <c r="K544">
        <f t="shared" si="89"/>
        <v>2.4880439063142367E-2</v>
      </c>
      <c r="L544" t="e">
        <f>IF(AND(ABS((ChartCalculations!A544-Calculations!$F$3)/Calculations!$F$4)&lt;5,OR(A544&lt;=Calculations!$F$7,A544&gt;=Calculations!$F$8)),0.2*_xlfn.NORM.DIST(100,100,15,FALSE)*_xlfn.NORM.DIST(A544,Calculations!$F$3,Calculations!$F$4,FALSE)/_xlfn.NORM.DIST(Calculations!$F$3,Calculations!$F$3,Calculations!$F$4,FALSE),NA())</f>
        <v>#N/A</v>
      </c>
      <c r="M544" t="e">
        <f>IF(AND(A544&gt;=Calculations!$F$7,A544&lt;=Calculations!$F$8),0.2*_xlfn.NORM.DIST(100,100,15,FALSE)*_xlfn.NORM.DIST(A544,Calculations!$F$3,Calculations!$F$4,FALSE)/_xlfn.NORM.DIST(Calculations!$F$3,Calculations!$F$3,Calculations!$F$4,FALSE),NA())</f>
        <v>#N/A</v>
      </c>
    </row>
    <row r="545" spans="1:13" x14ac:dyDescent="0.25">
      <c r="A545">
        <v>94.300000000000793</v>
      </c>
      <c r="B545" t="e">
        <f t="shared" si="80"/>
        <v>#N/A</v>
      </c>
      <c r="C545" t="e">
        <f t="shared" si="81"/>
        <v>#N/A</v>
      </c>
      <c r="D545" t="e">
        <f t="shared" si="82"/>
        <v>#N/A</v>
      </c>
      <c r="E545" t="e">
        <f t="shared" si="83"/>
        <v>#N/A</v>
      </c>
      <c r="F545">
        <f t="shared" si="84"/>
        <v>2.4743591957298233E-2</v>
      </c>
      <c r="G545" t="e">
        <f t="shared" si="85"/>
        <v>#N/A</v>
      </c>
      <c r="H545" t="e">
        <f t="shared" si="86"/>
        <v>#N/A</v>
      </c>
      <c r="I545" t="e">
        <f t="shared" si="87"/>
        <v>#N/A</v>
      </c>
      <c r="J545" t="e">
        <f t="shared" si="88"/>
        <v>#N/A</v>
      </c>
      <c r="K545">
        <f t="shared" si="89"/>
        <v>2.4943591957298231E-2</v>
      </c>
      <c r="L545" t="e">
        <f>IF(AND(ABS((ChartCalculations!A545-Calculations!$F$3)/Calculations!$F$4)&lt;5,OR(A545&lt;=Calculations!$F$7,A545&gt;=Calculations!$F$8)),0.2*_xlfn.NORM.DIST(100,100,15,FALSE)*_xlfn.NORM.DIST(A545,Calculations!$F$3,Calculations!$F$4,FALSE)/_xlfn.NORM.DIST(Calculations!$F$3,Calculations!$F$3,Calculations!$F$4,FALSE),NA())</f>
        <v>#N/A</v>
      </c>
      <c r="M545" t="e">
        <f>IF(AND(A545&gt;=Calculations!$F$7,A545&lt;=Calculations!$F$8),0.2*_xlfn.NORM.DIST(100,100,15,FALSE)*_xlfn.NORM.DIST(A545,Calculations!$F$3,Calculations!$F$4,FALSE)/_xlfn.NORM.DIST(Calculations!$F$3,Calculations!$F$3,Calculations!$F$4,FALSE),NA())</f>
        <v>#N/A</v>
      </c>
    </row>
    <row r="546" spans="1:13" x14ac:dyDescent="0.25">
      <c r="A546">
        <v>94.400000000000801</v>
      </c>
      <c r="B546" t="e">
        <f t="shared" si="80"/>
        <v>#N/A</v>
      </c>
      <c r="C546" t="e">
        <f t="shared" si="81"/>
        <v>#N/A</v>
      </c>
      <c r="D546" t="e">
        <f t="shared" si="82"/>
        <v>#N/A</v>
      </c>
      <c r="E546" t="e">
        <f t="shared" si="83"/>
        <v>#N/A</v>
      </c>
      <c r="F546">
        <f t="shared" si="84"/>
        <v>2.4805803943905674E-2</v>
      </c>
      <c r="G546" t="e">
        <f t="shared" si="85"/>
        <v>#N/A</v>
      </c>
      <c r="H546" t="e">
        <f t="shared" si="86"/>
        <v>#N/A</v>
      </c>
      <c r="I546" t="e">
        <f t="shared" si="87"/>
        <v>#N/A</v>
      </c>
      <c r="J546" t="e">
        <f t="shared" si="88"/>
        <v>#N/A</v>
      </c>
      <c r="K546">
        <f t="shared" si="89"/>
        <v>2.5005803943905672E-2</v>
      </c>
      <c r="L546" t="e">
        <f>IF(AND(ABS((ChartCalculations!A546-Calculations!$F$3)/Calculations!$F$4)&lt;5,OR(A546&lt;=Calculations!$F$7,A546&gt;=Calculations!$F$8)),0.2*_xlfn.NORM.DIST(100,100,15,FALSE)*_xlfn.NORM.DIST(A546,Calculations!$F$3,Calculations!$F$4,FALSE)/_xlfn.NORM.DIST(Calculations!$F$3,Calculations!$F$3,Calculations!$F$4,FALSE),NA())</f>
        <v>#N/A</v>
      </c>
      <c r="M546" t="e">
        <f>IF(AND(A546&gt;=Calculations!$F$7,A546&lt;=Calculations!$F$8),0.2*_xlfn.NORM.DIST(100,100,15,FALSE)*_xlfn.NORM.DIST(A546,Calculations!$F$3,Calculations!$F$4,FALSE)/_xlfn.NORM.DIST(Calculations!$F$3,Calculations!$F$3,Calculations!$F$4,FALSE),NA())</f>
        <v>#N/A</v>
      </c>
    </row>
    <row r="547" spans="1:13" x14ac:dyDescent="0.25">
      <c r="A547">
        <v>94.500000000000796</v>
      </c>
      <c r="B547" t="e">
        <f t="shared" si="80"/>
        <v>#N/A</v>
      </c>
      <c r="C547" t="e">
        <f t="shared" si="81"/>
        <v>#N/A</v>
      </c>
      <c r="D547" t="e">
        <f t="shared" si="82"/>
        <v>#N/A</v>
      </c>
      <c r="E547" t="e">
        <f t="shared" si="83"/>
        <v>#N/A</v>
      </c>
      <c r="F547">
        <f t="shared" si="84"/>
        <v>2.4867067120489052E-2</v>
      </c>
      <c r="G547" t="e">
        <f t="shared" si="85"/>
        <v>#N/A</v>
      </c>
      <c r="H547" t="e">
        <f t="shared" si="86"/>
        <v>#N/A</v>
      </c>
      <c r="I547" t="e">
        <f t="shared" si="87"/>
        <v>#N/A</v>
      </c>
      <c r="J547" t="e">
        <f t="shared" si="88"/>
        <v>#N/A</v>
      </c>
      <c r="K547">
        <f t="shared" si="89"/>
        <v>2.5067067120489051E-2</v>
      </c>
      <c r="L547" t="e">
        <f>IF(AND(ABS((ChartCalculations!A547-Calculations!$F$3)/Calculations!$F$4)&lt;5,OR(A547&lt;=Calculations!$F$7,A547&gt;=Calculations!$F$8)),0.2*_xlfn.NORM.DIST(100,100,15,FALSE)*_xlfn.NORM.DIST(A547,Calculations!$F$3,Calculations!$F$4,FALSE)/_xlfn.NORM.DIST(Calculations!$F$3,Calculations!$F$3,Calculations!$F$4,FALSE),NA())</f>
        <v>#N/A</v>
      </c>
      <c r="M547" t="e">
        <f>IF(AND(A547&gt;=Calculations!$F$7,A547&lt;=Calculations!$F$8),0.2*_xlfn.NORM.DIST(100,100,15,FALSE)*_xlfn.NORM.DIST(A547,Calculations!$F$3,Calculations!$F$4,FALSE)/_xlfn.NORM.DIST(Calculations!$F$3,Calculations!$F$3,Calculations!$F$4,FALSE),NA())</f>
        <v>#N/A</v>
      </c>
    </row>
    <row r="548" spans="1:13" x14ac:dyDescent="0.25">
      <c r="A548">
        <v>94.600000000000804</v>
      </c>
      <c r="B548" t="e">
        <f t="shared" si="80"/>
        <v>#N/A</v>
      </c>
      <c r="C548" t="e">
        <f t="shared" si="81"/>
        <v>#N/A</v>
      </c>
      <c r="D548" t="e">
        <f t="shared" si="82"/>
        <v>#N/A</v>
      </c>
      <c r="E548" t="e">
        <f t="shared" si="83"/>
        <v>#N/A</v>
      </c>
      <c r="F548">
        <f t="shared" si="84"/>
        <v>2.4927373691542375E-2</v>
      </c>
      <c r="G548" t="e">
        <f t="shared" si="85"/>
        <v>#N/A</v>
      </c>
      <c r="H548" t="e">
        <f t="shared" si="86"/>
        <v>#N/A</v>
      </c>
      <c r="I548" t="e">
        <f t="shared" si="87"/>
        <v>#N/A</v>
      </c>
      <c r="J548" t="e">
        <f t="shared" si="88"/>
        <v>#N/A</v>
      </c>
      <c r="K548">
        <f t="shared" si="89"/>
        <v>2.5127373691542373E-2</v>
      </c>
      <c r="L548" t="e">
        <f>IF(AND(ABS((ChartCalculations!A548-Calculations!$F$3)/Calculations!$F$4)&lt;5,OR(A548&lt;=Calculations!$F$7,A548&gt;=Calculations!$F$8)),0.2*_xlfn.NORM.DIST(100,100,15,FALSE)*_xlfn.NORM.DIST(A548,Calculations!$F$3,Calculations!$F$4,FALSE)/_xlfn.NORM.DIST(Calculations!$F$3,Calculations!$F$3,Calculations!$F$4,FALSE),NA())</f>
        <v>#N/A</v>
      </c>
      <c r="M548" t="e">
        <f>IF(AND(A548&gt;=Calculations!$F$7,A548&lt;=Calculations!$F$8),0.2*_xlfn.NORM.DIST(100,100,15,FALSE)*_xlfn.NORM.DIST(A548,Calculations!$F$3,Calculations!$F$4,FALSE)/_xlfn.NORM.DIST(Calculations!$F$3,Calculations!$F$3,Calculations!$F$4,FALSE),NA())</f>
        <v>#N/A</v>
      </c>
    </row>
    <row r="549" spans="1:13" x14ac:dyDescent="0.25">
      <c r="A549">
        <v>94.700000000000799</v>
      </c>
      <c r="B549" t="e">
        <f t="shared" si="80"/>
        <v>#N/A</v>
      </c>
      <c r="C549" t="e">
        <f t="shared" si="81"/>
        <v>#N/A</v>
      </c>
      <c r="D549" t="e">
        <f t="shared" si="82"/>
        <v>#N/A</v>
      </c>
      <c r="E549" t="e">
        <f t="shared" si="83"/>
        <v>#N/A</v>
      </c>
      <c r="F549">
        <f t="shared" si="84"/>
        <v>2.4986715970180942E-2</v>
      </c>
      <c r="G549" t="e">
        <f t="shared" si="85"/>
        <v>#N/A</v>
      </c>
      <c r="H549" t="e">
        <f t="shared" si="86"/>
        <v>#N/A</v>
      </c>
      <c r="I549" t="e">
        <f t="shared" si="87"/>
        <v>#N/A</v>
      </c>
      <c r="J549" t="e">
        <f t="shared" si="88"/>
        <v>#N/A</v>
      </c>
      <c r="K549">
        <f t="shared" si="89"/>
        <v>2.5186715970180941E-2</v>
      </c>
      <c r="L549" t="e">
        <f>IF(AND(ABS((ChartCalculations!A549-Calculations!$F$3)/Calculations!$F$4)&lt;5,OR(A549&lt;=Calculations!$F$7,A549&gt;=Calculations!$F$8)),0.2*_xlfn.NORM.DIST(100,100,15,FALSE)*_xlfn.NORM.DIST(A549,Calculations!$F$3,Calculations!$F$4,FALSE)/_xlfn.NORM.DIST(Calculations!$F$3,Calculations!$F$3,Calculations!$F$4,FALSE),NA())</f>
        <v>#N/A</v>
      </c>
      <c r="M549" t="e">
        <f>IF(AND(A549&gt;=Calculations!$F$7,A549&lt;=Calculations!$F$8),0.2*_xlfn.NORM.DIST(100,100,15,FALSE)*_xlfn.NORM.DIST(A549,Calculations!$F$3,Calculations!$F$4,FALSE)/_xlfn.NORM.DIST(Calculations!$F$3,Calculations!$F$3,Calculations!$F$4,FALSE),NA())</f>
        <v>#N/A</v>
      </c>
    </row>
    <row r="550" spans="1:13" x14ac:dyDescent="0.25">
      <c r="A550">
        <v>94.800000000000793</v>
      </c>
      <c r="B550" t="e">
        <f t="shared" si="80"/>
        <v>#N/A</v>
      </c>
      <c r="C550" t="e">
        <f t="shared" si="81"/>
        <v>#N/A</v>
      </c>
      <c r="D550" t="e">
        <f t="shared" si="82"/>
        <v>#N/A</v>
      </c>
      <c r="E550" t="e">
        <f t="shared" si="83"/>
        <v>#N/A</v>
      </c>
      <c r="F550">
        <f t="shared" si="84"/>
        <v>2.5045086379773006E-2</v>
      </c>
      <c r="G550" t="e">
        <f t="shared" si="85"/>
        <v>#N/A</v>
      </c>
      <c r="H550" t="e">
        <f t="shared" si="86"/>
        <v>#N/A</v>
      </c>
      <c r="I550" t="e">
        <f t="shared" si="87"/>
        <v>#N/A</v>
      </c>
      <c r="J550" t="e">
        <f t="shared" si="88"/>
        <v>#N/A</v>
      </c>
      <c r="K550">
        <f t="shared" si="89"/>
        <v>2.5245086379773005E-2</v>
      </c>
      <c r="L550" t="e">
        <f>IF(AND(ABS((ChartCalculations!A550-Calculations!$F$3)/Calculations!$F$4)&lt;5,OR(A550&lt;=Calculations!$F$7,A550&gt;=Calculations!$F$8)),0.2*_xlfn.NORM.DIST(100,100,15,FALSE)*_xlfn.NORM.DIST(A550,Calculations!$F$3,Calculations!$F$4,FALSE)/_xlfn.NORM.DIST(Calculations!$F$3,Calculations!$F$3,Calculations!$F$4,FALSE),NA())</f>
        <v>#N/A</v>
      </c>
      <c r="M550" t="e">
        <f>IF(AND(A550&gt;=Calculations!$F$7,A550&lt;=Calculations!$F$8),0.2*_xlfn.NORM.DIST(100,100,15,FALSE)*_xlfn.NORM.DIST(A550,Calculations!$F$3,Calculations!$F$4,FALSE)/_xlfn.NORM.DIST(Calculations!$F$3,Calculations!$F$3,Calculations!$F$4,FALSE),NA())</f>
        <v>#N/A</v>
      </c>
    </row>
    <row r="551" spans="1:13" x14ac:dyDescent="0.25">
      <c r="A551">
        <v>94.900000000000801</v>
      </c>
      <c r="B551" t="e">
        <f t="shared" si="80"/>
        <v>#N/A</v>
      </c>
      <c r="C551" t="e">
        <f t="shared" si="81"/>
        <v>#N/A</v>
      </c>
      <c r="D551" t="e">
        <f t="shared" si="82"/>
        <v>#N/A</v>
      </c>
      <c r="E551" t="e">
        <f t="shared" si="83"/>
        <v>#N/A</v>
      </c>
      <c r="F551">
        <f t="shared" si="84"/>
        <v>2.5102477455550724E-2</v>
      </c>
      <c r="G551" t="e">
        <f t="shared" si="85"/>
        <v>#N/A</v>
      </c>
      <c r="H551" t="e">
        <f t="shared" si="86"/>
        <v>#N/A</v>
      </c>
      <c r="I551" t="e">
        <f t="shared" si="87"/>
        <v>#N/A</v>
      </c>
      <c r="J551" t="e">
        <f t="shared" si="88"/>
        <v>#N/A</v>
      </c>
      <c r="K551">
        <f t="shared" si="89"/>
        <v>2.5302477455550722E-2</v>
      </c>
      <c r="L551" t="e">
        <f>IF(AND(ABS((ChartCalculations!A551-Calculations!$F$3)/Calculations!$F$4)&lt;5,OR(A551&lt;=Calculations!$F$7,A551&gt;=Calculations!$F$8)),0.2*_xlfn.NORM.DIST(100,100,15,FALSE)*_xlfn.NORM.DIST(A551,Calculations!$F$3,Calculations!$F$4,FALSE)/_xlfn.NORM.DIST(Calculations!$F$3,Calculations!$F$3,Calculations!$F$4,FALSE),NA())</f>
        <v>#N/A</v>
      </c>
      <c r="M551" t="e">
        <f>IF(AND(A551&gt;=Calculations!$F$7,A551&lt;=Calculations!$F$8),0.2*_xlfn.NORM.DIST(100,100,15,FALSE)*_xlfn.NORM.DIST(A551,Calculations!$F$3,Calculations!$F$4,FALSE)/_xlfn.NORM.DIST(Calculations!$F$3,Calculations!$F$3,Calculations!$F$4,FALSE),NA())</f>
        <v>#N/A</v>
      </c>
    </row>
    <row r="552" spans="1:13" x14ac:dyDescent="0.25">
      <c r="A552">
        <v>95.000000000000796</v>
      </c>
      <c r="B552" t="e">
        <f t="shared" si="80"/>
        <v>#N/A</v>
      </c>
      <c r="C552" t="e">
        <f t="shared" si="81"/>
        <v>#N/A</v>
      </c>
      <c r="D552" t="e">
        <f t="shared" si="82"/>
        <v>#N/A</v>
      </c>
      <c r="E552" t="e">
        <f t="shared" si="83"/>
        <v>#N/A</v>
      </c>
      <c r="F552">
        <f t="shared" si="84"/>
        <v>2.515888184619999E-2</v>
      </c>
      <c r="G552" t="e">
        <f t="shared" si="85"/>
        <v>#N/A</v>
      </c>
      <c r="H552" t="e">
        <f t="shared" si="86"/>
        <v>#N/A</v>
      </c>
      <c r="I552" t="e">
        <f t="shared" si="87"/>
        <v>#N/A</v>
      </c>
      <c r="J552" t="e">
        <f t="shared" si="88"/>
        <v>#N/A</v>
      </c>
      <c r="K552">
        <f t="shared" si="89"/>
        <v>2.5358881846199988E-2</v>
      </c>
      <c r="L552" t="e">
        <f>IF(AND(ABS((ChartCalculations!A552-Calculations!$F$3)/Calculations!$F$4)&lt;5,OR(A552&lt;=Calculations!$F$7,A552&gt;=Calculations!$F$8)),0.2*_xlfn.NORM.DIST(100,100,15,FALSE)*_xlfn.NORM.DIST(A552,Calculations!$F$3,Calculations!$F$4,FALSE)/_xlfn.NORM.DIST(Calculations!$F$3,Calculations!$F$3,Calculations!$F$4,FALSE),NA())</f>
        <v>#N/A</v>
      </c>
      <c r="M552" t="e">
        <f>IF(AND(A552&gt;=Calculations!$F$7,A552&lt;=Calculations!$F$8),0.2*_xlfn.NORM.DIST(100,100,15,FALSE)*_xlfn.NORM.DIST(A552,Calculations!$F$3,Calculations!$F$4,FALSE)/_xlfn.NORM.DIST(Calculations!$F$3,Calculations!$F$3,Calculations!$F$4,FALSE),NA())</f>
        <v>#N/A</v>
      </c>
    </row>
    <row r="553" spans="1:13" x14ac:dyDescent="0.25">
      <c r="A553">
        <v>95.100000000000804</v>
      </c>
      <c r="B553" t="e">
        <f t="shared" si="80"/>
        <v>#N/A</v>
      </c>
      <c r="C553" t="e">
        <f t="shared" si="81"/>
        <v>#N/A</v>
      </c>
      <c r="D553" t="e">
        <f t="shared" si="82"/>
        <v>#N/A</v>
      </c>
      <c r="E553" t="e">
        <f t="shared" si="83"/>
        <v>#N/A</v>
      </c>
      <c r="F553">
        <f t="shared" si="84"/>
        <v>2.5214292315428887E-2</v>
      </c>
      <c r="G553" t="e">
        <f t="shared" si="85"/>
        <v>#N/A</v>
      </c>
      <c r="H553" t="e">
        <f t="shared" si="86"/>
        <v>#N/A</v>
      </c>
      <c r="I553" t="e">
        <f t="shared" si="87"/>
        <v>#N/A</v>
      </c>
      <c r="J553" t="e">
        <f t="shared" si="88"/>
        <v>#N/A</v>
      </c>
      <c r="K553">
        <f t="shared" si="89"/>
        <v>2.5414292315428886E-2</v>
      </c>
      <c r="L553" t="e">
        <f>IF(AND(ABS((ChartCalculations!A553-Calculations!$F$3)/Calculations!$F$4)&lt;5,OR(A553&lt;=Calculations!$F$7,A553&gt;=Calculations!$F$8)),0.2*_xlfn.NORM.DIST(100,100,15,FALSE)*_xlfn.NORM.DIST(A553,Calculations!$F$3,Calculations!$F$4,FALSE)/_xlfn.NORM.DIST(Calculations!$F$3,Calculations!$F$3,Calculations!$F$4,FALSE),NA())</f>
        <v>#N/A</v>
      </c>
      <c r="M553" t="e">
        <f>IF(AND(A553&gt;=Calculations!$F$7,A553&lt;=Calculations!$F$8),0.2*_xlfn.NORM.DIST(100,100,15,FALSE)*_xlfn.NORM.DIST(A553,Calculations!$F$3,Calculations!$F$4,FALSE)/_xlfn.NORM.DIST(Calculations!$F$3,Calculations!$F$3,Calculations!$F$4,FALSE),NA())</f>
        <v>#N/A</v>
      </c>
    </row>
    <row r="554" spans="1:13" x14ac:dyDescent="0.25">
      <c r="A554">
        <v>95.200000000000799</v>
      </c>
      <c r="B554" t="e">
        <f t="shared" si="80"/>
        <v>#N/A</v>
      </c>
      <c r="C554" t="e">
        <f t="shared" si="81"/>
        <v>#N/A</v>
      </c>
      <c r="D554" t="e">
        <f t="shared" si="82"/>
        <v>#N/A</v>
      </c>
      <c r="E554" t="e">
        <f t="shared" si="83"/>
        <v>#N/A</v>
      </c>
      <c r="F554">
        <f t="shared" si="84"/>
        <v>2.5268701743513877E-2</v>
      </c>
      <c r="G554" t="e">
        <f t="shared" si="85"/>
        <v>#N/A</v>
      </c>
      <c r="H554" t="e">
        <f t="shared" si="86"/>
        <v>#N/A</v>
      </c>
      <c r="I554" t="e">
        <f t="shared" si="87"/>
        <v>#N/A</v>
      </c>
      <c r="J554" t="e">
        <f t="shared" si="88"/>
        <v>#N/A</v>
      </c>
      <c r="K554">
        <f t="shared" si="89"/>
        <v>2.5468701743513875E-2</v>
      </c>
      <c r="L554" t="e">
        <f>IF(AND(ABS((ChartCalculations!A554-Calculations!$F$3)/Calculations!$F$4)&lt;5,OR(A554&lt;=Calculations!$F$7,A554&gt;=Calculations!$F$8)),0.2*_xlfn.NORM.DIST(100,100,15,FALSE)*_xlfn.NORM.DIST(A554,Calculations!$F$3,Calculations!$F$4,FALSE)/_xlfn.NORM.DIST(Calculations!$F$3,Calculations!$F$3,Calculations!$F$4,FALSE),NA())</f>
        <v>#N/A</v>
      </c>
      <c r="M554" t="e">
        <f>IF(AND(A554&gt;=Calculations!$F$7,A554&lt;=Calculations!$F$8),0.2*_xlfn.NORM.DIST(100,100,15,FALSE)*_xlfn.NORM.DIST(A554,Calculations!$F$3,Calculations!$F$4,FALSE)/_xlfn.NORM.DIST(Calculations!$F$3,Calculations!$F$3,Calculations!$F$4,FALSE),NA())</f>
        <v>#N/A</v>
      </c>
    </row>
    <row r="555" spans="1:13" x14ac:dyDescent="0.25">
      <c r="A555">
        <v>95.300000000000793</v>
      </c>
      <c r="B555" t="e">
        <f t="shared" si="80"/>
        <v>#N/A</v>
      </c>
      <c r="C555" t="e">
        <f t="shared" si="81"/>
        <v>#N/A</v>
      </c>
      <c r="D555" t="e">
        <f t="shared" si="82"/>
        <v>#N/A</v>
      </c>
      <c r="E555" t="e">
        <f t="shared" si="83"/>
        <v>#N/A</v>
      </c>
      <c r="F555">
        <f t="shared" si="84"/>
        <v>2.5322103128823659E-2</v>
      </c>
      <c r="G555" t="e">
        <f t="shared" si="85"/>
        <v>#N/A</v>
      </c>
      <c r="H555" t="e">
        <f t="shared" si="86"/>
        <v>#N/A</v>
      </c>
      <c r="I555" t="e">
        <f t="shared" si="87"/>
        <v>#N/A</v>
      </c>
      <c r="J555" t="e">
        <f t="shared" si="88"/>
        <v>#N/A</v>
      </c>
      <c r="K555">
        <f t="shared" si="89"/>
        <v>2.5522103128823657E-2</v>
      </c>
      <c r="L555" t="e">
        <f>IF(AND(ABS((ChartCalculations!A555-Calculations!$F$3)/Calculations!$F$4)&lt;5,OR(A555&lt;=Calculations!$F$7,A555&gt;=Calculations!$F$8)),0.2*_xlfn.NORM.DIST(100,100,15,FALSE)*_xlfn.NORM.DIST(A555,Calculations!$F$3,Calculations!$F$4,FALSE)/_xlfn.NORM.DIST(Calculations!$F$3,Calculations!$F$3,Calculations!$F$4,FALSE),NA())</f>
        <v>#N/A</v>
      </c>
      <c r="M555" t="e">
        <f>IF(AND(A555&gt;=Calculations!$F$7,A555&lt;=Calculations!$F$8),0.2*_xlfn.NORM.DIST(100,100,15,FALSE)*_xlfn.NORM.DIST(A555,Calculations!$F$3,Calculations!$F$4,FALSE)/_xlfn.NORM.DIST(Calculations!$F$3,Calculations!$F$3,Calculations!$F$4,FALSE),NA())</f>
        <v>#N/A</v>
      </c>
    </row>
    <row r="556" spans="1:13" x14ac:dyDescent="0.25">
      <c r="A556">
        <v>95.400000000000801</v>
      </c>
      <c r="B556" t="e">
        <f t="shared" si="80"/>
        <v>#N/A</v>
      </c>
      <c r="C556" t="e">
        <f t="shared" si="81"/>
        <v>#N/A</v>
      </c>
      <c r="D556" t="e">
        <f t="shared" si="82"/>
        <v>#N/A</v>
      </c>
      <c r="E556" t="e">
        <f t="shared" si="83"/>
        <v>#N/A</v>
      </c>
      <c r="F556">
        <f t="shared" si="84"/>
        <v>2.5374489589320037E-2</v>
      </c>
      <c r="G556" t="e">
        <f t="shared" si="85"/>
        <v>#N/A</v>
      </c>
      <c r="H556" t="e">
        <f t="shared" si="86"/>
        <v>#N/A</v>
      </c>
      <c r="I556" t="e">
        <f t="shared" si="87"/>
        <v>#N/A</v>
      </c>
      <c r="J556" t="e">
        <f t="shared" si="88"/>
        <v>#N/A</v>
      </c>
      <c r="K556">
        <f t="shared" si="89"/>
        <v>2.5574489589320036E-2</v>
      </c>
      <c r="L556" t="e">
        <f>IF(AND(ABS((ChartCalculations!A556-Calculations!$F$3)/Calculations!$F$4)&lt;5,OR(A556&lt;=Calculations!$F$7,A556&gt;=Calculations!$F$8)),0.2*_xlfn.NORM.DIST(100,100,15,FALSE)*_xlfn.NORM.DIST(A556,Calculations!$F$3,Calculations!$F$4,FALSE)/_xlfn.NORM.DIST(Calculations!$F$3,Calculations!$F$3,Calculations!$F$4,FALSE),NA())</f>
        <v>#N/A</v>
      </c>
      <c r="M556" t="e">
        <f>IF(AND(A556&gt;=Calculations!$F$7,A556&lt;=Calculations!$F$8),0.2*_xlfn.NORM.DIST(100,100,15,FALSE)*_xlfn.NORM.DIST(A556,Calculations!$F$3,Calculations!$F$4,FALSE)/_xlfn.NORM.DIST(Calculations!$F$3,Calculations!$F$3,Calculations!$F$4,FALSE),NA())</f>
        <v>#N/A</v>
      </c>
    </row>
    <row r="557" spans="1:13" x14ac:dyDescent="0.25">
      <c r="A557">
        <v>95.500000000000796</v>
      </c>
      <c r="B557" t="e">
        <f t="shared" si="80"/>
        <v>#N/A</v>
      </c>
      <c r="C557" t="e">
        <f t="shared" si="81"/>
        <v>#N/A</v>
      </c>
      <c r="D557" t="e">
        <f t="shared" si="82"/>
        <v>#N/A</v>
      </c>
      <c r="E557" t="e">
        <f t="shared" si="83"/>
        <v>#N/A</v>
      </c>
      <c r="F557">
        <f t="shared" si="84"/>
        <v>2.5425854364035348E-2</v>
      </c>
      <c r="G557" t="e">
        <f t="shared" si="85"/>
        <v>#N/A</v>
      </c>
      <c r="H557" t="e">
        <f t="shared" si="86"/>
        <v>#N/A</v>
      </c>
      <c r="I557" t="e">
        <f t="shared" si="87"/>
        <v>#N/A</v>
      </c>
      <c r="J557" t="e">
        <f t="shared" si="88"/>
        <v>#N/A</v>
      </c>
      <c r="K557">
        <f t="shared" si="89"/>
        <v>2.5625854364035347E-2</v>
      </c>
      <c r="L557" t="e">
        <f>IF(AND(ABS((ChartCalculations!A557-Calculations!$F$3)/Calculations!$F$4)&lt;5,OR(A557&lt;=Calculations!$F$7,A557&gt;=Calculations!$F$8)),0.2*_xlfn.NORM.DIST(100,100,15,FALSE)*_xlfn.NORM.DIST(A557,Calculations!$F$3,Calculations!$F$4,FALSE)/_xlfn.NORM.DIST(Calculations!$F$3,Calculations!$F$3,Calculations!$F$4,FALSE),NA())</f>
        <v>#N/A</v>
      </c>
      <c r="M557" t="e">
        <f>IF(AND(A557&gt;=Calculations!$F$7,A557&lt;=Calculations!$F$8),0.2*_xlfn.NORM.DIST(100,100,15,FALSE)*_xlfn.NORM.DIST(A557,Calculations!$F$3,Calculations!$F$4,FALSE)/_xlfn.NORM.DIST(Calculations!$F$3,Calculations!$F$3,Calculations!$F$4,FALSE),NA())</f>
        <v>#N/A</v>
      </c>
    </row>
    <row r="558" spans="1:13" x14ac:dyDescent="0.25">
      <c r="A558">
        <v>95.600000000000804</v>
      </c>
      <c r="B558" t="e">
        <f t="shared" si="80"/>
        <v>#N/A</v>
      </c>
      <c r="C558" t="e">
        <f t="shared" si="81"/>
        <v>#N/A</v>
      </c>
      <c r="D558" t="e">
        <f t="shared" si="82"/>
        <v>#N/A</v>
      </c>
      <c r="E558" t="e">
        <f t="shared" si="83"/>
        <v>#N/A</v>
      </c>
      <c r="F558">
        <f t="shared" si="84"/>
        <v>2.5476190814526112E-2</v>
      </c>
      <c r="G558" t="e">
        <f t="shared" si="85"/>
        <v>#N/A</v>
      </c>
      <c r="H558" t="e">
        <f t="shared" si="86"/>
        <v>#N/A</v>
      </c>
      <c r="I558" t="e">
        <f t="shared" si="87"/>
        <v>#N/A</v>
      </c>
      <c r="J558" t="e">
        <f t="shared" si="88"/>
        <v>#N/A</v>
      </c>
      <c r="K558">
        <f t="shared" si="89"/>
        <v>2.5676190814526111E-2</v>
      </c>
      <c r="L558" t="e">
        <f>IF(AND(ABS((ChartCalculations!A558-Calculations!$F$3)/Calculations!$F$4)&lt;5,OR(A558&lt;=Calculations!$F$7,A558&gt;=Calculations!$F$8)),0.2*_xlfn.NORM.DIST(100,100,15,FALSE)*_xlfn.NORM.DIST(A558,Calculations!$F$3,Calculations!$F$4,FALSE)/_xlfn.NORM.DIST(Calculations!$F$3,Calculations!$F$3,Calculations!$F$4,FALSE),NA())</f>
        <v>#N/A</v>
      </c>
      <c r="M558" t="e">
        <f>IF(AND(A558&gt;=Calculations!$F$7,A558&lt;=Calculations!$F$8),0.2*_xlfn.NORM.DIST(100,100,15,FALSE)*_xlfn.NORM.DIST(A558,Calculations!$F$3,Calculations!$F$4,FALSE)/_xlfn.NORM.DIST(Calculations!$F$3,Calculations!$F$3,Calculations!$F$4,FALSE),NA())</f>
        <v>#N/A</v>
      </c>
    </row>
    <row r="559" spans="1:13" x14ac:dyDescent="0.25">
      <c r="A559">
        <v>95.700000000000799</v>
      </c>
      <c r="B559" t="e">
        <f t="shared" si="80"/>
        <v>#N/A</v>
      </c>
      <c r="C559" t="e">
        <f t="shared" si="81"/>
        <v>#N/A</v>
      </c>
      <c r="D559" t="e">
        <f t="shared" si="82"/>
        <v>#N/A</v>
      </c>
      <c r="E559" t="e">
        <f t="shared" si="83"/>
        <v>#N/A</v>
      </c>
      <c r="F559">
        <f t="shared" si="84"/>
        <v>2.5525492426302365E-2</v>
      </c>
      <c r="G559" t="e">
        <f t="shared" si="85"/>
        <v>#N/A</v>
      </c>
      <c r="H559" t="e">
        <f t="shared" si="86"/>
        <v>#N/A</v>
      </c>
      <c r="I559" t="e">
        <f t="shared" si="87"/>
        <v>#N/A</v>
      </c>
      <c r="J559" t="e">
        <f t="shared" si="88"/>
        <v>#N/A</v>
      </c>
      <c r="K559">
        <f t="shared" si="89"/>
        <v>2.5725492426302364E-2</v>
      </c>
      <c r="L559" t="e">
        <f>IF(AND(ABS((ChartCalculations!A559-Calculations!$F$3)/Calculations!$F$4)&lt;5,OR(A559&lt;=Calculations!$F$7,A559&gt;=Calculations!$F$8)),0.2*_xlfn.NORM.DIST(100,100,15,FALSE)*_xlfn.NORM.DIST(A559,Calculations!$F$3,Calculations!$F$4,FALSE)/_xlfn.NORM.DIST(Calculations!$F$3,Calculations!$F$3,Calculations!$F$4,FALSE),NA())</f>
        <v>#N/A</v>
      </c>
      <c r="M559" t="e">
        <f>IF(AND(A559&gt;=Calculations!$F$7,A559&lt;=Calculations!$F$8),0.2*_xlfn.NORM.DIST(100,100,15,FALSE)*_xlfn.NORM.DIST(A559,Calculations!$F$3,Calculations!$F$4,FALSE)/_xlfn.NORM.DIST(Calculations!$F$3,Calculations!$F$3,Calculations!$F$4,FALSE),NA())</f>
        <v>#N/A</v>
      </c>
    </row>
    <row r="560" spans="1:13" x14ac:dyDescent="0.25">
      <c r="A560">
        <v>95.800000000000793</v>
      </c>
      <c r="B560" t="e">
        <f t="shared" si="80"/>
        <v>#N/A</v>
      </c>
      <c r="C560" t="e">
        <f t="shared" si="81"/>
        <v>#N/A</v>
      </c>
      <c r="D560" t="e">
        <f t="shared" si="82"/>
        <v>#N/A</v>
      </c>
      <c r="E560" t="e">
        <f t="shared" si="83"/>
        <v>#N/A</v>
      </c>
      <c r="F560">
        <f t="shared" si="84"/>
        <v>2.5573752810232279E-2</v>
      </c>
      <c r="G560" t="e">
        <f t="shared" si="85"/>
        <v>#N/A</v>
      </c>
      <c r="H560" t="e">
        <f t="shared" si="86"/>
        <v>#N/A</v>
      </c>
      <c r="I560" t="e">
        <f t="shared" si="87"/>
        <v>#N/A</v>
      </c>
      <c r="J560" t="e">
        <f t="shared" si="88"/>
        <v>#N/A</v>
      </c>
      <c r="K560">
        <f t="shared" si="89"/>
        <v>2.5773752810232278E-2</v>
      </c>
      <c r="L560" t="e">
        <f>IF(AND(ABS((ChartCalculations!A560-Calculations!$F$3)/Calculations!$F$4)&lt;5,OR(A560&lt;=Calculations!$F$7,A560&gt;=Calculations!$F$8)),0.2*_xlfn.NORM.DIST(100,100,15,FALSE)*_xlfn.NORM.DIST(A560,Calculations!$F$3,Calculations!$F$4,FALSE)/_xlfn.NORM.DIST(Calculations!$F$3,Calculations!$F$3,Calculations!$F$4,FALSE),NA())</f>
        <v>#N/A</v>
      </c>
      <c r="M560" t="e">
        <f>IF(AND(A560&gt;=Calculations!$F$7,A560&lt;=Calculations!$F$8),0.2*_xlfn.NORM.DIST(100,100,15,FALSE)*_xlfn.NORM.DIST(A560,Calculations!$F$3,Calculations!$F$4,FALSE)/_xlfn.NORM.DIST(Calculations!$F$3,Calculations!$F$3,Calculations!$F$4,FALSE),NA())</f>
        <v>#N/A</v>
      </c>
    </row>
    <row r="561" spans="1:13" x14ac:dyDescent="0.25">
      <c r="A561">
        <v>95.900000000000801</v>
      </c>
      <c r="B561" t="e">
        <f t="shared" si="80"/>
        <v>#N/A</v>
      </c>
      <c r="C561" t="e">
        <f t="shared" si="81"/>
        <v>#N/A</v>
      </c>
      <c r="D561" t="e">
        <f t="shared" si="82"/>
        <v>#N/A</v>
      </c>
      <c r="E561" t="e">
        <f t="shared" si="83"/>
        <v>#N/A</v>
      </c>
      <c r="F561">
        <f t="shared" si="84"/>
        <v>2.5620965703921684E-2</v>
      </c>
      <c r="G561" t="e">
        <f t="shared" si="85"/>
        <v>#N/A</v>
      </c>
      <c r="H561" t="e">
        <f t="shared" si="86"/>
        <v>#N/A</v>
      </c>
      <c r="I561" t="e">
        <f t="shared" si="87"/>
        <v>#N/A</v>
      </c>
      <c r="J561" t="e">
        <f t="shared" si="88"/>
        <v>#N/A</v>
      </c>
      <c r="K561">
        <f t="shared" si="89"/>
        <v>2.5820965703921683E-2</v>
      </c>
      <c r="L561" t="e">
        <f>IF(AND(ABS((ChartCalculations!A561-Calculations!$F$3)/Calculations!$F$4)&lt;5,OR(A561&lt;=Calculations!$F$7,A561&gt;=Calculations!$F$8)),0.2*_xlfn.NORM.DIST(100,100,15,FALSE)*_xlfn.NORM.DIST(A561,Calculations!$F$3,Calculations!$F$4,FALSE)/_xlfn.NORM.DIST(Calculations!$F$3,Calculations!$F$3,Calculations!$F$4,FALSE),NA())</f>
        <v>#N/A</v>
      </c>
      <c r="M561" t="e">
        <f>IF(AND(A561&gt;=Calculations!$F$7,A561&lt;=Calculations!$F$8),0.2*_xlfn.NORM.DIST(100,100,15,FALSE)*_xlfn.NORM.DIST(A561,Calculations!$F$3,Calculations!$F$4,FALSE)/_xlfn.NORM.DIST(Calculations!$F$3,Calculations!$F$3,Calculations!$F$4,FALSE),NA())</f>
        <v>#N/A</v>
      </c>
    </row>
    <row r="562" spans="1:13" x14ac:dyDescent="0.25">
      <c r="A562">
        <v>96.000000000000796</v>
      </c>
      <c r="B562" t="e">
        <f t="shared" si="80"/>
        <v>#N/A</v>
      </c>
      <c r="C562" t="e">
        <f t="shared" si="81"/>
        <v>#N/A</v>
      </c>
      <c r="D562" t="e">
        <f t="shared" si="82"/>
        <v>#N/A</v>
      </c>
      <c r="E562" t="e">
        <f t="shared" si="83"/>
        <v>#N/A</v>
      </c>
      <c r="F562">
        <f t="shared" si="84"/>
        <v>2.5667124973067959E-2</v>
      </c>
      <c r="G562" t="e">
        <f t="shared" si="85"/>
        <v>#N/A</v>
      </c>
      <c r="H562" t="e">
        <f t="shared" si="86"/>
        <v>#N/A</v>
      </c>
      <c r="I562" t="e">
        <f t="shared" si="87"/>
        <v>#N/A</v>
      </c>
      <c r="J562" t="e">
        <f t="shared" si="88"/>
        <v>#N/A</v>
      </c>
      <c r="K562">
        <f t="shared" si="89"/>
        <v>2.5867124973067958E-2</v>
      </c>
      <c r="L562" t="e">
        <f>IF(AND(ABS((ChartCalculations!A562-Calculations!$F$3)/Calculations!$F$4)&lt;5,OR(A562&lt;=Calculations!$F$7,A562&gt;=Calculations!$F$8)),0.2*_xlfn.NORM.DIST(100,100,15,FALSE)*_xlfn.NORM.DIST(A562,Calculations!$F$3,Calculations!$F$4,FALSE)/_xlfn.NORM.DIST(Calculations!$F$3,Calculations!$F$3,Calculations!$F$4,FALSE),NA())</f>
        <v>#N/A</v>
      </c>
      <c r="M562" t="e">
        <f>IF(AND(A562&gt;=Calculations!$F$7,A562&lt;=Calculations!$F$8),0.2*_xlfn.NORM.DIST(100,100,15,FALSE)*_xlfn.NORM.DIST(A562,Calculations!$F$3,Calculations!$F$4,FALSE)/_xlfn.NORM.DIST(Calculations!$F$3,Calculations!$F$3,Calculations!$F$4,FALSE),NA())</f>
        <v>#N/A</v>
      </c>
    </row>
    <row r="563" spans="1:13" x14ac:dyDescent="0.25">
      <c r="A563">
        <v>96.100000000000804</v>
      </c>
      <c r="B563" t="e">
        <f t="shared" si="80"/>
        <v>#N/A</v>
      </c>
      <c r="C563" t="e">
        <f t="shared" si="81"/>
        <v>#N/A</v>
      </c>
      <c r="D563" t="e">
        <f t="shared" si="82"/>
        <v>#N/A</v>
      </c>
      <c r="E563" t="e">
        <f t="shared" si="83"/>
        <v>#N/A</v>
      </c>
      <c r="F563">
        <f t="shared" si="84"/>
        <v>2.5712224612788097E-2</v>
      </c>
      <c r="G563" t="e">
        <f t="shared" si="85"/>
        <v>#N/A</v>
      </c>
      <c r="H563" t="e">
        <f t="shared" si="86"/>
        <v>#N/A</v>
      </c>
      <c r="I563" t="e">
        <f t="shared" si="87"/>
        <v>#N/A</v>
      </c>
      <c r="J563" t="e">
        <f t="shared" si="88"/>
        <v>#N/A</v>
      </c>
      <c r="K563">
        <f t="shared" si="89"/>
        <v>2.5912224612788096E-2</v>
      </c>
      <c r="L563" t="e">
        <f>IF(AND(ABS((ChartCalculations!A563-Calculations!$F$3)/Calculations!$F$4)&lt;5,OR(A563&lt;=Calculations!$F$7,A563&gt;=Calculations!$F$8)),0.2*_xlfn.NORM.DIST(100,100,15,FALSE)*_xlfn.NORM.DIST(A563,Calculations!$F$3,Calculations!$F$4,FALSE)/_xlfn.NORM.DIST(Calculations!$F$3,Calculations!$F$3,Calculations!$F$4,FALSE),NA())</f>
        <v>#N/A</v>
      </c>
      <c r="M563" t="e">
        <f>IF(AND(A563&gt;=Calculations!$F$7,A563&lt;=Calculations!$F$8),0.2*_xlfn.NORM.DIST(100,100,15,FALSE)*_xlfn.NORM.DIST(A563,Calculations!$F$3,Calculations!$F$4,FALSE)/_xlfn.NORM.DIST(Calculations!$F$3,Calculations!$F$3,Calculations!$F$4,FALSE),NA())</f>
        <v>#N/A</v>
      </c>
    </row>
    <row r="564" spans="1:13" x14ac:dyDescent="0.25">
      <c r="A564">
        <v>96.200000000000799</v>
      </c>
      <c r="B564" t="e">
        <f t="shared" si="80"/>
        <v>#N/A</v>
      </c>
      <c r="C564" t="e">
        <f t="shared" si="81"/>
        <v>#N/A</v>
      </c>
      <c r="D564" t="e">
        <f t="shared" si="82"/>
        <v>#N/A</v>
      </c>
      <c r="E564" t="e">
        <f t="shared" si="83"/>
        <v>#N/A</v>
      </c>
      <c r="F564">
        <f t="shared" si="84"/>
        <v>2.5756258748920246E-2</v>
      </c>
      <c r="G564" t="e">
        <f t="shared" si="85"/>
        <v>#N/A</v>
      </c>
      <c r="H564" t="e">
        <f t="shared" si="86"/>
        <v>#N/A</v>
      </c>
      <c r="I564" t="e">
        <f t="shared" si="87"/>
        <v>#N/A</v>
      </c>
      <c r="J564" t="e">
        <f t="shared" si="88"/>
        <v>#N/A</v>
      </c>
      <c r="K564">
        <f t="shared" si="89"/>
        <v>2.5956258748920245E-2</v>
      </c>
      <c r="L564" t="e">
        <f>IF(AND(ABS((ChartCalculations!A564-Calculations!$F$3)/Calculations!$F$4)&lt;5,OR(A564&lt;=Calculations!$F$7,A564&gt;=Calculations!$F$8)),0.2*_xlfn.NORM.DIST(100,100,15,FALSE)*_xlfn.NORM.DIST(A564,Calculations!$F$3,Calculations!$F$4,FALSE)/_xlfn.NORM.DIST(Calculations!$F$3,Calculations!$F$3,Calculations!$F$4,FALSE),NA())</f>
        <v>#N/A</v>
      </c>
      <c r="M564" t="e">
        <f>IF(AND(A564&gt;=Calculations!$F$7,A564&lt;=Calculations!$F$8),0.2*_xlfn.NORM.DIST(100,100,15,FALSE)*_xlfn.NORM.DIST(A564,Calculations!$F$3,Calculations!$F$4,FALSE)/_xlfn.NORM.DIST(Calculations!$F$3,Calculations!$F$3,Calculations!$F$4,FALSE),NA())</f>
        <v>#N/A</v>
      </c>
    </row>
    <row r="565" spans="1:13" x14ac:dyDescent="0.25">
      <c r="A565">
        <v>96.300000000000793</v>
      </c>
      <c r="B565" t="e">
        <f t="shared" si="80"/>
        <v>#N/A</v>
      </c>
      <c r="C565" t="e">
        <f t="shared" si="81"/>
        <v>#N/A</v>
      </c>
      <c r="D565" t="e">
        <f t="shared" si="82"/>
        <v>#N/A</v>
      </c>
      <c r="E565" t="e">
        <f t="shared" si="83"/>
        <v>#N/A</v>
      </c>
      <c r="F565">
        <f t="shared" si="84"/>
        <v>2.5799221639298642E-2</v>
      </c>
      <c r="G565" t="e">
        <f t="shared" si="85"/>
        <v>#N/A</v>
      </c>
      <c r="H565" t="e">
        <f t="shared" si="86"/>
        <v>#N/A</v>
      </c>
      <c r="I565" t="e">
        <f t="shared" si="87"/>
        <v>#N/A</v>
      </c>
      <c r="J565" t="e">
        <f t="shared" si="88"/>
        <v>#N/A</v>
      </c>
      <c r="K565">
        <f t="shared" si="89"/>
        <v>2.5999221639298641E-2</v>
      </c>
      <c r="L565" t="e">
        <f>IF(AND(ABS((ChartCalculations!A565-Calculations!$F$3)/Calculations!$F$4)&lt;5,OR(A565&lt;=Calculations!$F$7,A565&gt;=Calculations!$F$8)),0.2*_xlfn.NORM.DIST(100,100,15,FALSE)*_xlfn.NORM.DIST(A565,Calculations!$F$3,Calculations!$F$4,FALSE)/_xlfn.NORM.DIST(Calculations!$F$3,Calculations!$F$3,Calculations!$F$4,FALSE),NA())</f>
        <v>#N/A</v>
      </c>
      <c r="M565" t="e">
        <f>IF(AND(A565&gt;=Calculations!$F$7,A565&lt;=Calculations!$F$8),0.2*_xlfn.NORM.DIST(100,100,15,FALSE)*_xlfn.NORM.DIST(A565,Calculations!$F$3,Calculations!$F$4,FALSE)/_xlfn.NORM.DIST(Calculations!$F$3,Calculations!$F$3,Calculations!$F$4,FALSE),NA())</f>
        <v>#N/A</v>
      </c>
    </row>
    <row r="566" spans="1:13" x14ac:dyDescent="0.25">
      <c r="A566">
        <v>96.400000000000801</v>
      </c>
      <c r="B566" t="e">
        <f t="shared" si="80"/>
        <v>#N/A</v>
      </c>
      <c r="C566" t="e">
        <f t="shared" si="81"/>
        <v>#N/A</v>
      </c>
      <c r="D566" t="e">
        <f t="shared" si="82"/>
        <v>#N/A</v>
      </c>
      <c r="E566" t="e">
        <f t="shared" si="83"/>
        <v>#N/A</v>
      </c>
      <c r="F566">
        <f t="shared" si="84"/>
        <v>2.5841107675001272E-2</v>
      </c>
      <c r="G566" t="e">
        <f t="shared" si="85"/>
        <v>#N/A</v>
      </c>
      <c r="H566" t="e">
        <f t="shared" si="86"/>
        <v>#N/A</v>
      </c>
      <c r="I566" t="e">
        <f t="shared" si="87"/>
        <v>#N/A</v>
      </c>
      <c r="J566" t="e">
        <f t="shared" si="88"/>
        <v>#N/A</v>
      </c>
      <c r="K566">
        <f t="shared" si="89"/>
        <v>2.6041107675001271E-2</v>
      </c>
      <c r="L566" t="e">
        <f>IF(AND(ABS((ChartCalculations!A566-Calculations!$F$3)/Calculations!$F$4)&lt;5,OR(A566&lt;=Calculations!$F$7,A566&gt;=Calculations!$F$8)),0.2*_xlfn.NORM.DIST(100,100,15,FALSE)*_xlfn.NORM.DIST(A566,Calculations!$F$3,Calculations!$F$4,FALSE)/_xlfn.NORM.DIST(Calculations!$F$3,Calculations!$F$3,Calculations!$F$4,FALSE),NA())</f>
        <v>#N/A</v>
      </c>
      <c r="M566" t="e">
        <f>IF(AND(A566&gt;=Calculations!$F$7,A566&lt;=Calculations!$F$8),0.2*_xlfn.NORM.DIST(100,100,15,FALSE)*_xlfn.NORM.DIST(A566,Calculations!$F$3,Calculations!$F$4,FALSE)/_xlfn.NORM.DIST(Calculations!$F$3,Calculations!$F$3,Calculations!$F$4,FALSE),NA())</f>
        <v>#N/A</v>
      </c>
    </row>
    <row r="567" spans="1:13" x14ac:dyDescent="0.25">
      <c r="A567">
        <v>96.500000000000796</v>
      </c>
      <c r="B567" t="e">
        <f t="shared" si="80"/>
        <v>#N/A</v>
      </c>
      <c r="C567" t="e">
        <f t="shared" si="81"/>
        <v>#N/A</v>
      </c>
      <c r="D567" t="e">
        <f t="shared" si="82"/>
        <v>#N/A</v>
      </c>
      <c r="E567" t="e">
        <f t="shared" si="83"/>
        <v>#N/A</v>
      </c>
      <c r="F567">
        <f t="shared" si="84"/>
        <v>2.5881911381570113E-2</v>
      </c>
      <c r="G567" t="e">
        <f t="shared" si="85"/>
        <v>#N/A</v>
      </c>
      <c r="H567" t="e">
        <f t="shared" si="86"/>
        <v>#N/A</v>
      </c>
      <c r="I567" t="e">
        <f t="shared" si="87"/>
        <v>#N/A</v>
      </c>
      <c r="J567" t="e">
        <f t="shared" si="88"/>
        <v>#N/A</v>
      </c>
      <c r="K567">
        <f t="shared" si="89"/>
        <v>2.6081911381570112E-2</v>
      </c>
      <c r="L567" t="e">
        <f>IF(AND(ABS((ChartCalculations!A567-Calculations!$F$3)/Calculations!$F$4)&lt;5,OR(A567&lt;=Calculations!$F$7,A567&gt;=Calculations!$F$8)),0.2*_xlfn.NORM.DIST(100,100,15,FALSE)*_xlfn.NORM.DIST(A567,Calculations!$F$3,Calculations!$F$4,FALSE)/_xlfn.NORM.DIST(Calculations!$F$3,Calculations!$F$3,Calculations!$F$4,FALSE),NA())</f>
        <v>#N/A</v>
      </c>
      <c r="M567" t="e">
        <f>IF(AND(A567&gt;=Calculations!$F$7,A567&lt;=Calculations!$F$8),0.2*_xlfn.NORM.DIST(100,100,15,FALSE)*_xlfn.NORM.DIST(A567,Calculations!$F$3,Calculations!$F$4,FALSE)/_xlfn.NORM.DIST(Calculations!$F$3,Calculations!$F$3,Calculations!$F$4,FALSE),NA())</f>
        <v>#N/A</v>
      </c>
    </row>
    <row r="568" spans="1:13" x14ac:dyDescent="0.25">
      <c r="A568">
        <v>96.600000000000804</v>
      </c>
      <c r="B568" t="e">
        <f t="shared" si="80"/>
        <v>#N/A</v>
      </c>
      <c r="C568" t="e">
        <f t="shared" si="81"/>
        <v>#N/A</v>
      </c>
      <c r="D568" t="e">
        <f t="shared" si="82"/>
        <v>#N/A</v>
      </c>
      <c r="E568" t="e">
        <f t="shared" si="83"/>
        <v>#N/A</v>
      </c>
      <c r="F568">
        <f t="shared" si="84"/>
        <v>2.5921627420203399E-2</v>
      </c>
      <c r="G568" t="e">
        <f t="shared" si="85"/>
        <v>#N/A</v>
      </c>
      <c r="H568" t="e">
        <f t="shared" si="86"/>
        <v>#N/A</v>
      </c>
      <c r="I568" t="e">
        <f t="shared" si="87"/>
        <v>#N/A</v>
      </c>
      <c r="J568" t="e">
        <f t="shared" si="88"/>
        <v>#N/A</v>
      </c>
      <c r="K568">
        <f t="shared" si="89"/>
        <v>2.6121627420203398E-2</v>
      </c>
      <c r="L568" t="e">
        <f>IF(AND(ABS((ChartCalculations!A568-Calculations!$F$3)/Calculations!$F$4)&lt;5,OR(A568&lt;=Calculations!$F$7,A568&gt;=Calculations!$F$8)),0.2*_xlfn.NORM.DIST(100,100,15,FALSE)*_xlfn.NORM.DIST(A568,Calculations!$F$3,Calculations!$F$4,FALSE)/_xlfn.NORM.DIST(Calculations!$F$3,Calculations!$F$3,Calculations!$F$4,FALSE),NA())</f>
        <v>#N/A</v>
      </c>
      <c r="M568" t="e">
        <f>IF(AND(A568&gt;=Calculations!$F$7,A568&lt;=Calculations!$F$8),0.2*_xlfn.NORM.DIST(100,100,15,FALSE)*_xlfn.NORM.DIST(A568,Calculations!$F$3,Calculations!$F$4,FALSE)/_xlfn.NORM.DIST(Calculations!$F$3,Calculations!$F$3,Calculations!$F$4,FALSE),NA())</f>
        <v>#N/A</v>
      </c>
    </row>
    <row r="569" spans="1:13" x14ac:dyDescent="0.25">
      <c r="A569">
        <v>96.700000000000799</v>
      </c>
      <c r="B569" t="e">
        <f t="shared" si="80"/>
        <v>#N/A</v>
      </c>
      <c r="C569" t="e">
        <f t="shared" si="81"/>
        <v>#N/A</v>
      </c>
      <c r="D569" t="e">
        <f t="shared" si="82"/>
        <v>#N/A</v>
      </c>
      <c r="E569" t="e">
        <f t="shared" si="83"/>
        <v>#N/A</v>
      </c>
      <c r="F569">
        <f t="shared" si="84"/>
        <v>2.5960250588919664E-2</v>
      </c>
      <c r="G569" t="e">
        <f t="shared" si="85"/>
        <v>#N/A</v>
      </c>
      <c r="H569" t="e">
        <f t="shared" si="86"/>
        <v>#N/A</v>
      </c>
      <c r="I569" t="e">
        <f t="shared" si="87"/>
        <v>#N/A</v>
      </c>
      <c r="J569" t="e">
        <f t="shared" si="88"/>
        <v>#N/A</v>
      </c>
      <c r="K569">
        <f t="shared" si="89"/>
        <v>2.6160250588919663E-2</v>
      </c>
      <c r="L569" t="e">
        <f>IF(AND(ABS((ChartCalculations!A569-Calculations!$F$3)/Calculations!$F$4)&lt;5,OR(A569&lt;=Calculations!$F$7,A569&gt;=Calculations!$F$8)),0.2*_xlfn.NORM.DIST(100,100,15,FALSE)*_xlfn.NORM.DIST(A569,Calculations!$F$3,Calculations!$F$4,FALSE)/_xlfn.NORM.DIST(Calculations!$F$3,Calculations!$F$3,Calculations!$F$4,FALSE),NA())</f>
        <v>#N/A</v>
      </c>
      <c r="M569" t="e">
        <f>IF(AND(A569&gt;=Calculations!$F$7,A569&lt;=Calculations!$F$8),0.2*_xlfn.NORM.DIST(100,100,15,FALSE)*_xlfn.NORM.DIST(A569,Calculations!$F$3,Calculations!$F$4,FALSE)/_xlfn.NORM.DIST(Calculations!$F$3,Calculations!$F$3,Calculations!$F$4,FALSE),NA())</f>
        <v>#N/A</v>
      </c>
    </row>
    <row r="570" spans="1:13" x14ac:dyDescent="0.25">
      <c r="A570">
        <v>96.800000000000793</v>
      </c>
      <c r="B570" t="e">
        <f t="shared" si="80"/>
        <v>#N/A</v>
      </c>
      <c r="C570" t="e">
        <f t="shared" si="81"/>
        <v>#N/A</v>
      </c>
      <c r="D570" t="e">
        <f t="shared" si="82"/>
        <v>#N/A</v>
      </c>
      <c r="E570" t="e">
        <f t="shared" si="83"/>
        <v>#N/A</v>
      </c>
      <c r="F570">
        <f t="shared" si="84"/>
        <v>2.5997775823693201E-2</v>
      </c>
      <c r="G570" t="e">
        <f t="shared" si="85"/>
        <v>#N/A</v>
      </c>
      <c r="H570" t="e">
        <f t="shared" si="86"/>
        <v>#N/A</v>
      </c>
      <c r="I570" t="e">
        <f t="shared" si="87"/>
        <v>#N/A</v>
      </c>
      <c r="J570" t="e">
        <f t="shared" si="88"/>
        <v>#N/A</v>
      </c>
      <c r="K570">
        <f t="shared" si="89"/>
        <v>2.61977758236932E-2</v>
      </c>
      <c r="L570" t="e">
        <f>IF(AND(ABS((ChartCalculations!A570-Calculations!$F$3)/Calculations!$F$4)&lt;5,OR(A570&lt;=Calculations!$F$7,A570&gt;=Calculations!$F$8)),0.2*_xlfn.NORM.DIST(100,100,15,FALSE)*_xlfn.NORM.DIST(A570,Calculations!$F$3,Calculations!$F$4,FALSE)/_xlfn.NORM.DIST(Calculations!$F$3,Calculations!$F$3,Calculations!$F$4,FALSE),NA())</f>
        <v>#N/A</v>
      </c>
      <c r="M570" t="e">
        <f>IF(AND(A570&gt;=Calculations!$F$7,A570&lt;=Calculations!$F$8),0.2*_xlfn.NORM.DIST(100,100,15,FALSE)*_xlfn.NORM.DIST(A570,Calculations!$F$3,Calculations!$F$4,FALSE)/_xlfn.NORM.DIST(Calculations!$F$3,Calculations!$F$3,Calculations!$F$4,FALSE),NA())</f>
        <v>#N/A</v>
      </c>
    </row>
    <row r="571" spans="1:13" x14ac:dyDescent="0.25">
      <c r="A571">
        <v>96.900000000000801</v>
      </c>
      <c r="B571" t="e">
        <f t="shared" si="80"/>
        <v>#N/A</v>
      </c>
      <c r="C571" t="e">
        <f t="shared" si="81"/>
        <v>#N/A</v>
      </c>
      <c r="D571" t="e">
        <f t="shared" si="82"/>
        <v>#N/A</v>
      </c>
      <c r="E571" t="e">
        <f t="shared" si="83"/>
        <v>#N/A</v>
      </c>
      <c r="F571">
        <f t="shared" si="84"/>
        <v>2.6034198199560491E-2</v>
      </c>
      <c r="G571" t="e">
        <f t="shared" si="85"/>
        <v>#N/A</v>
      </c>
      <c r="H571" t="e">
        <f t="shared" si="86"/>
        <v>#N/A</v>
      </c>
      <c r="I571" t="e">
        <f t="shared" si="87"/>
        <v>#N/A</v>
      </c>
      <c r="J571" t="e">
        <f t="shared" si="88"/>
        <v>#N/A</v>
      </c>
      <c r="K571">
        <f t="shared" si="89"/>
        <v>2.623419819956049E-2</v>
      </c>
      <c r="L571" t="e">
        <f>IF(AND(ABS((ChartCalculations!A571-Calculations!$F$3)/Calculations!$F$4)&lt;5,OR(A571&lt;=Calculations!$F$7,A571&gt;=Calculations!$F$8)),0.2*_xlfn.NORM.DIST(100,100,15,FALSE)*_xlfn.NORM.DIST(A571,Calculations!$F$3,Calculations!$F$4,FALSE)/_xlfn.NORM.DIST(Calculations!$F$3,Calculations!$F$3,Calculations!$F$4,FALSE),NA())</f>
        <v>#N/A</v>
      </c>
      <c r="M571" t="e">
        <f>IF(AND(A571&gt;=Calculations!$F$7,A571&lt;=Calculations!$F$8),0.2*_xlfn.NORM.DIST(100,100,15,FALSE)*_xlfn.NORM.DIST(A571,Calculations!$F$3,Calculations!$F$4,FALSE)/_xlfn.NORM.DIST(Calculations!$F$3,Calculations!$F$3,Calculations!$F$4,FALSE),NA())</f>
        <v>#N/A</v>
      </c>
    </row>
    <row r="572" spans="1:13" x14ac:dyDescent="0.25">
      <c r="A572">
        <v>97.000000000000796</v>
      </c>
      <c r="B572" t="e">
        <f t="shared" si="80"/>
        <v>#N/A</v>
      </c>
      <c r="C572" t="e">
        <f t="shared" si="81"/>
        <v>#N/A</v>
      </c>
      <c r="D572" t="e">
        <f t="shared" si="82"/>
        <v>#N/A</v>
      </c>
      <c r="E572" t="e">
        <f t="shared" si="83"/>
        <v>#N/A</v>
      </c>
      <c r="F572">
        <f t="shared" si="84"/>
        <v>2.6069512931697337E-2</v>
      </c>
      <c r="G572" t="e">
        <f t="shared" si="85"/>
        <v>#N/A</v>
      </c>
      <c r="H572" t="e">
        <f t="shared" si="86"/>
        <v>#N/A</v>
      </c>
      <c r="I572" t="e">
        <f t="shared" si="87"/>
        <v>#N/A</v>
      </c>
      <c r="J572" t="e">
        <f t="shared" si="88"/>
        <v>#N/A</v>
      </c>
      <c r="K572">
        <f t="shared" si="89"/>
        <v>2.6269512931697336E-2</v>
      </c>
      <c r="L572" t="e">
        <f>IF(AND(ABS((ChartCalculations!A572-Calculations!$F$3)/Calculations!$F$4)&lt;5,OR(A572&lt;=Calculations!$F$7,A572&gt;=Calculations!$F$8)),0.2*_xlfn.NORM.DIST(100,100,15,FALSE)*_xlfn.NORM.DIST(A572,Calculations!$F$3,Calculations!$F$4,FALSE)/_xlfn.NORM.DIST(Calculations!$F$3,Calculations!$F$3,Calculations!$F$4,FALSE),NA())</f>
        <v>#N/A</v>
      </c>
      <c r="M572" t="e">
        <f>IF(AND(A572&gt;=Calculations!$F$7,A572&lt;=Calculations!$F$8),0.2*_xlfn.NORM.DIST(100,100,15,FALSE)*_xlfn.NORM.DIST(A572,Calculations!$F$3,Calculations!$F$4,FALSE)/_xlfn.NORM.DIST(Calculations!$F$3,Calculations!$F$3,Calculations!$F$4,FALSE),NA())</f>
        <v>#N/A</v>
      </c>
    </row>
    <row r="573" spans="1:13" x14ac:dyDescent="0.25">
      <c r="A573">
        <v>97.100000000000804</v>
      </c>
      <c r="B573" t="e">
        <f t="shared" si="80"/>
        <v>#N/A</v>
      </c>
      <c r="C573" t="e">
        <f t="shared" si="81"/>
        <v>#N/A</v>
      </c>
      <c r="D573" t="e">
        <f t="shared" si="82"/>
        <v>#N/A</v>
      </c>
      <c r="E573" t="e">
        <f t="shared" si="83"/>
        <v>#N/A</v>
      </c>
      <c r="F573">
        <f t="shared" si="84"/>
        <v>2.6103715376466479E-2</v>
      </c>
      <c r="G573" t="e">
        <f t="shared" si="85"/>
        <v>#N/A</v>
      </c>
      <c r="H573" t="e">
        <f t="shared" si="86"/>
        <v>#N/A</v>
      </c>
      <c r="I573" t="e">
        <f t="shared" si="87"/>
        <v>#N/A</v>
      </c>
      <c r="J573" t="e">
        <f t="shared" si="88"/>
        <v>#N/A</v>
      </c>
      <c r="K573">
        <f t="shared" si="89"/>
        <v>2.6303715376466478E-2</v>
      </c>
      <c r="L573" t="e">
        <f>IF(AND(ABS((ChartCalculations!A573-Calculations!$F$3)/Calculations!$F$4)&lt;5,OR(A573&lt;=Calculations!$F$7,A573&gt;=Calculations!$F$8)),0.2*_xlfn.NORM.DIST(100,100,15,FALSE)*_xlfn.NORM.DIST(A573,Calculations!$F$3,Calculations!$F$4,FALSE)/_xlfn.NORM.DIST(Calculations!$F$3,Calculations!$F$3,Calculations!$F$4,FALSE),NA())</f>
        <v>#N/A</v>
      </c>
      <c r="M573" t="e">
        <f>IF(AND(A573&gt;=Calculations!$F$7,A573&lt;=Calculations!$F$8),0.2*_xlfn.NORM.DIST(100,100,15,FALSE)*_xlfn.NORM.DIST(A573,Calculations!$F$3,Calculations!$F$4,FALSE)/_xlfn.NORM.DIST(Calculations!$F$3,Calculations!$F$3,Calculations!$F$4,FALSE),NA())</f>
        <v>#N/A</v>
      </c>
    </row>
    <row r="574" spans="1:13" x14ac:dyDescent="0.25">
      <c r="A574">
        <v>97.200000000000799</v>
      </c>
      <c r="B574" t="e">
        <f t="shared" si="80"/>
        <v>#N/A</v>
      </c>
      <c r="C574" t="e">
        <f t="shared" si="81"/>
        <v>#N/A</v>
      </c>
      <c r="D574" t="e">
        <f t="shared" si="82"/>
        <v>#N/A</v>
      </c>
      <c r="E574" t="e">
        <f t="shared" si="83"/>
        <v>#N/A</v>
      </c>
      <c r="F574">
        <f t="shared" si="84"/>
        <v>2.6136801032435097E-2</v>
      </c>
      <c r="G574" t="e">
        <f t="shared" si="85"/>
        <v>#N/A</v>
      </c>
      <c r="H574" t="e">
        <f t="shared" si="86"/>
        <v>#N/A</v>
      </c>
      <c r="I574" t="e">
        <f t="shared" si="87"/>
        <v>#N/A</v>
      </c>
      <c r="J574" t="e">
        <f t="shared" si="88"/>
        <v>#N/A</v>
      </c>
      <c r="K574">
        <f t="shared" si="89"/>
        <v>2.6336801032435096E-2</v>
      </c>
      <c r="L574" t="e">
        <f>IF(AND(ABS((ChartCalculations!A574-Calculations!$F$3)/Calculations!$F$4)&lt;5,OR(A574&lt;=Calculations!$F$7,A574&gt;=Calculations!$F$8)),0.2*_xlfn.NORM.DIST(100,100,15,FALSE)*_xlfn.NORM.DIST(A574,Calculations!$F$3,Calculations!$F$4,FALSE)/_xlfn.NORM.DIST(Calculations!$F$3,Calculations!$F$3,Calculations!$F$4,FALSE),NA())</f>
        <v>#N/A</v>
      </c>
      <c r="M574" t="e">
        <f>IF(AND(A574&gt;=Calculations!$F$7,A574&lt;=Calculations!$F$8),0.2*_xlfn.NORM.DIST(100,100,15,FALSE)*_xlfn.NORM.DIST(A574,Calculations!$F$3,Calculations!$F$4,FALSE)/_xlfn.NORM.DIST(Calculations!$F$3,Calculations!$F$3,Calculations!$F$4,FALSE),NA())</f>
        <v>#N/A</v>
      </c>
    </row>
    <row r="575" spans="1:13" x14ac:dyDescent="0.25">
      <c r="A575">
        <v>97.300000000000793</v>
      </c>
      <c r="B575" t="e">
        <f t="shared" si="80"/>
        <v>#N/A</v>
      </c>
      <c r="C575" t="e">
        <f t="shared" si="81"/>
        <v>#N/A</v>
      </c>
      <c r="D575" t="e">
        <f t="shared" si="82"/>
        <v>#N/A</v>
      </c>
      <c r="E575" t="e">
        <f t="shared" si="83"/>
        <v>#N/A</v>
      </c>
      <c r="F575">
        <f t="shared" si="84"/>
        <v>2.6168765541362177E-2</v>
      </c>
      <c r="G575" t="e">
        <f t="shared" si="85"/>
        <v>#N/A</v>
      </c>
      <c r="H575" t="e">
        <f t="shared" si="86"/>
        <v>#N/A</v>
      </c>
      <c r="I575" t="e">
        <f t="shared" si="87"/>
        <v>#N/A</v>
      </c>
      <c r="J575" t="e">
        <f t="shared" si="88"/>
        <v>#N/A</v>
      </c>
      <c r="K575">
        <f t="shared" si="89"/>
        <v>2.6368765541362176E-2</v>
      </c>
      <c r="L575" t="e">
        <f>IF(AND(ABS((ChartCalculations!A575-Calculations!$F$3)/Calculations!$F$4)&lt;5,OR(A575&lt;=Calculations!$F$7,A575&gt;=Calculations!$F$8)),0.2*_xlfn.NORM.DIST(100,100,15,FALSE)*_xlfn.NORM.DIST(A575,Calculations!$F$3,Calculations!$F$4,FALSE)/_xlfn.NORM.DIST(Calculations!$F$3,Calculations!$F$3,Calculations!$F$4,FALSE),NA())</f>
        <v>#N/A</v>
      </c>
      <c r="M575" t="e">
        <f>IF(AND(A575&gt;=Calculations!$F$7,A575&lt;=Calculations!$F$8),0.2*_xlfn.NORM.DIST(100,100,15,FALSE)*_xlfn.NORM.DIST(A575,Calculations!$F$3,Calculations!$F$4,FALSE)/_xlfn.NORM.DIST(Calculations!$F$3,Calculations!$F$3,Calculations!$F$4,FALSE),NA())</f>
        <v>#N/A</v>
      </c>
    </row>
    <row r="576" spans="1:13" x14ac:dyDescent="0.25">
      <c r="A576">
        <v>97.400000000000801</v>
      </c>
      <c r="B576" t="e">
        <f t="shared" si="80"/>
        <v>#N/A</v>
      </c>
      <c r="C576" t="e">
        <f t="shared" si="81"/>
        <v>#N/A</v>
      </c>
      <c r="D576" t="e">
        <f t="shared" si="82"/>
        <v>#N/A</v>
      </c>
      <c r="E576" t="e">
        <f t="shared" si="83"/>
        <v>#N/A</v>
      </c>
      <c r="F576">
        <f t="shared" si="84"/>
        <v>2.6199604689155238E-2</v>
      </c>
      <c r="G576" t="e">
        <f t="shared" si="85"/>
        <v>#N/A</v>
      </c>
      <c r="H576" t="e">
        <f t="shared" si="86"/>
        <v>#N/A</v>
      </c>
      <c r="I576" t="e">
        <f t="shared" si="87"/>
        <v>#N/A</v>
      </c>
      <c r="J576" t="e">
        <f t="shared" si="88"/>
        <v>#N/A</v>
      </c>
      <c r="K576">
        <f t="shared" si="89"/>
        <v>2.6399604689155236E-2</v>
      </c>
      <c r="L576" t="e">
        <f>IF(AND(ABS((ChartCalculations!A576-Calculations!$F$3)/Calculations!$F$4)&lt;5,OR(A576&lt;=Calculations!$F$7,A576&gt;=Calculations!$F$8)),0.2*_xlfn.NORM.DIST(100,100,15,FALSE)*_xlfn.NORM.DIST(A576,Calculations!$F$3,Calculations!$F$4,FALSE)/_xlfn.NORM.DIST(Calculations!$F$3,Calculations!$F$3,Calculations!$F$4,FALSE),NA())</f>
        <v>#N/A</v>
      </c>
      <c r="M576" t="e">
        <f>IF(AND(A576&gt;=Calculations!$F$7,A576&lt;=Calculations!$F$8),0.2*_xlfn.NORM.DIST(100,100,15,FALSE)*_xlfn.NORM.DIST(A576,Calculations!$F$3,Calculations!$F$4,FALSE)/_xlfn.NORM.DIST(Calculations!$F$3,Calculations!$F$3,Calculations!$F$4,FALSE),NA())</f>
        <v>#N/A</v>
      </c>
    </row>
    <row r="577" spans="1:13" x14ac:dyDescent="0.25">
      <c r="A577">
        <v>97.500000000000796</v>
      </c>
      <c r="B577" t="e">
        <f t="shared" si="80"/>
        <v>#N/A</v>
      </c>
      <c r="C577" t="e">
        <f t="shared" si="81"/>
        <v>#N/A</v>
      </c>
      <c r="D577" t="e">
        <f t="shared" si="82"/>
        <v>#N/A</v>
      </c>
      <c r="E577" t="e">
        <f t="shared" si="83"/>
        <v>#N/A</v>
      </c>
      <c r="F577">
        <f t="shared" si="84"/>
        <v>2.6229314406796225E-2</v>
      </c>
      <c r="G577" t="e">
        <f t="shared" si="85"/>
        <v>#N/A</v>
      </c>
      <c r="H577" t="e">
        <f t="shared" si="86"/>
        <v>#N/A</v>
      </c>
      <c r="I577" t="e">
        <f t="shared" si="87"/>
        <v>#N/A</v>
      </c>
      <c r="J577" t="e">
        <f t="shared" si="88"/>
        <v>#N/A</v>
      </c>
      <c r="K577">
        <f t="shared" si="89"/>
        <v>2.6429314406796224E-2</v>
      </c>
      <c r="L577" t="e">
        <f>IF(AND(ABS((ChartCalculations!A577-Calculations!$F$3)/Calculations!$F$4)&lt;5,OR(A577&lt;=Calculations!$F$7,A577&gt;=Calculations!$F$8)),0.2*_xlfn.NORM.DIST(100,100,15,FALSE)*_xlfn.NORM.DIST(A577,Calculations!$F$3,Calculations!$F$4,FALSE)/_xlfn.NORM.DIST(Calculations!$F$3,Calculations!$F$3,Calculations!$F$4,FALSE),NA())</f>
        <v>#N/A</v>
      </c>
      <c r="M577" t="e">
        <f>IF(AND(A577&gt;=Calculations!$F$7,A577&lt;=Calculations!$F$8),0.2*_xlfn.NORM.DIST(100,100,15,FALSE)*_xlfn.NORM.DIST(A577,Calculations!$F$3,Calculations!$F$4,FALSE)/_xlfn.NORM.DIST(Calculations!$F$3,Calculations!$F$3,Calculations!$F$4,FALSE),NA())</f>
        <v>#N/A</v>
      </c>
    </row>
    <row r="578" spans="1:13" x14ac:dyDescent="0.25">
      <c r="A578">
        <v>97.600000000000804</v>
      </c>
      <c r="B578" t="e">
        <f t="shared" si="80"/>
        <v>#N/A</v>
      </c>
      <c r="C578" t="e">
        <f t="shared" si="81"/>
        <v>#N/A</v>
      </c>
      <c r="D578" t="e">
        <f t="shared" si="82"/>
        <v>#N/A</v>
      </c>
      <c r="E578" t="e">
        <f t="shared" si="83"/>
        <v>#N/A</v>
      </c>
      <c r="F578">
        <f t="shared" si="84"/>
        <v>2.6257890771236279E-2</v>
      </c>
      <c r="G578" t="e">
        <f t="shared" si="85"/>
        <v>#N/A</v>
      </c>
      <c r="H578" t="e">
        <f t="shared" si="86"/>
        <v>#N/A</v>
      </c>
      <c r="I578" t="e">
        <f t="shared" si="87"/>
        <v>#N/A</v>
      </c>
      <c r="J578" t="e">
        <f t="shared" si="88"/>
        <v>#N/A</v>
      </c>
      <c r="K578">
        <f t="shared" si="89"/>
        <v>2.6457890771236277E-2</v>
      </c>
      <c r="L578" t="e">
        <f>IF(AND(ABS((ChartCalculations!A578-Calculations!$F$3)/Calculations!$F$4)&lt;5,OR(A578&lt;=Calculations!$F$7,A578&gt;=Calculations!$F$8)),0.2*_xlfn.NORM.DIST(100,100,15,FALSE)*_xlfn.NORM.DIST(A578,Calculations!$F$3,Calculations!$F$4,FALSE)/_xlfn.NORM.DIST(Calculations!$F$3,Calculations!$F$3,Calculations!$F$4,FALSE),NA())</f>
        <v>#N/A</v>
      </c>
      <c r="M578" t="e">
        <f>IF(AND(A578&gt;=Calculations!$F$7,A578&lt;=Calculations!$F$8),0.2*_xlfn.NORM.DIST(100,100,15,FALSE)*_xlfn.NORM.DIST(A578,Calculations!$F$3,Calculations!$F$4,FALSE)/_xlfn.NORM.DIST(Calculations!$F$3,Calculations!$F$3,Calculations!$F$4,FALSE),NA())</f>
        <v>#N/A</v>
      </c>
    </row>
    <row r="579" spans="1:13" x14ac:dyDescent="0.25">
      <c r="A579">
        <v>97.700000000000799</v>
      </c>
      <c r="B579" t="e">
        <f t="shared" ref="B579:B642" si="90">IF($A579&lt;=60,_xlfn.NORM.DIST($A579,100,15,FALSE),NA())</f>
        <v>#N/A</v>
      </c>
      <c r="C579" t="e">
        <f t="shared" ref="C579:C642" si="91">IF(AND($A579&gt;=60,$A579&lt;=70),_xlfn.NORM.DIST($A579,100,15,FALSE),NA())</f>
        <v>#N/A</v>
      </c>
      <c r="D579" t="e">
        <f t="shared" ref="D579:D642" si="92">IF(AND($A579&gt;=70,$A579&lt;=80),_xlfn.NORM.DIST($A579,100,15,FALSE),NA())</f>
        <v>#N/A</v>
      </c>
      <c r="E579" t="e">
        <f t="shared" ref="E579:E642" si="93">IF(AND($A579&gt;=80,$A579&lt;=90),_xlfn.NORM.DIST($A579,100,15,FALSE),NA())</f>
        <v>#N/A</v>
      </c>
      <c r="F579">
        <f t="shared" ref="F579:F642" si="94">IF(AND($A579&gt;=90,$A579&lt;=110),_xlfn.NORM.DIST($A579,100,15,FALSE),NA())</f>
        <v>2.6285330006259034E-2</v>
      </c>
      <c r="G579" t="e">
        <f t="shared" ref="G579:G642" si="95">IF(AND($A579&gt;=110,$A579&lt;=120),_xlfn.NORM.DIST($A579,100,15,FALSE),NA())</f>
        <v>#N/A</v>
      </c>
      <c r="H579" t="e">
        <f t="shared" ref="H579:H642" si="96">IF(AND($A579&gt;=120,$A579&lt;=130),_xlfn.NORM.DIST($A579,100,15,FALSE),NA())</f>
        <v>#N/A</v>
      </c>
      <c r="I579" t="e">
        <f t="shared" ref="I579:I642" si="97">IF(AND($A579&gt;=130,$A579&lt;=140),_xlfn.NORM.DIST($A579,100,15,FALSE),NA())</f>
        <v>#N/A</v>
      </c>
      <c r="J579" t="e">
        <f t="shared" ref="J579:J642" si="98">IF($A579&gt;=140,_xlfn.NORM.DIST($A579,100,15,FALSE),NA())</f>
        <v>#N/A</v>
      </c>
      <c r="K579">
        <f t="shared" ref="K579:K642" si="99">_xlfn.NORM.DIST($A579,100,15,FALSE)+0.0002</f>
        <v>2.6485330006259033E-2</v>
      </c>
      <c r="L579" t="e">
        <f>IF(AND(ABS((ChartCalculations!A579-Calculations!$F$3)/Calculations!$F$4)&lt;5,OR(A579&lt;=Calculations!$F$7,A579&gt;=Calculations!$F$8)),0.2*_xlfn.NORM.DIST(100,100,15,FALSE)*_xlfn.NORM.DIST(A579,Calculations!$F$3,Calculations!$F$4,FALSE)/_xlfn.NORM.DIST(Calculations!$F$3,Calculations!$F$3,Calculations!$F$4,FALSE),NA())</f>
        <v>#N/A</v>
      </c>
      <c r="M579" t="e">
        <f>IF(AND(A579&gt;=Calculations!$F$7,A579&lt;=Calculations!$F$8),0.2*_xlfn.NORM.DIST(100,100,15,FALSE)*_xlfn.NORM.DIST(A579,Calculations!$F$3,Calculations!$F$4,FALSE)/_xlfn.NORM.DIST(Calculations!$F$3,Calculations!$F$3,Calculations!$F$4,FALSE),NA())</f>
        <v>#N/A</v>
      </c>
    </row>
    <row r="580" spans="1:13" x14ac:dyDescent="0.25">
      <c r="A580">
        <v>97.800000000000793</v>
      </c>
      <c r="B580" t="e">
        <f t="shared" si="90"/>
        <v>#N/A</v>
      </c>
      <c r="C580" t="e">
        <f t="shared" si="91"/>
        <v>#N/A</v>
      </c>
      <c r="D580" t="e">
        <f t="shared" si="92"/>
        <v>#N/A</v>
      </c>
      <c r="E580" t="e">
        <f t="shared" si="93"/>
        <v>#N/A</v>
      </c>
      <c r="F580">
        <f t="shared" si="94"/>
        <v>2.6311628483312269E-2</v>
      </c>
      <c r="G580" t="e">
        <f t="shared" si="95"/>
        <v>#N/A</v>
      </c>
      <c r="H580" t="e">
        <f t="shared" si="96"/>
        <v>#N/A</v>
      </c>
      <c r="I580" t="e">
        <f t="shared" si="97"/>
        <v>#N/A</v>
      </c>
      <c r="J580" t="e">
        <f t="shared" si="98"/>
        <v>#N/A</v>
      </c>
      <c r="K580">
        <f t="shared" si="99"/>
        <v>2.6511628483312268E-2</v>
      </c>
      <c r="L580" t="e">
        <f>IF(AND(ABS((ChartCalculations!A580-Calculations!$F$3)/Calculations!$F$4)&lt;5,OR(A580&lt;=Calculations!$F$7,A580&gt;=Calculations!$F$8)),0.2*_xlfn.NORM.DIST(100,100,15,FALSE)*_xlfn.NORM.DIST(A580,Calculations!$F$3,Calculations!$F$4,FALSE)/_xlfn.NORM.DIST(Calculations!$F$3,Calculations!$F$3,Calculations!$F$4,FALSE),NA())</f>
        <v>#N/A</v>
      </c>
      <c r="M580" t="e">
        <f>IF(AND(A580&gt;=Calculations!$F$7,A580&lt;=Calculations!$F$8),0.2*_xlfn.NORM.DIST(100,100,15,FALSE)*_xlfn.NORM.DIST(A580,Calculations!$F$3,Calculations!$F$4,FALSE)/_xlfn.NORM.DIST(Calculations!$F$3,Calculations!$F$3,Calculations!$F$4,FALSE),NA())</f>
        <v>#N/A</v>
      </c>
    </row>
    <row r="581" spans="1:13" x14ac:dyDescent="0.25">
      <c r="A581">
        <v>97.900000000000801</v>
      </c>
      <c r="B581" t="e">
        <f t="shared" si="90"/>
        <v>#N/A</v>
      </c>
      <c r="C581" t="e">
        <f t="shared" si="91"/>
        <v>#N/A</v>
      </c>
      <c r="D581" t="e">
        <f t="shared" si="92"/>
        <v>#N/A</v>
      </c>
      <c r="E581" t="e">
        <f t="shared" si="93"/>
        <v>#N/A</v>
      </c>
      <c r="F581">
        <f t="shared" si="94"/>
        <v>2.6336782722307613E-2</v>
      </c>
      <c r="G581" t="e">
        <f t="shared" si="95"/>
        <v>#N/A</v>
      </c>
      <c r="H581" t="e">
        <f t="shared" si="96"/>
        <v>#N/A</v>
      </c>
      <c r="I581" t="e">
        <f t="shared" si="97"/>
        <v>#N/A</v>
      </c>
      <c r="J581" t="e">
        <f t="shared" si="98"/>
        <v>#N/A</v>
      </c>
      <c r="K581">
        <f t="shared" si="99"/>
        <v>2.6536782722307611E-2</v>
      </c>
      <c r="L581" t="e">
        <f>IF(AND(ABS((ChartCalculations!A581-Calculations!$F$3)/Calculations!$F$4)&lt;5,OR(A581&lt;=Calculations!$F$7,A581&gt;=Calculations!$F$8)),0.2*_xlfn.NORM.DIST(100,100,15,FALSE)*_xlfn.NORM.DIST(A581,Calculations!$F$3,Calculations!$F$4,FALSE)/_xlfn.NORM.DIST(Calculations!$F$3,Calculations!$F$3,Calculations!$F$4,FALSE),NA())</f>
        <v>#N/A</v>
      </c>
      <c r="M581" t="e">
        <f>IF(AND(A581&gt;=Calculations!$F$7,A581&lt;=Calculations!$F$8),0.2*_xlfn.NORM.DIST(100,100,15,FALSE)*_xlfn.NORM.DIST(A581,Calculations!$F$3,Calculations!$F$4,FALSE)/_xlfn.NORM.DIST(Calculations!$F$3,Calculations!$F$3,Calculations!$F$4,FALSE),NA())</f>
        <v>#N/A</v>
      </c>
    </row>
    <row r="582" spans="1:13" x14ac:dyDescent="0.25">
      <c r="A582">
        <v>98.000000000000796</v>
      </c>
      <c r="B582" t="e">
        <f t="shared" si="90"/>
        <v>#N/A</v>
      </c>
      <c r="C582" t="e">
        <f t="shared" si="91"/>
        <v>#N/A</v>
      </c>
      <c r="D582" t="e">
        <f t="shared" si="92"/>
        <v>#N/A</v>
      </c>
      <c r="E582" t="e">
        <f t="shared" si="93"/>
        <v>#N/A</v>
      </c>
      <c r="F582">
        <f t="shared" si="94"/>
        <v>2.6360789392388034E-2</v>
      </c>
      <c r="G582" t="e">
        <f t="shared" si="95"/>
        <v>#N/A</v>
      </c>
      <c r="H582" t="e">
        <f t="shared" si="96"/>
        <v>#N/A</v>
      </c>
      <c r="I582" t="e">
        <f t="shared" si="97"/>
        <v>#N/A</v>
      </c>
      <c r="J582" t="e">
        <f t="shared" si="98"/>
        <v>#N/A</v>
      </c>
      <c r="K582">
        <f t="shared" si="99"/>
        <v>2.6560789392388033E-2</v>
      </c>
      <c r="L582" t="e">
        <f>IF(AND(ABS((ChartCalculations!A582-Calculations!$F$3)/Calculations!$F$4)&lt;5,OR(A582&lt;=Calculations!$F$7,A582&gt;=Calculations!$F$8)),0.2*_xlfn.NORM.DIST(100,100,15,FALSE)*_xlfn.NORM.DIST(A582,Calculations!$F$3,Calculations!$F$4,FALSE)/_xlfn.NORM.DIST(Calculations!$F$3,Calculations!$F$3,Calculations!$F$4,FALSE),NA())</f>
        <v>#N/A</v>
      </c>
      <c r="M582" t="e">
        <f>IF(AND(A582&gt;=Calculations!$F$7,A582&lt;=Calculations!$F$8),0.2*_xlfn.NORM.DIST(100,100,15,FALSE)*_xlfn.NORM.DIST(A582,Calculations!$F$3,Calculations!$F$4,FALSE)/_xlfn.NORM.DIST(Calculations!$F$3,Calculations!$F$3,Calculations!$F$4,FALSE),NA())</f>
        <v>#N/A</v>
      </c>
    </row>
    <row r="583" spans="1:13" x14ac:dyDescent="0.25">
      <c r="A583">
        <v>98.100000000000804</v>
      </c>
      <c r="B583" t="e">
        <f t="shared" si="90"/>
        <v>#N/A</v>
      </c>
      <c r="C583" t="e">
        <f t="shared" si="91"/>
        <v>#N/A</v>
      </c>
      <c r="D583" t="e">
        <f t="shared" si="92"/>
        <v>#N/A</v>
      </c>
      <c r="E583" t="e">
        <f t="shared" si="93"/>
        <v>#N/A</v>
      </c>
      <c r="F583">
        <f t="shared" si="94"/>
        <v>2.6383645312662934E-2</v>
      </c>
      <c r="G583" t="e">
        <f t="shared" si="95"/>
        <v>#N/A</v>
      </c>
      <c r="H583" t="e">
        <f t="shared" si="96"/>
        <v>#N/A</v>
      </c>
      <c r="I583" t="e">
        <f t="shared" si="97"/>
        <v>#N/A</v>
      </c>
      <c r="J583" t="e">
        <f t="shared" si="98"/>
        <v>#N/A</v>
      </c>
      <c r="K583">
        <f t="shared" si="99"/>
        <v>2.6583645312662933E-2</v>
      </c>
      <c r="L583" t="e">
        <f>IF(AND(ABS((ChartCalculations!A583-Calculations!$F$3)/Calculations!$F$4)&lt;5,OR(A583&lt;=Calculations!$F$7,A583&gt;=Calculations!$F$8)),0.2*_xlfn.NORM.DIST(100,100,15,FALSE)*_xlfn.NORM.DIST(A583,Calculations!$F$3,Calculations!$F$4,FALSE)/_xlfn.NORM.DIST(Calculations!$F$3,Calculations!$F$3,Calculations!$F$4,FALSE),NA())</f>
        <v>#N/A</v>
      </c>
      <c r="M583" t="e">
        <f>IF(AND(A583&gt;=Calculations!$F$7,A583&lt;=Calculations!$F$8),0.2*_xlfn.NORM.DIST(100,100,15,FALSE)*_xlfn.NORM.DIST(A583,Calculations!$F$3,Calculations!$F$4,FALSE)/_xlfn.NORM.DIST(Calculations!$F$3,Calculations!$F$3,Calculations!$F$4,FALSE),NA())</f>
        <v>#N/A</v>
      </c>
    </row>
    <row r="584" spans="1:13" x14ac:dyDescent="0.25">
      <c r="A584">
        <v>98.200000000000799</v>
      </c>
      <c r="B584" t="e">
        <f t="shared" si="90"/>
        <v>#N/A</v>
      </c>
      <c r="C584" t="e">
        <f t="shared" si="91"/>
        <v>#N/A</v>
      </c>
      <c r="D584" t="e">
        <f t="shared" si="92"/>
        <v>#N/A</v>
      </c>
      <c r="E584" t="e">
        <f t="shared" si="93"/>
        <v>#N/A</v>
      </c>
      <c r="F584">
        <f t="shared" si="94"/>
        <v>2.6405347452910573E-2</v>
      </c>
      <c r="G584" t="e">
        <f t="shared" si="95"/>
        <v>#N/A</v>
      </c>
      <c r="H584" t="e">
        <f t="shared" si="96"/>
        <v>#N/A</v>
      </c>
      <c r="I584" t="e">
        <f t="shared" si="97"/>
        <v>#N/A</v>
      </c>
      <c r="J584" t="e">
        <f t="shared" si="98"/>
        <v>#N/A</v>
      </c>
      <c r="K584">
        <f t="shared" si="99"/>
        <v>2.6605347452910572E-2</v>
      </c>
      <c r="L584" t="e">
        <f>IF(AND(ABS((ChartCalculations!A584-Calculations!$F$3)/Calculations!$F$4)&lt;5,OR(A584&lt;=Calculations!$F$7,A584&gt;=Calculations!$F$8)),0.2*_xlfn.NORM.DIST(100,100,15,FALSE)*_xlfn.NORM.DIST(A584,Calculations!$F$3,Calculations!$F$4,FALSE)/_xlfn.NORM.DIST(Calculations!$F$3,Calculations!$F$3,Calculations!$F$4,FALSE),NA())</f>
        <v>#N/A</v>
      </c>
      <c r="M584" t="e">
        <f>IF(AND(A584&gt;=Calculations!$F$7,A584&lt;=Calculations!$F$8),0.2*_xlfn.NORM.DIST(100,100,15,FALSE)*_xlfn.NORM.DIST(A584,Calculations!$F$3,Calculations!$F$4,FALSE)/_xlfn.NORM.DIST(Calculations!$F$3,Calculations!$F$3,Calculations!$F$4,FALSE),NA())</f>
        <v>#N/A</v>
      </c>
    </row>
    <row r="585" spans="1:13" x14ac:dyDescent="0.25">
      <c r="A585">
        <v>98.300000000000793</v>
      </c>
      <c r="B585" t="e">
        <f t="shared" si="90"/>
        <v>#N/A</v>
      </c>
      <c r="C585" t="e">
        <f t="shared" si="91"/>
        <v>#N/A</v>
      </c>
      <c r="D585" t="e">
        <f t="shared" si="92"/>
        <v>#N/A</v>
      </c>
      <c r="E585" t="e">
        <f t="shared" si="93"/>
        <v>#N/A</v>
      </c>
      <c r="F585">
        <f t="shared" si="94"/>
        <v>2.642589293424762E-2</v>
      </c>
      <c r="G585" t="e">
        <f t="shared" si="95"/>
        <v>#N/A</v>
      </c>
      <c r="H585" t="e">
        <f t="shared" si="96"/>
        <v>#N/A</v>
      </c>
      <c r="I585" t="e">
        <f t="shared" si="97"/>
        <v>#N/A</v>
      </c>
      <c r="J585" t="e">
        <f t="shared" si="98"/>
        <v>#N/A</v>
      </c>
      <c r="K585">
        <f t="shared" si="99"/>
        <v>2.6625892934247618E-2</v>
      </c>
      <c r="L585" t="e">
        <f>IF(AND(ABS((ChartCalculations!A585-Calculations!$F$3)/Calculations!$F$4)&lt;5,OR(A585&lt;=Calculations!$F$7,A585&gt;=Calculations!$F$8)),0.2*_xlfn.NORM.DIST(100,100,15,FALSE)*_xlfn.NORM.DIST(A585,Calculations!$F$3,Calculations!$F$4,FALSE)/_xlfn.NORM.DIST(Calculations!$F$3,Calculations!$F$3,Calculations!$F$4,FALSE),NA())</f>
        <v>#N/A</v>
      </c>
      <c r="M585" t="e">
        <f>IF(AND(A585&gt;=Calculations!$F$7,A585&lt;=Calculations!$F$8),0.2*_xlfn.NORM.DIST(100,100,15,FALSE)*_xlfn.NORM.DIST(A585,Calculations!$F$3,Calculations!$F$4,FALSE)/_xlfn.NORM.DIST(Calculations!$F$3,Calculations!$F$3,Calculations!$F$4,FALSE),NA())</f>
        <v>#N/A</v>
      </c>
    </row>
    <row r="586" spans="1:13" x14ac:dyDescent="0.25">
      <c r="A586">
        <v>98.400000000000801</v>
      </c>
      <c r="B586" t="e">
        <f t="shared" si="90"/>
        <v>#N/A</v>
      </c>
      <c r="C586" t="e">
        <f t="shared" si="91"/>
        <v>#N/A</v>
      </c>
      <c r="D586" t="e">
        <f t="shared" si="92"/>
        <v>#N/A</v>
      </c>
      <c r="E586" t="e">
        <f t="shared" si="93"/>
        <v>#N/A</v>
      </c>
      <c r="F586">
        <f t="shared" si="94"/>
        <v>2.6445279029765633E-2</v>
      </c>
      <c r="G586" t="e">
        <f t="shared" si="95"/>
        <v>#N/A</v>
      </c>
      <c r="H586" t="e">
        <f t="shared" si="96"/>
        <v>#N/A</v>
      </c>
      <c r="I586" t="e">
        <f t="shared" si="97"/>
        <v>#N/A</v>
      </c>
      <c r="J586" t="e">
        <f t="shared" si="98"/>
        <v>#N/A</v>
      </c>
      <c r="K586">
        <f t="shared" si="99"/>
        <v>2.6645279029765632E-2</v>
      </c>
      <c r="L586" t="e">
        <f>IF(AND(ABS((ChartCalculations!A586-Calculations!$F$3)/Calculations!$F$4)&lt;5,OR(A586&lt;=Calculations!$F$7,A586&gt;=Calculations!$F$8)),0.2*_xlfn.NORM.DIST(100,100,15,FALSE)*_xlfn.NORM.DIST(A586,Calculations!$F$3,Calculations!$F$4,FALSE)/_xlfn.NORM.DIST(Calculations!$F$3,Calculations!$F$3,Calculations!$F$4,FALSE),NA())</f>
        <v>#N/A</v>
      </c>
      <c r="M586" t="e">
        <f>IF(AND(A586&gt;=Calculations!$F$7,A586&lt;=Calculations!$F$8),0.2*_xlfn.NORM.DIST(100,100,15,FALSE)*_xlfn.NORM.DIST(A586,Calculations!$F$3,Calculations!$F$4,FALSE)/_xlfn.NORM.DIST(Calculations!$F$3,Calculations!$F$3,Calculations!$F$4,FALSE),NA())</f>
        <v>#N/A</v>
      </c>
    </row>
    <row r="587" spans="1:13" x14ac:dyDescent="0.25">
      <c r="A587">
        <v>98.500000000000796</v>
      </c>
      <c r="B587" t="e">
        <f t="shared" si="90"/>
        <v>#N/A</v>
      </c>
      <c r="C587" t="e">
        <f t="shared" si="91"/>
        <v>#N/A</v>
      </c>
      <c r="D587" t="e">
        <f t="shared" si="92"/>
        <v>#N/A</v>
      </c>
      <c r="E587" t="e">
        <f t="shared" si="93"/>
        <v>#N/A</v>
      </c>
      <c r="F587">
        <f t="shared" si="94"/>
        <v>2.6463503165134256E-2</v>
      </c>
      <c r="G587" t="e">
        <f t="shared" si="95"/>
        <v>#N/A</v>
      </c>
      <c r="H587" t="e">
        <f t="shared" si="96"/>
        <v>#N/A</v>
      </c>
      <c r="I587" t="e">
        <f t="shared" si="97"/>
        <v>#N/A</v>
      </c>
      <c r="J587" t="e">
        <f t="shared" si="98"/>
        <v>#N/A</v>
      </c>
      <c r="K587">
        <f t="shared" si="99"/>
        <v>2.6663503165134255E-2</v>
      </c>
      <c r="L587" t="e">
        <f>IF(AND(ABS((ChartCalculations!A587-Calculations!$F$3)/Calculations!$F$4)&lt;5,OR(A587&lt;=Calculations!$F$7,A587&gt;=Calculations!$F$8)),0.2*_xlfn.NORM.DIST(100,100,15,FALSE)*_xlfn.NORM.DIST(A587,Calculations!$F$3,Calculations!$F$4,FALSE)/_xlfn.NORM.DIST(Calculations!$F$3,Calculations!$F$3,Calculations!$F$4,FALSE),NA())</f>
        <v>#N/A</v>
      </c>
      <c r="M587" t="e">
        <f>IF(AND(A587&gt;=Calculations!$F$7,A587&lt;=Calculations!$F$8),0.2*_xlfn.NORM.DIST(100,100,15,FALSE)*_xlfn.NORM.DIST(A587,Calculations!$F$3,Calculations!$F$4,FALSE)/_xlfn.NORM.DIST(Calculations!$F$3,Calculations!$F$3,Calculations!$F$4,FALSE),NA())</f>
        <v>#N/A</v>
      </c>
    </row>
    <row r="588" spans="1:13" x14ac:dyDescent="0.25">
      <c r="A588">
        <v>98.600000000000804</v>
      </c>
      <c r="B588" t="e">
        <f t="shared" si="90"/>
        <v>#N/A</v>
      </c>
      <c r="C588" t="e">
        <f t="shared" si="91"/>
        <v>#N/A</v>
      </c>
      <c r="D588" t="e">
        <f t="shared" si="92"/>
        <v>#N/A</v>
      </c>
      <c r="E588" t="e">
        <f t="shared" si="93"/>
        <v>#N/A</v>
      </c>
      <c r="F588">
        <f t="shared" si="94"/>
        <v>2.6480562919170995E-2</v>
      </c>
      <c r="G588" t="e">
        <f t="shared" si="95"/>
        <v>#N/A</v>
      </c>
      <c r="H588" t="e">
        <f t="shared" si="96"/>
        <v>#N/A</v>
      </c>
      <c r="I588" t="e">
        <f t="shared" si="97"/>
        <v>#N/A</v>
      </c>
      <c r="J588" t="e">
        <f t="shared" si="98"/>
        <v>#N/A</v>
      </c>
      <c r="K588">
        <f t="shared" si="99"/>
        <v>2.6680562919170994E-2</v>
      </c>
      <c r="L588" t="e">
        <f>IF(AND(ABS((ChartCalculations!A588-Calculations!$F$3)/Calculations!$F$4)&lt;5,OR(A588&lt;=Calculations!$F$7,A588&gt;=Calculations!$F$8)),0.2*_xlfn.NORM.DIST(100,100,15,FALSE)*_xlfn.NORM.DIST(A588,Calculations!$F$3,Calculations!$F$4,FALSE)/_xlfn.NORM.DIST(Calculations!$F$3,Calculations!$F$3,Calculations!$F$4,FALSE),NA())</f>
        <v>#N/A</v>
      </c>
      <c r="M588" t="e">
        <f>IF(AND(A588&gt;=Calculations!$F$7,A588&lt;=Calculations!$F$8),0.2*_xlfn.NORM.DIST(100,100,15,FALSE)*_xlfn.NORM.DIST(A588,Calculations!$F$3,Calculations!$F$4,FALSE)/_xlfn.NORM.DIST(Calculations!$F$3,Calculations!$F$3,Calculations!$F$4,FALSE),NA())</f>
        <v>#N/A</v>
      </c>
    </row>
    <row r="589" spans="1:13" x14ac:dyDescent="0.25">
      <c r="A589">
        <v>98.700000000000799</v>
      </c>
      <c r="B589" t="e">
        <f t="shared" si="90"/>
        <v>#N/A</v>
      </c>
      <c r="C589" t="e">
        <f t="shared" si="91"/>
        <v>#N/A</v>
      </c>
      <c r="D589" t="e">
        <f t="shared" si="92"/>
        <v>#N/A</v>
      </c>
      <c r="E589" t="e">
        <f t="shared" si="93"/>
        <v>#N/A</v>
      </c>
      <c r="F589">
        <f t="shared" si="94"/>
        <v>2.6496456024377259E-2</v>
      </c>
      <c r="G589" t="e">
        <f t="shared" si="95"/>
        <v>#N/A</v>
      </c>
      <c r="H589" t="e">
        <f t="shared" si="96"/>
        <v>#N/A</v>
      </c>
      <c r="I589" t="e">
        <f t="shared" si="97"/>
        <v>#N/A</v>
      </c>
      <c r="J589" t="e">
        <f t="shared" si="98"/>
        <v>#N/A</v>
      </c>
      <c r="K589">
        <f t="shared" si="99"/>
        <v>2.6696456024377258E-2</v>
      </c>
      <c r="L589" t="e">
        <f>IF(AND(ABS((ChartCalculations!A589-Calculations!$F$3)/Calculations!$F$4)&lt;5,OR(A589&lt;=Calculations!$F$7,A589&gt;=Calculations!$F$8)),0.2*_xlfn.NORM.DIST(100,100,15,FALSE)*_xlfn.NORM.DIST(A589,Calculations!$F$3,Calculations!$F$4,FALSE)/_xlfn.NORM.DIST(Calculations!$F$3,Calculations!$F$3,Calculations!$F$4,FALSE),NA())</f>
        <v>#N/A</v>
      </c>
      <c r="M589" t="e">
        <f>IF(AND(A589&gt;=Calculations!$F$7,A589&lt;=Calculations!$F$8),0.2*_xlfn.NORM.DIST(100,100,15,FALSE)*_xlfn.NORM.DIST(A589,Calculations!$F$3,Calculations!$F$4,FALSE)/_xlfn.NORM.DIST(Calculations!$F$3,Calculations!$F$3,Calculations!$F$4,FALSE),NA())</f>
        <v>#N/A</v>
      </c>
    </row>
    <row r="590" spans="1:13" x14ac:dyDescent="0.25">
      <c r="A590">
        <v>98.800000000000793</v>
      </c>
      <c r="B590" t="e">
        <f t="shared" si="90"/>
        <v>#N/A</v>
      </c>
      <c r="C590" t="e">
        <f t="shared" si="91"/>
        <v>#N/A</v>
      </c>
      <c r="D590" t="e">
        <f t="shared" si="92"/>
        <v>#N/A</v>
      </c>
      <c r="E590" t="e">
        <f t="shared" si="93"/>
        <v>#N/A</v>
      </c>
      <c r="F590">
        <f t="shared" si="94"/>
        <v>2.6511180367440702E-2</v>
      </c>
      <c r="G590" t="e">
        <f t="shared" si="95"/>
        <v>#N/A</v>
      </c>
      <c r="H590" t="e">
        <f t="shared" si="96"/>
        <v>#N/A</v>
      </c>
      <c r="I590" t="e">
        <f t="shared" si="97"/>
        <v>#N/A</v>
      </c>
      <c r="J590" t="e">
        <f t="shared" si="98"/>
        <v>#N/A</v>
      </c>
      <c r="K590">
        <f t="shared" si="99"/>
        <v>2.67111803674407E-2</v>
      </c>
      <c r="L590" t="e">
        <f>IF(AND(ABS((ChartCalculations!A590-Calculations!$F$3)/Calculations!$F$4)&lt;5,OR(A590&lt;=Calculations!$F$7,A590&gt;=Calculations!$F$8)),0.2*_xlfn.NORM.DIST(100,100,15,FALSE)*_xlfn.NORM.DIST(A590,Calculations!$F$3,Calculations!$F$4,FALSE)/_xlfn.NORM.DIST(Calculations!$F$3,Calculations!$F$3,Calculations!$F$4,FALSE),NA())</f>
        <v>#N/A</v>
      </c>
      <c r="M590" t="e">
        <f>IF(AND(A590&gt;=Calculations!$F$7,A590&lt;=Calculations!$F$8),0.2*_xlfn.NORM.DIST(100,100,15,FALSE)*_xlfn.NORM.DIST(A590,Calculations!$F$3,Calculations!$F$4,FALSE)/_xlfn.NORM.DIST(Calculations!$F$3,Calculations!$F$3,Calculations!$F$4,FALSE),NA())</f>
        <v>#N/A</v>
      </c>
    </row>
    <row r="591" spans="1:13" x14ac:dyDescent="0.25">
      <c r="A591">
        <v>98.900000000000801</v>
      </c>
      <c r="B591" t="e">
        <f t="shared" si="90"/>
        <v>#N/A</v>
      </c>
      <c r="C591" t="e">
        <f t="shared" si="91"/>
        <v>#N/A</v>
      </c>
      <c r="D591" t="e">
        <f t="shared" si="92"/>
        <v>#N/A</v>
      </c>
      <c r="E591" t="e">
        <f t="shared" si="93"/>
        <v>#N/A</v>
      </c>
      <c r="F591">
        <f t="shared" si="94"/>
        <v>2.6524733989703578E-2</v>
      </c>
      <c r="G591" t="e">
        <f t="shared" si="95"/>
        <v>#N/A</v>
      </c>
      <c r="H591" t="e">
        <f t="shared" si="96"/>
        <v>#N/A</v>
      </c>
      <c r="I591" t="e">
        <f t="shared" si="97"/>
        <v>#N/A</v>
      </c>
      <c r="J591" t="e">
        <f t="shared" si="98"/>
        <v>#N/A</v>
      </c>
      <c r="K591">
        <f t="shared" si="99"/>
        <v>2.6724733989703577E-2</v>
      </c>
      <c r="L591" t="e">
        <f>IF(AND(ABS((ChartCalculations!A591-Calculations!$F$3)/Calculations!$F$4)&lt;5,OR(A591&lt;=Calculations!$F$7,A591&gt;=Calculations!$F$8)),0.2*_xlfn.NORM.DIST(100,100,15,FALSE)*_xlfn.NORM.DIST(A591,Calculations!$F$3,Calculations!$F$4,FALSE)/_xlfn.NORM.DIST(Calculations!$F$3,Calculations!$F$3,Calculations!$F$4,FALSE),NA())</f>
        <v>#N/A</v>
      </c>
      <c r="M591" t="e">
        <f>IF(AND(A591&gt;=Calculations!$F$7,A591&lt;=Calculations!$F$8),0.2*_xlfn.NORM.DIST(100,100,15,FALSE)*_xlfn.NORM.DIST(A591,Calculations!$F$3,Calculations!$F$4,FALSE)/_xlfn.NORM.DIST(Calculations!$F$3,Calculations!$F$3,Calculations!$F$4,FALSE),NA())</f>
        <v>#N/A</v>
      </c>
    </row>
    <row r="592" spans="1:13" x14ac:dyDescent="0.25">
      <c r="A592">
        <v>99.000000000000796</v>
      </c>
      <c r="B592" t="e">
        <f t="shared" si="90"/>
        <v>#N/A</v>
      </c>
      <c r="C592" t="e">
        <f t="shared" si="91"/>
        <v>#N/A</v>
      </c>
      <c r="D592" t="e">
        <f t="shared" si="92"/>
        <v>#N/A</v>
      </c>
      <c r="E592" t="e">
        <f t="shared" si="93"/>
        <v>#N/A</v>
      </c>
      <c r="F592">
        <f t="shared" si="94"/>
        <v>2.6537115087596912E-2</v>
      </c>
      <c r="G592" t="e">
        <f t="shared" si="95"/>
        <v>#N/A</v>
      </c>
      <c r="H592" t="e">
        <f t="shared" si="96"/>
        <v>#N/A</v>
      </c>
      <c r="I592" t="e">
        <f t="shared" si="97"/>
        <v>#N/A</v>
      </c>
      <c r="J592" t="e">
        <f t="shared" si="98"/>
        <v>#N/A</v>
      </c>
      <c r="K592">
        <f t="shared" si="99"/>
        <v>2.6737115087596911E-2</v>
      </c>
      <c r="L592" t="e">
        <f>IF(AND(ABS((ChartCalculations!A592-Calculations!$F$3)/Calculations!$F$4)&lt;5,OR(A592&lt;=Calculations!$F$7,A592&gt;=Calculations!$F$8)),0.2*_xlfn.NORM.DIST(100,100,15,FALSE)*_xlfn.NORM.DIST(A592,Calculations!$F$3,Calculations!$F$4,FALSE)/_xlfn.NORM.DIST(Calculations!$F$3,Calculations!$F$3,Calculations!$F$4,FALSE),NA())</f>
        <v>#N/A</v>
      </c>
      <c r="M592" t="e">
        <f>IF(AND(A592&gt;=Calculations!$F$7,A592&lt;=Calculations!$F$8),0.2*_xlfn.NORM.DIST(100,100,15,FALSE)*_xlfn.NORM.DIST(A592,Calculations!$F$3,Calculations!$F$4,FALSE)/_xlfn.NORM.DIST(Calculations!$F$3,Calculations!$F$3,Calculations!$F$4,FALSE),NA())</f>
        <v>#N/A</v>
      </c>
    </row>
    <row r="593" spans="1:13" x14ac:dyDescent="0.25">
      <c r="A593">
        <v>99.100000000000804</v>
      </c>
      <c r="B593" t="e">
        <f t="shared" si="90"/>
        <v>#N/A</v>
      </c>
      <c r="C593" t="e">
        <f t="shared" si="91"/>
        <v>#N/A</v>
      </c>
      <c r="D593" t="e">
        <f t="shared" si="92"/>
        <v>#N/A</v>
      </c>
      <c r="E593" t="e">
        <f t="shared" si="93"/>
        <v>#N/A</v>
      </c>
      <c r="F593">
        <f t="shared" si="94"/>
        <v>2.6548322013040544E-2</v>
      </c>
      <c r="G593" t="e">
        <f t="shared" si="95"/>
        <v>#N/A</v>
      </c>
      <c r="H593" t="e">
        <f t="shared" si="96"/>
        <v>#N/A</v>
      </c>
      <c r="I593" t="e">
        <f t="shared" si="97"/>
        <v>#N/A</v>
      </c>
      <c r="J593" t="e">
        <f t="shared" si="98"/>
        <v>#N/A</v>
      </c>
      <c r="K593">
        <f t="shared" si="99"/>
        <v>2.6748322013040542E-2</v>
      </c>
      <c r="L593" t="e">
        <f>IF(AND(ABS((ChartCalculations!A593-Calculations!$F$3)/Calculations!$F$4)&lt;5,OR(A593&lt;=Calculations!$F$7,A593&gt;=Calculations!$F$8)),0.2*_xlfn.NORM.DIST(100,100,15,FALSE)*_xlfn.NORM.DIST(A593,Calculations!$F$3,Calculations!$F$4,FALSE)/_xlfn.NORM.DIST(Calculations!$F$3,Calculations!$F$3,Calculations!$F$4,FALSE),NA())</f>
        <v>#N/A</v>
      </c>
      <c r="M593" t="e">
        <f>IF(AND(A593&gt;=Calculations!$F$7,A593&lt;=Calculations!$F$8),0.2*_xlfn.NORM.DIST(100,100,15,FALSE)*_xlfn.NORM.DIST(A593,Calculations!$F$3,Calculations!$F$4,FALSE)/_xlfn.NORM.DIST(Calculations!$F$3,Calculations!$F$3,Calculations!$F$4,FALSE),NA())</f>
        <v>#N/A</v>
      </c>
    </row>
    <row r="594" spans="1:13" x14ac:dyDescent="0.25">
      <c r="A594">
        <v>99.200000000000799</v>
      </c>
      <c r="B594" t="e">
        <f t="shared" si="90"/>
        <v>#N/A</v>
      </c>
      <c r="C594" t="e">
        <f t="shared" si="91"/>
        <v>#N/A</v>
      </c>
      <c r="D594" t="e">
        <f t="shared" si="92"/>
        <v>#N/A</v>
      </c>
      <c r="E594" t="e">
        <f t="shared" si="93"/>
        <v>#N/A</v>
      </c>
      <c r="F594">
        <f t="shared" si="94"/>
        <v>2.655835327380875E-2</v>
      </c>
      <c r="G594" t="e">
        <f t="shared" si="95"/>
        <v>#N/A</v>
      </c>
      <c r="H594" t="e">
        <f t="shared" si="96"/>
        <v>#N/A</v>
      </c>
      <c r="I594" t="e">
        <f t="shared" si="97"/>
        <v>#N/A</v>
      </c>
      <c r="J594" t="e">
        <f t="shared" si="98"/>
        <v>#N/A</v>
      </c>
      <c r="K594">
        <f t="shared" si="99"/>
        <v>2.6758353273808749E-2</v>
      </c>
      <c r="L594" t="e">
        <f>IF(AND(ABS((ChartCalculations!A594-Calculations!$F$3)/Calculations!$F$4)&lt;5,OR(A594&lt;=Calculations!$F$7,A594&gt;=Calculations!$F$8)),0.2*_xlfn.NORM.DIST(100,100,15,FALSE)*_xlfn.NORM.DIST(A594,Calculations!$F$3,Calculations!$F$4,FALSE)/_xlfn.NORM.DIST(Calculations!$F$3,Calculations!$F$3,Calculations!$F$4,FALSE),NA())</f>
        <v>#N/A</v>
      </c>
      <c r="M594" t="e">
        <f>IF(AND(A594&gt;=Calculations!$F$7,A594&lt;=Calculations!$F$8),0.2*_xlfn.NORM.DIST(100,100,15,FALSE)*_xlfn.NORM.DIST(A594,Calculations!$F$3,Calculations!$F$4,FALSE)/_xlfn.NORM.DIST(Calculations!$F$3,Calculations!$F$3,Calculations!$F$4,FALSE),NA())</f>
        <v>#N/A</v>
      </c>
    </row>
    <row r="595" spans="1:13" x14ac:dyDescent="0.25">
      <c r="A595">
        <v>99.300000000000793</v>
      </c>
      <c r="B595" t="e">
        <f t="shared" si="90"/>
        <v>#N/A</v>
      </c>
      <c r="C595" t="e">
        <f t="shared" si="91"/>
        <v>#N/A</v>
      </c>
      <c r="D595" t="e">
        <f t="shared" si="92"/>
        <v>#N/A</v>
      </c>
      <c r="E595" t="e">
        <f t="shared" si="93"/>
        <v>#N/A</v>
      </c>
      <c r="F595">
        <f t="shared" si="94"/>
        <v>2.6567207533861371E-2</v>
      </c>
      <c r="G595" t="e">
        <f t="shared" si="95"/>
        <v>#N/A</v>
      </c>
      <c r="H595" t="e">
        <f t="shared" si="96"/>
        <v>#N/A</v>
      </c>
      <c r="I595" t="e">
        <f t="shared" si="97"/>
        <v>#N/A</v>
      </c>
      <c r="J595" t="e">
        <f t="shared" si="98"/>
        <v>#N/A</v>
      </c>
      <c r="K595">
        <f t="shared" si="99"/>
        <v>2.676720753386137E-2</v>
      </c>
      <c r="L595" t="e">
        <f>IF(AND(ABS((ChartCalculations!A595-Calculations!$F$3)/Calculations!$F$4)&lt;5,OR(A595&lt;=Calculations!$F$7,A595&gt;=Calculations!$F$8)),0.2*_xlfn.NORM.DIST(100,100,15,FALSE)*_xlfn.NORM.DIST(A595,Calculations!$F$3,Calculations!$F$4,FALSE)/_xlfn.NORM.DIST(Calculations!$F$3,Calculations!$F$3,Calculations!$F$4,FALSE),NA())</f>
        <v>#N/A</v>
      </c>
      <c r="M595" t="e">
        <f>IF(AND(A595&gt;=Calculations!$F$7,A595&lt;=Calculations!$F$8),0.2*_xlfn.NORM.DIST(100,100,15,FALSE)*_xlfn.NORM.DIST(A595,Calculations!$F$3,Calculations!$F$4,FALSE)/_xlfn.NORM.DIST(Calculations!$F$3,Calculations!$F$3,Calculations!$F$4,FALSE),NA())</f>
        <v>#N/A</v>
      </c>
    </row>
    <row r="596" spans="1:13" x14ac:dyDescent="0.25">
      <c r="A596">
        <v>99.400000000000801</v>
      </c>
      <c r="B596" t="e">
        <f t="shared" si="90"/>
        <v>#N/A</v>
      </c>
      <c r="C596" t="e">
        <f t="shared" si="91"/>
        <v>#N/A</v>
      </c>
      <c r="D596" t="e">
        <f t="shared" si="92"/>
        <v>#N/A</v>
      </c>
      <c r="E596" t="e">
        <f t="shared" si="93"/>
        <v>#N/A</v>
      </c>
      <c r="F596">
        <f t="shared" si="94"/>
        <v>2.6574883613640389E-2</v>
      </c>
      <c r="G596" t="e">
        <f t="shared" si="95"/>
        <v>#N/A</v>
      </c>
      <c r="H596" t="e">
        <f t="shared" si="96"/>
        <v>#N/A</v>
      </c>
      <c r="I596" t="e">
        <f t="shared" si="97"/>
        <v>#N/A</v>
      </c>
      <c r="J596" t="e">
        <f t="shared" si="98"/>
        <v>#N/A</v>
      </c>
      <c r="K596">
        <f t="shared" si="99"/>
        <v>2.6774883613640388E-2</v>
      </c>
      <c r="L596" t="e">
        <f>IF(AND(ABS((ChartCalculations!A596-Calculations!$F$3)/Calculations!$F$4)&lt;5,OR(A596&lt;=Calculations!$F$7,A596&gt;=Calculations!$F$8)),0.2*_xlfn.NORM.DIST(100,100,15,FALSE)*_xlfn.NORM.DIST(A596,Calculations!$F$3,Calculations!$F$4,FALSE)/_xlfn.NORM.DIST(Calculations!$F$3,Calculations!$F$3,Calculations!$F$4,FALSE),NA())</f>
        <v>#N/A</v>
      </c>
      <c r="M596" t="e">
        <f>IF(AND(A596&gt;=Calculations!$F$7,A596&lt;=Calculations!$F$8),0.2*_xlfn.NORM.DIST(100,100,15,FALSE)*_xlfn.NORM.DIST(A596,Calculations!$F$3,Calculations!$F$4,FALSE)/_xlfn.NORM.DIST(Calculations!$F$3,Calculations!$F$3,Calculations!$F$4,FALSE),NA())</f>
        <v>#N/A</v>
      </c>
    </row>
    <row r="597" spans="1:13" x14ac:dyDescent="0.25">
      <c r="A597">
        <v>99.500000000000796</v>
      </c>
      <c r="B597" t="e">
        <f t="shared" si="90"/>
        <v>#N/A</v>
      </c>
      <c r="C597" t="e">
        <f t="shared" si="91"/>
        <v>#N/A</v>
      </c>
      <c r="D597" t="e">
        <f t="shared" si="92"/>
        <v>#N/A</v>
      </c>
      <c r="E597" t="e">
        <f t="shared" si="93"/>
        <v>#N/A</v>
      </c>
      <c r="F597">
        <f t="shared" si="94"/>
        <v>2.658138049033185E-2</v>
      </c>
      <c r="G597" t="e">
        <f t="shared" si="95"/>
        <v>#N/A</v>
      </c>
      <c r="H597" t="e">
        <f t="shared" si="96"/>
        <v>#N/A</v>
      </c>
      <c r="I597" t="e">
        <f t="shared" si="97"/>
        <v>#N/A</v>
      </c>
      <c r="J597" t="e">
        <f t="shared" si="98"/>
        <v>#N/A</v>
      </c>
      <c r="K597">
        <f t="shared" si="99"/>
        <v>2.6781380490331849E-2</v>
      </c>
      <c r="L597" t="e">
        <f>IF(AND(ABS((ChartCalculations!A597-Calculations!$F$3)/Calculations!$F$4)&lt;5,OR(A597&lt;=Calculations!$F$7,A597&gt;=Calculations!$F$8)),0.2*_xlfn.NORM.DIST(100,100,15,FALSE)*_xlfn.NORM.DIST(A597,Calculations!$F$3,Calculations!$F$4,FALSE)/_xlfn.NORM.DIST(Calculations!$F$3,Calculations!$F$3,Calculations!$F$4,FALSE),NA())</f>
        <v>#N/A</v>
      </c>
      <c r="M597" t="e">
        <f>IF(AND(A597&gt;=Calculations!$F$7,A597&lt;=Calculations!$F$8),0.2*_xlfn.NORM.DIST(100,100,15,FALSE)*_xlfn.NORM.DIST(A597,Calculations!$F$3,Calculations!$F$4,FALSE)/_xlfn.NORM.DIST(Calculations!$F$3,Calculations!$F$3,Calculations!$F$4,FALSE),NA())</f>
        <v>#N/A</v>
      </c>
    </row>
    <row r="598" spans="1:13" x14ac:dyDescent="0.25">
      <c r="A598">
        <v>99.600000000000804</v>
      </c>
      <c r="B598" t="e">
        <f t="shared" si="90"/>
        <v>#N/A</v>
      </c>
      <c r="C598" t="e">
        <f t="shared" si="91"/>
        <v>#N/A</v>
      </c>
      <c r="D598" t="e">
        <f t="shared" si="92"/>
        <v>#N/A</v>
      </c>
      <c r="E598" t="e">
        <f t="shared" si="93"/>
        <v>#N/A</v>
      </c>
      <c r="F598">
        <f t="shared" si="94"/>
        <v>2.6586697298092959E-2</v>
      </c>
      <c r="G598" t="e">
        <f t="shared" si="95"/>
        <v>#N/A</v>
      </c>
      <c r="H598" t="e">
        <f t="shared" si="96"/>
        <v>#N/A</v>
      </c>
      <c r="I598" t="e">
        <f t="shared" si="97"/>
        <v>#N/A</v>
      </c>
      <c r="J598" t="e">
        <f t="shared" si="98"/>
        <v>#N/A</v>
      </c>
      <c r="K598">
        <f t="shared" si="99"/>
        <v>2.6786697298092958E-2</v>
      </c>
      <c r="L598" t="e">
        <f>IF(AND(ABS((ChartCalculations!A598-Calculations!$F$3)/Calculations!$F$4)&lt;5,OR(A598&lt;=Calculations!$F$7,A598&gt;=Calculations!$F$8)),0.2*_xlfn.NORM.DIST(100,100,15,FALSE)*_xlfn.NORM.DIST(A598,Calculations!$F$3,Calculations!$F$4,FALSE)/_xlfn.NORM.DIST(Calculations!$F$3,Calculations!$F$3,Calculations!$F$4,FALSE),NA())</f>
        <v>#N/A</v>
      </c>
      <c r="M598" t="e">
        <f>IF(AND(A598&gt;=Calculations!$F$7,A598&lt;=Calculations!$F$8),0.2*_xlfn.NORM.DIST(100,100,15,FALSE)*_xlfn.NORM.DIST(A598,Calculations!$F$3,Calculations!$F$4,FALSE)/_xlfn.NORM.DIST(Calculations!$F$3,Calculations!$F$3,Calculations!$F$4,FALSE),NA())</f>
        <v>#N/A</v>
      </c>
    </row>
    <row r="599" spans="1:13" x14ac:dyDescent="0.25">
      <c r="A599">
        <v>99.700000000000799</v>
      </c>
      <c r="B599" t="e">
        <f t="shared" si="90"/>
        <v>#N/A</v>
      </c>
      <c r="C599" t="e">
        <f t="shared" si="91"/>
        <v>#N/A</v>
      </c>
      <c r="D599" t="e">
        <f t="shared" si="92"/>
        <v>#N/A</v>
      </c>
      <c r="E599" t="e">
        <f t="shared" si="93"/>
        <v>#N/A</v>
      </c>
      <c r="F599">
        <f t="shared" si="94"/>
        <v>2.6590833328244433E-2</v>
      </c>
      <c r="G599" t="e">
        <f t="shared" si="95"/>
        <v>#N/A</v>
      </c>
      <c r="H599" t="e">
        <f t="shared" si="96"/>
        <v>#N/A</v>
      </c>
      <c r="I599" t="e">
        <f t="shared" si="97"/>
        <v>#N/A</v>
      </c>
      <c r="J599" t="e">
        <f t="shared" si="98"/>
        <v>#N/A</v>
      </c>
      <c r="K599">
        <f t="shared" si="99"/>
        <v>2.6790833328244432E-2</v>
      </c>
      <c r="L599" t="e">
        <f>IF(AND(ABS((ChartCalculations!A599-Calculations!$F$3)/Calculations!$F$4)&lt;5,OR(A599&lt;=Calculations!$F$7,A599&gt;=Calculations!$F$8)),0.2*_xlfn.NORM.DIST(100,100,15,FALSE)*_xlfn.NORM.DIST(A599,Calculations!$F$3,Calculations!$F$4,FALSE)/_xlfn.NORM.DIST(Calculations!$F$3,Calculations!$F$3,Calculations!$F$4,FALSE),NA())</f>
        <v>#N/A</v>
      </c>
      <c r="M599" t="e">
        <f>IF(AND(A599&gt;=Calculations!$F$7,A599&lt;=Calculations!$F$8),0.2*_xlfn.NORM.DIST(100,100,15,FALSE)*_xlfn.NORM.DIST(A599,Calculations!$F$3,Calculations!$F$4,FALSE)/_xlfn.NORM.DIST(Calculations!$F$3,Calculations!$F$3,Calculations!$F$4,FALSE),NA())</f>
        <v>#N/A</v>
      </c>
    </row>
    <row r="600" spans="1:13" x14ac:dyDescent="0.25">
      <c r="A600">
        <v>99.800000000000793</v>
      </c>
      <c r="B600" t="e">
        <f t="shared" si="90"/>
        <v>#N/A</v>
      </c>
      <c r="C600" t="e">
        <f t="shared" si="91"/>
        <v>#N/A</v>
      </c>
      <c r="D600" t="e">
        <f t="shared" si="92"/>
        <v>#N/A</v>
      </c>
      <c r="E600" t="e">
        <f t="shared" si="93"/>
        <v>#N/A</v>
      </c>
      <c r="F600">
        <f t="shared" si="94"/>
        <v>2.6593788029427926E-2</v>
      </c>
      <c r="G600" t="e">
        <f t="shared" si="95"/>
        <v>#N/A</v>
      </c>
      <c r="H600" t="e">
        <f t="shared" si="96"/>
        <v>#N/A</v>
      </c>
      <c r="I600" t="e">
        <f t="shared" si="97"/>
        <v>#N/A</v>
      </c>
      <c r="J600" t="e">
        <f t="shared" si="98"/>
        <v>#N/A</v>
      </c>
      <c r="K600">
        <f t="shared" si="99"/>
        <v>2.6793788029427924E-2</v>
      </c>
      <c r="L600" t="e">
        <f>IF(AND(ABS((ChartCalculations!A600-Calculations!$F$3)/Calculations!$F$4)&lt;5,OR(A600&lt;=Calculations!$F$7,A600&gt;=Calculations!$F$8)),0.2*_xlfn.NORM.DIST(100,100,15,FALSE)*_xlfn.NORM.DIST(A600,Calculations!$F$3,Calculations!$F$4,FALSE)/_xlfn.NORM.DIST(Calculations!$F$3,Calculations!$F$3,Calculations!$F$4,FALSE),NA())</f>
        <v>#N/A</v>
      </c>
      <c r="M600" t="e">
        <f>IF(AND(A600&gt;=Calculations!$F$7,A600&lt;=Calculations!$F$8),0.2*_xlfn.NORM.DIST(100,100,15,FALSE)*_xlfn.NORM.DIST(A600,Calculations!$F$3,Calculations!$F$4,FALSE)/_xlfn.NORM.DIST(Calculations!$F$3,Calculations!$F$3,Calculations!$F$4,FALSE),NA())</f>
        <v>#N/A</v>
      </c>
    </row>
    <row r="601" spans="1:13" x14ac:dyDescent="0.25">
      <c r="A601">
        <v>99.900000000000901</v>
      </c>
      <c r="B601" t="e">
        <f t="shared" si="90"/>
        <v>#N/A</v>
      </c>
      <c r="C601" t="e">
        <f t="shared" si="91"/>
        <v>#N/A</v>
      </c>
      <c r="D601" t="e">
        <f t="shared" si="92"/>
        <v>#N/A</v>
      </c>
      <c r="E601" t="e">
        <f t="shared" si="93"/>
        <v>#N/A</v>
      </c>
      <c r="F601">
        <f t="shared" si="94"/>
        <v>2.6595561007728499E-2</v>
      </c>
      <c r="G601" t="e">
        <f t="shared" si="95"/>
        <v>#N/A</v>
      </c>
      <c r="H601" t="e">
        <f t="shared" si="96"/>
        <v>#N/A</v>
      </c>
      <c r="I601" t="e">
        <f t="shared" si="97"/>
        <v>#N/A</v>
      </c>
      <c r="J601" t="e">
        <f t="shared" si="98"/>
        <v>#N/A</v>
      </c>
      <c r="K601">
        <f t="shared" si="99"/>
        <v>2.6795561007728497E-2</v>
      </c>
      <c r="L601" t="e">
        <f>IF(AND(ABS((ChartCalculations!A601-Calculations!$F$3)/Calculations!$F$4)&lt;5,OR(A601&lt;=Calculations!$F$7,A601&gt;=Calculations!$F$8)),0.2*_xlfn.NORM.DIST(100,100,15,FALSE)*_xlfn.NORM.DIST(A601,Calculations!$F$3,Calculations!$F$4,FALSE)/_xlfn.NORM.DIST(Calculations!$F$3,Calculations!$F$3,Calculations!$F$4,FALSE),NA())</f>
        <v>#N/A</v>
      </c>
      <c r="M601" t="e">
        <f>IF(AND(A601&gt;=Calculations!$F$7,A601&lt;=Calculations!$F$8),0.2*_xlfn.NORM.DIST(100,100,15,FALSE)*_xlfn.NORM.DIST(A601,Calculations!$F$3,Calculations!$F$4,FALSE)/_xlfn.NORM.DIST(Calculations!$F$3,Calculations!$F$3,Calculations!$F$4,FALSE),NA())</f>
        <v>#N/A</v>
      </c>
    </row>
    <row r="602" spans="1:13" x14ac:dyDescent="0.25">
      <c r="A602">
        <v>100.00000000000099</v>
      </c>
      <c r="B602" t="e">
        <f t="shared" si="90"/>
        <v>#N/A</v>
      </c>
      <c r="C602" t="e">
        <f t="shared" si="91"/>
        <v>#N/A</v>
      </c>
      <c r="D602" t="e">
        <f t="shared" si="92"/>
        <v>#N/A</v>
      </c>
      <c r="E602" t="e">
        <f t="shared" si="93"/>
        <v>#N/A</v>
      </c>
      <c r="F602">
        <f t="shared" si="94"/>
        <v>2.6596152026762181E-2</v>
      </c>
      <c r="G602" t="e">
        <f t="shared" si="95"/>
        <v>#N/A</v>
      </c>
      <c r="H602" t="e">
        <f t="shared" si="96"/>
        <v>#N/A</v>
      </c>
      <c r="I602" t="e">
        <f t="shared" si="97"/>
        <v>#N/A</v>
      </c>
      <c r="J602" t="e">
        <f t="shared" si="98"/>
        <v>#N/A</v>
      </c>
      <c r="K602">
        <f t="shared" si="99"/>
        <v>2.6796152026762179E-2</v>
      </c>
      <c r="L602" t="e">
        <f>IF(AND(ABS((ChartCalculations!A602-Calculations!$F$3)/Calculations!$F$4)&lt;5,OR(A602&lt;=Calculations!$F$7,A602&gt;=Calculations!$F$8)),0.2*_xlfn.NORM.DIST(100,100,15,FALSE)*_xlfn.NORM.DIST(A602,Calculations!$F$3,Calculations!$F$4,FALSE)/_xlfn.NORM.DIST(Calculations!$F$3,Calculations!$F$3,Calculations!$F$4,FALSE),NA())</f>
        <v>#N/A</v>
      </c>
      <c r="M602" t="e">
        <f>IF(AND(A602&gt;=Calculations!$F$7,A602&lt;=Calculations!$F$8),0.2*_xlfn.NORM.DIST(100,100,15,FALSE)*_xlfn.NORM.DIST(A602,Calculations!$F$3,Calculations!$F$4,FALSE)/_xlfn.NORM.DIST(Calculations!$F$3,Calculations!$F$3,Calculations!$F$4,FALSE),NA())</f>
        <v>#N/A</v>
      </c>
    </row>
    <row r="603" spans="1:13" x14ac:dyDescent="0.25">
      <c r="A603">
        <v>100.100000000001</v>
      </c>
      <c r="B603" t="e">
        <f t="shared" si="90"/>
        <v>#N/A</v>
      </c>
      <c r="C603" t="e">
        <f t="shared" si="91"/>
        <v>#N/A</v>
      </c>
      <c r="D603" t="e">
        <f t="shared" si="92"/>
        <v>#N/A</v>
      </c>
      <c r="E603" t="e">
        <f t="shared" si="93"/>
        <v>#N/A</v>
      </c>
      <c r="F603">
        <f t="shared" si="94"/>
        <v>2.6595561007728474E-2</v>
      </c>
      <c r="G603" t="e">
        <f t="shared" si="95"/>
        <v>#N/A</v>
      </c>
      <c r="H603" t="e">
        <f t="shared" si="96"/>
        <v>#N/A</v>
      </c>
      <c r="I603" t="e">
        <f t="shared" si="97"/>
        <v>#N/A</v>
      </c>
      <c r="J603" t="e">
        <f t="shared" si="98"/>
        <v>#N/A</v>
      </c>
      <c r="K603">
        <f t="shared" si="99"/>
        <v>2.6795561007728473E-2</v>
      </c>
      <c r="L603" t="e">
        <f>IF(AND(ABS((ChartCalculations!A603-Calculations!$F$3)/Calculations!$F$4)&lt;5,OR(A603&lt;=Calculations!$F$7,A603&gt;=Calculations!$F$8)),0.2*_xlfn.NORM.DIST(100,100,15,FALSE)*_xlfn.NORM.DIST(A603,Calculations!$F$3,Calculations!$F$4,FALSE)/_xlfn.NORM.DIST(Calculations!$F$3,Calculations!$F$3,Calculations!$F$4,FALSE),NA())</f>
        <v>#N/A</v>
      </c>
      <c r="M603" t="e">
        <f>IF(AND(A603&gt;=Calculations!$F$7,A603&lt;=Calculations!$F$8),0.2*_xlfn.NORM.DIST(100,100,15,FALSE)*_xlfn.NORM.DIST(A603,Calculations!$F$3,Calculations!$F$4,FALSE)/_xlfn.NORM.DIST(Calculations!$F$3,Calculations!$F$3,Calculations!$F$4,FALSE),NA())</f>
        <v>#N/A</v>
      </c>
    </row>
    <row r="604" spans="1:13" x14ac:dyDescent="0.25">
      <c r="A604">
        <v>100.200000000001</v>
      </c>
      <c r="B604" t="e">
        <f t="shared" si="90"/>
        <v>#N/A</v>
      </c>
      <c r="C604" t="e">
        <f t="shared" si="91"/>
        <v>#N/A</v>
      </c>
      <c r="D604" t="e">
        <f t="shared" si="92"/>
        <v>#N/A</v>
      </c>
      <c r="E604" t="e">
        <f t="shared" si="93"/>
        <v>#N/A</v>
      </c>
      <c r="F604">
        <f t="shared" si="94"/>
        <v>2.659378802942788E-2</v>
      </c>
      <c r="G604" t="e">
        <f t="shared" si="95"/>
        <v>#N/A</v>
      </c>
      <c r="H604" t="e">
        <f t="shared" si="96"/>
        <v>#N/A</v>
      </c>
      <c r="I604" t="e">
        <f t="shared" si="97"/>
        <v>#N/A</v>
      </c>
      <c r="J604" t="e">
        <f t="shared" si="98"/>
        <v>#N/A</v>
      </c>
      <c r="K604">
        <f t="shared" si="99"/>
        <v>2.6793788029427879E-2</v>
      </c>
      <c r="L604" t="e">
        <f>IF(AND(ABS((ChartCalculations!A604-Calculations!$F$3)/Calculations!$F$4)&lt;5,OR(A604&lt;=Calculations!$F$7,A604&gt;=Calculations!$F$8)),0.2*_xlfn.NORM.DIST(100,100,15,FALSE)*_xlfn.NORM.DIST(A604,Calculations!$F$3,Calculations!$F$4,FALSE)/_xlfn.NORM.DIST(Calculations!$F$3,Calculations!$F$3,Calculations!$F$4,FALSE),NA())</f>
        <v>#N/A</v>
      </c>
      <c r="M604" t="e">
        <f>IF(AND(A604&gt;=Calculations!$F$7,A604&lt;=Calculations!$F$8),0.2*_xlfn.NORM.DIST(100,100,15,FALSE)*_xlfn.NORM.DIST(A604,Calculations!$F$3,Calculations!$F$4,FALSE)/_xlfn.NORM.DIST(Calculations!$F$3,Calculations!$F$3,Calculations!$F$4,FALSE),NA())</f>
        <v>#N/A</v>
      </c>
    </row>
    <row r="605" spans="1:13" x14ac:dyDescent="0.25">
      <c r="A605">
        <v>100.30000000000101</v>
      </c>
      <c r="B605" t="e">
        <f t="shared" si="90"/>
        <v>#N/A</v>
      </c>
      <c r="C605" t="e">
        <f t="shared" si="91"/>
        <v>#N/A</v>
      </c>
      <c r="D605" t="e">
        <f t="shared" si="92"/>
        <v>#N/A</v>
      </c>
      <c r="E605" t="e">
        <f t="shared" si="93"/>
        <v>#N/A</v>
      </c>
      <c r="F605">
        <f t="shared" si="94"/>
        <v>2.659083332824437E-2</v>
      </c>
      <c r="G605" t="e">
        <f t="shared" si="95"/>
        <v>#N/A</v>
      </c>
      <c r="H605" t="e">
        <f t="shared" si="96"/>
        <v>#N/A</v>
      </c>
      <c r="I605" t="e">
        <f t="shared" si="97"/>
        <v>#N/A</v>
      </c>
      <c r="J605" t="e">
        <f t="shared" si="98"/>
        <v>#N/A</v>
      </c>
      <c r="K605">
        <f t="shared" si="99"/>
        <v>2.6790833328244369E-2</v>
      </c>
      <c r="L605" t="e">
        <f>IF(AND(ABS((ChartCalculations!A605-Calculations!$F$3)/Calculations!$F$4)&lt;5,OR(A605&lt;=Calculations!$F$7,A605&gt;=Calculations!$F$8)),0.2*_xlfn.NORM.DIST(100,100,15,FALSE)*_xlfn.NORM.DIST(A605,Calculations!$F$3,Calculations!$F$4,FALSE)/_xlfn.NORM.DIST(Calculations!$F$3,Calculations!$F$3,Calculations!$F$4,FALSE),NA())</f>
        <v>#N/A</v>
      </c>
      <c r="M605" t="e">
        <f>IF(AND(A605&gt;=Calculations!$F$7,A605&lt;=Calculations!$F$8),0.2*_xlfn.NORM.DIST(100,100,15,FALSE)*_xlfn.NORM.DIST(A605,Calculations!$F$3,Calculations!$F$4,FALSE)/_xlfn.NORM.DIST(Calculations!$F$3,Calculations!$F$3,Calculations!$F$4,FALSE),NA())</f>
        <v>#N/A</v>
      </c>
    </row>
    <row r="606" spans="1:13" x14ac:dyDescent="0.25">
      <c r="A606">
        <v>100.400000000001</v>
      </c>
      <c r="B606" t="e">
        <f t="shared" si="90"/>
        <v>#N/A</v>
      </c>
      <c r="C606" t="e">
        <f t="shared" si="91"/>
        <v>#N/A</v>
      </c>
      <c r="D606" t="e">
        <f t="shared" si="92"/>
        <v>#N/A</v>
      </c>
      <c r="E606" t="e">
        <f t="shared" si="93"/>
        <v>#N/A</v>
      </c>
      <c r="F606">
        <f t="shared" si="94"/>
        <v>2.6586697298092876E-2</v>
      </c>
      <c r="G606" t="e">
        <f t="shared" si="95"/>
        <v>#N/A</v>
      </c>
      <c r="H606" t="e">
        <f t="shared" si="96"/>
        <v>#N/A</v>
      </c>
      <c r="I606" t="e">
        <f t="shared" si="97"/>
        <v>#N/A</v>
      </c>
      <c r="J606" t="e">
        <f t="shared" si="98"/>
        <v>#N/A</v>
      </c>
      <c r="K606">
        <f t="shared" si="99"/>
        <v>2.6786697298092875E-2</v>
      </c>
      <c r="L606" t="e">
        <f>IF(AND(ABS((ChartCalculations!A606-Calculations!$F$3)/Calculations!$F$4)&lt;5,OR(A606&lt;=Calculations!$F$7,A606&gt;=Calculations!$F$8)),0.2*_xlfn.NORM.DIST(100,100,15,FALSE)*_xlfn.NORM.DIST(A606,Calculations!$F$3,Calculations!$F$4,FALSE)/_xlfn.NORM.DIST(Calculations!$F$3,Calculations!$F$3,Calculations!$F$4,FALSE),NA())</f>
        <v>#N/A</v>
      </c>
      <c r="M606" t="e">
        <f>IF(AND(A606&gt;=Calculations!$F$7,A606&lt;=Calculations!$F$8),0.2*_xlfn.NORM.DIST(100,100,15,FALSE)*_xlfn.NORM.DIST(A606,Calculations!$F$3,Calculations!$F$4,FALSE)/_xlfn.NORM.DIST(Calculations!$F$3,Calculations!$F$3,Calculations!$F$4,FALSE),NA())</f>
        <v>#N/A</v>
      </c>
    </row>
    <row r="607" spans="1:13" x14ac:dyDescent="0.25">
      <c r="A607">
        <v>100.50000000000099</v>
      </c>
      <c r="B607" t="e">
        <f t="shared" si="90"/>
        <v>#N/A</v>
      </c>
      <c r="C607" t="e">
        <f t="shared" si="91"/>
        <v>#N/A</v>
      </c>
      <c r="D607" t="e">
        <f t="shared" si="92"/>
        <v>#N/A</v>
      </c>
      <c r="E607" t="e">
        <f t="shared" si="93"/>
        <v>#N/A</v>
      </c>
      <c r="F607">
        <f t="shared" si="94"/>
        <v>2.6581380490331742E-2</v>
      </c>
      <c r="G607" t="e">
        <f t="shared" si="95"/>
        <v>#N/A</v>
      </c>
      <c r="H607" t="e">
        <f t="shared" si="96"/>
        <v>#N/A</v>
      </c>
      <c r="I607" t="e">
        <f t="shared" si="97"/>
        <v>#N/A</v>
      </c>
      <c r="J607" t="e">
        <f t="shared" si="98"/>
        <v>#N/A</v>
      </c>
      <c r="K607">
        <f t="shared" si="99"/>
        <v>2.6781380490331741E-2</v>
      </c>
      <c r="L607" t="e">
        <f>IF(AND(ABS((ChartCalculations!A607-Calculations!$F$3)/Calculations!$F$4)&lt;5,OR(A607&lt;=Calculations!$F$7,A607&gt;=Calculations!$F$8)),0.2*_xlfn.NORM.DIST(100,100,15,FALSE)*_xlfn.NORM.DIST(A607,Calculations!$F$3,Calculations!$F$4,FALSE)/_xlfn.NORM.DIST(Calculations!$F$3,Calculations!$F$3,Calculations!$F$4,FALSE),NA())</f>
        <v>#N/A</v>
      </c>
      <c r="M607" t="e">
        <f>IF(AND(A607&gt;=Calculations!$F$7,A607&lt;=Calculations!$F$8),0.2*_xlfn.NORM.DIST(100,100,15,FALSE)*_xlfn.NORM.DIST(A607,Calculations!$F$3,Calculations!$F$4,FALSE)/_xlfn.NORM.DIST(Calculations!$F$3,Calculations!$F$3,Calculations!$F$4,FALSE),NA())</f>
        <v>#N/A</v>
      </c>
    </row>
    <row r="608" spans="1:13" x14ac:dyDescent="0.25">
      <c r="A608">
        <v>100.600000000001</v>
      </c>
      <c r="B608" t="e">
        <f t="shared" si="90"/>
        <v>#N/A</v>
      </c>
      <c r="C608" t="e">
        <f t="shared" si="91"/>
        <v>#N/A</v>
      </c>
      <c r="D608" t="e">
        <f t="shared" si="92"/>
        <v>#N/A</v>
      </c>
      <c r="E608" t="e">
        <f t="shared" si="93"/>
        <v>#N/A</v>
      </c>
      <c r="F608">
        <f t="shared" si="94"/>
        <v>2.6574883613640268E-2</v>
      </c>
      <c r="G608" t="e">
        <f t="shared" si="95"/>
        <v>#N/A</v>
      </c>
      <c r="H608" t="e">
        <f t="shared" si="96"/>
        <v>#N/A</v>
      </c>
      <c r="I608" t="e">
        <f t="shared" si="97"/>
        <v>#N/A</v>
      </c>
      <c r="J608" t="e">
        <f t="shared" si="98"/>
        <v>#N/A</v>
      </c>
      <c r="K608">
        <f t="shared" si="99"/>
        <v>2.6774883613640266E-2</v>
      </c>
      <c r="L608" t="e">
        <f>IF(AND(ABS((ChartCalculations!A608-Calculations!$F$3)/Calculations!$F$4)&lt;5,OR(A608&lt;=Calculations!$F$7,A608&gt;=Calculations!$F$8)),0.2*_xlfn.NORM.DIST(100,100,15,FALSE)*_xlfn.NORM.DIST(A608,Calculations!$F$3,Calculations!$F$4,FALSE)/_xlfn.NORM.DIST(Calculations!$F$3,Calculations!$F$3,Calculations!$F$4,FALSE),NA())</f>
        <v>#N/A</v>
      </c>
      <c r="M608" t="e">
        <f>IF(AND(A608&gt;=Calculations!$F$7,A608&lt;=Calculations!$F$8),0.2*_xlfn.NORM.DIST(100,100,15,FALSE)*_xlfn.NORM.DIST(A608,Calculations!$F$3,Calculations!$F$4,FALSE)/_xlfn.NORM.DIST(Calculations!$F$3,Calculations!$F$3,Calculations!$F$4,FALSE),NA())</f>
        <v>#N/A</v>
      </c>
    </row>
    <row r="609" spans="1:13" x14ac:dyDescent="0.25">
      <c r="A609">
        <v>100.700000000001</v>
      </c>
      <c r="B609" t="e">
        <f t="shared" si="90"/>
        <v>#N/A</v>
      </c>
      <c r="C609" t="e">
        <f t="shared" si="91"/>
        <v>#N/A</v>
      </c>
      <c r="D609" t="e">
        <f t="shared" si="92"/>
        <v>#N/A</v>
      </c>
      <c r="E609" t="e">
        <f t="shared" si="93"/>
        <v>#N/A</v>
      </c>
      <c r="F609">
        <f t="shared" si="94"/>
        <v>2.6567207533861218E-2</v>
      </c>
      <c r="G609" t="e">
        <f t="shared" si="95"/>
        <v>#N/A</v>
      </c>
      <c r="H609" t="e">
        <f t="shared" si="96"/>
        <v>#N/A</v>
      </c>
      <c r="I609" t="e">
        <f t="shared" si="97"/>
        <v>#N/A</v>
      </c>
      <c r="J609" t="e">
        <f t="shared" si="98"/>
        <v>#N/A</v>
      </c>
      <c r="K609">
        <f t="shared" si="99"/>
        <v>2.6767207533861217E-2</v>
      </c>
      <c r="L609" t="e">
        <f>IF(AND(ABS((ChartCalculations!A609-Calculations!$F$3)/Calculations!$F$4)&lt;5,OR(A609&lt;=Calculations!$F$7,A609&gt;=Calculations!$F$8)),0.2*_xlfn.NORM.DIST(100,100,15,FALSE)*_xlfn.NORM.DIST(A609,Calculations!$F$3,Calculations!$F$4,FALSE)/_xlfn.NORM.DIST(Calculations!$F$3,Calculations!$F$3,Calculations!$F$4,FALSE),NA())</f>
        <v>#N/A</v>
      </c>
      <c r="M609" t="e">
        <f>IF(AND(A609&gt;=Calculations!$F$7,A609&lt;=Calculations!$F$8),0.2*_xlfn.NORM.DIST(100,100,15,FALSE)*_xlfn.NORM.DIST(A609,Calculations!$F$3,Calculations!$F$4,FALSE)/_xlfn.NORM.DIST(Calculations!$F$3,Calculations!$F$3,Calculations!$F$4,FALSE),NA())</f>
        <v>#N/A</v>
      </c>
    </row>
    <row r="610" spans="1:13" x14ac:dyDescent="0.25">
      <c r="A610">
        <v>100.80000000000101</v>
      </c>
      <c r="B610" t="e">
        <f t="shared" si="90"/>
        <v>#N/A</v>
      </c>
      <c r="C610" t="e">
        <f t="shared" si="91"/>
        <v>#N/A</v>
      </c>
      <c r="D610" t="e">
        <f t="shared" si="92"/>
        <v>#N/A</v>
      </c>
      <c r="E610" t="e">
        <f t="shared" si="93"/>
        <v>#N/A</v>
      </c>
      <c r="F610">
        <f t="shared" si="94"/>
        <v>2.6558353273808583E-2</v>
      </c>
      <c r="G610" t="e">
        <f t="shared" si="95"/>
        <v>#N/A</v>
      </c>
      <c r="H610" t="e">
        <f t="shared" si="96"/>
        <v>#N/A</v>
      </c>
      <c r="I610" t="e">
        <f t="shared" si="97"/>
        <v>#N/A</v>
      </c>
      <c r="J610" t="e">
        <f t="shared" si="98"/>
        <v>#N/A</v>
      </c>
      <c r="K610">
        <f t="shared" si="99"/>
        <v>2.6758353273808582E-2</v>
      </c>
      <c r="L610" t="e">
        <f>IF(AND(ABS((ChartCalculations!A610-Calculations!$F$3)/Calculations!$F$4)&lt;5,OR(A610&lt;=Calculations!$F$7,A610&gt;=Calculations!$F$8)),0.2*_xlfn.NORM.DIST(100,100,15,FALSE)*_xlfn.NORM.DIST(A610,Calculations!$F$3,Calculations!$F$4,FALSE)/_xlfn.NORM.DIST(Calculations!$F$3,Calculations!$F$3,Calculations!$F$4,FALSE),NA())</f>
        <v>#N/A</v>
      </c>
      <c r="M610" t="e">
        <f>IF(AND(A610&gt;=Calculations!$F$7,A610&lt;=Calculations!$F$8),0.2*_xlfn.NORM.DIST(100,100,15,FALSE)*_xlfn.NORM.DIST(A610,Calculations!$F$3,Calculations!$F$4,FALSE)/_xlfn.NORM.DIST(Calculations!$F$3,Calculations!$F$3,Calculations!$F$4,FALSE),NA())</f>
        <v>#N/A</v>
      </c>
    </row>
    <row r="611" spans="1:13" x14ac:dyDescent="0.25">
      <c r="A611">
        <v>100.900000000001</v>
      </c>
      <c r="B611" t="e">
        <f t="shared" si="90"/>
        <v>#N/A</v>
      </c>
      <c r="C611" t="e">
        <f t="shared" si="91"/>
        <v>#N/A</v>
      </c>
      <c r="D611" t="e">
        <f t="shared" si="92"/>
        <v>#N/A</v>
      </c>
      <c r="E611" t="e">
        <f t="shared" si="93"/>
        <v>#N/A</v>
      </c>
      <c r="F611">
        <f t="shared" si="94"/>
        <v>2.6548322013040356E-2</v>
      </c>
      <c r="G611" t="e">
        <f t="shared" si="95"/>
        <v>#N/A</v>
      </c>
      <c r="H611" t="e">
        <f t="shared" si="96"/>
        <v>#N/A</v>
      </c>
      <c r="I611" t="e">
        <f t="shared" si="97"/>
        <v>#N/A</v>
      </c>
      <c r="J611" t="e">
        <f t="shared" si="98"/>
        <v>#N/A</v>
      </c>
      <c r="K611">
        <f t="shared" si="99"/>
        <v>2.6748322013040355E-2</v>
      </c>
      <c r="L611" t="e">
        <f>IF(AND(ABS((ChartCalculations!A611-Calculations!$F$3)/Calculations!$F$4)&lt;5,OR(A611&lt;=Calculations!$F$7,A611&gt;=Calculations!$F$8)),0.2*_xlfn.NORM.DIST(100,100,15,FALSE)*_xlfn.NORM.DIST(A611,Calculations!$F$3,Calculations!$F$4,FALSE)/_xlfn.NORM.DIST(Calculations!$F$3,Calculations!$F$3,Calculations!$F$4,FALSE),NA())</f>
        <v>#N/A</v>
      </c>
      <c r="M611" t="e">
        <f>IF(AND(A611&gt;=Calculations!$F$7,A611&lt;=Calculations!$F$8),0.2*_xlfn.NORM.DIST(100,100,15,FALSE)*_xlfn.NORM.DIST(A611,Calculations!$F$3,Calculations!$F$4,FALSE)/_xlfn.NORM.DIST(Calculations!$F$3,Calculations!$F$3,Calculations!$F$4,FALSE),NA())</f>
        <v>#N/A</v>
      </c>
    </row>
    <row r="612" spans="1:13" x14ac:dyDescent="0.25">
      <c r="A612">
        <v>101.00000000000099</v>
      </c>
      <c r="B612" t="e">
        <f t="shared" si="90"/>
        <v>#N/A</v>
      </c>
      <c r="C612" t="e">
        <f t="shared" si="91"/>
        <v>#N/A</v>
      </c>
      <c r="D612" t="e">
        <f t="shared" si="92"/>
        <v>#N/A</v>
      </c>
      <c r="E612" t="e">
        <f t="shared" si="93"/>
        <v>#N/A</v>
      </c>
      <c r="F612">
        <f t="shared" si="94"/>
        <v>2.6537115087596701E-2</v>
      </c>
      <c r="G612" t="e">
        <f t="shared" si="95"/>
        <v>#N/A</v>
      </c>
      <c r="H612" t="e">
        <f t="shared" si="96"/>
        <v>#N/A</v>
      </c>
      <c r="I612" t="e">
        <f t="shared" si="97"/>
        <v>#N/A</v>
      </c>
      <c r="J612" t="e">
        <f t="shared" si="98"/>
        <v>#N/A</v>
      </c>
      <c r="K612">
        <f t="shared" si="99"/>
        <v>2.67371150875967E-2</v>
      </c>
      <c r="L612" t="e">
        <f>IF(AND(ABS((ChartCalculations!A612-Calculations!$F$3)/Calculations!$F$4)&lt;5,OR(A612&lt;=Calculations!$F$7,A612&gt;=Calculations!$F$8)),0.2*_xlfn.NORM.DIST(100,100,15,FALSE)*_xlfn.NORM.DIST(A612,Calculations!$F$3,Calculations!$F$4,FALSE)/_xlfn.NORM.DIST(Calculations!$F$3,Calculations!$F$3,Calculations!$F$4,FALSE),NA())</f>
        <v>#N/A</v>
      </c>
      <c r="M612" t="e">
        <f>IF(AND(A612&gt;=Calculations!$F$7,A612&lt;=Calculations!$F$8),0.2*_xlfn.NORM.DIST(100,100,15,FALSE)*_xlfn.NORM.DIST(A612,Calculations!$F$3,Calculations!$F$4,FALSE)/_xlfn.NORM.DIST(Calculations!$F$3,Calculations!$F$3,Calculations!$F$4,FALSE),NA())</f>
        <v>#N/A</v>
      </c>
    </row>
    <row r="613" spans="1:13" x14ac:dyDescent="0.25">
      <c r="A613">
        <v>101.100000000001</v>
      </c>
      <c r="B613" t="e">
        <f t="shared" si="90"/>
        <v>#N/A</v>
      </c>
      <c r="C613" t="e">
        <f t="shared" si="91"/>
        <v>#N/A</v>
      </c>
      <c r="D613" t="e">
        <f t="shared" si="92"/>
        <v>#N/A</v>
      </c>
      <c r="E613" t="e">
        <f t="shared" si="93"/>
        <v>#N/A</v>
      </c>
      <c r="F613">
        <f t="shared" si="94"/>
        <v>2.6524733989703345E-2</v>
      </c>
      <c r="G613" t="e">
        <f t="shared" si="95"/>
        <v>#N/A</v>
      </c>
      <c r="H613" t="e">
        <f t="shared" si="96"/>
        <v>#N/A</v>
      </c>
      <c r="I613" t="e">
        <f t="shared" si="97"/>
        <v>#N/A</v>
      </c>
      <c r="J613" t="e">
        <f t="shared" si="98"/>
        <v>#N/A</v>
      </c>
      <c r="K613">
        <f t="shared" si="99"/>
        <v>2.6724733989703344E-2</v>
      </c>
      <c r="L613" t="e">
        <f>IF(AND(ABS((ChartCalculations!A613-Calculations!$F$3)/Calculations!$F$4)&lt;5,OR(A613&lt;=Calculations!$F$7,A613&gt;=Calculations!$F$8)),0.2*_xlfn.NORM.DIST(100,100,15,FALSE)*_xlfn.NORM.DIST(A613,Calculations!$F$3,Calculations!$F$4,FALSE)/_xlfn.NORM.DIST(Calculations!$F$3,Calculations!$F$3,Calculations!$F$4,FALSE),NA())</f>
        <v>#N/A</v>
      </c>
      <c r="M613" t="e">
        <f>IF(AND(A613&gt;=Calculations!$F$7,A613&lt;=Calculations!$F$8),0.2*_xlfn.NORM.DIST(100,100,15,FALSE)*_xlfn.NORM.DIST(A613,Calculations!$F$3,Calculations!$F$4,FALSE)/_xlfn.NORM.DIST(Calculations!$F$3,Calculations!$F$3,Calculations!$F$4,FALSE),NA())</f>
        <v>#N/A</v>
      </c>
    </row>
    <row r="614" spans="1:13" x14ac:dyDescent="0.25">
      <c r="A614">
        <v>101.200000000001</v>
      </c>
      <c r="B614" t="e">
        <f t="shared" si="90"/>
        <v>#N/A</v>
      </c>
      <c r="C614" t="e">
        <f t="shared" si="91"/>
        <v>#N/A</v>
      </c>
      <c r="D614" t="e">
        <f t="shared" si="92"/>
        <v>#N/A</v>
      </c>
      <c r="E614" t="e">
        <f t="shared" si="93"/>
        <v>#N/A</v>
      </c>
      <c r="F614">
        <f t="shared" si="94"/>
        <v>2.6511180367440452E-2</v>
      </c>
      <c r="G614" t="e">
        <f t="shared" si="95"/>
        <v>#N/A</v>
      </c>
      <c r="H614" t="e">
        <f t="shared" si="96"/>
        <v>#N/A</v>
      </c>
      <c r="I614" t="e">
        <f t="shared" si="97"/>
        <v>#N/A</v>
      </c>
      <c r="J614" t="e">
        <f t="shared" si="98"/>
        <v>#N/A</v>
      </c>
      <c r="K614">
        <f t="shared" si="99"/>
        <v>2.6711180367440451E-2</v>
      </c>
      <c r="L614" t="e">
        <f>IF(AND(ABS((ChartCalculations!A614-Calculations!$F$3)/Calculations!$F$4)&lt;5,OR(A614&lt;=Calculations!$F$7,A614&gt;=Calculations!$F$8)),0.2*_xlfn.NORM.DIST(100,100,15,FALSE)*_xlfn.NORM.DIST(A614,Calculations!$F$3,Calculations!$F$4,FALSE)/_xlfn.NORM.DIST(Calculations!$F$3,Calculations!$F$3,Calculations!$F$4,FALSE),NA())</f>
        <v>#N/A</v>
      </c>
      <c r="M614" t="e">
        <f>IF(AND(A614&gt;=Calculations!$F$7,A614&lt;=Calculations!$F$8),0.2*_xlfn.NORM.DIST(100,100,15,FALSE)*_xlfn.NORM.DIST(A614,Calculations!$F$3,Calculations!$F$4,FALSE)/_xlfn.NORM.DIST(Calculations!$F$3,Calculations!$F$3,Calculations!$F$4,FALSE),NA())</f>
        <v>#N/A</v>
      </c>
    </row>
    <row r="615" spans="1:13" x14ac:dyDescent="0.25">
      <c r="A615">
        <v>101.30000000000101</v>
      </c>
      <c r="B615" t="e">
        <f t="shared" si="90"/>
        <v>#N/A</v>
      </c>
      <c r="C615" t="e">
        <f t="shared" si="91"/>
        <v>#N/A</v>
      </c>
      <c r="D615" t="e">
        <f t="shared" si="92"/>
        <v>#N/A</v>
      </c>
      <c r="E615" t="e">
        <f t="shared" si="93"/>
        <v>#N/A</v>
      </c>
      <c r="F615">
        <f t="shared" si="94"/>
        <v>2.6496456024376981E-2</v>
      </c>
      <c r="G615" t="e">
        <f t="shared" si="95"/>
        <v>#N/A</v>
      </c>
      <c r="H615" t="e">
        <f t="shared" si="96"/>
        <v>#N/A</v>
      </c>
      <c r="I615" t="e">
        <f t="shared" si="97"/>
        <v>#N/A</v>
      </c>
      <c r="J615" t="e">
        <f t="shared" si="98"/>
        <v>#N/A</v>
      </c>
      <c r="K615">
        <f t="shared" si="99"/>
        <v>2.669645602437698E-2</v>
      </c>
      <c r="L615" t="e">
        <f>IF(AND(ABS((ChartCalculations!A615-Calculations!$F$3)/Calculations!$F$4)&lt;5,OR(A615&lt;=Calculations!$F$7,A615&gt;=Calculations!$F$8)),0.2*_xlfn.NORM.DIST(100,100,15,FALSE)*_xlfn.NORM.DIST(A615,Calculations!$F$3,Calculations!$F$4,FALSE)/_xlfn.NORM.DIST(Calculations!$F$3,Calculations!$F$3,Calculations!$F$4,FALSE),NA())</f>
        <v>#N/A</v>
      </c>
      <c r="M615" t="e">
        <f>IF(AND(A615&gt;=Calculations!$F$7,A615&lt;=Calculations!$F$8),0.2*_xlfn.NORM.DIST(100,100,15,FALSE)*_xlfn.NORM.DIST(A615,Calculations!$F$3,Calculations!$F$4,FALSE)/_xlfn.NORM.DIST(Calculations!$F$3,Calculations!$F$3,Calculations!$F$4,FALSE),NA())</f>
        <v>#N/A</v>
      </c>
    </row>
    <row r="616" spans="1:13" x14ac:dyDescent="0.25">
      <c r="A616">
        <v>101.400000000001</v>
      </c>
      <c r="B616" t="e">
        <f t="shared" si="90"/>
        <v>#N/A</v>
      </c>
      <c r="C616" t="e">
        <f t="shared" si="91"/>
        <v>#N/A</v>
      </c>
      <c r="D616" t="e">
        <f t="shared" si="92"/>
        <v>#N/A</v>
      </c>
      <c r="E616" t="e">
        <f t="shared" si="93"/>
        <v>#N/A</v>
      </c>
      <c r="F616">
        <f t="shared" si="94"/>
        <v>2.6480562919170697E-2</v>
      </c>
      <c r="G616" t="e">
        <f t="shared" si="95"/>
        <v>#N/A</v>
      </c>
      <c r="H616" t="e">
        <f t="shared" si="96"/>
        <v>#N/A</v>
      </c>
      <c r="I616" t="e">
        <f t="shared" si="97"/>
        <v>#N/A</v>
      </c>
      <c r="J616" t="e">
        <f t="shared" si="98"/>
        <v>#N/A</v>
      </c>
      <c r="K616">
        <f t="shared" si="99"/>
        <v>2.6680562919170696E-2</v>
      </c>
      <c r="L616" t="e">
        <f>IF(AND(ABS((ChartCalculations!A616-Calculations!$F$3)/Calculations!$F$4)&lt;5,OR(A616&lt;=Calculations!$F$7,A616&gt;=Calculations!$F$8)),0.2*_xlfn.NORM.DIST(100,100,15,FALSE)*_xlfn.NORM.DIST(A616,Calculations!$F$3,Calculations!$F$4,FALSE)/_xlfn.NORM.DIST(Calculations!$F$3,Calculations!$F$3,Calculations!$F$4,FALSE),NA())</f>
        <v>#N/A</v>
      </c>
      <c r="M616" t="e">
        <f>IF(AND(A616&gt;=Calculations!$F$7,A616&lt;=Calculations!$F$8),0.2*_xlfn.NORM.DIST(100,100,15,FALSE)*_xlfn.NORM.DIST(A616,Calculations!$F$3,Calculations!$F$4,FALSE)/_xlfn.NORM.DIST(Calculations!$F$3,Calculations!$F$3,Calculations!$F$4,FALSE),NA())</f>
        <v>#N/A</v>
      </c>
    </row>
    <row r="617" spans="1:13" x14ac:dyDescent="0.25">
      <c r="A617">
        <v>101.50000000000099</v>
      </c>
      <c r="B617" t="e">
        <f t="shared" si="90"/>
        <v>#N/A</v>
      </c>
      <c r="C617" t="e">
        <f t="shared" si="91"/>
        <v>#N/A</v>
      </c>
      <c r="D617" t="e">
        <f t="shared" si="92"/>
        <v>#N/A</v>
      </c>
      <c r="E617" t="e">
        <f t="shared" si="93"/>
        <v>#N/A</v>
      </c>
      <c r="F617">
        <f t="shared" si="94"/>
        <v>2.6463503165133948E-2</v>
      </c>
      <c r="G617" t="e">
        <f t="shared" si="95"/>
        <v>#N/A</v>
      </c>
      <c r="H617" t="e">
        <f t="shared" si="96"/>
        <v>#N/A</v>
      </c>
      <c r="I617" t="e">
        <f t="shared" si="97"/>
        <v>#N/A</v>
      </c>
      <c r="J617" t="e">
        <f t="shared" si="98"/>
        <v>#N/A</v>
      </c>
      <c r="K617">
        <f t="shared" si="99"/>
        <v>2.6663503165133946E-2</v>
      </c>
      <c r="L617" t="e">
        <f>IF(AND(ABS((ChartCalculations!A617-Calculations!$F$3)/Calculations!$F$4)&lt;5,OR(A617&lt;=Calculations!$F$7,A617&gt;=Calculations!$F$8)),0.2*_xlfn.NORM.DIST(100,100,15,FALSE)*_xlfn.NORM.DIST(A617,Calculations!$F$3,Calculations!$F$4,FALSE)/_xlfn.NORM.DIST(Calculations!$F$3,Calculations!$F$3,Calculations!$F$4,FALSE),NA())</f>
        <v>#N/A</v>
      </c>
      <c r="M617" t="e">
        <f>IF(AND(A617&gt;=Calculations!$F$7,A617&lt;=Calculations!$F$8),0.2*_xlfn.NORM.DIST(100,100,15,FALSE)*_xlfn.NORM.DIST(A617,Calculations!$F$3,Calculations!$F$4,FALSE)/_xlfn.NORM.DIST(Calculations!$F$3,Calculations!$F$3,Calculations!$F$4,FALSE),NA())</f>
        <v>#N/A</v>
      </c>
    </row>
    <row r="618" spans="1:13" x14ac:dyDescent="0.25">
      <c r="A618">
        <v>101.600000000001</v>
      </c>
      <c r="B618" t="e">
        <f t="shared" si="90"/>
        <v>#N/A</v>
      </c>
      <c r="C618" t="e">
        <f t="shared" si="91"/>
        <v>#N/A</v>
      </c>
      <c r="D618" t="e">
        <f t="shared" si="92"/>
        <v>#N/A</v>
      </c>
      <c r="E618" t="e">
        <f t="shared" si="93"/>
        <v>#N/A</v>
      </c>
      <c r="F618">
        <f t="shared" si="94"/>
        <v>2.644527902976529E-2</v>
      </c>
      <c r="G618" t="e">
        <f t="shared" si="95"/>
        <v>#N/A</v>
      </c>
      <c r="H618" t="e">
        <f t="shared" si="96"/>
        <v>#N/A</v>
      </c>
      <c r="I618" t="e">
        <f t="shared" si="97"/>
        <v>#N/A</v>
      </c>
      <c r="J618" t="e">
        <f t="shared" si="98"/>
        <v>#N/A</v>
      </c>
      <c r="K618">
        <f t="shared" si="99"/>
        <v>2.6645279029765288E-2</v>
      </c>
      <c r="L618" t="e">
        <f>IF(AND(ABS((ChartCalculations!A618-Calculations!$F$3)/Calculations!$F$4)&lt;5,OR(A618&lt;=Calculations!$F$7,A618&gt;=Calculations!$F$8)),0.2*_xlfn.NORM.DIST(100,100,15,FALSE)*_xlfn.NORM.DIST(A618,Calculations!$F$3,Calculations!$F$4,FALSE)/_xlfn.NORM.DIST(Calculations!$F$3,Calculations!$F$3,Calculations!$F$4,FALSE),NA())</f>
        <v>#N/A</v>
      </c>
      <c r="M618" t="e">
        <f>IF(AND(A618&gt;=Calculations!$F$7,A618&lt;=Calculations!$F$8),0.2*_xlfn.NORM.DIST(100,100,15,FALSE)*_xlfn.NORM.DIST(A618,Calculations!$F$3,Calculations!$F$4,FALSE)/_xlfn.NORM.DIST(Calculations!$F$3,Calculations!$F$3,Calculations!$F$4,FALSE),NA())</f>
        <v>#N/A</v>
      </c>
    </row>
    <row r="619" spans="1:13" x14ac:dyDescent="0.25">
      <c r="A619">
        <v>101.700000000001</v>
      </c>
      <c r="B619" t="e">
        <f t="shared" si="90"/>
        <v>#N/A</v>
      </c>
      <c r="C619" t="e">
        <f t="shared" si="91"/>
        <v>#N/A</v>
      </c>
      <c r="D619" t="e">
        <f t="shared" si="92"/>
        <v>#N/A</v>
      </c>
      <c r="E619" t="e">
        <f t="shared" si="93"/>
        <v>#N/A</v>
      </c>
      <c r="F619">
        <f t="shared" si="94"/>
        <v>2.6425892934247259E-2</v>
      </c>
      <c r="G619" t="e">
        <f t="shared" si="95"/>
        <v>#N/A</v>
      </c>
      <c r="H619" t="e">
        <f t="shared" si="96"/>
        <v>#N/A</v>
      </c>
      <c r="I619" t="e">
        <f t="shared" si="97"/>
        <v>#N/A</v>
      </c>
      <c r="J619" t="e">
        <f t="shared" si="98"/>
        <v>#N/A</v>
      </c>
      <c r="K619">
        <f t="shared" si="99"/>
        <v>2.6625892934247258E-2</v>
      </c>
      <c r="L619" t="e">
        <f>IF(AND(ABS((ChartCalculations!A619-Calculations!$F$3)/Calculations!$F$4)&lt;5,OR(A619&lt;=Calculations!$F$7,A619&gt;=Calculations!$F$8)),0.2*_xlfn.NORM.DIST(100,100,15,FALSE)*_xlfn.NORM.DIST(A619,Calculations!$F$3,Calculations!$F$4,FALSE)/_xlfn.NORM.DIST(Calculations!$F$3,Calculations!$F$3,Calculations!$F$4,FALSE),NA())</f>
        <v>#N/A</v>
      </c>
      <c r="M619" t="e">
        <f>IF(AND(A619&gt;=Calculations!$F$7,A619&lt;=Calculations!$F$8),0.2*_xlfn.NORM.DIST(100,100,15,FALSE)*_xlfn.NORM.DIST(A619,Calculations!$F$3,Calculations!$F$4,FALSE)/_xlfn.NORM.DIST(Calculations!$F$3,Calculations!$F$3,Calculations!$F$4,FALSE),NA())</f>
        <v>#N/A</v>
      </c>
    </row>
    <row r="620" spans="1:13" x14ac:dyDescent="0.25">
      <c r="A620">
        <v>101.80000000000101</v>
      </c>
      <c r="B620" t="e">
        <f t="shared" si="90"/>
        <v>#N/A</v>
      </c>
      <c r="C620" t="e">
        <f t="shared" si="91"/>
        <v>#N/A</v>
      </c>
      <c r="D620" t="e">
        <f t="shared" si="92"/>
        <v>#N/A</v>
      </c>
      <c r="E620" t="e">
        <f t="shared" si="93"/>
        <v>#N/A</v>
      </c>
      <c r="F620">
        <f t="shared" si="94"/>
        <v>2.6405347452910191E-2</v>
      </c>
      <c r="G620" t="e">
        <f t="shared" si="95"/>
        <v>#N/A</v>
      </c>
      <c r="H620" t="e">
        <f t="shared" si="96"/>
        <v>#N/A</v>
      </c>
      <c r="I620" t="e">
        <f t="shared" si="97"/>
        <v>#N/A</v>
      </c>
      <c r="J620" t="e">
        <f t="shared" si="98"/>
        <v>#N/A</v>
      </c>
      <c r="K620">
        <f t="shared" si="99"/>
        <v>2.660534745291019E-2</v>
      </c>
      <c r="L620" t="e">
        <f>IF(AND(ABS((ChartCalculations!A620-Calculations!$F$3)/Calculations!$F$4)&lt;5,OR(A620&lt;=Calculations!$F$7,A620&gt;=Calculations!$F$8)),0.2*_xlfn.NORM.DIST(100,100,15,FALSE)*_xlfn.NORM.DIST(A620,Calculations!$F$3,Calculations!$F$4,FALSE)/_xlfn.NORM.DIST(Calculations!$F$3,Calculations!$F$3,Calculations!$F$4,FALSE),NA())</f>
        <v>#N/A</v>
      </c>
      <c r="M620" t="e">
        <f>IF(AND(A620&gt;=Calculations!$F$7,A620&lt;=Calculations!$F$8),0.2*_xlfn.NORM.DIST(100,100,15,FALSE)*_xlfn.NORM.DIST(A620,Calculations!$F$3,Calculations!$F$4,FALSE)/_xlfn.NORM.DIST(Calculations!$F$3,Calculations!$F$3,Calculations!$F$4,FALSE),NA())</f>
        <v>#N/A</v>
      </c>
    </row>
    <row r="621" spans="1:13" x14ac:dyDescent="0.25">
      <c r="A621">
        <v>101.900000000001</v>
      </c>
      <c r="B621" t="e">
        <f t="shared" si="90"/>
        <v>#N/A</v>
      </c>
      <c r="C621" t="e">
        <f t="shared" si="91"/>
        <v>#N/A</v>
      </c>
      <c r="D621" t="e">
        <f t="shared" si="92"/>
        <v>#N/A</v>
      </c>
      <c r="E621" t="e">
        <f t="shared" si="93"/>
        <v>#N/A</v>
      </c>
      <c r="F621">
        <f t="shared" si="94"/>
        <v>2.6383645312662532E-2</v>
      </c>
      <c r="G621" t="e">
        <f t="shared" si="95"/>
        <v>#N/A</v>
      </c>
      <c r="H621" t="e">
        <f t="shared" si="96"/>
        <v>#N/A</v>
      </c>
      <c r="I621" t="e">
        <f t="shared" si="97"/>
        <v>#N/A</v>
      </c>
      <c r="J621" t="e">
        <f t="shared" si="98"/>
        <v>#N/A</v>
      </c>
      <c r="K621">
        <f t="shared" si="99"/>
        <v>2.6583645312662531E-2</v>
      </c>
      <c r="L621" t="e">
        <f>IF(AND(ABS((ChartCalculations!A621-Calculations!$F$3)/Calculations!$F$4)&lt;5,OR(A621&lt;=Calculations!$F$7,A621&gt;=Calculations!$F$8)),0.2*_xlfn.NORM.DIST(100,100,15,FALSE)*_xlfn.NORM.DIST(A621,Calculations!$F$3,Calculations!$F$4,FALSE)/_xlfn.NORM.DIST(Calculations!$F$3,Calculations!$F$3,Calculations!$F$4,FALSE),NA())</f>
        <v>#N/A</v>
      </c>
      <c r="M621" t="e">
        <f>IF(AND(A621&gt;=Calculations!$F$7,A621&lt;=Calculations!$F$8),0.2*_xlfn.NORM.DIST(100,100,15,FALSE)*_xlfn.NORM.DIST(A621,Calculations!$F$3,Calculations!$F$4,FALSE)/_xlfn.NORM.DIST(Calculations!$F$3,Calculations!$F$3,Calculations!$F$4,FALSE),NA())</f>
        <v>#N/A</v>
      </c>
    </row>
    <row r="622" spans="1:13" x14ac:dyDescent="0.25">
      <c r="A622">
        <v>102.00000000000099</v>
      </c>
      <c r="B622" t="e">
        <f t="shared" si="90"/>
        <v>#N/A</v>
      </c>
      <c r="C622" t="e">
        <f t="shared" si="91"/>
        <v>#N/A</v>
      </c>
      <c r="D622" t="e">
        <f t="shared" si="92"/>
        <v>#N/A</v>
      </c>
      <c r="E622" t="e">
        <f t="shared" si="93"/>
        <v>#N/A</v>
      </c>
      <c r="F622">
        <f t="shared" si="94"/>
        <v>2.6360789392387615E-2</v>
      </c>
      <c r="G622" t="e">
        <f t="shared" si="95"/>
        <v>#N/A</v>
      </c>
      <c r="H622" t="e">
        <f t="shared" si="96"/>
        <v>#N/A</v>
      </c>
      <c r="I622" t="e">
        <f t="shared" si="97"/>
        <v>#N/A</v>
      </c>
      <c r="J622" t="e">
        <f t="shared" si="98"/>
        <v>#N/A</v>
      </c>
      <c r="K622">
        <f t="shared" si="99"/>
        <v>2.6560789392387613E-2</v>
      </c>
      <c r="L622" t="e">
        <f>IF(AND(ABS((ChartCalculations!A622-Calculations!$F$3)/Calculations!$F$4)&lt;5,OR(A622&lt;=Calculations!$F$7,A622&gt;=Calculations!$F$8)),0.2*_xlfn.NORM.DIST(100,100,15,FALSE)*_xlfn.NORM.DIST(A622,Calculations!$F$3,Calculations!$F$4,FALSE)/_xlfn.NORM.DIST(Calculations!$F$3,Calculations!$F$3,Calculations!$F$4,FALSE),NA())</f>
        <v>#N/A</v>
      </c>
      <c r="M622" t="e">
        <f>IF(AND(A622&gt;=Calculations!$F$7,A622&lt;=Calculations!$F$8),0.2*_xlfn.NORM.DIST(100,100,15,FALSE)*_xlfn.NORM.DIST(A622,Calculations!$F$3,Calculations!$F$4,FALSE)/_xlfn.NORM.DIST(Calculations!$F$3,Calculations!$F$3,Calculations!$F$4,FALSE),NA())</f>
        <v>#N/A</v>
      </c>
    </row>
    <row r="623" spans="1:13" x14ac:dyDescent="0.25">
      <c r="A623">
        <v>102.100000000001</v>
      </c>
      <c r="B623" t="e">
        <f t="shared" si="90"/>
        <v>#N/A</v>
      </c>
      <c r="C623" t="e">
        <f t="shared" si="91"/>
        <v>#N/A</v>
      </c>
      <c r="D623" t="e">
        <f t="shared" si="92"/>
        <v>#N/A</v>
      </c>
      <c r="E623" t="e">
        <f t="shared" si="93"/>
        <v>#N/A</v>
      </c>
      <c r="F623">
        <f t="shared" si="94"/>
        <v>2.6336782722307168E-2</v>
      </c>
      <c r="G623" t="e">
        <f t="shared" si="95"/>
        <v>#N/A</v>
      </c>
      <c r="H623" t="e">
        <f t="shared" si="96"/>
        <v>#N/A</v>
      </c>
      <c r="I623" t="e">
        <f t="shared" si="97"/>
        <v>#N/A</v>
      </c>
      <c r="J623" t="e">
        <f t="shared" si="98"/>
        <v>#N/A</v>
      </c>
      <c r="K623">
        <f t="shared" si="99"/>
        <v>2.6536782722307167E-2</v>
      </c>
      <c r="L623" t="e">
        <f>IF(AND(ABS((ChartCalculations!A623-Calculations!$F$3)/Calculations!$F$4)&lt;5,OR(A623&lt;=Calculations!$F$7,A623&gt;=Calculations!$F$8)),0.2*_xlfn.NORM.DIST(100,100,15,FALSE)*_xlfn.NORM.DIST(A623,Calculations!$F$3,Calculations!$F$4,FALSE)/_xlfn.NORM.DIST(Calculations!$F$3,Calculations!$F$3,Calculations!$F$4,FALSE),NA())</f>
        <v>#N/A</v>
      </c>
      <c r="M623" t="e">
        <f>IF(AND(A623&gt;=Calculations!$F$7,A623&lt;=Calculations!$F$8),0.2*_xlfn.NORM.DIST(100,100,15,FALSE)*_xlfn.NORM.DIST(A623,Calculations!$F$3,Calculations!$F$4,FALSE)/_xlfn.NORM.DIST(Calculations!$F$3,Calculations!$F$3,Calculations!$F$4,FALSE),NA())</f>
        <v>#N/A</v>
      </c>
    </row>
    <row r="624" spans="1:13" x14ac:dyDescent="0.25">
      <c r="A624">
        <v>102.200000000001</v>
      </c>
      <c r="B624" t="e">
        <f t="shared" si="90"/>
        <v>#N/A</v>
      </c>
      <c r="C624" t="e">
        <f t="shared" si="91"/>
        <v>#N/A</v>
      </c>
      <c r="D624" t="e">
        <f t="shared" si="92"/>
        <v>#N/A</v>
      </c>
      <c r="E624" t="e">
        <f t="shared" si="93"/>
        <v>#N/A</v>
      </c>
      <c r="F624">
        <f t="shared" si="94"/>
        <v>2.6311628483311807E-2</v>
      </c>
      <c r="G624" t="e">
        <f t="shared" si="95"/>
        <v>#N/A</v>
      </c>
      <c r="H624" t="e">
        <f t="shared" si="96"/>
        <v>#N/A</v>
      </c>
      <c r="I624" t="e">
        <f t="shared" si="97"/>
        <v>#N/A</v>
      </c>
      <c r="J624" t="e">
        <f t="shared" si="98"/>
        <v>#N/A</v>
      </c>
      <c r="K624">
        <f t="shared" si="99"/>
        <v>2.6511628483311806E-2</v>
      </c>
      <c r="L624" t="e">
        <f>IF(AND(ABS((ChartCalculations!A624-Calculations!$F$3)/Calculations!$F$4)&lt;5,OR(A624&lt;=Calculations!$F$7,A624&gt;=Calculations!$F$8)),0.2*_xlfn.NORM.DIST(100,100,15,FALSE)*_xlfn.NORM.DIST(A624,Calculations!$F$3,Calculations!$F$4,FALSE)/_xlfn.NORM.DIST(Calculations!$F$3,Calculations!$F$3,Calculations!$F$4,FALSE),NA())</f>
        <v>#N/A</v>
      </c>
      <c r="M624" t="e">
        <f>IF(AND(A624&gt;=Calculations!$F$7,A624&lt;=Calculations!$F$8),0.2*_xlfn.NORM.DIST(100,100,15,FALSE)*_xlfn.NORM.DIST(A624,Calculations!$F$3,Calculations!$F$4,FALSE)/_xlfn.NORM.DIST(Calculations!$F$3,Calculations!$F$3,Calculations!$F$4,FALSE),NA())</f>
        <v>#N/A</v>
      </c>
    </row>
    <row r="625" spans="1:13" x14ac:dyDescent="0.25">
      <c r="A625">
        <v>102.30000000000101</v>
      </c>
      <c r="B625" t="e">
        <f t="shared" si="90"/>
        <v>#N/A</v>
      </c>
      <c r="C625" t="e">
        <f t="shared" si="91"/>
        <v>#N/A</v>
      </c>
      <c r="D625" t="e">
        <f t="shared" si="92"/>
        <v>#N/A</v>
      </c>
      <c r="E625" t="e">
        <f t="shared" si="93"/>
        <v>#N/A</v>
      </c>
      <c r="F625">
        <f t="shared" si="94"/>
        <v>2.6285330006258545E-2</v>
      </c>
      <c r="G625" t="e">
        <f t="shared" si="95"/>
        <v>#N/A</v>
      </c>
      <c r="H625" t="e">
        <f t="shared" si="96"/>
        <v>#N/A</v>
      </c>
      <c r="I625" t="e">
        <f t="shared" si="97"/>
        <v>#N/A</v>
      </c>
      <c r="J625" t="e">
        <f t="shared" si="98"/>
        <v>#N/A</v>
      </c>
      <c r="K625">
        <f t="shared" si="99"/>
        <v>2.6485330006258544E-2</v>
      </c>
      <c r="L625" t="e">
        <f>IF(AND(ABS((ChartCalculations!A625-Calculations!$F$3)/Calculations!$F$4)&lt;5,OR(A625&lt;=Calculations!$F$7,A625&gt;=Calculations!$F$8)),0.2*_xlfn.NORM.DIST(100,100,15,FALSE)*_xlfn.NORM.DIST(A625,Calculations!$F$3,Calculations!$F$4,FALSE)/_xlfn.NORM.DIST(Calculations!$F$3,Calculations!$F$3,Calculations!$F$4,FALSE),NA())</f>
        <v>#N/A</v>
      </c>
      <c r="M625" t="e">
        <f>IF(AND(A625&gt;=Calculations!$F$7,A625&lt;=Calculations!$F$8),0.2*_xlfn.NORM.DIST(100,100,15,FALSE)*_xlfn.NORM.DIST(A625,Calculations!$F$3,Calculations!$F$4,FALSE)/_xlfn.NORM.DIST(Calculations!$F$3,Calculations!$F$3,Calculations!$F$4,FALSE),NA())</f>
        <v>#N/A</v>
      </c>
    </row>
    <row r="626" spans="1:13" x14ac:dyDescent="0.25">
      <c r="A626">
        <v>102.400000000001</v>
      </c>
      <c r="B626" t="e">
        <f t="shared" si="90"/>
        <v>#N/A</v>
      </c>
      <c r="C626" t="e">
        <f t="shared" si="91"/>
        <v>#N/A</v>
      </c>
      <c r="D626" t="e">
        <f t="shared" si="92"/>
        <v>#N/A</v>
      </c>
      <c r="E626" t="e">
        <f t="shared" si="93"/>
        <v>#N/A</v>
      </c>
      <c r="F626">
        <f t="shared" si="94"/>
        <v>2.6257890771235776E-2</v>
      </c>
      <c r="G626" t="e">
        <f t="shared" si="95"/>
        <v>#N/A</v>
      </c>
      <c r="H626" t="e">
        <f t="shared" si="96"/>
        <v>#N/A</v>
      </c>
      <c r="I626" t="e">
        <f t="shared" si="97"/>
        <v>#N/A</v>
      </c>
      <c r="J626" t="e">
        <f t="shared" si="98"/>
        <v>#N/A</v>
      </c>
      <c r="K626">
        <f t="shared" si="99"/>
        <v>2.6457890771235774E-2</v>
      </c>
      <c r="L626" t="e">
        <f>IF(AND(ABS((ChartCalculations!A626-Calculations!$F$3)/Calculations!$F$4)&lt;5,OR(A626&lt;=Calculations!$F$7,A626&gt;=Calculations!$F$8)),0.2*_xlfn.NORM.DIST(100,100,15,FALSE)*_xlfn.NORM.DIST(A626,Calculations!$F$3,Calculations!$F$4,FALSE)/_xlfn.NORM.DIST(Calculations!$F$3,Calculations!$F$3,Calculations!$F$4,FALSE),NA())</f>
        <v>#N/A</v>
      </c>
      <c r="M626" t="e">
        <f>IF(AND(A626&gt;=Calculations!$F$7,A626&lt;=Calculations!$F$8),0.2*_xlfn.NORM.DIST(100,100,15,FALSE)*_xlfn.NORM.DIST(A626,Calculations!$F$3,Calculations!$F$4,FALSE)/_xlfn.NORM.DIST(Calculations!$F$3,Calculations!$F$3,Calculations!$F$4,FALSE),NA())</f>
        <v>#N/A</v>
      </c>
    </row>
    <row r="627" spans="1:13" x14ac:dyDescent="0.25">
      <c r="A627">
        <v>102.50000000000099</v>
      </c>
      <c r="B627" t="e">
        <f t="shared" si="90"/>
        <v>#N/A</v>
      </c>
      <c r="C627" t="e">
        <f t="shared" si="91"/>
        <v>#N/A</v>
      </c>
      <c r="D627" t="e">
        <f t="shared" si="92"/>
        <v>#N/A</v>
      </c>
      <c r="E627" t="e">
        <f t="shared" si="93"/>
        <v>#N/A</v>
      </c>
      <c r="F627">
        <f t="shared" si="94"/>
        <v>2.6229314406795705E-2</v>
      </c>
      <c r="G627" t="e">
        <f t="shared" si="95"/>
        <v>#N/A</v>
      </c>
      <c r="H627" t="e">
        <f t="shared" si="96"/>
        <v>#N/A</v>
      </c>
      <c r="I627" t="e">
        <f t="shared" si="97"/>
        <v>#N/A</v>
      </c>
      <c r="J627" t="e">
        <f t="shared" si="98"/>
        <v>#N/A</v>
      </c>
      <c r="K627">
        <f t="shared" si="99"/>
        <v>2.6429314406795704E-2</v>
      </c>
      <c r="L627" t="e">
        <f>IF(AND(ABS((ChartCalculations!A627-Calculations!$F$3)/Calculations!$F$4)&lt;5,OR(A627&lt;=Calculations!$F$7,A627&gt;=Calculations!$F$8)),0.2*_xlfn.NORM.DIST(100,100,15,FALSE)*_xlfn.NORM.DIST(A627,Calculations!$F$3,Calculations!$F$4,FALSE)/_xlfn.NORM.DIST(Calculations!$F$3,Calculations!$F$3,Calculations!$F$4,FALSE),NA())</f>
        <v>#N/A</v>
      </c>
      <c r="M627" t="e">
        <f>IF(AND(A627&gt;=Calculations!$F$7,A627&lt;=Calculations!$F$8),0.2*_xlfn.NORM.DIST(100,100,15,FALSE)*_xlfn.NORM.DIST(A627,Calculations!$F$3,Calculations!$F$4,FALSE)/_xlfn.NORM.DIST(Calculations!$F$3,Calculations!$F$3,Calculations!$F$4,FALSE),NA())</f>
        <v>#N/A</v>
      </c>
    </row>
    <row r="628" spans="1:13" x14ac:dyDescent="0.25">
      <c r="A628">
        <v>102.600000000001</v>
      </c>
      <c r="B628" t="e">
        <f t="shared" si="90"/>
        <v>#N/A</v>
      </c>
      <c r="C628" t="e">
        <f t="shared" si="91"/>
        <v>#N/A</v>
      </c>
      <c r="D628" t="e">
        <f t="shared" si="92"/>
        <v>#N/A</v>
      </c>
      <c r="E628" t="e">
        <f t="shared" si="93"/>
        <v>#N/A</v>
      </c>
      <c r="F628">
        <f t="shared" si="94"/>
        <v>2.619960468915469E-2</v>
      </c>
      <c r="G628" t="e">
        <f t="shared" si="95"/>
        <v>#N/A</v>
      </c>
      <c r="H628" t="e">
        <f t="shared" si="96"/>
        <v>#N/A</v>
      </c>
      <c r="I628" t="e">
        <f t="shared" si="97"/>
        <v>#N/A</v>
      </c>
      <c r="J628" t="e">
        <f t="shared" si="98"/>
        <v>#N/A</v>
      </c>
      <c r="K628">
        <f t="shared" si="99"/>
        <v>2.6399604689154688E-2</v>
      </c>
      <c r="L628" t="e">
        <f>IF(AND(ABS((ChartCalculations!A628-Calculations!$F$3)/Calculations!$F$4)&lt;5,OR(A628&lt;=Calculations!$F$7,A628&gt;=Calculations!$F$8)),0.2*_xlfn.NORM.DIST(100,100,15,FALSE)*_xlfn.NORM.DIST(A628,Calculations!$F$3,Calculations!$F$4,FALSE)/_xlfn.NORM.DIST(Calculations!$F$3,Calculations!$F$3,Calculations!$F$4,FALSE),NA())</f>
        <v>#N/A</v>
      </c>
      <c r="M628" t="e">
        <f>IF(AND(A628&gt;=Calculations!$F$7,A628&lt;=Calculations!$F$8),0.2*_xlfn.NORM.DIST(100,100,15,FALSE)*_xlfn.NORM.DIST(A628,Calculations!$F$3,Calculations!$F$4,FALSE)/_xlfn.NORM.DIST(Calculations!$F$3,Calculations!$F$3,Calculations!$F$4,FALSE),NA())</f>
        <v>#N/A</v>
      </c>
    </row>
    <row r="629" spans="1:13" x14ac:dyDescent="0.25">
      <c r="A629">
        <v>102.700000000001</v>
      </c>
      <c r="B629" t="e">
        <f t="shared" si="90"/>
        <v>#N/A</v>
      </c>
      <c r="C629" t="e">
        <f t="shared" si="91"/>
        <v>#N/A</v>
      </c>
      <c r="D629" t="e">
        <f t="shared" si="92"/>
        <v>#N/A</v>
      </c>
      <c r="E629" t="e">
        <f t="shared" si="93"/>
        <v>#N/A</v>
      </c>
      <c r="F629">
        <f t="shared" si="94"/>
        <v>2.6168765541361612E-2</v>
      </c>
      <c r="G629" t="e">
        <f t="shared" si="95"/>
        <v>#N/A</v>
      </c>
      <c r="H629" t="e">
        <f t="shared" si="96"/>
        <v>#N/A</v>
      </c>
      <c r="I629" t="e">
        <f t="shared" si="97"/>
        <v>#N/A</v>
      </c>
      <c r="J629" t="e">
        <f t="shared" si="98"/>
        <v>#N/A</v>
      </c>
      <c r="K629">
        <f t="shared" si="99"/>
        <v>2.6368765541361611E-2</v>
      </c>
      <c r="L629" t="e">
        <f>IF(AND(ABS((ChartCalculations!A629-Calculations!$F$3)/Calculations!$F$4)&lt;5,OR(A629&lt;=Calculations!$F$7,A629&gt;=Calculations!$F$8)),0.2*_xlfn.NORM.DIST(100,100,15,FALSE)*_xlfn.NORM.DIST(A629,Calculations!$F$3,Calculations!$F$4,FALSE)/_xlfn.NORM.DIST(Calculations!$F$3,Calculations!$F$3,Calculations!$F$4,FALSE),NA())</f>
        <v>#N/A</v>
      </c>
      <c r="M629" t="e">
        <f>IF(AND(A629&gt;=Calculations!$F$7,A629&lt;=Calculations!$F$8),0.2*_xlfn.NORM.DIST(100,100,15,FALSE)*_xlfn.NORM.DIST(A629,Calculations!$F$3,Calculations!$F$4,FALSE)/_xlfn.NORM.DIST(Calculations!$F$3,Calculations!$F$3,Calculations!$F$4,FALSE),NA())</f>
        <v>#N/A</v>
      </c>
    </row>
    <row r="630" spans="1:13" x14ac:dyDescent="0.25">
      <c r="A630">
        <v>102.80000000000101</v>
      </c>
      <c r="B630" t="e">
        <f t="shared" si="90"/>
        <v>#N/A</v>
      </c>
      <c r="C630" t="e">
        <f t="shared" si="91"/>
        <v>#N/A</v>
      </c>
      <c r="D630" t="e">
        <f t="shared" si="92"/>
        <v>#N/A</v>
      </c>
      <c r="E630" t="e">
        <f t="shared" si="93"/>
        <v>#N/A</v>
      </c>
      <c r="F630">
        <f t="shared" si="94"/>
        <v>2.6136801032434511E-2</v>
      </c>
      <c r="G630" t="e">
        <f t="shared" si="95"/>
        <v>#N/A</v>
      </c>
      <c r="H630" t="e">
        <f t="shared" si="96"/>
        <v>#N/A</v>
      </c>
      <c r="I630" t="e">
        <f t="shared" si="97"/>
        <v>#N/A</v>
      </c>
      <c r="J630" t="e">
        <f t="shared" si="98"/>
        <v>#N/A</v>
      </c>
      <c r="K630">
        <f t="shared" si="99"/>
        <v>2.633680103243451E-2</v>
      </c>
      <c r="L630" t="e">
        <f>IF(AND(ABS((ChartCalculations!A630-Calculations!$F$3)/Calculations!$F$4)&lt;5,OR(A630&lt;=Calculations!$F$7,A630&gt;=Calculations!$F$8)),0.2*_xlfn.NORM.DIST(100,100,15,FALSE)*_xlfn.NORM.DIST(A630,Calculations!$F$3,Calculations!$F$4,FALSE)/_xlfn.NORM.DIST(Calculations!$F$3,Calculations!$F$3,Calculations!$F$4,FALSE),NA())</f>
        <v>#N/A</v>
      </c>
      <c r="M630" t="e">
        <f>IF(AND(A630&gt;=Calculations!$F$7,A630&lt;=Calculations!$F$8),0.2*_xlfn.NORM.DIST(100,100,15,FALSE)*_xlfn.NORM.DIST(A630,Calculations!$F$3,Calculations!$F$4,FALSE)/_xlfn.NORM.DIST(Calculations!$F$3,Calculations!$F$3,Calculations!$F$4,FALSE),NA())</f>
        <v>#N/A</v>
      </c>
    </row>
    <row r="631" spans="1:13" x14ac:dyDescent="0.25">
      <c r="A631">
        <v>102.900000000001</v>
      </c>
      <c r="B631" t="e">
        <f t="shared" si="90"/>
        <v>#N/A</v>
      </c>
      <c r="C631" t="e">
        <f t="shared" si="91"/>
        <v>#N/A</v>
      </c>
      <c r="D631" t="e">
        <f t="shared" si="92"/>
        <v>#N/A</v>
      </c>
      <c r="E631" t="e">
        <f t="shared" si="93"/>
        <v>#N/A</v>
      </c>
      <c r="F631">
        <f t="shared" si="94"/>
        <v>2.6103715376465875E-2</v>
      </c>
      <c r="G631" t="e">
        <f t="shared" si="95"/>
        <v>#N/A</v>
      </c>
      <c r="H631" t="e">
        <f t="shared" si="96"/>
        <v>#N/A</v>
      </c>
      <c r="I631" t="e">
        <f t="shared" si="97"/>
        <v>#N/A</v>
      </c>
      <c r="J631" t="e">
        <f t="shared" si="98"/>
        <v>#N/A</v>
      </c>
      <c r="K631">
        <f t="shared" si="99"/>
        <v>2.6303715376465874E-2</v>
      </c>
      <c r="L631" t="e">
        <f>IF(AND(ABS((ChartCalculations!A631-Calculations!$F$3)/Calculations!$F$4)&lt;5,OR(A631&lt;=Calculations!$F$7,A631&gt;=Calculations!$F$8)),0.2*_xlfn.NORM.DIST(100,100,15,FALSE)*_xlfn.NORM.DIST(A631,Calculations!$F$3,Calculations!$F$4,FALSE)/_xlfn.NORM.DIST(Calculations!$F$3,Calculations!$F$3,Calculations!$F$4,FALSE),NA())</f>
        <v>#N/A</v>
      </c>
      <c r="M631" t="e">
        <f>IF(AND(A631&gt;=Calculations!$F$7,A631&lt;=Calculations!$F$8),0.2*_xlfn.NORM.DIST(100,100,15,FALSE)*_xlfn.NORM.DIST(A631,Calculations!$F$3,Calculations!$F$4,FALSE)/_xlfn.NORM.DIST(Calculations!$F$3,Calculations!$F$3,Calculations!$F$4,FALSE),NA())</f>
        <v>#N/A</v>
      </c>
    </row>
    <row r="632" spans="1:13" x14ac:dyDescent="0.25">
      <c r="A632">
        <v>103.00000000000099</v>
      </c>
      <c r="B632" t="e">
        <f t="shared" si="90"/>
        <v>#N/A</v>
      </c>
      <c r="C632" t="e">
        <f t="shared" si="91"/>
        <v>#N/A</v>
      </c>
      <c r="D632" t="e">
        <f t="shared" si="92"/>
        <v>#N/A</v>
      </c>
      <c r="E632" t="e">
        <f t="shared" si="93"/>
        <v>#N/A</v>
      </c>
      <c r="F632">
        <f t="shared" si="94"/>
        <v>2.6069512931696712E-2</v>
      </c>
      <c r="G632" t="e">
        <f t="shared" si="95"/>
        <v>#N/A</v>
      </c>
      <c r="H632" t="e">
        <f t="shared" si="96"/>
        <v>#N/A</v>
      </c>
      <c r="I632" t="e">
        <f t="shared" si="97"/>
        <v>#N/A</v>
      </c>
      <c r="J632" t="e">
        <f t="shared" si="98"/>
        <v>#N/A</v>
      </c>
      <c r="K632">
        <f t="shared" si="99"/>
        <v>2.6269512931696711E-2</v>
      </c>
      <c r="L632" t="e">
        <f>IF(AND(ABS((ChartCalculations!A632-Calculations!$F$3)/Calculations!$F$4)&lt;5,OR(A632&lt;=Calculations!$F$7,A632&gt;=Calculations!$F$8)),0.2*_xlfn.NORM.DIST(100,100,15,FALSE)*_xlfn.NORM.DIST(A632,Calculations!$F$3,Calculations!$F$4,FALSE)/_xlfn.NORM.DIST(Calculations!$F$3,Calculations!$F$3,Calculations!$F$4,FALSE),NA())</f>
        <v>#N/A</v>
      </c>
      <c r="M632" t="e">
        <f>IF(AND(A632&gt;=Calculations!$F$7,A632&lt;=Calculations!$F$8),0.2*_xlfn.NORM.DIST(100,100,15,FALSE)*_xlfn.NORM.DIST(A632,Calculations!$F$3,Calculations!$F$4,FALSE)/_xlfn.NORM.DIST(Calculations!$F$3,Calculations!$F$3,Calculations!$F$4,FALSE),NA())</f>
        <v>#N/A</v>
      </c>
    </row>
    <row r="633" spans="1:13" x14ac:dyDescent="0.25">
      <c r="A633">
        <v>103.100000000001</v>
      </c>
      <c r="B633" t="e">
        <f t="shared" si="90"/>
        <v>#N/A</v>
      </c>
      <c r="C633" t="e">
        <f t="shared" si="91"/>
        <v>#N/A</v>
      </c>
      <c r="D633" t="e">
        <f t="shared" si="92"/>
        <v>#N/A</v>
      </c>
      <c r="E633" t="e">
        <f t="shared" si="93"/>
        <v>#N/A</v>
      </c>
      <c r="F633">
        <f t="shared" si="94"/>
        <v>2.6034198199559842E-2</v>
      </c>
      <c r="G633" t="e">
        <f t="shared" si="95"/>
        <v>#N/A</v>
      </c>
      <c r="H633" t="e">
        <f t="shared" si="96"/>
        <v>#N/A</v>
      </c>
      <c r="I633" t="e">
        <f t="shared" si="97"/>
        <v>#N/A</v>
      </c>
      <c r="J633" t="e">
        <f t="shared" si="98"/>
        <v>#N/A</v>
      </c>
      <c r="K633">
        <f t="shared" si="99"/>
        <v>2.6234198199559841E-2</v>
      </c>
      <c r="L633" t="e">
        <f>IF(AND(ABS((ChartCalculations!A633-Calculations!$F$3)/Calculations!$F$4)&lt;5,OR(A633&lt;=Calculations!$F$7,A633&gt;=Calculations!$F$8)),0.2*_xlfn.NORM.DIST(100,100,15,FALSE)*_xlfn.NORM.DIST(A633,Calculations!$F$3,Calculations!$F$4,FALSE)/_xlfn.NORM.DIST(Calculations!$F$3,Calculations!$F$3,Calculations!$F$4,FALSE),NA())</f>
        <v>#N/A</v>
      </c>
      <c r="M633" t="e">
        <f>IF(AND(A633&gt;=Calculations!$F$7,A633&lt;=Calculations!$F$8),0.2*_xlfn.NORM.DIST(100,100,15,FALSE)*_xlfn.NORM.DIST(A633,Calculations!$F$3,Calculations!$F$4,FALSE)/_xlfn.NORM.DIST(Calculations!$F$3,Calculations!$F$3,Calculations!$F$4,FALSE),NA())</f>
        <v>#N/A</v>
      </c>
    </row>
    <row r="634" spans="1:13" x14ac:dyDescent="0.25">
      <c r="A634">
        <v>103.200000000001</v>
      </c>
      <c r="B634" t="e">
        <f t="shared" si="90"/>
        <v>#N/A</v>
      </c>
      <c r="C634" t="e">
        <f t="shared" si="91"/>
        <v>#N/A</v>
      </c>
      <c r="D634" t="e">
        <f t="shared" si="92"/>
        <v>#N/A</v>
      </c>
      <c r="E634" t="e">
        <f t="shared" si="93"/>
        <v>#N/A</v>
      </c>
      <c r="F634">
        <f t="shared" si="94"/>
        <v>2.5997775823692542E-2</v>
      </c>
      <c r="G634" t="e">
        <f t="shared" si="95"/>
        <v>#N/A</v>
      </c>
      <c r="H634" t="e">
        <f t="shared" si="96"/>
        <v>#N/A</v>
      </c>
      <c r="I634" t="e">
        <f t="shared" si="97"/>
        <v>#N/A</v>
      </c>
      <c r="J634" t="e">
        <f t="shared" si="98"/>
        <v>#N/A</v>
      </c>
      <c r="K634">
        <f t="shared" si="99"/>
        <v>2.6197775823692541E-2</v>
      </c>
      <c r="L634" t="e">
        <f>IF(AND(ABS((ChartCalculations!A634-Calculations!$F$3)/Calculations!$F$4)&lt;5,OR(A634&lt;=Calculations!$F$7,A634&gt;=Calculations!$F$8)),0.2*_xlfn.NORM.DIST(100,100,15,FALSE)*_xlfn.NORM.DIST(A634,Calculations!$F$3,Calculations!$F$4,FALSE)/_xlfn.NORM.DIST(Calculations!$F$3,Calculations!$F$3,Calculations!$F$4,FALSE),NA())</f>
        <v>#N/A</v>
      </c>
      <c r="M634" t="e">
        <f>IF(AND(A634&gt;=Calculations!$F$7,A634&lt;=Calculations!$F$8),0.2*_xlfn.NORM.DIST(100,100,15,FALSE)*_xlfn.NORM.DIST(A634,Calculations!$F$3,Calculations!$F$4,FALSE)/_xlfn.NORM.DIST(Calculations!$F$3,Calculations!$F$3,Calculations!$F$4,FALSE),NA())</f>
        <v>#N/A</v>
      </c>
    </row>
    <row r="635" spans="1:13" x14ac:dyDescent="0.25">
      <c r="A635">
        <v>103.30000000000101</v>
      </c>
      <c r="B635" t="e">
        <f t="shared" si="90"/>
        <v>#N/A</v>
      </c>
      <c r="C635" t="e">
        <f t="shared" si="91"/>
        <v>#N/A</v>
      </c>
      <c r="D635" t="e">
        <f t="shared" si="92"/>
        <v>#N/A</v>
      </c>
      <c r="E635" t="e">
        <f t="shared" si="93"/>
        <v>#N/A</v>
      </c>
      <c r="F635">
        <f t="shared" si="94"/>
        <v>2.5960250588918977E-2</v>
      </c>
      <c r="G635" t="e">
        <f t="shared" si="95"/>
        <v>#N/A</v>
      </c>
      <c r="H635" t="e">
        <f t="shared" si="96"/>
        <v>#N/A</v>
      </c>
      <c r="I635" t="e">
        <f t="shared" si="97"/>
        <v>#N/A</v>
      </c>
      <c r="J635" t="e">
        <f t="shared" si="98"/>
        <v>#N/A</v>
      </c>
      <c r="K635">
        <f t="shared" si="99"/>
        <v>2.6160250588918976E-2</v>
      </c>
      <c r="L635" t="e">
        <f>IF(AND(ABS((ChartCalculations!A635-Calculations!$F$3)/Calculations!$F$4)&lt;5,OR(A635&lt;=Calculations!$F$7,A635&gt;=Calculations!$F$8)),0.2*_xlfn.NORM.DIST(100,100,15,FALSE)*_xlfn.NORM.DIST(A635,Calculations!$F$3,Calculations!$F$4,FALSE)/_xlfn.NORM.DIST(Calculations!$F$3,Calculations!$F$3,Calculations!$F$4,FALSE),NA())</f>
        <v>#N/A</v>
      </c>
      <c r="M635" t="e">
        <f>IF(AND(A635&gt;=Calculations!$F$7,A635&lt;=Calculations!$F$8),0.2*_xlfn.NORM.DIST(100,100,15,FALSE)*_xlfn.NORM.DIST(A635,Calculations!$F$3,Calculations!$F$4,FALSE)/_xlfn.NORM.DIST(Calculations!$F$3,Calculations!$F$3,Calculations!$F$4,FALSE),NA())</f>
        <v>#N/A</v>
      </c>
    </row>
    <row r="636" spans="1:13" x14ac:dyDescent="0.25">
      <c r="A636">
        <v>103.400000000001</v>
      </c>
      <c r="B636" t="e">
        <f t="shared" si="90"/>
        <v>#N/A</v>
      </c>
      <c r="C636" t="e">
        <f t="shared" si="91"/>
        <v>#N/A</v>
      </c>
      <c r="D636" t="e">
        <f t="shared" si="92"/>
        <v>#N/A</v>
      </c>
      <c r="E636" t="e">
        <f t="shared" si="93"/>
        <v>#N/A</v>
      </c>
      <c r="F636">
        <f t="shared" si="94"/>
        <v>2.5921627420202691E-2</v>
      </c>
      <c r="G636" t="e">
        <f t="shared" si="95"/>
        <v>#N/A</v>
      </c>
      <c r="H636" t="e">
        <f t="shared" si="96"/>
        <v>#N/A</v>
      </c>
      <c r="I636" t="e">
        <f t="shared" si="97"/>
        <v>#N/A</v>
      </c>
      <c r="J636" t="e">
        <f t="shared" si="98"/>
        <v>#N/A</v>
      </c>
      <c r="K636">
        <f t="shared" si="99"/>
        <v>2.612162742020269E-2</v>
      </c>
      <c r="L636" t="e">
        <f>IF(AND(ABS((ChartCalculations!A636-Calculations!$F$3)/Calculations!$F$4)&lt;5,OR(A636&lt;=Calculations!$F$7,A636&gt;=Calculations!$F$8)),0.2*_xlfn.NORM.DIST(100,100,15,FALSE)*_xlfn.NORM.DIST(A636,Calculations!$F$3,Calculations!$F$4,FALSE)/_xlfn.NORM.DIST(Calculations!$F$3,Calculations!$F$3,Calculations!$F$4,FALSE),NA())</f>
        <v>#N/A</v>
      </c>
      <c r="M636" t="e">
        <f>IF(AND(A636&gt;=Calculations!$F$7,A636&lt;=Calculations!$F$8),0.2*_xlfn.NORM.DIST(100,100,15,FALSE)*_xlfn.NORM.DIST(A636,Calculations!$F$3,Calculations!$F$4,FALSE)/_xlfn.NORM.DIST(Calculations!$F$3,Calculations!$F$3,Calculations!$F$4,FALSE),NA())</f>
        <v>#N/A</v>
      </c>
    </row>
    <row r="637" spans="1:13" x14ac:dyDescent="0.25">
      <c r="A637">
        <v>103.50000000000099</v>
      </c>
      <c r="B637" t="e">
        <f t="shared" si="90"/>
        <v>#N/A</v>
      </c>
      <c r="C637" t="e">
        <f t="shared" si="91"/>
        <v>#N/A</v>
      </c>
      <c r="D637" t="e">
        <f t="shared" si="92"/>
        <v>#N/A</v>
      </c>
      <c r="E637" t="e">
        <f t="shared" si="93"/>
        <v>#N/A</v>
      </c>
      <c r="F637">
        <f t="shared" si="94"/>
        <v>2.5881911381569391E-2</v>
      </c>
      <c r="G637" t="e">
        <f t="shared" si="95"/>
        <v>#N/A</v>
      </c>
      <c r="H637" t="e">
        <f t="shared" si="96"/>
        <v>#N/A</v>
      </c>
      <c r="I637" t="e">
        <f t="shared" si="97"/>
        <v>#N/A</v>
      </c>
      <c r="J637" t="e">
        <f t="shared" si="98"/>
        <v>#N/A</v>
      </c>
      <c r="K637">
        <f t="shared" si="99"/>
        <v>2.608191138156939E-2</v>
      </c>
      <c r="L637" t="e">
        <f>IF(AND(ABS((ChartCalculations!A637-Calculations!$F$3)/Calculations!$F$4)&lt;5,OR(A637&lt;=Calculations!$F$7,A637&gt;=Calculations!$F$8)),0.2*_xlfn.NORM.DIST(100,100,15,FALSE)*_xlfn.NORM.DIST(A637,Calculations!$F$3,Calculations!$F$4,FALSE)/_xlfn.NORM.DIST(Calculations!$F$3,Calculations!$F$3,Calculations!$F$4,FALSE),NA())</f>
        <v>#N/A</v>
      </c>
      <c r="M637" t="e">
        <f>IF(AND(A637&gt;=Calculations!$F$7,A637&lt;=Calculations!$F$8),0.2*_xlfn.NORM.DIST(100,100,15,FALSE)*_xlfn.NORM.DIST(A637,Calculations!$F$3,Calculations!$F$4,FALSE)/_xlfn.NORM.DIST(Calculations!$F$3,Calculations!$F$3,Calculations!$F$4,FALSE),NA())</f>
        <v>#N/A</v>
      </c>
    </row>
    <row r="638" spans="1:13" x14ac:dyDescent="0.25">
      <c r="A638">
        <v>103.600000000001</v>
      </c>
      <c r="B638" t="e">
        <f t="shared" si="90"/>
        <v>#N/A</v>
      </c>
      <c r="C638" t="e">
        <f t="shared" si="91"/>
        <v>#N/A</v>
      </c>
      <c r="D638" t="e">
        <f t="shared" si="92"/>
        <v>#N/A</v>
      </c>
      <c r="E638" t="e">
        <f t="shared" si="93"/>
        <v>#N/A</v>
      </c>
      <c r="F638">
        <f t="shared" si="94"/>
        <v>2.5841107675000526E-2</v>
      </c>
      <c r="G638" t="e">
        <f t="shared" si="95"/>
        <v>#N/A</v>
      </c>
      <c r="H638" t="e">
        <f t="shared" si="96"/>
        <v>#N/A</v>
      </c>
      <c r="I638" t="e">
        <f t="shared" si="97"/>
        <v>#N/A</v>
      </c>
      <c r="J638" t="e">
        <f t="shared" si="98"/>
        <v>#N/A</v>
      </c>
      <c r="K638">
        <f t="shared" si="99"/>
        <v>2.6041107675000525E-2</v>
      </c>
      <c r="L638" t="e">
        <f>IF(AND(ABS((ChartCalculations!A638-Calculations!$F$3)/Calculations!$F$4)&lt;5,OR(A638&lt;=Calculations!$F$7,A638&gt;=Calculations!$F$8)),0.2*_xlfn.NORM.DIST(100,100,15,FALSE)*_xlfn.NORM.DIST(A638,Calculations!$F$3,Calculations!$F$4,FALSE)/_xlfn.NORM.DIST(Calculations!$F$3,Calculations!$F$3,Calculations!$F$4,FALSE),NA())</f>
        <v>#N/A</v>
      </c>
      <c r="M638" t="e">
        <f>IF(AND(A638&gt;=Calculations!$F$7,A638&lt;=Calculations!$F$8),0.2*_xlfn.NORM.DIST(100,100,15,FALSE)*_xlfn.NORM.DIST(A638,Calculations!$F$3,Calculations!$F$4,FALSE)/_xlfn.NORM.DIST(Calculations!$F$3,Calculations!$F$3,Calculations!$F$4,FALSE),NA())</f>
        <v>#N/A</v>
      </c>
    </row>
    <row r="639" spans="1:13" x14ac:dyDescent="0.25">
      <c r="A639">
        <v>103.700000000001</v>
      </c>
      <c r="B639" t="e">
        <f t="shared" si="90"/>
        <v>#N/A</v>
      </c>
      <c r="C639" t="e">
        <f t="shared" si="91"/>
        <v>#N/A</v>
      </c>
      <c r="D639" t="e">
        <f t="shared" si="92"/>
        <v>#N/A</v>
      </c>
      <c r="E639" t="e">
        <f t="shared" si="93"/>
        <v>#N/A</v>
      </c>
      <c r="F639">
        <f t="shared" si="94"/>
        <v>2.5799221639297883E-2</v>
      </c>
      <c r="G639" t="e">
        <f t="shared" si="95"/>
        <v>#N/A</v>
      </c>
      <c r="H639" t="e">
        <f t="shared" si="96"/>
        <v>#N/A</v>
      </c>
      <c r="I639" t="e">
        <f t="shared" si="97"/>
        <v>#N/A</v>
      </c>
      <c r="J639" t="e">
        <f t="shared" si="98"/>
        <v>#N/A</v>
      </c>
      <c r="K639">
        <f t="shared" si="99"/>
        <v>2.5999221639297881E-2</v>
      </c>
      <c r="L639" t="e">
        <f>IF(AND(ABS((ChartCalculations!A639-Calculations!$F$3)/Calculations!$F$4)&lt;5,OR(A639&lt;=Calculations!$F$7,A639&gt;=Calculations!$F$8)),0.2*_xlfn.NORM.DIST(100,100,15,FALSE)*_xlfn.NORM.DIST(A639,Calculations!$F$3,Calculations!$F$4,FALSE)/_xlfn.NORM.DIST(Calculations!$F$3,Calculations!$F$3,Calculations!$F$4,FALSE),NA())</f>
        <v>#N/A</v>
      </c>
      <c r="M639" t="e">
        <f>IF(AND(A639&gt;=Calculations!$F$7,A639&lt;=Calculations!$F$8),0.2*_xlfn.NORM.DIST(100,100,15,FALSE)*_xlfn.NORM.DIST(A639,Calculations!$F$3,Calculations!$F$4,FALSE)/_xlfn.NORM.DIST(Calculations!$F$3,Calculations!$F$3,Calculations!$F$4,FALSE),NA())</f>
        <v>#N/A</v>
      </c>
    </row>
    <row r="640" spans="1:13" x14ac:dyDescent="0.25">
      <c r="A640">
        <v>103.80000000000101</v>
      </c>
      <c r="B640" t="e">
        <f t="shared" si="90"/>
        <v>#N/A</v>
      </c>
      <c r="C640" t="e">
        <f t="shared" si="91"/>
        <v>#N/A</v>
      </c>
      <c r="D640" t="e">
        <f t="shared" si="92"/>
        <v>#N/A</v>
      </c>
      <c r="E640" t="e">
        <f t="shared" si="93"/>
        <v>#N/A</v>
      </c>
      <c r="F640">
        <f t="shared" si="94"/>
        <v>2.5756258748919462E-2</v>
      </c>
      <c r="G640" t="e">
        <f t="shared" si="95"/>
        <v>#N/A</v>
      </c>
      <c r="H640" t="e">
        <f t="shared" si="96"/>
        <v>#N/A</v>
      </c>
      <c r="I640" t="e">
        <f t="shared" si="97"/>
        <v>#N/A</v>
      </c>
      <c r="J640" t="e">
        <f t="shared" si="98"/>
        <v>#N/A</v>
      </c>
      <c r="K640">
        <f t="shared" si="99"/>
        <v>2.5956258748919461E-2</v>
      </c>
      <c r="L640" t="e">
        <f>IF(AND(ABS((ChartCalculations!A640-Calculations!$F$3)/Calculations!$F$4)&lt;5,OR(A640&lt;=Calculations!$F$7,A640&gt;=Calculations!$F$8)),0.2*_xlfn.NORM.DIST(100,100,15,FALSE)*_xlfn.NORM.DIST(A640,Calculations!$F$3,Calculations!$F$4,FALSE)/_xlfn.NORM.DIST(Calculations!$F$3,Calculations!$F$3,Calculations!$F$4,FALSE),NA())</f>
        <v>#N/A</v>
      </c>
      <c r="M640" t="e">
        <f>IF(AND(A640&gt;=Calculations!$F$7,A640&lt;=Calculations!$F$8),0.2*_xlfn.NORM.DIST(100,100,15,FALSE)*_xlfn.NORM.DIST(A640,Calculations!$F$3,Calculations!$F$4,FALSE)/_xlfn.NORM.DIST(Calculations!$F$3,Calculations!$F$3,Calculations!$F$4,FALSE),NA())</f>
        <v>#N/A</v>
      </c>
    </row>
    <row r="641" spans="1:13" x14ac:dyDescent="0.25">
      <c r="A641">
        <v>103.900000000001</v>
      </c>
      <c r="B641" t="e">
        <f t="shared" si="90"/>
        <v>#N/A</v>
      </c>
      <c r="C641" t="e">
        <f t="shared" si="91"/>
        <v>#N/A</v>
      </c>
      <c r="D641" t="e">
        <f t="shared" si="92"/>
        <v>#N/A</v>
      </c>
      <c r="E641" t="e">
        <f t="shared" si="93"/>
        <v>#N/A</v>
      </c>
      <c r="F641">
        <f t="shared" si="94"/>
        <v>2.5712224612787292E-2</v>
      </c>
      <c r="G641" t="e">
        <f t="shared" si="95"/>
        <v>#N/A</v>
      </c>
      <c r="H641" t="e">
        <f t="shared" si="96"/>
        <v>#N/A</v>
      </c>
      <c r="I641" t="e">
        <f t="shared" si="97"/>
        <v>#N/A</v>
      </c>
      <c r="J641" t="e">
        <f t="shared" si="98"/>
        <v>#N/A</v>
      </c>
      <c r="K641">
        <f t="shared" si="99"/>
        <v>2.5912224612787291E-2</v>
      </c>
      <c r="L641" t="e">
        <f>IF(AND(ABS((ChartCalculations!A641-Calculations!$F$3)/Calculations!$F$4)&lt;5,OR(A641&lt;=Calculations!$F$7,A641&gt;=Calculations!$F$8)),0.2*_xlfn.NORM.DIST(100,100,15,FALSE)*_xlfn.NORM.DIST(A641,Calculations!$F$3,Calculations!$F$4,FALSE)/_xlfn.NORM.DIST(Calculations!$F$3,Calculations!$F$3,Calculations!$F$4,FALSE),NA())</f>
        <v>#N/A</v>
      </c>
      <c r="M641" t="e">
        <f>IF(AND(A641&gt;=Calculations!$F$7,A641&lt;=Calculations!$F$8),0.2*_xlfn.NORM.DIST(100,100,15,FALSE)*_xlfn.NORM.DIST(A641,Calculations!$F$3,Calculations!$F$4,FALSE)/_xlfn.NORM.DIST(Calculations!$F$3,Calculations!$F$3,Calculations!$F$4,FALSE),NA())</f>
        <v>#N/A</v>
      </c>
    </row>
    <row r="642" spans="1:13" x14ac:dyDescent="0.25">
      <c r="A642">
        <v>104.00000000000099</v>
      </c>
      <c r="B642" t="e">
        <f t="shared" si="90"/>
        <v>#N/A</v>
      </c>
      <c r="C642" t="e">
        <f t="shared" si="91"/>
        <v>#N/A</v>
      </c>
      <c r="D642" t="e">
        <f t="shared" si="92"/>
        <v>#N/A</v>
      </c>
      <c r="E642" t="e">
        <f t="shared" si="93"/>
        <v>#N/A</v>
      </c>
      <c r="F642">
        <f t="shared" si="94"/>
        <v>2.566712497306714E-2</v>
      </c>
      <c r="G642" t="e">
        <f t="shared" si="95"/>
        <v>#N/A</v>
      </c>
      <c r="H642" t="e">
        <f t="shared" si="96"/>
        <v>#N/A</v>
      </c>
      <c r="I642" t="e">
        <f t="shared" si="97"/>
        <v>#N/A</v>
      </c>
      <c r="J642" t="e">
        <f t="shared" si="98"/>
        <v>#N/A</v>
      </c>
      <c r="K642">
        <f t="shared" si="99"/>
        <v>2.5867124973067139E-2</v>
      </c>
      <c r="L642" t="e">
        <f>IF(AND(ABS((ChartCalculations!A642-Calculations!$F$3)/Calculations!$F$4)&lt;5,OR(A642&lt;=Calculations!$F$7,A642&gt;=Calculations!$F$8)),0.2*_xlfn.NORM.DIST(100,100,15,FALSE)*_xlfn.NORM.DIST(A642,Calculations!$F$3,Calculations!$F$4,FALSE)/_xlfn.NORM.DIST(Calculations!$F$3,Calculations!$F$3,Calculations!$F$4,FALSE),NA())</f>
        <v>#N/A</v>
      </c>
      <c r="M642" t="e">
        <f>IF(AND(A642&gt;=Calculations!$F$7,A642&lt;=Calculations!$F$8),0.2*_xlfn.NORM.DIST(100,100,15,FALSE)*_xlfn.NORM.DIST(A642,Calculations!$F$3,Calculations!$F$4,FALSE)/_xlfn.NORM.DIST(Calculations!$F$3,Calculations!$F$3,Calculations!$F$4,FALSE),NA())</f>
        <v>#N/A</v>
      </c>
    </row>
    <row r="643" spans="1:13" x14ac:dyDescent="0.25">
      <c r="A643">
        <v>104.100000000001</v>
      </c>
      <c r="B643" t="e">
        <f t="shared" ref="B643:B706" si="100">IF($A643&lt;=60,_xlfn.NORM.DIST($A643,100,15,FALSE),NA())</f>
        <v>#N/A</v>
      </c>
      <c r="C643" t="e">
        <f t="shared" ref="C643:C706" si="101">IF(AND($A643&gt;=60,$A643&lt;=70),_xlfn.NORM.DIST($A643,100,15,FALSE),NA())</f>
        <v>#N/A</v>
      </c>
      <c r="D643" t="e">
        <f t="shared" ref="D643:D706" si="102">IF(AND($A643&gt;=70,$A643&lt;=80),_xlfn.NORM.DIST($A643,100,15,FALSE),NA())</f>
        <v>#N/A</v>
      </c>
      <c r="E643" t="e">
        <f t="shared" ref="E643:E706" si="103">IF(AND($A643&gt;=80,$A643&lt;=90),_xlfn.NORM.DIST($A643,100,15,FALSE),NA())</f>
        <v>#N/A</v>
      </c>
      <c r="F643">
        <f t="shared" ref="F643:F706" si="104">IF(AND($A643&gt;=90,$A643&lt;=110),_xlfn.NORM.DIST($A643,100,15,FALSE),NA())</f>
        <v>2.5620965703920844E-2</v>
      </c>
      <c r="G643" t="e">
        <f t="shared" ref="G643:G706" si="105">IF(AND($A643&gt;=110,$A643&lt;=120),_xlfn.NORM.DIST($A643,100,15,FALSE),NA())</f>
        <v>#N/A</v>
      </c>
      <c r="H643" t="e">
        <f t="shared" ref="H643:H706" si="106">IF(AND($A643&gt;=120,$A643&lt;=130),_xlfn.NORM.DIST($A643,100,15,FALSE),NA())</f>
        <v>#N/A</v>
      </c>
      <c r="I643" t="e">
        <f t="shared" ref="I643:I706" si="107">IF(AND($A643&gt;=130,$A643&lt;=140),_xlfn.NORM.DIST($A643,100,15,FALSE),NA())</f>
        <v>#N/A</v>
      </c>
      <c r="J643" t="e">
        <f t="shared" ref="J643:J706" si="108">IF($A643&gt;=140,_xlfn.NORM.DIST($A643,100,15,FALSE),NA())</f>
        <v>#N/A</v>
      </c>
      <c r="K643">
        <f t="shared" ref="K643:K706" si="109">_xlfn.NORM.DIST($A643,100,15,FALSE)+0.0002</f>
        <v>2.5820965703920843E-2</v>
      </c>
      <c r="L643" t="e">
        <f>IF(AND(ABS((ChartCalculations!A643-Calculations!$F$3)/Calculations!$F$4)&lt;5,OR(A643&lt;=Calculations!$F$7,A643&gt;=Calculations!$F$8)),0.2*_xlfn.NORM.DIST(100,100,15,FALSE)*_xlfn.NORM.DIST(A643,Calculations!$F$3,Calculations!$F$4,FALSE)/_xlfn.NORM.DIST(Calculations!$F$3,Calculations!$F$3,Calculations!$F$4,FALSE),NA())</f>
        <v>#N/A</v>
      </c>
      <c r="M643" t="e">
        <f>IF(AND(A643&gt;=Calculations!$F$7,A643&lt;=Calculations!$F$8),0.2*_xlfn.NORM.DIST(100,100,15,FALSE)*_xlfn.NORM.DIST(A643,Calculations!$F$3,Calculations!$F$4,FALSE)/_xlfn.NORM.DIST(Calculations!$F$3,Calculations!$F$3,Calculations!$F$4,FALSE),NA())</f>
        <v>#N/A</v>
      </c>
    </row>
    <row r="644" spans="1:13" x14ac:dyDescent="0.25">
      <c r="A644">
        <v>104.200000000001</v>
      </c>
      <c r="B644" t="e">
        <f t="shared" si="100"/>
        <v>#N/A</v>
      </c>
      <c r="C644" t="e">
        <f t="shared" si="101"/>
        <v>#N/A</v>
      </c>
      <c r="D644" t="e">
        <f t="shared" si="102"/>
        <v>#N/A</v>
      </c>
      <c r="E644" t="e">
        <f t="shared" si="103"/>
        <v>#N/A</v>
      </c>
      <c r="F644">
        <f t="shared" si="104"/>
        <v>2.5573752810231429E-2</v>
      </c>
      <c r="G644" t="e">
        <f t="shared" si="105"/>
        <v>#N/A</v>
      </c>
      <c r="H644" t="e">
        <f t="shared" si="106"/>
        <v>#N/A</v>
      </c>
      <c r="I644" t="e">
        <f t="shared" si="107"/>
        <v>#N/A</v>
      </c>
      <c r="J644" t="e">
        <f t="shared" si="108"/>
        <v>#N/A</v>
      </c>
      <c r="K644">
        <f t="shared" si="109"/>
        <v>2.5773752810231428E-2</v>
      </c>
      <c r="L644" t="e">
        <f>IF(AND(ABS((ChartCalculations!A644-Calculations!$F$3)/Calculations!$F$4)&lt;5,OR(A644&lt;=Calculations!$F$7,A644&gt;=Calculations!$F$8)),0.2*_xlfn.NORM.DIST(100,100,15,FALSE)*_xlfn.NORM.DIST(A644,Calculations!$F$3,Calculations!$F$4,FALSE)/_xlfn.NORM.DIST(Calculations!$F$3,Calculations!$F$3,Calculations!$F$4,FALSE),NA())</f>
        <v>#N/A</v>
      </c>
      <c r="M644" t="e">
        <f>IF(AND(A644&gt;=Calculations!$F$7,A644&lt;=Calculations!$F$8),0.2*_xlfn.NORM.DIST(100,100,15,FALSE)*_xlfn.NORM.DIST(A644,Calculations!$F$3,Calculations!$F$4,FALSE)/_xlfn.NORM.DIST(Calculations!$F$3,Calculations!$F$3,Calculations!$F$4,FALSE),NA())</f>
        <v>#N/A</v>
      </c>
    </row>
    <row r="645" spans="1:13" x14ac:dyDescent="0.25">
      <c r="A645">
        <v>104.30000000000101</v>
      </c>
      <c r="B645" t="e">
        <f t="shared" si="100"/>
        <v>#N/A</v>
      </c>
      <c r="C645" t="e">
        <f t="shared" si="101"/>
        <v>#N/A</v>
      </c>
      <c r="D645" t="e">
        <f t="shared" si="102"/>
        <v>#N/A</v>
      </c>
      <c r="E645" t="e">
        <f t="shared" si="103"/>
        <v>#N/A</v>
      </c>
      <c r="F645">
        <f t="shared" si="104"/>
        <v>2.5525492426301491E-2</v>
      </c>
      <c r="G645" t="e">
        <f t="shared" si="105"/>
        <v>#N/A</v>
      </c>
      <c r="H645" t="e">
        <f t="shared" si="106"/>
        <v>#N/A</v>
      </c>
      <c r="I645" t="e">
        <f t="shared" si="107"/>
        <v>#N/A</v>
      </c>
      <c r="J645" t="e">
        <f t="shared" si="108"/>
        <v>#N/A</v>
      </c>
      <c r="K645">
        <f t="shared" si="109"/>
        <v>2.572549242630149E-2</v>
      </c>
      <c r="L645" t="e">
        <f>IF(AND(ABS((ChartCalculations!A645-Calculations!$F$3)/Calculations!$F$4)&lt;5,OR(A645&lt;=Calculations!$F$7,A645&gt;=Calculations!$F$8)),0.2*_xlfn.NORM.DIST(100,100,15,FALSE)*_xlfn.NORM.DIST(A645,Calculations!$F$3,Calculations!$F$4,FALSE)/_xlfn.NORM.DIST(Calculations!$F$3,Calculations!$F$3,Calculations!$F$4,FALSE),NA())</f>
        <v>#N/A</v>
      </c>
      <c r="M645" t="e">
        <f>IF(AND(A645&gt;=Calculations!$F$7,A645&lt;=Calculations!$F$8),0.2*_xlfn.NORM.DIST(100,100,15,FALSE)*_xlfn.NORM.DIST(A645,Calculations!$F$3,Calculations!$F$4,FALSE)/_xlfn.NORM.DIST(Calculations!$F$3,Calculations!$F$3,Calculations!$F$4,FALSE),NA())</f>
        <v>#N/A</v>
      </c>
    </row>
    <row r="646" spans="1:13" x14ac:dyDescent="0.25">
      <c r="A646">
        <v>104.400000000001</v>
      </c>
      <c r="B646" t="e">
        <f t="shared" si="100"/>
        <v>#N/A</v>
      </c>
      <c r="C646" t="e">
        <f t="shared" si="101"/>
        <v>#N/A</v>
      </c>
      <c r="D646" t="e">
        <f t="shared" si="102"/>
        <v>#N/A</v>
      </c>
      <c r="E646" t="e">
        <f t="shared" si="103"/>
        <v>#N/A</v>
      </c>
      <c r="F646">
        <f t="shared" si="104"/>
        <v>2.5476190814525217E-2</v>
      </c>
      <c r="G646" t="e">
        <f t="shared" si="105"/>
        <v>#N/A</v>
      </c>
      <c r="H646" t="e">
        <f t="shared" si="106"/>
        <v>#N/A</v>
      </c>
      <c r="I646" t="e">
        <f t="shared" si="107"/>
        <v>#N/A</v>
      </c>
      <c r="J646" t="e">
        <f t="shared" si="108"/>
        <v>#N/A</v>
      </c>
      <c r="K646">
        <f t="shared" si="109"/>
        <v>2.5676190814525216E-2</v>
      </c>
      <c r="L646" t="e">
        <f>IF(AND(ABS((ChartCalculations!A646-Calculations!$F$3)/Calculations!$F$4)&lt;5,OR(A646&lt;=Calculations!$F$7,A646&gt;=Calculations!$F$8)),0.2*_xlfn.NORM.DIST(100,100,15,FALSE)*_xlfn.NORM.DIST(A646,Calculations!$F$3,Calculations!$F$4,FALSE)/_xlfn.NORM.DIST(Calculations!$F$3,Calculations!$F$3,Calculations!$F$4,FALSE),NA())</f>
        <v>#N/A</v>
      </c>
      <c r="M646" t="e">
        <f>IF(AND(A646&gt;=Calculations!$F$7,A646&lt;=Calculations!$F$8),0.2*_xlfn.NORM.DIST(100,100,15,FALSE)*_xlfn.NORM.DIST(A646,Calculations!$F$3,Calculations!$F$4,FALSE)/_xlfn.NORM.DIST(Calculations!$F$3,Calculations!$F$3,Calculations!$F$4,FALSE),NA())</f>
        <v>#N/A</v>
      </c>
    </row>
    <row r="647" spans="1:13" x14ac:dyDescent="0.25">
      <c r="A647">
        <v>104.50000000000099</v>
      </c>
      <c r="B647" t="e">
        <f t="shared" si="100"/>
        <v>#N/A</v>
      </c>
      <c r="C647" t="e">
        <f t="shared" si="101"/>
        <v>#N/A</v>
      </c>
      <c r="D647" t="e">
        <f t="shared" si="102"/>
        <v>#N/A</v>
      </c>
      <c r="E647" t="e">
        <f t="shared" si="103"/>
        <v>#N/A</v>
      </c>
      <c r="F647">
        <f t="shared" si="104"/>
        <v>2.5425854364034436E-2</v>
      </c>
      <c r="G647" t="e">
        <f t="shared" si="105"/>
        <v>#N/A</v>
      </c>
      <c r="H647" t="e">
        <f t="shared" si="106"/>
        <v>#N/A</v>
      </c>
      <c r="I647" t="e">
        <f t="shared" si="107"/>
        <v>#N/A</v>
      </c>
      <c r="J647" t="e">
        <f t="shared" si="108"/>
        <v>#N/A</v>
      </c>
      <c r="K647">
        <f t="shared" si="109"/>
        <v>2.5625854364034435E-2</v>
      </c>
      <c r="L647" t="e">
        <f>IF(AND(ABS((ChartCalculations!A647-Calculations!$F$3)/Calculations!$F$4)&lt;5,OR(A647&lt;=Calculations!$F$7,A647&gt;=Calculations!$F$8)),0.2*_xlfn.NORM.DIST(100,100,15,FALSE)*_xlfn.NORM.DIST(A647,Calculations!$F$3,Calculations!$F$4,FALSE)/_xlfn.NORM.DIST(Calculations!$F$3,Calculations!$F$3,Calculations!$F$4,FALSE),NA())</f>
        <v>#N/A</v>
      </c>
      <c r="M647" t="e">
        <f>IF(AND(A647&gt;=Calculations!$F$7,A647&lt;=Calculations!$F$8),0.2*_xlfn.NORM.DIST(100,100,15,FALSE)*_xlfn.NORM.DIST(A647,Calculations!$F$3,Calculations!$F$4,FALSE)/_xlfn.NORM.DIST(Calculations!$F$3,Calculations!$F$3,Calculations!$F$4,FALSE),NA())</f>
        <v>#N/A</v>
      </c>
    </row>
    <row r="648" spans="1:13" x14ac:dyDescent="0.25">
      <c r="A648">
        <v>104.600000000001</v>
      </c>
      <c r="B648" t="e">
        <f t="shared" si="100"/>
        <v>#N/A</v>
      </c>
      <c r="C648" t="e">
        <f t="shared" si="101"/>
        <v>#N/A</v>
      </c>
      <c r="D648" t="e">
        <f t="shared" si="102"/>
        <v>#N/A</v>
      </c>
      <c r="E648" t="e">
        <f t="shared" si="103"/>
        <v>#N/A</v>
      </c>
      <c r="F648">
        <f t="shared" si="104"/>
        <v>2.5374489589319101E-2</v>
      </c>
      <c r="G648" t="e">
        <f t="shared" si="105"/>
        <v>#N/A</v>
      </c>
      <c r="H648" t="e">
        <f t="shared" si="106"/>
        <v>#N/A</v>
      </c>
      <c r="I648" t="e">
        <f t="shared" si="107"/>
        <v>#N/A</v>
      </c>
      <c r="J648" t="e">
        <f t="shared" si="108"/>
        <v>#N/A</v>
      </c>
      <c r="K648">
        <f t="shared" si="109"/>
        <v>2.5574489589319099E-2</v>
      </c>
      <c r="L648" t="e">
        <f>IF(AND(ABS((ChartCalculations!A648-Calculations!$F$3)/Calculations!$F$4)&lt;5,OR(A648&lt;=Calculations!$F$7,A648&gt;=Calculations!$F$8)),0.2*_xlfn.NORM.DIST(100,100,15,FALSE)*_xlfn.NORM.DIST(A648,Calculations!$F$3,Calculations!$F$4,FALSE)/_xlfn.NORM.DIST(Calculations!$F$3,Calculations!$F$3,Calculations!$F$4,FALSE),NA())</f>
        <v>#N/A</v>
      </c>
      <c r="M648" t="e">
        <f>IF(AND(A648&gt;=Calculations!$F$7,A648&lt;=Calculations!$F$8),0.2*_xlfn.NORM.DIST(100,100,15,FALSE)*_xlfn.NORM.DIST(A648,Calculations!$F$3,Calculations!$F$4,FALSE)/_xlfn.NORM.DIST(Calculations!$F$3,Calculations!$F$3,Calculations!$F$4,FALSE),NA())</f>
        <v>#N/A</v>
      </c>
    </row>
    <row r="649" spans="1:13" x14ac:dyDescent="0.25">
      <c r="A649">
        <v>104.700000000001</v>
      </c>
      <c r="B649" t="e">
        <f t="shared" si="100"/>
        <v>#N/A</v>
      </c>
      <c r="C649" t="e">
        <f t="shared" si="101"/>
        <v>#N/A</v>
      </c>
      <c r="D649" t="e">
        <f t="shared" si="102"/>
        <v>#N/A</v>
      </c>
      <c r="E649" t="e">
        <f t="shared" si="103"/>
        <v>#N/A</v>
      </c>
      <c r="F649">
        <f t="shared" si="104"/>
        <v>2.5322103128822708E-2</v>
      </c>
      <c r="G649" t="e">
        <f t="shared" si="105"/>
        <v>#N/A</v>
      </c>
      <c r="H649" t="e">
        <f t="shared" si="106"/>
        <v>#N/A</v>
      </c>
      <c r="I649" t="e">
        <f t="shared" si="107"/>
        <v>#N/A</v>
      </c>
      <c r="J649" t="e">
        <f t="shared" si="108"/>
        <v>#N/A</v>
      </c>
      <c r="K649">
        <f t="shared" si="109"/>
        <v>2.5522103128822707E-2</v>
      </c>
      <c r="L649" t="e">
        <f>IF(AND(ABS((ChartCalculations!A649-Calculations!$F$3)/Calculations!$F$4)&lt;5,OR(A649&lt;=Calculations!$F$7,A649&gt;=Calculations!$F$8)),0.2*_xlfn.NORM.DIST(100,100,15,FALSE)*_xlfn.NORM.DIST(A649,Calculations!$F$3,Calculations!$F$4,FALSE)/_xlfn.NORM.DIST(Calculations!$F$3,Calculations!$F$3,Calculations!$F$4,FALSE),NA())</f>
        <v>#N/A</v>
      </c>
      <c r="M649" t="e">
        <f>IF(AND(A649&gt;=Calculations!$F$7,A649&lt;=Calculations!$F$8),0.2*_xlfn.NORM.DIST(100,100,15,FALSE)*_xlfn.NORM.DIST(A649,Calculations!$F$3,Calculations!$F$4,FALSE)/_xlfn.NORM.DIST(Calculations!$F$3,Calculations!$F$3,Calculations!$F$4,FALSE),NA())</f>
        <v>#N/A</v>
      </c>
    </row>
    <row r="650" spans="1:13" x14ac:dyDescent="0.25">
      <c r="A650">
        <v>104.80000000000101</v>
      </c>
      <c r="B650" t="e">
        <f t="shared" si="100"/>
        <v>#N/A</v>
      </c>
      <c r="C650" t="e">
        <f t="shared" si="101"/>
        <v>#N/A</v>
      </c>
      <c r="D650" t="e">
        <f t="shared" si="102"/>
        <v>#N/A</v>
      </c>
      <c r="E650" t="e">
        <f t="shared" si="103"/>
        <v>#N/A</v>
      </c>
      <c r="F650">
        <f t="shared" si="104"/>
        <v>2.5268701743512909E-2</v>
      </c>
      <c r="G650" t="e">
        <f t="shared" si="105"/>
        <v>#N/A</v>
      </c>
      <c r="H650" t="e">
        <f t="shared" si="106"/>
        <v>#N/A</v>
      </c>
      <c r="I650" t="e">
        <f t="shared" si="107"/>
        <v>#N/A</v>
      </c>
      <c r="J650" t="e">
        <f t="shared" si="108"/>
        <v>#N/A</v>
      </c>
      <c r="K650">
        <f t="shared" si="109"/>
        <v>2.5468701743512907E-2</v>
      </c>
      <c r="L650" t="e">
        <f>IF(AND(ABS((ChartCalculations!A650-Calculations!$F$3)/Calculations!$F$4)&lt;5,OR(A650&lt;=Calculations!$F$7,A650&gt;=Calculations!$F$8)),0.2*_xlfn.NORM.DIST(100,100,15,FALSE)*_xlfn.NORM.DIST(A650,Calculations!$F$3,Calculations!$F$4,FALSE)/_xlfn.NORM.DIST(Calculations!$F$3,Calculations!$F$3,Calculations!$F$4,FALSE),NA())</f>
        <v>#N/A</v>
      </c>
      <c r="M650" t="e">
        <f>IF(AND(A650&gt;=Calculations!$F$7,A650&lt;=Calculations!$F$8),0.2*_xlfn.NORM.DIST(100,100,15,FALSE)*_xlfn.NORM.DIST(A650,Calculations!$F$3,Calculations!$F$4,FALSE)/_xlfn.NORM.DIST(Calculations!$F$3,Calculations!$F$3,Calculations!$F$4,FALSE),NA())</f>
        <v>#N/A</v>
      </c>
    </row>
    <row r="651" spans="1:13" x14ac:dyDescent="0.25">
      <c r="A651">
        <v>104.900000000001</v>
      </c>
      <c r="B651" t="e">
        <f t="shared" si="100"/>
        <v>#N/A</v>
      </c>
      <c r="C651" t="e">
        <f t="shared" si="101"/>
        <v>#N/A</v>
      </c>
      <c r="D651" t="e">
        <f t="shared" si="102"/>
        <v>#N/A</v>
      </c>
      <c r="E651" t="e">
        <f t="shared" si="103"/>
        <v>#N/A</v>
      </c>
      <c r="F651">
        <f t="shared" si="104"/>
        <v>2.5214292315427898E-2</v>
      </c>
      <c r="G651" t="e">
        <f t="shared" si="105"/>
        <v>#N/A</v>
      </c>
      <c r="H651" t="e">
        <f t="shared" si="106"/>
        <v>#N/A</v>
      </c>
      <c r="I651" t="e">
        <f t="shared" si="107"/>
        <v>#N/A</v>
      </c>
      <c r="J651" t="e">
        <f t="shared" si="108"/>
        <v>#N/A</v>
      </c>
      <c r="K651">
        <f t="shared" si="109"/>
        <v>2.5414292315427897E-2</v>
      </c>
      <c r="L651" t="e">
        <f>IF(AND(ABS((ChartCalculations!A651-Calculations!$F$3)/Calculations!$F$4)&lt;5,OR(A651&lt;=Calculations!$F$7,A651&gt;=Calculations!$F$8)),0.2*_xlfn.NORM.DIST(100,100,15,FALSE)*_xlfn.NORM.DIST(A651,Calculations!$F$3,Calculations!$F$4,FALSE)/_xlfn.NORM.DIST(Calculations!$F$3,Calculations!$F$3,Calculations!$F$4,FALSE),NA())</f>
        <v>#N/A</v>
      </c>
      <c r="M651" t="e">
        <f>IF(AND(A651&gt;=Calculations!$F$7,A651&lt;=Calculations!$F$8),0.2*_xlfn.NORM.DIST(100,100,15,FALSE)*_xlfn.NORM.DIST(A651,Calculations!$F$3,Calculations!$F$4,FALSE)/_xlfn.NORM.DIST(Calculations!$F$3,Calculations!$F$3,Calculations!$F$4,FALSE),NA())</f>
        <v>#N/A</v>
      </c>
    </row>
    <row r="652" spans="1:13" x14ac:dyDescent="0.25">
      <c r="A652">
        <v>105.00000000000099</v>
      </c>
      <c r="B652" t="e">
        <f t="shared" si="100"/>
        <v>#N/A</v>
      </c>
      <c r="C652" t="e">
        <f t="shared" si="101"/>
        <v>#N/A</v>
      </c>
      <c r="D652" t="e">
        <f t="shared" si="102"/>
        <v>#N/A</v>
      </c>
      <c r="E652" t="e">
        <f t="shared" si="103"/>
        <v>#N/A</v>
      </c>
      <c r="F652">
        <f t="shared" si="104"/>
        <v>2.5158881846198987E-2</v>
      </c>
      <c r="G652" t="e">
        <f t="shared" si="105"/>
        <v>#N/A</v>
      </c>
      <c r="H652" t="e">
        <f t="shared" si="106"/>
        <v>#N/A</v>
      </c>
      <c r="I652" t="e">
        <f t="shared" si="107"/>
        <v>#N/A</v>
      </c>
      <c r="J652" t="e">
        <f t="shared" si="108"/>
        <v>#N/A</v>
      </c>
      <c r="K652">
        <f t="shared" si="109"/>
        <v>2.5358881846198986E-2</v>
      </c>
      <c r="L652" t="e">
        <f>IF(AND(ABS((ChartCalculations!A652-Calculations!$F$3)/Calculations!$F$4)&lt;5,OR(A652&lt;=Calculations!$F$7,A652&gt;=Calculations!$F$8)),0.2*_xlfn.NORM.DIST(100,100,15,FALSE)*_xlfn.NORM.DIST(A652,Calculations!$F$3,Calculations!$F$4,FALSE)/_xlfn.NORM.DIST(Calculations!$F$3,Calculations!$F$3,Calculations!$F$4,FALSE),NA())</f>
        <v>#N/A</v>
      </c>
      <c r="M652" t="e">
        <f>IF(AND(A652&gt;=Calculations!$F$7,A652&lt;=Calculations!$F$8),0.2*_xlfn.NORM.DIST(100,100,15,FALSE)*_xlfn.NORM.DIST(A652,Calculations!$F$3,Calculations!$F$4,FALSE)/_xlfn.NORM.DIST(Calculations!$F$3,Calculations!$F$3,Calculations!$F$4,FALSE),NA())</f>
        <v>#N/A</v>
      </c>
    </row>
    <row r="653" spans="1:13" x14ac:dyDescent="0.25">
      <c r="A653">
        <v>105.100000000001</v>
      </c>
      <c r="B653" t="e">
        <f t="shared" si="100"/>
        <v>#N/A</v>
      </c>
      <c r="C653" t="e">
        <f t="shared" si="101"/>
        <v>#N/A</v>
      </c>
      <c r="D653" t="e">
        <f t="shared" si="102"/>
        <v>#N/A</v>
      </c>
      <c r="E653" t="e">
        <f t="shared" si="103"/>
        <v>#N/A</v>
      </c>
      <c r="F653">
        <f t="shared" si="104"/>
        <v>2.5102477455549693E-2</v>
      </c>
      <c r="G653" t="e">
        <f t="shared" si="105"/>
        <v>#N/A</v>
      </c>
      <c r="H653" t="e">
        <f t="shared" si="106"/>
        <v>#N/A</v>
      </c>
      <c r="I653" t="e">
        <f t="shared" si="107"/>
        <v>#N/A</v>
      </c>
      <c r="J653" t="e">
        <f t="shared" si="108"/>
        <v>#N/A</v>
      </c>
      <c r="K653">
        <f t="shared" si="109"/>
        <v>2.5302477455549692E-2</v>
      </c>
      <c r="L653" t="e">
        <f>IF(AND(ABS((ChartCalculations!A653-Calculations!$F$3)/Calculations!$F$4)&lt;5,OR(A653&lt;=Calculations!$F$7,A653&gt;=Calculations!$F$8)),0.2*_xlfn.NORM.DIST(100,100,15,FALSE)*_xlfn.NORM.DIST(A653,Calculations!$F$3,Calculations!$F$4,FALSE)/_xlfn.NORM.DIST(Calculations!$F$3,Calculations!$F$3,Calculations!$F$4,FALSE),NA())</f>
        <v>#N/A</v>
      </c>
      <c r="M653" t="e">
        <f>IF(AND(A653&gt;=Calculations!$F$7,A653&lt;=Calculations!$F$8),0.2*_xlfn.NORM.DIST(100,100,15,FALSE)*_xlfn.NORM.DIST(A653,Calculations!$F$3,Calculations!$F$4,FALSE)/_xlfn.NORM.DIST(Calculations!$F$3,Calculations!$F$3,Calculations!$F$4,FALSE),NA())</f>
        <v>#N/A</v>
      </c>
    </row>
    <row r="654" spans="1:13" x14ac:dyDescent="0.25">
      <c r="A654">
        <v>105.200000000001</v>
      </c>
      <c r="B654" t="e">
        <f t="shared" si="100"/>
        <v>#N/A</v>
      </c>
      <c r="C654" t="e">
        <f t="shared" si="101"/>
        <v>#N/A</v>
      </c>
      <c r="D654" t="e">
        <f t="shared" si="102"/>
        <v>#N/A</v>
      </c>
      <c r="E654" t="e">
        <f t="shared" si="103"/>
        <v>#N/A</v>
      </c>
      <c r="F654">
        <f t="shared" si="104"/>
        <v>2.5045086379771972E-2</v>
      </c>
      <c r="G654" t="e">
        <f t="shared" si="105"/>
        <v>#N/A</v>
      </c>
      <c r="H654" t="e">
        <f t="shared" si="106"/>
        <v>#N/A</v>
      </c>
      <c r="I654" t="e">
        <f t="shared" si="107"/>
        <v>#N/A</v>
      </c>
      <c r="J654" t="e">
        <f t="shared" si="108"/>
        <v>#N/A</v>
      </c>
      <c r="K654">
        <f t="shared" si="109"/>
        <v>2.5245086379771971E-2</v>
      </c>
      <c r="L654" t="e">
        <f>IF(AND(ABS((ChartCalculations!A654-Calculations!$F$3)/Calculations!$F$4)&lt;5,OR(A654&lt;=Calculations!$F$7,A654&gt;=Calculations!$F$8)),0.2*_xlfn.NORM.DIST(100,100,15,FALSE)*_xlfn.NORM.DIST(A654,Calculations!$F$3,Calculations!$F$4,FALSE)/_xlfn.NORM.DIST(Calculations!$F$3,Calculations!$F$3,Calculations!$F$4,FALSE),NA())</f>
        <v>#N/A</v>
      </c>
      <c r="M654" t="e">
        <f>IF(AND(A654&gt;=Calculations!$F$7,A654&lt;=Calculations!$F$8),0.2*_xlfn.NORM.DIST(100,100,15,FALSE)*_xlfn.NORM.DIST(A654,Calculations!$F$3,Calculations!$F$4,FALSE)/_xlfn.NORM.DIST(Calculations!$F$3,Calculations!$F$3,Calculations!$F$4,FALSE),NA())</f>
        <v>#N/A</v>
      </c>
    </row>
    <row r="655" spans="1:13" x14ac:dyDescent="0.25">
      <c r="A655">
        <v>105.30000000000101</v>
      </c>
      <c r="B655" t="e">
        <f t="shared" si="100"/>
        <v>#N/A</v>
      </c>
      <c r="C655" t="e">
        <f t="shared" si="101"/>
        <v>#N/A</v>
      </c>
      <c r="D655" t="e">
        <f t="shared" si="102"/>
        <v>#N/A</v>
      </c>
      <c r="E655" t="e">
        <f t="shared" si="103"/>
        <v>#N/A</v>
      </c>
      <c r="F655">
        <f t="shared" si="104"/>
        <v>2.498671597017988E-2</v>
      </c>
      <c r="G655" t="e">
        <f t="shared" si="105"/>
        <v>#N/A</v>
      </c>
      <c r="H655" t="e">
        <f t="shared" si="106"/>
        <v>#N/A</v>
      </c>
      <c r="I655" t="e">
        <f t="shared" si="107"/>
        <v>#N/A</v>
      </c>
      <c r="J655" t="e">
        <f t="shared" si="108"/>
        <v>#N/A</v>
      </c>
      <c r="K655">
        <f t="shared" si="109"/>
        <v>2.5186715970179879E-2</v>
      </c>
      <c r="L655" t="e">
        <f>IF(AND(ABS((ChartCalculations!A655-Calculations!$F$3)/Calculations!$F$4)&lt;5,OR(A655&lt;=Calculations!$F$7,A655&gt;=Calculations!$F$8)),0.2*_xlfn.NORM.DIST(100,100,15,FALSE)*_xlfn.NORM.DIST(A655,Calculations!$F$3,Calculations!$F$4,FALSE)/_xlfn.NORM.DIST(Calculations!$F$3,Calculations!$F$3,Calculations!$F$4,FALSE),NA())</f>
        <v>#N/A</v>
      </c>
      <c r="M655" t="e">
        <f>IF(AND(A655&gt;=Calculations!$F$7,A655&lt;=Calculations!$F$8),0.2*_xlfn.NORM.DIST(100,100,15,FALSE)*_xlfn.NORM.DIST(A655,Calculations!$F$3,Calculations!$F$4,FALSE)/_xlfn.NORM.DIST(Calculations!$F$3,Calculations!$F$3,Calculations!$F$4,FALSE),NA())</f>
        <v>#N/A</v>
      </c>
    </row>
    <row r="656" spans="1:13" x14ac:dyDescent="0.25">
      <c r="A656">
        <v>105.400000000001</v>
      </c>
      <c r="B656" t="e">
        <f t="shared" si="100"/>
        <v>#N/A</v>
      </c>
      <c r="C656" t="e">
        <f t="shared" si="101"/>
        <v>#N/A</v>
      </c>
      <c r="D656" t="e">
        <f t="shared" si="102"/>
        <v>#N/A</v>
      </c>
      <c r="E656" t="e">
        <f t="shared" si="103"/>
        <v>#N/A</v>
      </c>
      <c r="F656">
        <f t="shared" si="104"/>
        <v>2.4927373691541296E-2</v>
      </c>
      <c r="G656" t="e">
        <f t="shared" si="105"/>
        <v>#N/A</v>
      </c>
      <c r="H656" t="e">
        <f t="shared" si="106"/>
        <v>#N/A</v>
      </c>
      <c r="I656" t="e">
        <f t="shared" si="107"/>
        <v>#N/A</v>
      </c>
      <c r="J656" t="e">
        <f t="shared" si="108"/>
        <v>#N/A</v>
      </c>
      <c r="K656">
        <f t="shared" si="109"/>
        <v>2.5127373691541294E-2</v>
      </c>
      <c r="L656" t="e">
        <f>IF(AND(ABS((ChartCalculations!A656-Calculations!$F$3)/Calculations!$F$4)&lt;5,OR(A656&lt;=Calculations!$F$7,A656&gt;=Calculations!$F$8)),0.2*_xlfn.NORM.DIST(100,100,15,FALSE)*_xlfn.NORM.DIST(A656,Calculations!$F$3,Calculations!$F$4,FALSE)/_xlfn.NORM.DIST(Calculations!$F$3,Calculations!$F$3,Calculations!$F$4,FALSE),NA())</f>
        <v>#N/A</v>
      </c>
      <c r="M656" t="e">
        <f>IF(AND(A656&gt;=Calculations!$F$7,A656&lt;=Calculations!$F$8),0.2*_xlfn.NORM.DIST(100,100,15,FALSE)*_xlfn.NORM.DIST(A656,Calculations!$F$3,Calculations!$F$4,FALSE)/_xlfn.NORM.DIST(Calculations!$F$3,Calculations!$F$3,Calculations!$F$4,FALSE),NA())</f>
        <v>#N/A</v>
      </c>
    </row>
    <row r="657" spans="1:13" x14ac:dyDescent="0.25">
      <c r="A657">
        <v>105.50000000000099</v>
      </c>
      <c r="B657" t="e">
        <f t="shared" si="100"/>
        <v>#N/A</v>
      </c>
      <c r="C657" t="e">
        <f t="shared" si="101"/>
        <v>#N/A</v>
      </c>
      <c r="D657" t="e">
        <f t="shared" si="102"/>
        <v>#N/A</v>
      </c>
      <c r="E657" t="e">
        <f t="shared" si="103"/>
        <v>#N/A</v>
      </c>
      <c r="F657">
        <f t="shared" si="104"/>
        <v>2.4867067120487966E-2</v>
      </c>
      <c r="G657" t="e">
        <f t="shared" si="105"/>
        <v>#N/A</v>
      </c>
      <c r="H657" t="e">
        <f t="shared" si="106"/>
        <v>#N/A</v>
      </c>
      <c r="I657" t="e">
        <f t="shared" si="107"/>
        <v>#N/A</v>
      </c>
      <c r="J657" t="e">
        <f t="shared" si="108"/>
        <v>#N/A</v>
      </c>
      <c r="K657">
        <f t="shared" si="109"/>
        <v>2.5067067120487965E-2</v>
      </c>
      <c r="L657" t="e">
        <f>IF(AND(ABS((ChartCalculations!A657-Calculations!$F$3)/Calculations!$F$4)&lt;5,OR(A657&lt;=Calculations!$F$7,A657&gt;=Calculations!$F$8)),0.2*_xlfn.NORM.DIST(100,100,15,FALSE)*_xlfn.NORM.DIST(A657,Calculations!$F$3,Calculations!$F$4,FALSE)/_xlfn.NORM.DIST(Calculations!$F$3,Calculations!$F$3,Calculations!$F$4,FALSE),NA())</f>
        <v>#N/A</v>
      </c>
      <c r="M657" t="e">
        <f>IF(AND(A657&gt;=Calculations!$F$7,A657&lt;=Calculations!$F$8),0.2*_xlfn.NORM.DIST(100,100,15,FALSE)*_xlfn.NORM.DIST(A657,Calculations!$F$3,Calculations!$F$4,FALSE)/_xlfn.NORM.DIST(Calculations!$F$3,Calculations!$F$3,Calculations!$F$4,FALSE),NA())</f>
        <v>#N/A</v>
      </c>
    </row>
    <row r="658" spans="1:13" x14ac:dyDescent="0.25">
      <c r="A658">
        <v>105.600000000001</v>
      </c>
      <c r="B658" t="e">
        <f t="shared" si="100"/>
        <v>#N/A</v>
      </c>
      <c r="C658" t="e">
        <f t="shared" si="101"/>
        <v>#N/A</v>
      </c>
      <c r="D658" t="e">
        <f t="shared" si="102"/>
        <v>#N/A</v>
      </c>
      <c r="E658" t="e">
        <f t="shared" si="103"/>
        <v>#N/A</v>
      </c>
      <c r="F658">
        <f t="shared" si="104"/>
        <v>2.480580394390456E-2</v>
      </c>
      <c r="G658" t="e">
        <f t="shared" si="105"/>
        <v>#N/A</v>
      </c>
      <c r="H658" t="e">
        <f t="shared" si="106"/>
        <v>#N/A</v>
      </c>
      <c r="I658" t="e">
        <f t="shared" si="107"/>
        <v>#N/A</v>
      </c>
      <c r="J658" t="e">
        <f t="shared" si="108"/>
        <v>#N/A</v>
      </c>
      <c r="K658">
        <f t="shared" si="109"/>
        <v>2.5005803943904559E-2</v>
      </c>
      <c r="L658" t="e">
        <f>IF(AND(ABS((ChartCalculations!A658-Calculations!$F$3)/Calculations!$F$4)&lt;5,OR(A658&lt;=Calculations!$F$7,A658&gt;=Calculations!$F$8)),0.2*_xlfn.NORM.DIST(100,100,15,FALSE)*_xlfn.NORM.DIST(A658,Calculations!$F$3,Calculations!$F$4,FALSE)/_xlfn.NORM.DIST(Calculations!$F$3,Calculations!$F$3,Calculations!$F$4,FALSE),NA())</f>
        <v>#N/A</v>
      </c>
      <c r="M658" t="e">
        <f>IF(AND(A658&gt;=Calculations!$F$7,A658&lt;=Calculations!$F$8),0.2*_xlfn.NORM.DIST(100,100,15,FALSE)*_xlfn.NORM.DIST(A658,Calculations!$F$3,Calculations!$F$4,FALSE)/_xlfn.NORM.DIST(Calculations!$F$3,Calculations!$F$3,Calculations!$F$4,FALSE),NA())</f>
        <v>#N/A</v>
      </c>
    </row>
    <row r="659" spans="1:13" x14ac:dyDescent="0.25">
      <c r="A659">
        <v>105.700000000001</v>
      </c>
      <c r="B659" t="e">
        <f t="shared" si="100"/>
        <v>#N/A</v>
      </c>
      <c r="C659" t="e">
        <f t="shared" si="101"/>
        <v>#N/A</v>
      </c>
      <c r="D659" t="e">
        <f t="shared" si="102"/>
        <v>#N/A</v>
      </c>
      <c r="E659" t="e">
        <f t="shared" si="103"/>
        <v>#N/A</v>
      </c>
      <c r="F659">
        <f t="shared" si="104"/>
        <v>2.4743591957297108E-2</v>
      </c>
      <c r="G659" t="e">
        <f t="shared" si="105"/>
        <v>#N/A</v>
      </c>
      <c r="H659" t="e">
        <f t="shared" si="106"/>
        <v>#N/A</v>
      </c>
      <c r="I659" t="e">
        <f t="shared" si="107"/>
        <v>#N/A</v>
      </c>
      <c r="J659" t="e">
        <f t="shared" si="108"/>
        <v>#N/A</v>
      </c>
      <c r="K659">
        <f t="shared" si="109"/>
        <v>2.4943591957297107E-2</v>
      </c>
      <c r="L659" t="e">
        <f>IF(AND(ABS((ChartCalculations!A659-Calculations!$F$3)/Calculations!$F$4)&lt;5,OR(A659&lt;=Calculations!$F$7,A659&gt;=Calculations!$F$8)),0.2*_xlfn.NORM.DIST(100,100,15,FALSE)*_xlfn.NORM.DIST(A659,Calculations!$F$3,Calculations!$F$4,FALSE)/_xlfn.NORM.DIST(Calculations!$F$3,Calculations!$F$3,Calculations!$F$4,FALSE),NA())</f>
        <v>#N/A</v>
      </c>
      <c r="M659" t="e">
        <f>IF(AND(A659&gt;=Calculations!$F$7,A659&lt;=Calculations!$F$8),0.2*_xlfn.NORM.DIST(100,100,15,FALSE)*_xlfn.NORM.DIST(A659,Calculations!$F$3,Calculations!$F$4,FALSE)/_xlfn.NORM.DIST(Calculations!$F$3,Calculations!$F$3,Calculations!$F$4,FALSE),NA())</f>
        <v>#N/A</v>
      </c>
    </row>
    <row r="660" spans="1:13" x14ac:dyDescent="0.25">
      <c r="A660">
        <v>105.80000000000101</v>
      </c>
      <c r="B660" t="e">
        <f t="shared" si="100"/>
        <v>#N/A</v>
      </c>
      <c r="C660" t="e">
        <f t="shared" si="101"/>
        <v>#N/A</v>
      </c>
      <c r="D660" t="e">
        <f t="shared" si="102"/>
        <v>#N/A</v>
      </c>
      <c r="E660" t="e">
        <f t="shared" si="103"/>
        <v>#N/A</v>
      </c>
      <c r="F660">
        <f t="shared" si="104"/>
        <v>2.4680439063141223E-2</v>
      </c>
      <c r="G660" t="e">
        <f t="shared" si="105"/>
        <v>#N/A</v>
      </c>
      <c r="H660" t="e">
        <f t="shared" si="106"/>
        <v>#N/A</v>
      </c>
      <c r="I660" t="e">
        <f t="shared" si="107"/>
        <v>#N/A</v>
      </c>
      <c r="J660" t="e">
        <f t="shared" si="108"/>
        <v>#N/A</v>
      </c>
      <c r="K660">
        <f t="shared" si="109"/>
        <v>2.4880439063141222E-2</v>
      </c>
      <c r="L660" t="e">
        <f>IF(AND(ABS((ChartCalculations!A660-Calculations!$F$3)/Calculations!$F$4)&lt;5,OR(A660&lt;=Calculations!$F$7,A660&gt;=Calculations!$F$8)),0.2*_xlfn.NORM.DIST(100,100,15,FALSE)*_xlfn.NORM.DIST(A660,Calculations!$F$3,Calculations!$F$4,FALSE)/_xlfn.NORM.DIST(Calculations!$F$3,Calculations!$F$3,Calculations!$F$4,FALSE),NA())</f>
        <v>#N/A</v>
      </c>
      <c r="M660" t="e">
        <f>IF(AND(A660&gt;=Calculations!$F$7,A660&lt;=Calculations!$F$8),0.2*_xlfn.NORM.DIST(100,100,15,FALSE)*_xlfn.NORM.DIST(A660,Calculations!$F$3,Calculations!$F$4,FALSE)/_xlfn.NORM.DIST(Calculations!$F$3,Calculations!$F$3,Calculations!$F$4,FALSE),NA())</f>
        <v>#N/A</v>
      </c>
    </row>
    <row r="661" spans="1:13" x14ac:dyDescent="0.25">
      <c r="A661">
        <v>105.900000000001</v>
      </c>
      <c r="B661" t="e">
        <f t="shared" si="100"/>
        <v>#N/A</v>
      </c>
      <c r="C661" t="e">
        <f t="shared" si="101"/>
        <v>#N/A</v>
      </c>
      <c r="D661" t="e">
        <f t="shared" si="102"/>
        <v>#N/A</v>
      </c>
      <c r="E661" t="e">
        <f t="shared" si="103"/>
        <v>#N/A</v>
      </c>
      <c r="F661">
        <f t="shared" si="104"/>
        <v>2.4616353269210817E-2</v>
      </c>
      <c r="G661" t="e">
        <f t="shared" si="105"/>
        <v>#N/A</v>
      </c>
      <c r="H661" t="e">
        <f t="shared" si="106"/>
        <v>#N/A</v>
      </c>
      <c r="I661" t="e">
        <f t="shared" si="107"/>
        <v>#N/A</v>
      </c>
      <c r="J661" t="e">
        <f t="shared" si="108"/>
        <v>#N/A</v>
      </c>
      <c r="K661">
        <f t="shared" si="109"/>
        <v>2.4816353269210816E-2</v>
      </c>
      <c r="L661" t="e">
        <f>IF(AND(ABS((ChartCalculations!A661-Calculations!$F$3)/Calculations!$F$4)&lt;5,OR(A661&lt;=Calculations!$F$7,A661&gt;=Calculations!$F$8)),0.2*_xlfn.NORM.DIST(100,100,15,FALSE)*_xlfn.NORM.DIST(A661,Calculations!$F$3,Calculations!$F$4,FALSE)/_xlfn.NORM.DIST(Calculations!$F$3,Calculations!$F$3,Calculations!$F$4,FALSE),NA())</f>
        <v>#N/A</v>
      </c>
      <c r="M661" t="e">
        <f>IF(AND(A661&gt;=Calculations!$F$7,A661&lt;=Calculations!$F$8),0.2*_xlfn.NORM.DIST(100,100,15,FALSE)*_xlfn.NORM.DIST(A661,Calculations!$F$3,Calculations!$F$4,FALSE)/_xlfn.NORM.DIST(Calculations!$F$3,Calculations!$F$3,Calculations!$F$4,FALSE),NA())</f>
        <v>#N/A</v>
      </c>
    </row>
    <row r="662" spans="1:13" x14ac:dyDescent="0.25">
      <c r="A662">
        <v>106.00000000000099</v>
      </c>
      <c r="B662" t="e">
        <f t="shared" si="100"/>
        <v>#N/A</v>
      </c>
      <c r="C662" t="e">
        <f t="shared" si="101"/>
        <v>#N/A</v>
      </c>
      <c r="D662" t="e">
        <f t="shared" si="102"/>
        <v>#N/A</v>
      </c>
      <c r="E662" t="e">
        <f t="shared" si="103"/>
        <v>#N/A</v>
      </c>
      <c r="F662">
        <f t="shared" si="104"/>
        <v>2.4551342686887571E-2</v>
      </c>
      <c r="G662" t="e">
        <f t="shared" si="105"/>
        <v>#N/A</v>
      </c>
      <c r="H662" t="e">
        <f t="shared" si="106"/>
        <v>#N/A</v>
      </c>
      <c r="I662" t="e">
        <f t="shared" si="107"/>
        <v>#N/A</v>
      </c>
      <c r="J662" t="e">
        <f t="shared" si="108"/>
        <v>#N/A</v>
      </c>
      <c r="K662">
        <f t="shared" si="109"/>
        <v>2.475134268688757E-2</v>
      </c>
      <c r="L662" t="e">
        <f>IF(AND(ABS((ChartCalculations!A662-Calculations!$F$3)/Calculations!$F$4)&lt;5,OR(A662&lt;=Calculations!$F$7,A662&gt;=Calculations!$F$8)),0.2*_xlfn.NORM.DIST(100,100,15,FALSE)*_xlfn.NORM.DIST(A662,Calculations!$F$3,Calculations!$F$4,FALSE)/_xlfn.NORM.DIST(Calculations!$F$3,Calculations!$F$3,Calculations!$F$4,FALSE),NA())</f>
        <v>#N/A</v>
      </c>
      <c r="M662" t="e">
        <f>IF(AND(A662&gt;=Calculations!$F$7,A662&lt;=Calculations!$F$8),0.2*_xlfn.NORM.DIST(100,100,15,FALSE)*_xlfn.NORM.DIST(A662,Calculations!$F$3,Calculations!$F$4,FALSE)/_xlfn.NORM.DIST(Calculations!$F$3,Calculations!$F$3,Calculations!$F$4,FALSE),NA())</f>
        <v>#N/A</v>
      </c>
    </row>
    <row r="663" spans="1:13" x14ac:dyDescent="0.25">
      <c r="A663">
        <v>106.100000000001</v>
      </c>
      <c r="B663" t="e">
        <f t="shared" si="100"/>
        <v>#N/A</v>
      </c>
      <c r="C663" t="e">
        <f t="shared" si="101"/>
        <v>#N/A</v>
      </c>
      <c r="D663" t="e">
        <f t="shared" si="102"/>
        <v>#N/A</v>
      </c>
      <c r="E663" t="e">
        <f t="shared" si="103"/>
        <v>#N/A</v>
      </c>
      <c r="F663">
        <f t="shared" si="104"/>
        <v>2.4485415529451819E-2</v>
      </c>
      <c r="G663" t="e">
        <f t="shared" si="105"/>
        <v>#N/A</v>
      </c>
      <c r="H663" t="e">
        <f t="shared" si="106"/>
        <v>#N/A</v>
      </c>
      <c r="I663" t="e">
        <f t="shared" si="107"/>
        <v>#N/A</v>
      </c>
      <c r="J663" t="e">
        <f t="shared" si="108"/>
        <v>#N/A</v>
      </c>
      <c r="K663">
        <f t="shared" si="109"/>
        <v>2.4685415529451818E-2</v>
      </c>
      <c r="L663" t="e">
        <f>IF(AND(ABS((ChartCalculations!A663-Calculations!$F$3)/Calculations!$F$4)&lt;5,OR(A663&lt;=Calculations!$F$7,A663&gt;=Calculations!$F$8)),0.2*_xlfn.NORM.DIST(100,100,15,FALSE)*_xlfn.NORM.DIST(A663,Calculations!$F$3,Calculations!$F$4,FALSE)/_xlfn.NORM.DIST(Calculations!$F$3,Calculations!$F$3,Calculations!$F$4,FALSE),NA())</f>
        <v>#N/A</v>
      </c>
      <c r="M663" t="e">
        <f>IF(AND(A663&gt;=Calculations!$F$7,A663&lt;=Calculations!$F$8),0.2*_xlfn.NORM.DIST(100,100,15,FALSE)*_xlfn.NORM.DIST(A663,Calculations!$F$3,Calculations!$F$4,FALSE)/_xlfn.NORM.DIST(Calculations!$F$3,Calculations!$F$3,Calculations!$F$4,FALSE),NA())</f>
        <v>#N/A</v>
      </c>
    </row>
    <row r="664" spans="1:13" x14ac:dyDescent="0.25">
      <c r="A664">
        <v>106.200000000001</v>
      </c>
      <c r="B664" t="e">
        <f t="shared" si="100"/>
        <v>#N/A</v>
      </c>
      <c r="C664" t="e">
        <f t="shared" si="101"/>
        <v>#N/A</v>
      </c>
      <c r="D664" t="e">
        <f t="shared" si="102"/>
        <v>#N/A</v>
      </c>
      <c r="E664" t="e">
        <f t="shared" si="103"/>
        <v>#N/A</v>
      </c>
      <c r="F664">
        <f t="shared" si="104"/>
        <v>2.4418580110355307E-2</v>
      </c>
      <c r="G664" t="e">
        <f t="shared" si="105"/>
        <v>#N/A</v>
      </c>
      <c r="H664" t="e">
        <f t="shared" si="106"/>
        <v>#N/A</v>
      </c>
      <c r="I664" t="e">
        <f t="shared" si="107"/>
        <v>#N/A</v>
      </c>
      <c r="J664" t="e">
        <f t="shared" si="108"/>
        <v>#N/A</v>
      </c>
      <c r="K664">
        <f t="shared" si="109"/>
        <v>2.4618580110355306E-2</v>
      </c>
      <c r="L664" t="e">
        <f>IF(AND(ABS((ChartCalculations!A664-Calculations!$F$3)/Calculations!$F$4)&lt;5,OR(A664&lt;=Calculations!$F$7,A664&gt;=Calculations!$F$8)),0.2*_xlfn.NORM.DIST(100,100,15,FALSE)*_xlfn.NORM.DIST(A664,Calculations!$F$3,Calculations!$F$4,FALSE)/_xlfn.NORM.DIST(Calculations!$F$3,Calculations!$F$3,Calculations!$F$4,FALSE),NA())</f>
        <v>#N/A</v>
      </c>
      <c r="M664" t="e">
        <f>IF(AND(A664&gt;=Calculations!$F$7,A664&lt;=Calculations!$F$8),0.2*_xlfn.NORM.DIST(100,100,15,FALSE)*_xlfn.NORM.DIST(A664,Calculations!$F$3,Calculations!$F$4,FALSE)/_xlfn.NORM.DIST(Calculations!$F$3,Calculations!$F$3,Calculations!$F$4,FALSE),NA())</f>
        <v>#N/A</v>
      </c>
    </row>
    <row r="665" spans="1:13" x14ac:dyDescent="0.25">
      <c r="A665">
        <v>106.30000000000101</v>
      </c>
      <c r="B665" t="e">
        <f t="shared" si="100"/>
        <v>#N/A</v>
      </c>
      <c r="C665" t="e">
        <f t="shared" si="101"/>
        <v>#N/A</v>
      </c>
      <c r="D665" t="e">
        <f t="shared" si="102"/>
        <v>#N/A</v>
      </c>
      <c r="E665" t="e">
        <f t="shared" si="103"/>
        <v>#N/A</v>
      </c>
      <c r="F665">
        <f t="shared" si="104"/>
        <v>2.4350844841476239E-2</v>
      </c>
      <c r="G665" t="e">
        <f t="shared" si="105"/>
        <v>#N/A</v>
      </c>
      <c r="H665" t="e">
        <f t="shared" si="106"/>
        <v>#N/A</v>
      </c>
      <c r="I665" t="e">
        <f t="shared" si="107"/>
        <v>#N/A</v>
      </c>
      <c r="J665" t="e">
        <f t="shared" si="108"/>
        <v>#N/A</v>
      </c>
      <c r="K665">
        <f t="shared" si="109"/>
        <v>2.4550844841476238E-2</v>
      </c>
      <c r="L665" t="e">
        <f>IF(AND(ABS((ChartCalculations!A665-Calculations!$F$3)/Calculations!$F$4)&lt;5,OR(A665&lt;=Calculations!$F$7,A665&gt;=Calculations!$F$8)),0.2*_xlfn.NORM.DIST(100,100,15,FALSE)*_xlfn.NORM.DIST(A665,Calculations!$F$3,Calculations!$F$4,FALSE)/_xlfn.NORM.DIST(Calculations!$F$3,Calculations!$F$3,Calculations!$F$4,FALSE),NA())</f>
        <v>#N/A</v>
      </c>
      <c r="M665" t="e">
        <f>IF(AND(A665&gt;=Calculations!$F$7,A665&lt;=Calculations!$F$8),0.2*_xlfn.NORM.DIST(100,100,15,FALSE)*_xlfn.NORM.DIST(A665,Calculations!$F$3,Calculations!$F$4,FALSE)/_xlfn.NORM.DIST(Calculations!$F$3,Calculations!$F$3,Calculations!$F$4,FALSE),NA())</f>
        <v>#N/A</v>
      </c>
    </row>
    <row r="666" spans="1:13" x14ac:dyDescent="0.25">
      <c r="A666">
        <v>106.400000000001</v>
      </c>
      <c r="B666" t="e">
        <f t="shared" si="100"/>
        <v>#N/A</v>
      </c>
      <c r="C666" t="e">
        <f t="shared" si="101"/>
        <v>#N/A</v>
      </c>
      <c r="D666" t="e">
        <f t="shared" si="102"/>
        <v>#N/A</v>
      </c>
      <c r="E666" t="e">
        <f t="shared" si="103"/>
        <v>#N/A</v>
      </c>
      <c r="F666">
        <f t="shared" si="104"/>
        <v>2.4282218231357344E-2</v>
      </c>
      <c r="G666" t="e">
        <f t="shared" si="105"/>
        <v>#N/A</v>
      </c>
      <c r="H666" t="e">
        <f t="shared" si="106"/>
        <v>#N/A</v>
      </c>
      <c r="I666" t="e">
        <f t="shared" si="107"/>
        <v>#N/A</v>
      </c>
      <c r="J666" t="e">
        <f t="shared" si="108"/>
        <v>#N/A</v>
      </c>
      <c r="K666">
        <f t="shared" si="109"/>
        <v>2.4482218231357343E-2</v>
      </c>
      <c r="L666" t="e">
        <f>IF(AND(ABS((ChartCalculations!A666-Calculations!$F$3)/Calculations!$F$4)&lt;5,OR(A666&lt;=Calculations!$F$7,A666&gt;=Calculations!$F$8)),0.2*_xlfn.NORM.DIST(100,100,15,FALSE)*_xlfn.NORM.DIST(A666,Calculations!$F$3,Calculations!$F$4,FALSE)/_xlfn.NORM.DIST(Calculations!$F$3,Calculations!$F$3,Calculations!$F$4,FALSE),NA())</f>
        <v>#N/A</v>
      </c>
      <c r="M666" t="e">
        <f>IF(AND(A666&gt;=Calculations!$F$7,A666&lt;=Calculations!$F$8),0.2*_xlfn.NORM.DIST(100,100,15,FALSE)*_xlfn.NORM.DIST(A666,Calculations!$F$3,Calculations!$F$4,FALSE)/_xlfn.NORM.DIST(Calculations!$F$3,Calculations!$F$3,Calculations!$F$4,FALSE),NA())</f>
        <v>#N/A</v>
      </c>
    </row>
    <row r="667" spans="1:13" x14ac:dyDescent="0.25">
      <c r="A667">
        <v>106.50000000000099</v>
      </c>
      <c r="B667" t="e">
        <f t="shared" si="100"/>
        <v>#N/A</v>
      </c>
      <c r="C667" t="e">
        <f t="shared" si="101"/>
        <v>#N/A</v>
      </c>
      <c r="D667" t="e">
        <f t="shared" si="102"/>
        <v>#N/A</v>
      </c>
      <c r="E667" t="e">
        <f t="shared" si="103"/>
        <v>#N/A</v>
      </c>
      <c r="F667">
        <f t="shared" si="104"/>
        <v>2.4212708883427168E-2</v>
      </c>
      <c r="G667" t="e">
        <f t="shared" si="105"/>
        <v>#N/A</v>
      </c>
      <c r="H667" t="e">
        <f t="shared" si="106"/>
        <v>#N/A</v>
      </c>
      <c r="I667" t="e">
        <f t="shared" si="107"/>
        <v>#N/A</v>
      </c>
      <c r="J667" t="e">
        <f t="shared" si="108"/>
        <v>#N/A</v>
      </c>
      <c r="K667">
        <f t="shared" si="109"/>
        <v>2.4412708883427166E-2</v>
      </c>
      <c r="L667" t="e">
        <f>IF(AND(ABS((ChartCalculations!A667-Calculations!$F$3)/Calculations!$F$4)&lt;5,OR(A667&lt;=Calculations!$F$7,A667&gt;=Calculations!$F$8)),0.2*_xlfn.NORM.DIST(100,100,15,FALSE)*_xlfn.NORM.DIST(A667,Calculations!$F$3,Calculations!$F$4,FALSE)/_xlfn.NORM.DIST(Calculations!$F$3,Calculations!$F$3,Calculations!$F$4,FALSE),NA())</f>
        <v>#N/A</v>
      </c>
      <c r="M667" t="e">
        <f>IF(AND(A667&gt;=Calculations!$F$7,A667&lt;=Calculations!$F$8),0.2*_xlfn.NORM.DIST(100,100,15,FALSE)*_xlfn.NORM.DIST(A667,Calculations!$F$3,Calculations!$F$4,FALSE)/_xlfn.NORM.DIST(Calculations!$F$3,Calculations!$F$3,Calculations!$F$4,FALSE),NA())</f>
        <v>#N/A</v>
      </c>
    </row>
    <row r="668" spans="1:13" x14ac:dyDescent="0.25">
      <c r="A668">
        <v>106.600000000001</v>
      </c>
      <c r="B668" t="e">
        <f t="shared" si="100"/>
        <v>#N/A</v>
      </c>
      <c r="C668" t="e">
        <f t="shared" si="101"/>
        <v>#N/A</v>
      </c>
      <c r="D668" t="e">
        <f t="shared" si="102"/>
        <v>#N/A</v>
      </c>
      <c r="E668" t="e">
        <f t="shared" si="103"/>
        <v>#N/A</v>
      </c>
      <c r="F668">
        <f t="shared" si="104"/>
        <v>2.4142325494205436E-2</v>
      </c>
      <c r="G668" t="e">
        <f t="shared" si="105"/>
        <v>#N/A</v>
      </c>
      <c r="H668" t="e">
        <f t="shared" si="106"/>
        <v>#N/A</v>
      </c>
      <c r="I668" t="e">
        <f t="shared" si="107"/>
        <v>#N/A</v>
      </c>
      <c r="J668" t="e">
        <f t="shared" si="108"/>
        <v>#N/A</v>
      </c>
      <c r="K668">
        <f t="shared" si="109"/>
        <v>2.4342325494205435E-2</v>
      </c>
      <c r="L668" t="e">
        <f>IF(AND(ABS((ChartCalculations!A668-Calculations!$F$3)/Calculations!$F$4)&lt;5,OR(A668&lt;=Calculations!$F$7,A668&gt;=Calculations!$F$8)),0.2*_xlfn.NORM.DIST(100,100,15,FALSE)*_xlfn.NORM.DIST(A668,Calculations!$F$3,Calculations!$F$4,FALSE)/_xlfn.NORM.DIST(Calculations!$F$3,Calculations!$F$3,Calculations!$F$4,FALSE),NA())</f>
        <v>#N/A</v>
      </c>
      <c r="M668" t="e">
        <f>IF(AND(A668&gt;=Calculations!$F$7,A668&lt;=Calculations!$F$8),0.2*_xlfn.NORM.DIST(100,100,15,FALSE)*_xlfn.NORM.DIST(A668,Calculations!$F$3,Calculations!$F$4,FALSE)/_xlfn.NORM.DIST(Calculations!$F$3,Calculations!$F$3,Calculations!$F$4,FALSE),NA())</f>
        <v>#N/A</v>
      </c>
    </row>
    <row r="669" spans="1:13" x14ac:dyDescent="0.25">
      <c r="A669">
        <v>106.700000000001</v>
      </c>
      <c r="B669" t="e">
        <f t="shared" si="100"/>
        <v>#N/A</v>
      </c>
      <c r="C669" t="e">
        <f t="shared" si="101"/>
        <v>#N/A</v>
      </c>
      <c r="D669" t="e">
        <f t="shared" si="102"/>
        <v>#N/A</v>
      </c>
      <c r="E669" t="e">
        <f t="shared" si="103"/>
        <v>#N/A</v>
      </c>
      <c r="F669">
        <f t="shared" si="104"/>
        <v>2.40710768514928E-2</v>
      </c>
      <c r="G669" t="e">
        <f t="shared" si="105"/>
        <v>#N/A</v>
      </c>
      <c r="H669" t="e">
        <f t="shared" si="106"/>
        <v>#N/A</v>
      </c>
      <c r="I669" t="e">
        <f t="shared" si="107"/>
        <v>#N/A</v>
      </c>
      <c r="J669" t="e">
        <f t="shared" si="108"/>
        <v>#N/A</v>
      </c>
      <c r="K669">
        <f t="shared" si="109"/>
        <v>2.4271076851492799E-2</v>
      </c>
      <c r="L669" t="e">
        <f>IF(AND(ABS((ChartCalculations!A669-Calculations!$F$3)/Calculations!$F$4)&lt;5,OR(A669&lt;=Calculations!$F$7,A669&gt;=Calculations!$F$8)),0.2*_xlfn.NORM.DIST(100,100,15,FALSE)*_xlfn.NORM.DIST(A669,Calculations!$F$3,Calculations!$F$4,FALSE)/_xlfn.NORM.DIST(Calculations!$F$3,Calculations!$F$3,Calculations!$F$4,FALSE),NA())</f>
        <v>#N/A</v>
      </c>
      <c r="M669" t="e">
        <f>IF(AND(A669&gt;=Calculations!$F$7,A669&lt;=Calculations!$F$8),0.2*_xlfn.NORM.DIST(100,100,15,FALSE)*_xlfn.NORM.DIST(A669,Calculations!$F$3,Calculations!$F$4,FALSE)/_xlfn.NORM.DIST(Calculations!$F$3,Calculations!$F$3,Calculations!$F$4,FALSE),NA())</f>
        <v>#N/A</v>
      </c>
    </row>
    <row r="670" spans="1:13" x14ac:dyDescent="0.25">
      <c r="A670">
        <v>106.80000000000101</v>
      </c>
      <c r="B670" t="e">
        <f t="shared" si="100"/>
        <v>#N/A</v>
      </c>
      <c r="C670" t="e">
        <f t="shared" si="101"/>
        <v>#N/A</v>
      </c>
      <c r="D670" t="e">
        <f t="shared" si="102"/>
        <v>#N/A</v>
      </c>
      <c r="E670" t="e">
        <f t="shared" si="103"/>
        <v>#N/A</v>
      </c>
      <c r="F670">
        <f t="shared" si="104"/>
        <v>2.3998971832545481E-2</v>
      </c>
      <c r="G670" t="e">
        <f t="shared" si="105"/>
        <v>#N/A</v>
      </c>
      <c r="H670" t="e">
        <f t="shared" si="106"/>
        <v>#N/A</v>
      </c>
      <c r="I670" t="e">
        <f t="shared" si="107"/>
        <v>#N/A</v>
      </c>
      <c r="J670" t="e">
        <f t="shared" si="108"/>
        <v>#N/A</v>
      </c>
      <c r="K670">
        <f t="shared" si="109"/>
        <v>2.419897183254548E-2</v>
      </c>
      <c r="L670" t="e">
        <f>IF(AND(ABS((ChartCalculations!A670-Calculations!$F$3)/Calculations!$F$4)&lt;5,OR(A670&lt;=Calculations!$F$7,A670&gt;=Calculations!$F$8)),0.2*_xlfn.NORM.DIST(100,100,15,FALSE)*_xlfn.NORM.DIST(A670,Calculations!$F$3,Calculations!$F$4,FALSE)/_xlfn.NORM.DIST(Calculations!$F$3,Calculations!$F$3,Calculations!$F$4,FALSE),NA())</f>
        <v>#N/A</v>
      </c>
      <c r="M670" t="e">
        <f>IF(AND(A670&gt;=Calculations!$F$7,A670&lt;=Calculations!$F$8),0.2*_xlfn.NORM.DIST(100,100,15,FALSE)*_xlfn.NORM.DIST(A670,Calculations!$F$3,Calculations!$F$4,FALSE)/_xlfn.NORM.DIST(Calculations!$F$3,Calculations!$F$3,Calculations!$F$4,FALSE),NA())</f>
        <v>#N/A</v>
      </c>
    </row>
    <row r="671" spans="1:13" x14ac:dyDescent="0.25">
      <c r="A671">
        <v>106.900000000001</v>
      </c>
      <c r="B671" t="e">
        <f t="shared" si="100"/>
        <v>#N/A</v>
      </c>
      <c r="C671" t="e">
        <f t="shared" si="101"/>
        <v>#N/A</v>
      </c>
      <c r="D671" t="e">
        <f t="shared" si="102"/>
        <v>#N/A</v>
      </c>
      <c r="E671" t="e">
        <f t="shared" si="103"/>
        <v>#N/A</v>
      </c>
      <c r="F671">
        <f t="shared" si="104"/>
        <v>2.3926019402235571E-2</v>
      </c>
      <c r="G671" t="e">
        <f t="shared" si="105"/>
        <v>#N/A</v>
      </c>
      <c r="H671" t="e">
        <f t="shared" si="106"/>
        <v>#N/A</v>
      </c>
      <c r="I671" t="e">
        <f t="shared" si="107"/>
        <v>#N/A</v>
      </c>
      <c r="J671" t="e">
        <f t="shared" si="108"/>
        <v>#N/A</v>
      </c>
      <c r="K671">
        <f t="shared" si="109"/>
        <v>2.412601940223557E-2</v>
      </c>
      <c r="L671" t="e">
        <f>IF(AND(ABS((ChartCalculations!A671-Calculations!$F$3)/Calculations!$F$4)&lt;5,OR(A671&lt;=Calculations!$F$7,A671&gt;=Calculations!$F$8)),0.2*_xlfn.NORM.DIST(100,100,15,FALSE)*_xlfn.NORM.DIST(A671,Calculations!$F$3,Calculations!$F$4,FALSE)/_xlfn.NORM.DIST(Calculations!$F$3,Calculations!$F$3,Calculations!$F$4,FALSE),NA())</f>
        <v>#N/A</v>
      </c>
      <c r="M671" t="e">
        <f>IF(AND(A671&gt;=Calculations!$F$7,A671&lt;=Calculations!$F$8),0.2*_xlfn.NORM.DIST(100,100,15,FALSE)*_xlfn.NORM.DIST(A671,Calculations!$F$3,Calculations!$F$4,FALSE)/_xlfn.NORM.DIST(Calculations!$F$3,Calculations!$F$3,Calculations!$F$4,FALSE),NA())</f>
        <v>#N/A</v>
      </c>
    </row>
    <row r="672" spans="1:13" x14ac:dyDescent="0.25">
      <c r="A672">
        <v>107.00000000000099</v>
      </c>
      <c r="B672" t="e">
        <f t="shared" si="100"/>
        <v>#N/A</v>
      </c>
      <c r="C672" t="e">
        <f t="shared" si="101"/>
        <v>#N/A</v>
      </c>
      <c r="D672" t="e">
        <f t="shared" si="102"/>
        <v>#N/A</v>
      </c>
      <c r="E672" t="e">
        <f t="shared" si="103"/>
        <v>#N/A</v>
      </c>
      <c r="F672">
        <f t="shared" si="104"/>
        <v>2.3852228611197193E-2</v>
      </c>
      <c r="G672" t="e">
        <f t="shared" si="105"/>
        <v>#N/A</v>
      </c>
      <c r="H672" t="e">
        <f t="shared" si="106"/>
        <v>#N/A</v>
      </c>
      <c r="I672" t="e">
        <f t="shared" si="107"/>
        <v>#N/A</v>
      </c>
      <c r="J672" t="e">
        <f t="shared" si="108"/>
        <v>#N/A</v>
      </c>
      <c r="K672">
        <f t="shared" si="109"/>
        <v>2.4052228611197192E-2</v>
      </c>
      <c r="L672" t="e">
        <f>IF(AND(ABS((ChartCalculations!A672-Calculations!$F$3)/Calculations!$F$4)&lt;5,OR(A672&lt;=Calculations!$F$7,A672&gt;=Calculations!$F$8)),0.2*_xlfn.NORM.DIST(100,100,15,FALSE)*_xlfn.NORM.DIST(A672,Calculations!$F$3,Calculations!$F$4,FALSE)/_xlfn.NORM.DIST(Calculations!$F$3,Calculations!$F$3,Calculations!$F$4,FALSE),NA())</f>
        <v>#N/A</v>
      </c>
      <c r="M672" t="e">
        <f>IF(AND(A672&gt;=Calculations!$F$7,A672&lt;=Calculations!$F$8),0.2*_xlfn.NORM.DIST(100,100,15,FALSE)*_xlfn.NORM.DIST(A672,Calculations!$F$3,Calculations!$F$4,FALSE)/_xlfn.NORM.DIST(Calculations!$F$3,Calculations!$F$3,Calculations!$F$4,FALSE),NA())</f>
        <v>#N/A</v>
      </c>
    </row>
    <row r="673" spans="1:13" x14ac:dyDescent="0.25">
      <c r="A673">
        <v>107.100000000001</v>
      </c>
      <c r="B673" t="e">
        <f t="shared" si="100"/>
        <v>#N/A</v>
      </c>
      <c r="C673" t="e">
        <f t="shared" si="101"/>
        <v>#N/A</v>
      </c>
      <c r="D673" t="e">
        <f t="shared" si="102"/>
        <v>#N/A</v>
      </c>
      <c r="E673" t="e">
        <f t="shared" si="103"/>
        <v>#N/A</v>
      </c>
      <c r="F673">
        <f t="shared" si="104"/>
        <v>2.3777608593959318E-2</v>
      </c>
      <c r="G673" t="e">
        <f t="shared" si="105"/>
        <v>#N/A</v>
      </c>
      <c r="H673" t="e">
        <f t="shared" si="106"/>
        <v>#N/A</v>
      </c>
      <c r="I673" t="e">
        <f t="shared" si="107"/>
        <v>#N/A</v>
      </c>
      <c r="J673" t="e">
        <f t="shared" si="108"/>
        <v>#N/A</v>
      </c>
      <c r="K673">
        <f t="shared" si="109"/>
        <v>2.3977608593959317E-2</v>
      </c>
      <c r="L673" t="e">
        <f>IF(AND(ABS((ChartCalculations!A673-Calculations!$F$3)/Calculations!$F$4)&lt;5,OR(A673&lt;=Calculations!$F$7,A673&gt;=Calculations!$F$8)),0.2*_xlfn.NORM.DIST(100,100,15,FALSE)*_xlfn.NORM.DIST(A673,Calculations!$F$3,Calculations!$F$4,FALSE)/_xlfn.NORM.DIST(Calculations!$F$3,Calculations!$F$3,Calculations!$F$4,FALSE),NA())</f>
        <v>#N/A</v>
      </c>
      <c r="M673" t="e">
        <f>IF(AND(A673&gt;=Calculations!$F$7,A673&lt;=Calculations!$F$8),0.2*_xlfn.NORM.DIST(100,100,15,FALSE)*_xlfn.NORM.DIST(A673,Calculations!$F$3,Calculations!$F$4,FALSE)/_xlfn.NORM.DIST(Calculations!$F$3,Calculations!$F$3,Calculations!$F$4,FALSE),NA())</f>
        <v>#N/A</v>
      </c>
    </row>
    <row r="674" spans="1:13" x14ac:dyDescent="0.25">
      <c r="A674">
        <v>107.200000000001</v>
      </c>
      <c r="B674" t="e">
        <f t="shared" si="100"/>
        <v>#N/A</v>
      </c>
      <c r="C674" t="e">
        <f t="shared" si="101"/>
        <v>#N/A</v>
      </c>
      <c r="D674" t="e">
        <f t="shared" si="102"/>
        <v>#N/A</v>
      </c>
      <c r="E674" t="e">
        <f t="shared" si="103"/>
        <v>#N/A</v>
      </c>
      <c r="F674">
        <f t="shared" si="104"/>
        <v>2.3702168567065713E-2</v>
      </c>
      <c r="G674" t="e">
        <f t="shared" si="105"/>
        <v>#N/A</v>
      </c>
      <c r="H674" t="e">
        <f t="shared" si="106"/>
        <v>#N/A</v>
      </c>
      <c r="I674" t="e">
        <f t="shared" si="107"/>
        <v>#N/A</v>
      </c>
      <c r="J674" t="e">
        <f t="shared" si="108"/>
        <v>#N/A</v>
      </c>
      <c r="K674">
        <f t="shared" si="109"/>
        <v>2.3902168567065712E-2</v>
      </c>
      <c r="L674" t="e">
        <f>IF(AND(ABS((ChartCalculations!A674-Calculations!$F$3)/Calculations!$F$4)&lt;5,OR(A674&lt;=Calculations!$F$7,A674&gt;=Calculations!$F$8)),0.2*_xlfn.NORM.DIST(100,100,15,FALSE)*_xlfn.NORM.DIST(A674,Calculations!$F$3,Calculations!$F$4,FALSE)/_xlfn.NORM.DIST(Calculations!$F$3,Calculations!$F$3,Calculations!$F$4,FALSE),NA())</f>
        <v>#N/A</v>
      </c>
      <c r="M674" t="e">
        <f>IF(AND(A674&gt;=Calculations!$F$7,A674&lt;=Calculations!$F$8),0.2*_xlfn.NORM.DIST(100,100,15,FALSE)*_xlfn.NORM.DIST(A674,Calculations!$F$3,Calculations!$F$4,FALSE)/_xlfn.NORM.DIST(Calculations!$F$3,Calculations!$F$3,Calculations!$F$4,FALSE),NA())</f>
        <v>#N/A</v>
      </c>
    </row>
    <row r="675" spans="1:13" x14ac:dyDescent="0.25">
      <c r="A675">
        <v>107.30000000000101</v>
      </c>
      <c r="B675" t="e">
        <f t="shared" si="100"/>
        <v>#N/A</v>
      </c>
      <c r="C675" t="e">
        <f t="shared" si="101"/>
        <v>#N/A</v>
      </c>
      <c r="D675" t="e">
        <f t="shared" si="102"/>
        <v>#N/A</v>
      </c>
      <c r="E675" t="e">
        <f t="shared" si="103"/>
        <v>#N/A</v>
      </c>
      <c r="F675">
        <f t="shared" si="104"/>
        <v>2.3625917827182437E-2</v>
      </c>
      <c r="G675" t="e">
        <f t="shared" si="105"/>
        <v>#N/A</v>
      </c>
      <c r="H675" t="e">
        <f t="shared" si="106"/>
        <v>#N/A</v>
      </c>
      <c r="I675" t="e">
        <f t="shared" si="107"/>
        <v>#N/A</v>
      </c>
      <c r="J675" t="e">
        <f t="shared" si="108"/>
        <v>#N/A</v>
      </c>
      <c r="K675">
        <f t="shared" si="109"/>
        <v>2.3825917827182436E-2</v>
      </c>
      <c r="L675" t="e">
        <f>IF(AND(ABS((ChartCalculations!A675-Calculations!$F$3)/Calculations!$F$4)&lt;5,OR(A675&lt;=Calculations!$F$7,A675&gt;=Calculations!$F$8)),0.2*_xlfn.NORM.DIST(100,100,15,FALSE)*_xlfn.NORM.DIST(A675,Calculations!$F$3,Calculations!$F$4,FALSE)/_xlfn.NORM.DIST(Calculations!$F$3,Calculations!$F$3,Calculations!$F$4,FALSE),NA())</f>
        <v>#N/A</v>
      </c>
      <c r="M675" t="e">
        <f>IF(AND(A675&gt;=Calculations!$F$7,A675&lt;=Calculations!$F$8),0.2*_xlfn.NORM.DIST(100,100,15,FALSE)*_xlfn.NORM.DIST(A675,Calculations!$F$3,Calculations!$F$4,FALSE)/_xlfn.NORM.DIST(Calculations!$F$3,Calculations!$F$3,Calculations!$F$4,FALSE),NA())</f>
        <v>#N/A</v>
      </c>
    </row>
    <row r="676" spans="1:13" x14ac:dyDescent="0.25">
      <c r="A676">
        <v>107.400000000001</v>
      </c>
      <c r="B676" t="e">
        <f t="shared" si="100"/>
        <v>#N/A</v>
      </c>
      <c r="C676" t="e">
        <f t="shared" si="101"/>
        <v>#N/A</v>
      </c>
      <c r="D676" t="e">
        <f t="shared" si="102"/>
        <v>#N/A</v>
      </c>
      <c r="E676" t="e">
        <f t="shared" si="103"/>
        <v>#N/A</v>
      </c>
      <c r="F676">
        <f t="shared" si="104"/>
        <v>2.3548865749193612E-2</v>
      </c>
      <c r="G676" t="e">
        <f t="shared" si="105"/>
        <v>#N/A</v>
      </c>
      <c r="H676" t="e">
        <f t="shared" si="106"/>
        <v>#N/A</v>
      </c>
      <c r="I676" t="e">
        <f t="shared" si="107"/>
        <v>#N/A</v>
      </c>
      <c r="J676" t="e">
        <f t="shared" si="108"/>
        <v>#N/A</v>
      </c>
      <c r="K676">
        <f t="shared" si="109"/>
        <v>2.3748865749193611E-2</v>
      </c>
      <c r="L676" t="e">
        <f>IF(AND(ABS((ChartCalculations!A676-Calculations!$F$3)/Calculations!$F$4)&lt;5,OR(A676&lt;=Calculations!$F$7,A676&gt;=Calculations!$F$8)),0.2*_xlfn.NORM.DIST(100,100,15,FALSE)*_xlfn.NORM.DIST(A676,Calculations!$F$3,Calculations!$F$4,FALSE)/_xlfn.NORM.DIST(Calculations!$F$3,Calculations!$F$3,Calculations!$F$4,FALSE),NA())</f>
        <v>#N/A</v>
      </c>
      <c r="M676" t="e">
        <f>IF(AND(A676&gt;=Calculations!$F$7,A676&lt;=Calculations!$F$8),0.2*_xlfn.NORM.DIST(100,100,15,FALSE)*_xlfn.NORM.DIST(A676,Calculations!$F$3,Calculations!$F$4,FALSE)/_xlfn.NORM.DIST(Calculations!$F$3,Calculations!$F$3,Calculations!$F$4,FALSE),NA())</f>
        <v>#N/A</v>
      </c>
    </row>
    <row r="677" spans="1:13" x14ac:dyDescent="0.25">
      <c r="A677">
        <v>107.50000000000099</v>
      </c>
      <c r="B677" t="e">
        <f t="shared" si="100"/>
        <v>#N/A</v>
      </c>
      <c r="C677" t="e">
        <f t="shared" si="101"/>
        <v>#N/A</v>
      </c>
      <c r="D677" t="e">
        <f t="shared" si="102"/>
        <v>#N/A</v>
      </c>
      <c r="E677" t="e">
        <f t="shared" si="103"/>
        <v>#N/A</v>
      </c>
      <c r="F677">
        <f t="shared" si="104"/>
        <v>2.3471021784285857E-2</v>
      </c>
      <c r="G677" t="e">
        <f t="shared" si="105"/>
        <v>#N/A</v>
      </c>
      <c r="H677" t="e">
        <f t="shared" si="106"/>
        <v>#N/A</v>
      </c>
      <c r="I677" t="e">
        <f t="shared" si="107"/>
        <v>#N/A</v>
      </c>
      <c r="J677" t="e">
        <f t="shared" si="108"/>
        <v>#N/A</v>
      </c>
      <c r="K677">
        <f t="shared" si="109"/>
        <v>2.3671021784285855E-2</v>
      </c>
      <c r="L677" t="e">
        <f>IF(AND(ABS((ChartCalculations!A677-Calculations!$F$3)/Calculations!$F$4)&lt;5,OR(A677&lt;=Calculations!$F$7,A677&gt;=Calculations!$F$8)),0.2*_xlfn.NORM.DIST(100,100,15,FALSE)*_xlfn.NORM.DIST(A677,Calculations!$F$3,Calculations!$F$4,FALSE)/_xlfn.NORM.DIST(Calculations!$F$3,Calculations!$F$3,Calculations!$F$4,FALSE),NA())</f>
        <v>#N/A</v>
      </c>
      <c r="M677" t="e">
        <f>IF(AND(A677&gt;=Calculations!$F$7,A677&lt;=Calculations!$F$8),0.2*_xlfn.NORM.DIST(100,100,15,FALSE)*_xlfn.NORM.DIST(A677,Calculations!$F$3,Calculations!$F$4,FALSE)/_xlfn.NORM.DIST(Calculations!$F$3,Calculations!$F$3,Calculations!$F$4,FALSE),NA())</f>
        <v>#N/A</v>
      </c>
    </row>
    <row r="678" spans="1:13" x14ac:dyDescent="0.25">
      <c r="A678">
        <v>107.600000000001</v>
      </c>
      <c r="B678" t="e">
        <f t="shared" si="100"/>
        <v>#N/A</v>
      </c>
      <c r="C678" t="e">
        <f t="shared" si="101"/>
        <v>#N/A</v>
      </c>
      <c r="D678" t="e">
        <f t="shared" si="102"/>
        <v>#N/A</v>
      </c>
      <c r="E678" t="e">
        <f t="shared" si="103"/>
        <v>#N/A</v>
      </c>
      <c r="F678">
        <f t="shared" si="104"/>
        <v>2.3392395458022037E-2</v>
      </c>
      <c r="G678" t="e">
        <f t="shared" si="105"/>
        <v>#N/A</v>
      </c>
      <c r="H678" t="e">
        <f t="shared" si="106"/>
        <v>#N/A</v>
      </c>
      <c r="I678" t="e">
        <f t="shared" si="107"/>
        <v>#N/A</v>
      </c>
      <c r="J678" t="e">
        <f t="shared" si="108"/>
        <v>#N/A</v>
      </c>
      <c r="K678">
        <f t="shared" si="109"/>
        <v>2.3592395458022036E-2</v>
      </c>
      <c r="L678" t="e">
        <f>IF(AND(ABS((ChartCalculations!A678-Calculations!$F$3)/Calculations!$F$4)&lt;5,OR(A678&lt;=Calculations!$F$7,A678&gt;=Calculations!$F$8)),0.2*_xlfn.NORM.DIST(100,100,15,FALSE)*_xlfn.NORM.DIST(A678,Calculations!$F$3,Calculations!$F$4,FALSE)/_xlfn.NORM.DIST(Calculations!$F$3,Calculations!$F$3,Calculations!$F$4,FALSE),NA())</f>
        <v>#N/A</v>
      </c>
      <c r="M678" t="e">
        <f>IF(AND(A678&gt;=Calculations!$F$7,A678&lt;=Calculations!$F$8),0.2*_xlfn.NORM.DIST(100,100,15,FALSE)*_xlfn.NORM.DIST(A678,Calculations!$F$3,Calculations!$F$4,FALSE)/_xlfn.NORM.DIST(Calculations!$F$3,Calculations!$F$3,Calculations!$F$4,FALSE),NA())</f>
        <v>#N/A</v>
      </c>
    </row>
    <row r="679" spans="1:13" x14ac:dyDescent="0.25">
      <c r="A679">
        <v>107.700000000001</v>
      </c>
      <c r="B679" t="e">
        <f t="shared" si="100"/>
        <v>#N/A</v>
      </c>
      <c r="C679" t="e">
        <f t="shared" si="101"/>
        <v>#N/A</v>
      </c>
      <c r="D679" t="e">
        <f t="shared" si="102"/>
        <v>#N/A</v>
      </c>
      <c r="E679" t="e">
        <f t="shared" si="103"/>
        <v>#N/A</v>
      </c>
      <c r="F679">
        <f t="shared" si="104"/>
        <v>2.3312996368404882E-2</v>
      </c>
      <c r="G679" t="e">
        <f t="shared" si="105"/>
        <v>#N/A</v>
      </c>
      <c r="H679" t="e">
        <f t="shared" si="106"/>
        <v>#N/A</v>
      </c>
      <c r="I679" t="e">
        <f t="shared" si="107"/>
        <v>#N/A</v>
      </c>
      <c r="J679" t="e">
        <f t="shared" si="108"/>
        <v>#N/A</v>
      </c>
      <c r="K679">
        <f t="shared" si="109"/>
        <v>2.3512996368404881E-2</v>
      </c>
      <c r="L679" t="e">
        <f>IF(AND(ABS((ChartCalculations!A679-Calculations!$F$3)/Calculations!$F$4)&lt;5,OR(A679&lt;=Calculations!$F$7,A679&gt;=Calculations!$F$8)),0.2*_xlfn.NORM.DIST(100,100,15,FALSE)*_xlfn.NORM.DIST(A679,Calculations!$F$3,Calculations!$F$4,FALSE)/_xlfn.NORM.DIST(Calculations!$F$3,Calculations!$F$3,Calculations!$F$4,FALSE),NA())</f>
        <v>#N/A</v>
      </c>
      <c r="M679" t="e">
        <f>IF(AND(A679&gt;=Calculations!$F$7,A679&lt;=Calculations!$F$8),0.2*_xlfn.NORM.DIST(100,100,15,FALSE)*_xlfn.NORM.DIST(A679,Calculations!$F$3,Calculations!$F$4,FALSE)/_xlfn.NORM.DIST(Calculations!$F$3,Calculations!$F$3,Calculations!$F$4,FALSE),NA())</f>
        <v>#N/A</v>
      </c>
    </row>
    <row r="680" spans="1:13" x14ac:dyDescent="0.25">
      <c r="A680">
        <v>107.80000000000101</v>
      </c>
      <c r="B680" t="e">
        <f t="shared" si="100"/>
        <v>#N/A</v>
      </c>
      <c r="C680" t="e">
        <f t="shared" si="101"/>
        <v>#N/A</v>
      </c>
      <c r="D680" t="e">
        <f t="shared" si="102"/>
        <v>#N/A</v>
      </c>
      <c r="E680" t="e">
        <f t="shared" si="103"/>
        <v>#N/A</v>
      </c>
      <c r="F680">
        <f t="shared" si="104"/>
        <v>2.3232834183930823E-2</v>
      </c>
      <c r="G680" t="e">
        <f t="shared" si="105"/>
        <v>#N/A</v>
      </c>
      <c r="H680" t="e">
        <f t="shared" si="106"/>
        <v>#N/A</v>
      </c>
      <c r="I680" t="e">
        <f t="shared" si="107"/>
        <v>#N/A</v>
      </c>
      <c r="J680" t="e">
        <f t="shared" si="108"/>
        <v>#N/A</v>
      </c>
      <c r="K680">
        <f t="shared" si="109"/>
        <v>2.3432834183930822E-2</v>
      </c>
      <c r="L680" t="e">
        <f>IF(AND(ABS((ChartCalculations!A680-Calculations!$F$3)/Calculations!$F$4)&lt;5,OR(A680&lt;=Calculations!$F$7,A680&gt;=Calculations!$F$8)),0.2*_xlfn.NORM.DIST(100,100,15,FALSE)*_xlfn.NORM.DIST(A680,Calculations!$F$3,Calculations!$F$4,FALSE)/_xlfn.NORM.DIST(Calculations!$F$3,Calculations!$F$3,Calculations!$F$4,FALSE),NA())</f>
        <v>#N/A</v>
      </c>
      <c r="M680" t="e">
        <f>IF(AND(A680&gt;=Calculations!$F$7,A680&lt;=Calculations!$F$8),0.2*_xlfn.NORM.DIST(100,100,15,FALSE)*_xlfn.NORM.DIST(A680,Calculations!$F$3,Calculations!$F$4,FALSE)/_xlfn.NORM.DIST(Calculations!$F$3,Calculations!$F$3,Calculations!$F$4,FALSE),NA())</f>
        <v>#N/A</v>
      </c>
    </row>
    <row r="681" spans="1:13" x14ac:dyDescent="0.25">
      <c r="A681">
        <v>107.900000000001</v>
      </c>
      <c r="B681" t="e">
        <f t="shared" si="100"/>
        <v>#N/A</v>
      </c>
      <c r="C681" t="e">
        <f t="shared" si="101"/>
        <v>#N/A</v>
      </c>
      <c r="D681" t="e">
        <f t="shared" si="102"/>
        <v>#N/A</v>
      </c>
      <c r="E681" t="e">
        <f t="shared" si="103"/>
        <v>#N/A</v>
      </c>
      <c r="F681">
        <f t="shared" si="104"/>
        <v>2.3151918641634978E-2</v>
      </c>
      <c r="G681" t="e">
        <f t="shared" si="105"/>
        <v>#N/A</v>
      </c>
      <c r="H681" t="e">
        <f t="shared" si="106"/>
        <v>#N/A</v>
      </c>
      <c r="I681" t="e">
        <f t="shared" si="107"/>
        <v>#N/A</v>
      </c>
      <c r="J681" t="e">
        <f t="shared" si="108"/>
        <v>#N/A</v>
      </c>
      <c r="K681">
        <f t="shared" si="109"/>
        <v>2.3351918641634977E-2</v>
      </c>
      <c r="L681" t="e">
        <f>IF(AND(ABS((ChartCalculations!A681-Calculations!$F$3)/Calculations!$F$4)&lt;5,OR(A681&lt;=Calculations!$F$7,A681&gt;=Calculations!$F$8)),0.2*_xlfn.NORM.DIST(100,100,15,FALSE)*_xlfn.NORM.DIST(A681,Calculations!$F$3,Calculations!$F$4,FALSE)/_xlfn.NORM.DIST(Calculations!$F$3,Calculations!$F$3,Calculations!$F$4,FALSE),NA())</f>
        <v>#N/A</v>
      </c>
      <c r="M681" t="e">
        <f>IF(AND(A681&gt;=Calculations!$F$7,A681&lt;=Calculations!$F$8),0.2*_xlfn.NORM.DIST(100,100,15,FALSE)*_xlfn.NORM.DIST(A681,Calculations!$F$3,Calculations!$F$4,FALSE)/_xlfn.NORM.DIST(Calculations!$F$3,Calculations!$F$3,Calculations!$F$4,FALSE),NA())</f>
        <v>#N/A</v>
      </c>
    </row>
    <row r="682" spans="1:13" x14ac:dyDescent="0.25">
      <c r="A682">
        <v>108.00000000000099</v>
      </c>
      <c r="B682" t="e">
        <f t="shared" si="100"/>
        <v>#N/A</v>
      </c>
      <c r="C682" t="e">
        <f t="shared" si="101"/>
        <v>#N/A</v>
      </c>
      <c r="D682" t="e">
        <f t="shared" si="102"/>
        <v>#N/A</v>
      </c>
      <c r="E682" t="e">
        <f t="shared" si="103"/>
        <v>#N/A</v>
      </c>
      <c r="F682">
        <f t="shared" si="104"/>
        <v>2.3070259545127376E-2</v>
      </c>
      <c r="G682" t="e">
        <f t="shared" si="105"/>
        <v>#N/A</v>
      </c>
      <c r="H682" t="e">
        <f t="shared" si="106"/>
        <v>#N/A</v>
      </c>
      <c r="I682" t="e">
        <f t="shared" si="107"/>
        <v>#N/A</v>
      </c>
      <c r="J682" t="e">
        <f t="shared" si="108"/>
        <v>#N/A</v>
      </c>
      <c r="K682">
        <f t="shared" si="109"/>
        <v>2.3270259545127375E-2</v>
      </c>
      <c r="L682" t="e">
        <f>IF(AND(ABS((ChartCalculations!A682-Calculations!$F$3)/Calculations!$F$4)&lt;5,OR(A682&lt;=Calculations!$F$7,A682&gt;=Calculations!$F$8)),0.2*_xlfn.NORM.DIST(100,100,15,FALSE)*_xlfn.NORM.DIST(A682,Calculations!$F$3,Calculations!$F$4,FALSE)/_xlfn.NORM.DIST(Calculations!$F$3,Calculations!$F$3,Calculations!$F$4,FALSE),NA())</f>
        <v>#N/A</v>
      </c>
      <c r="M682" t="e">
        <f>IF(AND(A682&gt;=Calculations!$F$7,A682&lt;=Calculations!$F$8),0.2*_xlfn.NORM.DIST(100,100,15,FALSE)*_xlfn.NORM.DIST(A682,Calculations!$F$3,Calculations!$F$4,FALSE)/_xlfn.NORM.DIST(Calculations!$F$3,Calculations!$F$3,Calculations!$F$4,FALSE),NA())</f>
        <v>#N/A</v>
      </c>
    </row>
    <row r="683" spans="1:13" x14ac:dyDescent="0.25">
      <c r="A683">
        <v>108.100000000001</v>
      </c>
      <c r="B683" t="e">
        <f t="shared" si="100"/>
        <v>#N/A</v>
      </c>
      <c r="C683" t="e">
        <f t="shared" si="101"/>
        <v>#N/A</v>
      </c>
      <c r="D683" t="e">
        <f t="shared" si="102"/>
        <v>#N/A</v>
      </c>
      <c r="E683" t="e">
        <f t="shared" si="103"/>
        <v>#N/A</v>
      </c>
      <c r="F683">
        <f t="shared" si="104"/>
        <v>2.2987866762621392E-2</v>
      </c>
      <c r="G683" t="e">
        <f t="shared" si="105"/>
        <v>#N/A</v>
      </c>
      <c r="H683" t="e">
        <f t="shared" si="106"/>
        <v>#N/A</v>
      </c>
      <c r="I683" t="e">
        <f t="shared" si="107"/>
        <v>#N/A</v>
      </c>
      <c r="J683" t="e">
        <f t="shared" si="108"/>
        <v>#N/A</v>
      </c>
      <c r="K683">
        <f t="shared" si="109"/>
        <v>2.3187866762621391E-2</v>
      </c>
      <c r="L683" t="e">
        <f>IF(AND(ABS((ChartCalculations!A683-Calculations!$F$3)/Calculations!$F$4)&lt;5,OR(A683&lt;=Calculations!$F$7,A683&gt;=Calculations!$F$8)),0.2*_xlfn.NORM.DIST(100,100,15,FALSE)*_xlfn.NORM.DIST(A683,Calculations!$F$3,Calculations!$F$4,FALSE)/_xlfn.NORM.DIST(Calculations!$F$3,Calculations!$F$3,Calculations!$F$4,FALSE),NA())</f>
        <v>#N/A</v>
      </c>
      <c r="M683" t="e">
        <f>IF(AND(A683&gt;=Calculations!$F$7,A683&lt;=Calculations!$F$8),0.2*_xlfn.NORM.DIST(100,100,15,FALSE)*_xlfn.NORM.DIST(A683,Calculations!$F$3,Calculations!$F$4,FALSE)/_xlfn.NORM.DIST(Calculations!$F$3,Calculations!$F$3,Calculations!$F$4,FALSE),NA())</f>
        <v>#N/A</v>
      </c>
    </row>
    <row r="684" spans="1:13" x14ac:dyDescent="0.25">
      <c r="A684">
        <v>108.200000000001</v>
      </c>
      <c r="B684" t="e">
        <f t="shared" si="100"/>
        <v>#N/A</v>
      </c>
      <c r="C684" t="e">
        <f t="shared" si="101"/>
        <v>#N/A</v>
      </c>
      <c r="D684" t="e">
        <f t="shared" si="102"/>
        <v>#N/A</v>
      </c>
      <c r="E684" t="e">
        <f t="shared" si="103"/>
        <v>#N/A</v>
      </c>
      <c r="F684">
        <f t="shared" si="104"/>
        <v>2.2904750224954706E-2</v>
      </c>
      <c r="G684" t="e">
        <f t="shared" si="105"/>
        <v>#N/A</v>
      </c>
      <c r="H684" t="e">
        <f t="shared" si="106"/>
        <v>#N/A</v>
      </c>
      <c r="I684" t="e">
        <f t="shared" si="107"/>
        <v>#N/A</v>
      </c>
      <c r="J684" t="e">
        <f t="shared" si="108"/>
        <v>#N/A</v>
      </c>
      <c r="K684">
        <f t="shared" si="109"/>
        <v>2.3104750224954704E-2</v>
      </c>
      <c r="L684" t="e">
        <f>IF(AND(ABS((ChartCalculations!A684-Calculations!$F$3)/Calculations!$F$4)&lt;5,OR(A684&lt;=Calculations!$F$7,A684&gt;=Calculations!$F$8)),0.2*_xlfn.NORM.DIST(100,100,15,FALSE)*_xlfn.NORM.DIST(A684,Calculations!$F$3,Calculations!$F$4,FALSE)/_xlfn.NORM.DIST(Calculations!$F$3,Calculations!$F$3,Calculations!$F$4,FALSE),NA())</f>
        <v>#N/A</v>
      </c>
      <c r="M684" t="e">
        <f>IF(AND(A684&gt;=Calculations!$F$7,A684&lt;=Calculations!$F$8),0.2*_xlfn.NORM.DIST(100,100,15,FALSE)*_xlfn.NORM.DIST(A684,Calculations!$F$3,Calculations!$F$4,FALSE)/_xlfn.NORM.DIST(Calculations!$F$3,Calculations!$F$3,Calculations!$F$4,FALSE),NA())</f>
        <v>#N/A</v>
      </c>
    </row>
    <row r="685" spans="1:13" x14ac:dyDescent="0.25">
      <c r="A685">
        <v>108.30000000000101</v>
      </c>
      <c r="B685" t="e">
        <f t="shared" si="100"/>
        <v>#N/A</v>
      </c>
      <c r="C685" t="e">
        <f t="shared" si="101"/>
        <v>#N/A</v>
      </c>
      <c r="D685" t="e">
        <f t="shared" si="102"/>
        <v>#N/A</v>
      </c>
      <c r="E685" t="e">
        <f t="shared" si="103"/>
        <v>#N/A</v>
      </c>
      <c r="F685">
        <f t="shared" si="104"/>
        <v>2.2820919923603297E-2</v>
      </c>
      <c r="G685" t="e">
        <f t="shared" si="105"/>
        <v>#N/A</v>
      </c>
      <c r="H685" t="e">
        <f t="shared" si="106"/>
        <v>#N/A</v>
      </c>
      <c r="I685" t="e">
        <f t="shared" si="107"/>
        <v>#N/A</v>
      </c>
      <c r="J685" t="e">
        <f t="shared" si="108"/>
        <v>#N/A</v>
      </c>
      <c r="K685">
        <f t="shared" si="109"/>
        <v>2.3020919923603295E-2</v>
      </c>
      <c r="L685" t="e">
        <f>IF(AND(ABS((ChartCalculations!A685-Calculations!$F$3)/Calculations!$F$4)&lt;5,OR(A685&lt;=Calculations!$F$7,A685&gt;=Calculations!$F$8)),0.2*_xlfn.NORM.DIST(100,100,15,FALSE)*_xlfn.NORM.DIST(A685,Calculations!$F$3,Calculations!$F$4,FALSE)/_xlfn.NORM.DIST(Calculations!$F$3,Calculations!$F$3,Calculations!$F$4,FALSE),NA())</f>
        <v>#N/A</v>
      </c>
      <c r="M685" t="e">
        <f>IF(AND(A685&gt;=Calculations!$F$7,A685&lt;=Calculations!$F$8),0.2*_xlfn.NORM.DIST(100,100,15,FALSE)*_xlfn.NORM.DIST(A685,Calculations!$F$3,Calculations!$F$4,FALSE)/_xlfn.NORM.DIST(Calculations!$F$3,Calculations!$F$3,Calculations!$F$4,FALSE),NA())</f>
        <v>#N/A</v>
      </c>
    </row>
    <row r="686" spans="1:13" x14ac:dyDescent="0.25">
      <c r="A686">
        <v>108.400000000001</v>
      </c>
      <c r="B686" t="e">
        <f t="shared" si="100"/>
        <v>#N/A</v>
      </c>
      <c r="C686" t="e">
        <f t="shared" si="101"/>
        <v>#N/A</v>
      </c>
      <c r="D686" t="e">
        <f t="shared" si="102"/>
        <v>#N/A</v>
      </c>
      <c r="E686" t="e">
        <f t="shared" si="103"/>
        <v>#N/A</v>
      </c>
      <c r="F686">
        <f t="shared" si="104"/>
        <v>2.2736385908689323E-2</v>
      </c>
      <c r="G686" t="e">
        <f t="shared" si="105"/>
        <v>#N/A</v>
      </c>
      <c r="H686" t="e">
        <f t="shared" si="106"/>
        <v>#N/A</v>
      </c>
      <c r="I686" t="e">
        <f t="shared" si="107"/>
        <v>#N/A</v>
      </c>
      <c r="J686" t="e">
        <f t="shared" si="108"/>
        <v>#N/A</v>
      </c>
      <c r="K686">
        <f t="shared" si="109"/>
        <v>2.2936385908689322E-2</v>
      </c>
      <c r="L686" t="e">
        <f>IF(AND(ABS((ChartCalculations!A686-Calculations!$F$3)/Calculations!$F$4)&lt;5,OR(A686&lt;=Calculations!$F$7,A686&gt;=Calculations!$F$8)),0.2*_xlfn.NORM.DIST(100,100,15,FALSE)*_xlfn.NORM.DIST(A686,Calculations!$F$3,Calculations!$F$4,FALSE)/_xlfn.NORM.DIST(Calculations!$F$3,Calculations!$F$3,Calculations!$F$4,FALSE),NA())</f>
        <v>#N/A</v>
      </c>
      <c r="M686" t="e">
        <f>IF(AND(A686&gt;=Calculations!$F$7,A686&lt;=Calculations!$F$8),0.2*_xlfn.NORM.DIST(100,100,15,FALSE)*_xlfn.NORM.DIST(A686,Calculations!$F$3,Calculations!$F$4,FALSE)/_xlfn.NORM.DIST(Calculations!$F$3,Calculations!$F$3,Calculations!$F$4,FALSE),NA())</f>
        <v>#N/A</v>
      </c>
    </row>
    <row r="687" spans="1:13" x14ac:dyDescent="0.25">
      <c r="A687">
        <v>108.50000000000099</v>
      </c>
      <c r="B687" t="e">
        <f t="shared" si="100"/>
        <v>#N/A</v>
      </c>
      <c r="C687" t="e">
        <f t="shared" si="101"/>
        <v>#N/A</v>
      </c>
      <c r="D687" t="e">
        <f t="shared" si="102"/>
        <v>#N/A</v>
      </c>
      <c r="E687" t="e">
        <f t="shared" si="103"/>
        <v>#N/A</v>
      </c>
      <c r="F687">
        <f t="shared" si="104"/>
        <v>2.2651158286983018E-2</v>
      </c>
      <c r="G687" t="e">
        <f t="shared" si="105"/>
        <v>#N/A</v>
      </c>
      <c r="H687" t="e">
        <f t="shared" si="106"/>
        <v>#N/A</v>
      </c>
      <c r="I687" t="e">
        <f t="shared" si="107"/>
        <v>#N/A</v>
      </c>
      <c r="J687" t="e">
        <f t="shared" si="108"/>
        <v>#N/A</v>
      </c>
      <c r="K687">
        <f t="shared" si="109"/>
        <v>2.2851158286983017E-2</v>
      </c>
      <c r="L687" t="e">
        <f>IF(AND(ABS((ChartCalculations!A687-Calculations!$F$3)/Calculations!$F$4)&lt;5,OR(A687&lt;=Calculations!$F$7,A687&gt;=Calculations!$F$8)),0.2*_xlfn.NORM.DIST(100,100,15,FALSE)*_xlfn.NORM.DIST(A687,Calculations!$F$3,Calculations!$F$4,FALSE)/_xlfn.NORM.DIST(Calculations!$F$3,Calculations!$F$3,Calculations!$F$4,FALSE),NA())</f>
        <v>#N/A</v>
      </c>
      <c r="M687" t="e">
        <f>IF(AND(A687&gt;=Calculations!$F$7,A687&lt;=Calculations!$F$8),0.2*_xlfn.NORM.DIST(100,100,15,FALSE)*_xlfn.NORM.DIST(A687,Calculations!$F$3,Calculations!$F$4,FALSE)/_xlfn.NORM.DIST(Calculations!$F$3,Calculations!$F$3,Calculations!$F$4,FALSE),NA())</f>
        <v>#N/A</v>
      </c>
    </row>
    <row r="688" spans="1:13" x14ac:dyDescent="0.25">
      <c r="A688">
        <v>108.600000000001</v>
      </c>
      <c r="B688" t="e">
        <f t="shared" si="100"/>
        <v>#N/A</v>
      </c>
      <c r="C688" t="e">
        <f t="shared" si="101"/>
        <v>#N/A</v>
      </c>
      <c r="D688" t="e">
        <f t="shared" si="102"/>
        <v>#N/A</v>
      </c>
      <c r="E688" t="e">
        <f t="shared" si="103"/>
        <v>#N/A</v>
      </c>
      <c r="F688">
        <f t="shared" si="104"/>
        <v>2.256524721989955E-2</v>
      </c>
      <c r="G688" t="e">
        <f t="shared" si="105"/>
        <v>#N/A</v>
      </c>
      <c r="H688" t="e">
        <f t="shared" si="106"/>
        <v>#N/A</v>
      </c>
      <c r="I688" t="e">
        <f t="shared" si="107"/>
        <v>#N/A</v>
      </c>
      <c r="J688" t="e">
        <f t="shared" si="108"/>
        <v>#N/A</v>
      </c>
      <c r="K688">
        <f t="shared" si="109"/>
        <v>2.2765247219899549E-2</v>
      </c>
      <c r="L688" t="e">
        <f>IF(AND(ABS((ChartCalculations!A688-Calculations!$F$3)/Calculations!$F$4)&lt;5,OR(A688&lt;=Calculations!$F$7,A688&gt;=Calculations!$F$8)),0.2*_xlfn.NORM.DIST(100,100,15,FALSE)*_xlfn.NORM.DIST(A688,Calculations!$F$3,Calculations!$F$4,FALSE)/_xlfn.NORM.DIST(Calculations!$F$3,Calculations!$F$3,Calculations!$F$4,FALSE),NA())</f>
        <v>#N/A</v>
      </c>
      <c r="M688" t="e">
        <f>IF(AND(A688&gt;=Calculations!$F$7,A688&lt;=Calculations!$F$8),0.2*_xlfn.NORM.DIST(100,100,15,FALSE)*_xlfn.NORM.DIST(A688,Calculations!$F$3,Calculations!$F$4,FALSE)/_xlfn.NORM.DIST(Calculations!$F$3,Calculations!$F$3,Calculations!$F$4,FALSE),NA())</f>
        <v>#N/A</v>
      </c>
    </row>
    <row r="689" spans="1:13" x14ac:dyDescent="0.25">
      <c r="A689">
        <v>108.700000000001</v>
      </c>
      <c r="B689" t="e">
        <f t="shared" si="100"/>
        <v>#N/A</v>
      </c>
      <c r="C689" t="e">
        <f t="shared" si="101"/>
        <v>#N/A</v>
      </c>
      <c r="D689" t="e">
        <f t="shared" si="102"/>
        <v>#N/A</v>
      </c>
      <c r="E689" t="e">
        <f t="shared" si="103"/>
        <v>#N/A</v>
      </c>
      <c r="F689">
        <f t="shared" si="104"/>
        <v>2.2478662921491172E-2</v>
      </c>
      <c r="G689" t="e">
        <f t="shared" si="105"/>
        <v>#N/A</v>
      </c>
      <c r="H689" t="e">
        <f t="shared" si="106"/>
        <v>#N/A</v>
      </c>
      <c r="I689" t="e">
        <f t="shared" si="107"/>
        <v>#N/A</v>
      </c>
      <c r="J689" t="e">
        <f t="shared" si="108"/>
        <v>#N/A</v>
      </c>
      <c r="K689">
        <f t="shared" si="109"/>
        <v>2.267866292149117E-2</v>
      </c>
      <c r="L689" t="e">
        <f>IF(AND(ABS((ChartCalculations!A689-Calculations!$F$3)/Calculations!$F$4)&lt;5,OR(A689&lt;=Calculations!$F$7,A689&gt;=Calculations!$F$8)),0.2*_xlfn.NORM.DIST(100,100,15,FALSE)*_xlfn.NORM.DIST(A689,Calculations!$F$3,Calculations!$F$4,FALSE)/_xlfn.NORM.DIST(Calculations!$F$3,Calculations!$F$3,Calculations!$F$4,FALSE),NA())</f>
        <v>#N/A</v>
      </c>
      <c r="M689" t="e">
        <f>IF(AND(A689&gt;=Calculations!$F$7,A689&lt;=Calculations!$F$8),0.2*_xlfn.NORM.DIST(100,100,15,FALSE)*_xlfn.NORM.DIST(A689,Calculations!$F$3,Calculations!$F$4,FALSE)/_xlfn.NORM.DIST(Calculations!$F$3,Calculations!$F$3,Calculations!$F$4,FALSE),NA())</f>
        <v>#N/A</v>
      </c>
    </row>
    <row r="690" spans="1:13" x14ac:dyDescent="0.25">
      <c r="A690">
        <v>108.80000000000101</v>
      </c>
      <c r="B690" t="e">
        <f t="shared" si="100"/>
        <v>#N/A</v>
      </c>
      <c r="C690" t="e">
        <f t="shared" si="101"/>
        <v>#N/A</v>
      </c>
      <c r="D690" t="e">
        <f t="shared" si="102"/>
        <v>#N/A</v>
      </c>
      <c r="E690" t="e">
        <f t="shared" si="103"/>
        <v>#N/A</v>
      </c>
      <c r="F690">
        <f t="shared" si="104"/>
        <v>2.2391415656435178E-2</v>
      </c>
      <c r="G690" t="e">
        <f t="shared" si="105"/>
        <v>#N/A</v>
      </c>
      <c r="H690" t="e">
        <f t="shared" si="106"/>
        <v>#N/A</v>
      </c>
      <c r="I690" t="e">
        <f t="shared" si="107"/>
        <v>#N/A</v>
      </c>
      <c r="J690" t="e">
        <f t="shared" si="108"/>
        <v>#N/A</v>
      </c>
      <c r="K690">
        <f t="shared" si="109"/>
        <v>2.2591415656435177E-2</v>
      </c>
      <c r="L690" t="e">
        <f>IF(AND(ABS((ChartCalculations!A690-Calculations!$F$3)/Calculations!$F$4)&lt;5,OR(A690&lt;=Calculations!$F$7,A690&gt;=Calculations!$F$8)),0.2*_xlfn.NORM.DIST(100,100,15,FALSE)*_xlfn.NORM.DIST(A690,Calculations!$F$3,Calculations!$F$4,FALSE)/_xlfn.NORM.DIST(Calculations!$F$3,Calculations!$F$3,Calculations!$F$4,FALSE),NA())</f>
        <v>#N/A</v>
      </c>
      <c r="M690" t="e">
        <f>IF(AND(A690&gt;=Calculations!$F$7,A690&lt;=Calculations!$F$8),0.2*_xlfn.NORM.DIST(100,100,15,FALSE)*_xlfn.NORM.DIST(A690,Calculations!$F$3,Calculations!$F$4,FALSE)/_xlfn.NORM.DIST(Calculations!$F$3,Calculations!$F$3,Calculations!$F$4,FALSE),NA())</f>
        <v>#N/A</v>
      </c>
    </row>
    <row r="691" spans="1:13" x14ac:dyDescent="0.25">
      <c r="A691">
        <v>108.900000000001</v>
      </c>
      <c r="B691" t="e">
        <f t="shared" si="100"/>
        <v>#N/A</v>
      </c>
      <c r="C691" t="e">
        <f t="shared" si="101"/>
        <v>#N/A</v>
      </c>
      <c r="D691" t="e">
        <f t="shared" si="102"/>
        <v>#N/A</v>
      </c>
      <c r="E691" t="e">
        <f t="shared" si="103"/>
        <v>#N/A</v>
      </c>
      <c r="F691">
        <f t="shared" si="104"/>
        <v>2.23035157380185E-2</v>
      </c>
      <c r="G691" t="e">
        <f t="shared" si="105"/>
        <v>#N/A</v>
      </c>
      <c r="H691" t="e">
        <f t="shared" si="106"/>
        <v>#N/A</v>
      </c>
      <c r="I691" t="e">
        <f t="shared" si="107"/>
        <v>#N/A</v>
      </c>
      <c r="J691" t="e">
        <f t="shared" si="108"/>
        <v>#N/A</v>
      </c>
      <c r="K691">
        <f t="shared" si="109"/>
        <v>2.2503515738018499E-2</v>
      </c>
      <c r="L691" t="e">
        <f>IF(AND(ABS((ChartCalculations!A691-Calculations!$F$3)/Calculations!$F$4)&lt;5,OR(A691&lt;=Calculations!$F$7,A691&gt;=Calculations!$F$8)),0.2*_xlfn.NORM.DIST(100,100,15,FALSE)*_xlfn.NORM.DIST(A691,Calculations!$F$3,Calculations!$F$4,FALSE)/_xlfn.NORM.DIST(Calculations!$F$3,Calculations!$F$3,Calculations!$F$4,FALSE),NA())</f>
        <v>#N/A</v>
      </c>
      <c r="M691" t="e">
        <f>IF(AND(A691&gt;=Calculations!$F$7,A691&lt;=Calculations!$F$8),0.2*_xlfn.NORM.DIST(100,100,15,FALSE)*_xlfn.NORM.DIST(A691,Calculations!$F$3,Calculations!$F$4,FALSE)/_xlfn.NORM.DIST(Calculations!$F$3,Calculations!$F$3,Calculations!$F$4,FALSE),NA())</f>
        <v>#N/A</v>
      </c>
    </row>
    <row r="692" spans="1:13" x14ac:dyDescent="0.25">
      <c r="A692">
        <v>109.00000000000099</v>
      </c>
      <c r="B692" t="e">
        <f t="shared" si="100"/>
        <v>#N/A</v>
      </c>
      <c r="C692" t="e">
        <f t="shared" si="101"/>
        <v>#N/A</v>
      </c>
      <c r="D692" t="e">
        <f t="shared" si="102"/>
        <v>#N/A</v>
      </c>
      <c r="E692" t="e">
        <f t="shared" si="103"/>
        <v>#N/A</v>
      </c>
      <c r="F692">
        <f t="shared" si="104"/>
        <v>2.2214973526119095E-2</v>
      </c>
      <c r="G692" t="e">
        <f t="shared" si="105"/>
        <v>#N/A</v>
      </c>
      <c r="H692" t="e">
        <f t="shared" si="106"/>
        <v>#N/A</v>
      </c>
      <c r="I692" t="e">
        <f t="shared" si="107"/>
        <v>#N/A</v>
      </c>
      <c r="J692" t="e">
        <f t="shared" si="108"/>
        <v>#N/A</v>
      </c>
      <c r="K692">
        <f t="shared" si="109"/>
        <v>2.2414973526119094E-2</v>
      </c>
      <c r="L692" t="e">
        <f>IF(AND(ABS((ChartCalculations!A692-Calculations!$F$3)/Calculations!$F$4)&lt;5,OR(A692&lt;=Calculations!$F$7,A692&gt;=Calculations!$F$8)),0.2*_xlfn.NORM.DIST(100,100,15,FALSE)*_xlfn.NORM.DIST(A692,Calculations!$F$3,Calculations!$F$4,FALSE)/_xlfn.NORM.DIST(Calculations!$F$3,Calculations!$F$3,Calculations!$F$4,FALSE),NA())</f>
        <v>#N/A</v>
      </c>
      <c r="M692" t="e">
        <f>IF(AND(A692&gt;=Calculations!$F$7,A692&lt;=Calculations!$F$8),0.2*_xlfn.NORM.DIST(100,100,15,FALSE)*_xlfn.NORM.DIST(A692,Calculations!$F$3,Calculations!$F$4,FALSE)/_xlfn.NORM.DIST(Calculations!$F$3,Calculations!$F$3,Calculations!$F$4,FALSE),NA())</f>
        <v>#N/A</v>
      </c>
    </row>
    <row r="693" spans="1:13" x14ac:dyDescent="0.25">
      <c r="A693">
        <v>109.100000000001</v>
      </c>
      <c r="B693" t="e">
        <f t="shared" si="100"/>
        <v>#N/A</v>
      </c>
      <c r="C693" t="e">
        <f t="shared" si="101"/>
        <v>#N/A</v>
      </c>
      <c r="D693" t="e">
        <f t="shared" si="102"/>
        <v>#N/A</v>
      </c>
      <c r="E693" t="e">
        <f t="shared" si="103"/>
        <v>#N/A</v>
      </c>
      <c r="F693">
        <f t="shared" si="104"/>
        <v>2.2125799425184989E-2</v>
      </c>
      <c r="G693" t="e">
        <f t="shared" si="105"/>
        <v>#N/A</v>
      </c>
      <c r="H693" t="e">
        <f t="shared" si="106"/>
        <v>#N/A</v>
      </c>
      <c r="I693" t="e">
        <f t="shared" si="107"/>
        <v>#N/A</v>
      </c>
      <c r="J693" t="e">
        <f t="shared" si="108"/>
        <v>#N/A</v>
      </c>
      <c r="K693">
        <f t="shared" si="109"/>
        <v>2.2325799425184988E-2</v>
      </c>
      <c r="L693" t="e">
        <f>IF(AND(ABS((ChartCalculations!A693-Calculations!$F$3)/Calculations!$F$4)&lt;5,OR(A693&lt;=Calculations!$F$7,A693&gt;=Calculations!$F$8)),0.2*_xlfn.NORM.DIST(100,100,15,FALSE)*_xlfn.NORM.DIST(A693,Calculations!$F$3,Calculations!$F$4,FALSE)/_xlfn.NORM.DIST(Calculations!$F$3,Calculations!$F$3,Calculations!$F$4,FALSE),NA())</f>
        <v>#N/A</v>
      </c>
      <c r="M693" t="e">
        <f>IF(AND(A693&gt;=Calculations!$F$7,A693&lt;=Calculations!$F$8),0.2*_xlfn.NORM.DIST(100,100,15,FALSE)*_xlfn.NORM.DIST(A693,Calculations!$F$3,Calculations!$F$4,FALSE)/_xlfn.NORM.DIST(Calculations!$F$3,Calculations!$F$3,Calculations!$F$4,FALSE),NA())</f>
        <v>#N/A</v>
      </c>
    </row>
    <row r="694" spans="1:13" x14ac:dyDescent="0.25">
      <c r="A694">
        <v>109.200000000001</v>
      </c>
      <c r="B694" t="e">
        <f t="shared" si="100"/>
        <v>#N/A</v>
      </c>
      <c r="C694" t="e">
        <f t="shared" si="101"/>
        <v>#N/A</v>
      </c>
      <c r="D694" t="e">
        <f t="shared" si="102"/>
        <v>#N/A</v>
      </c>
      <c r="E694" t="e">
        <f t="shared" si="103"/>
        <v>#N/A</v>
      </c>
      <c r="F694">
        <f t="shared" si="104"/>
        <v>2.2036003882211472E-2</v>
      </c>
      <c r="G694" t="e">
        <f t="shared" si="105"/>
        <v>#N/A</v>
      </c>
      <c r="H694" t="e">
        <f t="shared" si="106"/>
        <v>#N/A</v>
      </c>
      <c r="I694" t="e">
        <f t="shared" si="107"/>
        <v>#N/A</v>
      </c>
      <c r="J694" t="e">
        <f t="shared" si="108"/>
        <v>#N/A</v>
      </c>
      <c r="K694">
        <f t="shared" si="109"/>
        <v>2.2236003882211471E-2</v>
      </c>
      <c r="L694" t="e">
        <f>IF(AND(ABS((ChartCalculations!A694-Calculations!$F$3)/Calculations!$F$4)&lt;5,OR(A694&lt;=Calculations!$F$7,A694&gt;=Calculations!$F$8)),0.2*_xlfn.NORM.DIST(100,100,15,FALSE)*_xlfn.NORM.DIST(A694,Calculations!$F$3,Calculations!$F$4,FALSE)/_xlfn.NORM.DIST(Calculations!$F$3,Calculations!$F$3,Calculations!$F$4,FALSE),NA())</f>
        <v>#N/A</v>
      </c>
      <c r="M694" t="e">
        <f>IF(AND(A694&gt;=Calculations!$F$7,A694&lt;=Calculations!$F$8),0.2*_xlfn.NORM.DIST(100,100,15,FALSE)*_xlfn.NORM.DIST(A694,Calculations!$F$3,Calculations!$F$4,FALSE)/_xlfn.NORM.DIST(Calculations!$F$3,Calculations!$F$3,Calculations!$F$4,FALSE),NA())</f>
        <v>#N/A</v>
      </c>
    </row>
    <row r="695" spans="1:13" x14ac:dyDescent="0.25">
      <c r="A695">
        <v>109.30000000000101</v>
      </c>
      <c r="B695" t="e">
        <f t="shared" si="100"/>
        <v>#N/A</v>
      </c>
      <c r="C695" t="e">
        <f t="shared" si="101"/>
        <v>#N/A</v>
      </c>
      <c r="D695" t="e">
        <f t="shared" si="102"/>
        <v>#N/A</v>
      </c>
      <c r="E695" t="e">
        <f t="shared" si="103"/>
        <v>#N/A</v>
      </c>
      <c r="F695">
        <f t="shared" si="104"/>
        <v>2.1945597384716742E-2</v>
      </c>
      <c r="G695" t="e">
        <f t="shared" si="105"/>
        <v>#N/A</v>
      </c>
      <c r="H695" t="e">
        <f t="shared" si="106"/>
        <v>#N/A</v>
      </c>
      <c r="I695" t="e">
        <f t="shared" si="107"/>
        <v>#N/A</v>
      </c>
      <c r="J695" t="e">
        <f t="shared" si="108"/>
        <v>#N/A</v>
      </c>
      <c r="K695">
        <f t="shared" si="109"/>
        <v>2.2145597384716741E-2</v>
      </c>
      <c r="L695" t="e">
        <f>IF(AND(ABS((ChartCalculations!A695-Calculations!$F$3)/Calculations!$F$4)&lt;5,OR(A695&lt;=Calculations!$F$7,A695&gt;=Calculations!$F$8)),0.2*_xlfn.NORM.DIST(100,100,15,FALSE)*_xlfn.NORM.DIST(A695,Calculations!$F$3,Calculations!$F$4,FALSE)/_xlfn.NORM.DIST(Calculations!$F$3,Calculations!$F$3,Calculations!$F$4,FALSE),NA())</f>
        <v>#N/A</v>
      </c>
      <c r="M695" t="e">
        <f>IF(AND(A695&gt;=Calculations!$F$7,A695&lt;=Calculations!$F$8),0.2*_xlfn.NORM.DIST(100,100,15,FALSE)*_xlfn.NORM.DIST(A695,Calculations!$F$3,Calculations!$F$4,FALSE)/_xlfn.NORM.DIST(Calculations!$F$3,Calculations!$F$3,Calculations!$F$4,FALSE),NA())</f>
        <v>#N/A</v>
      </c>
    </row>
    <row r="696" spans="1:13" x14ac:dyDescent="0.25">
      <c r="A696">
        <v>109.400000000001</v>
      </c>
      <c r="B696" t="e">
        <f t="shared" si="100"/>
        <v>#N/A</v>
      </c>
      <c r="C696" t="e">
        <f t="shared" si="101"/>
        <v>#N/A</v>
      </c>
      <c r="D696" t="e">
        <f t="shared" si="102"/>
        <v>#N/A</v>
      </c>
      <c r="E696" t="e">
        <f t="shared" si="103"/>
        <v>#N/A</v>
      </c>
      <c r="F696">
        <f t="shared" si="104"/>
        <v>2.1854590458716953E-2</v>
      </c>
      <c r="G696" t="e">
        <f t="shared" si="105"/>
        <v>#N/A</v>
      </c>
      <c r="H696" t="e">
        <f t="shared" si="106"/>
        <v>#N/A</v>
      </c>
      <c r="I696" t="e">
        <f t="shared" si="107"/>
        <v>#N/A</v>
      </c>
      <c r="J696" t="e">
        <f t="shared" si="108"/>
        <v>#N/A</v>
      </c>
      <c r="K696">
        <f t="shared" si="109"/>
        <v>2.2054590458716952E-2</v>
      </c>
      <c r="L696" t="e">
        <f>IF(AND(ABS((ChartCalculations!A696-Calculations!$F$3)/Calculations!$F$4)&lt;5,OR(A696&lt;=Calculations!$F$7,A696&gt;=Calculations!$F$8)),0.2*_xlfn.NORM.DIST(100,100,15,FALSE)*_xlfn.NORM.DIST(A696,Calculations!$F$3,Calculations!$F$4,FALSE)/_xlfn.NORM.DIST(Calculations!$F$3,Calculations!$F$3,Calculations!$F$4,FALSE),NA())</f>
        <v>#N/A</v>
      </c>
      <c r="M696" t="e">
        <f>IF(AND(A696&gt;=Calculations!$F$7,A696&lt;=Calculations!$F$8),0.2*_xlfn.NORM.DIST(100,100,15,FALSE)*_xlfn.NORM.DIST(A696,Calculations!$F$3,Calculations!$F$4,FALSE)/_xlfn.NORM.DIST(Calculations!$F$3,Calculations!$F$3,Calculations!$F$4,FALSE),NA())</f>
        <v>#N/A</v>
      </c>
    </row>
    <row r="697" spans="1:13" x14ac:dyDescent="0.25">
      <c r="A697">
        <v>109.50000000000099</v>
      </c>
      <c r="B697" t="e">
        <f t="shared" si="100"/>
        <v>#N/A</v>
      </c>
      <c r="C697" t="e">
        <f t="shared" si="101"/>
        <v>#N/A</v>
      </c>
      <c r="D697" t="e">
        <f t="shared" si="102"/>
        <v>#N/A</v>
      </c>
      <c r="E697" t="e">
        <f t="shared" si="103"/>
        <v>#N/A</v>
      </c>
      <c r="F697">
        <f t="shared" si="104"/>
        <v>2.1762993666700817E-2</v>
      </c>
      <c r="G697" t="e">
        <f t="shared" si="105"/>
        <v>#N/A</v>
      </c>
      <c r="H697" t="e">
        <f t="shared" si="106"/>
        <v>#N/A</v>
      </c>
      <c r="I697" t="e">
        <f t="shared" si="107"/>
        <v>#N/A</v>
      </c>
      <c r="J697" t="e">
        <f t="shared" si="108"/>
        <v>#N/A</v>
      </c>
      <c r="K697">
        <f t="shared" si="109"/>
        <v>2.1962993666700816E-2</v>
      </c>
      <c r="L697" t="e">
        <f>IF(AND(ABS((ChartCalculations!A697-Calculations!$F$3)/Calculations!$F$4)&lt;5,OR(A697&lt;=Calculations!$F$7,A697&gt;=Calculations!$F$8)),0.2*_xlfn.NORM.DIST(100,100,15,FALSE)*_xlfn.NORM.DIST(A697,Calculations!$F$3,Calculations!$F$4,FALSE)/_xlfn.NORM.DIST(Calculations!$F$3,Calculations!$F$3,Calculations!$F$4,FALSE),NA())</f>
        <v>#N/A</v>
      </c>
      <c r="M697" t="e">
        <f>IF(AND(A697&gt;=Calculations!$F$7,A697&lt;=Calculations!$F$8),0.2*_xlfn.NORM.DIST(100,100,15,FALSE)*_xlfn.NORM.DIST(A697,Calculations!$F$3,Calculations!$F$4,FALSE)/_xlfn.NORM.DIST(Calculations!$F$3,Calculations!$F$3,Calculations!$F$4,FALSE),NA())</f>
        <v>#N/A</v>
      </c>
    </row>
    <row r="698" spans="1:13" x14ac:dyDescent="0.25">
      <c r="A698">
        <v>109.600000000001</v>
      </c>
      <c r="B698" t="e">
        <f t="shared" si="100"/>
        <v>#N/A</v>
      </c>
      <c r="C698" t="e">
        <f t="shared" si="101"/>
        <v>#N/A</v>
      </c>
      <c r="D698" t="e">
        <f t="shared" si="102"/>
        <v>#N/A</v>
      </c>
      <c r="E698" t="e">
        <f t="shared" si="103"/>
        <v>#N/A</v>
      </c>
      <c r="F698">
        <f t="shared" si="104"/>
        <v>2.1670817605604551E-2</v>
      </c>
      <c r="G698" t="e">
        <f t="shared" si="105"/>
        <v>#N/A</v>
      </c>
      <c r="H698" t="e">
        <f t="shared" si="106"/>
        <v>#N/A</v>
      </c>
      <c r="I698" t="e">
        <f t="shared" si="107"/>
        <v>#N/A</v>
      </c>
      <c r="J698" t="e">
        <f t="shared" si="108"/>
        <v>#N/A</v>
      </c>
      <c r="K698">
        <f t="shared" si="109"/>
        <v>2.187081760560455E-2</v>
      </c>
      <c r="L698" t="e">
        <f>IF(AND(ABS((ChartCalculations!A698-Calculations!$F$3)/Calculations!$F$4)&lt;5,OR(A698&lt;=Calculations!$F$7,A698&gt;=Calculations!$F$8)),0.2*_xlfn.NORM.DIST(100,100,15,FALSE)*_xlfn.NORM.DIST(A698,Calculations!$F$3,Calculations!$F$4,FALSE)/_xlfn.NORM.DIST(Calculations!$F$3,Calculations!$F$3,Calculations!$F$4,FALSE),NA())</f>
        <v>#N/A</v>
      </c>
      <c r="M698" t="e">
        <f>IF(AND(A698&gt;=Calculations!$F$7,A698&lt;=Calculations!$F$8),0.2*_xlfn.NORM.DIST(100,100,15,FALSE)*_xlfn.NORM.DIST(A698,Calculations!$F$3,Calculations!$F$4,FALSE)/_xlfn.NORM.DIST(Calculations!$F$3,Calculations!$F$3,Calculations!$F$4,FALSE),NA())</f>
        <v>#N/A</v>
      </c>
    </row>
    <row r="699" spans="1:13" x14ac:dyDescent="0.25">
      <c r="A699">
        <v>109.700000000001</v>
      </c>
      <c r="B699" t="e">
        <f t="shared" si="100"/>
        <v>#N/A</v>
      </c>
      <c r="C699" t="e">
        <f t="shared" si="101"/>
        <v>#N/A</v>
      </c>
      <c r="D699" t="e">
        <f t="shared" si="102"/>
        <v>#N/A</v>
      </c>
      <c r="E699" t="e">
        <f t="shared" si="103"/>
        <v>#N/A</v>
      </c>
      <c r="F699">
        <f t="shared" si="104"/>
        <v>2.1578072904787662E-2</v>
      </c>
      <c r="G699" t="e">
        <f t="shared" si="105"/>
        <v>#N/A</v>
      </c>
      <c r="H699" t="e">
        <f t="shared" si="106"/>
        <v>#N/A</v>
      </c>
      <c r="I699" t="e">
        <f t="shared" si="107"/>
        <v>#N/A</v>
      </c>
      <c r="J699" t="e">
        <f t="shared" si="108"/>
        <v>#N/A</v>
      </c>
      <c r="K699">
        <f t="shared" si="109"/>
        <v>2.177807290478766E-2</v>
      </c>
      <c r="L699" t="e">
        <f>IF(AND(ABS((ChartCalculations!A699-Calculations!$F$3)/Calculations!$F$4)&lt;5,OR(A699&lt;=Calculations!$F$7,A699&gt;=Calculations!$F$8)),0.2*_xlfn.NORM.DIST(100,100,15,FALSE)*_xlfn.NORM.DIST(A699,Calculations!$F$3,Calculations!$F$4,FALSE)/_xlfn.NORM.DIST(Calculations!$F$3,Calculations!$F$3,Calculations!$F$4,FALSE),NA())</f>
        <v>#N/A</v>
      </c>
      <c r="M699" t="e">
        <f>IF(AND(A699&gt;=Calculations!$F$7,A699&lt;=Calculations!$F$8),0.2*_xlfn.NORM.DIST(100,100,15,FALSE)*_xlfn.NORM.DIST(A699,Calculations!$F$3,Calculations!$F$4,FALSE)/_xlfn.NORM.DIST(Calculations!$F$3,Calculations!$F$3,Calculations!$F$4,FALSE),NA())</f>
        <v>#N/A</v>
      </c>
    </row>
    <row r="700" spans="1:13" x14ac:dyDescent="0.25">
      <c r="A700">
        <v>109.80000000000101</v>
      </c>
      <c r="B700" t="e">
        <f t="shared" si="100"/>
        <v>#N/A</v>
      </c>
      <c r="C700" t="e">
        <f t="shared" si="101"/>
        <v>#N/A</v>
      </c>
      <c r="D700" t="e">
        <f t="shared" si="102"/>
        <v>#N/A</v>
      </c>
      <c r="E700" t="e">
        <f t="shared" si="103"/>
        <v>#N/A</v>
      </c>
      <c r="F700">
        <f t="shared" si="104"/>
        <v>2.1484770224009953E-2</v>
      </c>
      <c r="G700" t="e">
        <f t="shared" si="105"/>
        <v>#N/A</v>
      </c>
      <c r="H700" t="e">
        <f t="shared" si="106"/>
        <v>#N/A</v>
      </c>
      <c r="I700" t="e">
        <f t="shared" si="107"/>
        <v>#N/A</v>
      </c>
      <c r="J700" t="e">
        <f t="shared" si="108"/>
        <v>#N/A</v>
      </c>
      <c r="K700">
        <f t="shared" si="109"/>
        <v>2.1684770224009952E-2</v>
      </c>
      <c r="L700" t="e">
        <f>IF(AND(ABS((ChartCalculations!A700-Calculations!$F$3)/Calculations!$F$4)&lt;5,OR(A700&lt;=Calculations!$F$7,A700&gt;=Calculations!$F$8)),0.2*_xlfn.NORM.DIST(100,100,15,FALSE)*_xlfn.NORM.DIST(A700,Calculations!$F$3,Calculations!$F$4,FALSE)/_xlfn.NORM.DIST(Calculations!$F$3,Calculations!$F$3,Calculations!$F$4,FALSE),NA())</f>
        <v>#N/A</v>
      </c>
      <c r="M700" t="e">
        <f>IF(AND(A700&gt;=Calculations!$F$7,A700&lt;=Calculations!$F$8),0.2*_xlfn.NORM.DIST(100,100,15,FALSE)*_xlfn.NORM.DIST(A700,Calculations!$F$3,Calculations!$F$4,FALSE)/_xlfn.NORM.DIST(Calculations!$F$3,Calculations!$F$3,Calculations!$F$4,FALSE),NA())</f>
        <v>#N/A</v>
      </c>
    </row>
    <row r="701" spans="1:13" x14ac:dyDescent="0.25">
      <c r="A701">
        <v>109.900000000001</v>
      </c>
      <c r="B701" t="e">
        <f t="shared" si="100"/>
        <v>#N/A</v>
      </c>
      <c r="C701" t="e">
        <f t="shared" si="101"/>
        <v>#N/A</v>
      </c>
      <c r="D701" t="e">
        <f t="shared" si="102"/>
        <v>#N/A</v>
      </c>
      <c r="E701" t="e">
        <f t="shared" si="103"/>
        <v>#N/A</v>
      </c>
      <c r="F701">
        <f t="shared" si="104"/>
        <v>2.139092025141056E-2</v>
      </c>
      <c r="G701" t="e">
        <f t="shared" si="105"/>
        <v>#N/A</v>
      </c>
      <c r="H701" t="e">
        <f t="shared" si="106"/>
        <v>#N/A</v>
      </c>
      <c r="I701" t="e">
        <f t="shared" si="107"/>
        <v>#N/A</v>
      </c>
      <c r="J701" t="e">
        <f t="shared" si="108"/>
        <v>#N/A</v>
      </c>
      <c r="K701">
        <f t="shared" si="109"/>
        <v>2.1590920251410559E-2</v>
      </c>
      <c r="L701" t="e">
        <f>IF(AND(ABS((ChartCalculations!A701-Calculations!$F$3)/Calculations!$F$4)&lt;5,OR(A701&lt;=Calculations!$F$7,A701&gt;=Calculations!$F$8)),0.2*_xlfn.NORM.DIST(100,100,15,FALSE)*_xlfn.NORM.DIST(A701,Calculations!$F$3,Calculations!$F$4,FALSE)/_xlfn.NORM.DIST(Calculations!$F$3,Calculations!$F$3,Calculations!$F$4,FALSE),NA())</f>
        <v>#N/A</v>
      </c>
      <c r="M701" t="e">
        <f>IF(AND(A701&gt;=Calculations!$F$7,A701&lt;=Calculations!$F$8),0.2*_xlfn.NORM.DIST(100,100,15,FALSE)*_xlfn.NORM.DIST(A701,Calculations!$F$3,Calculations!$F$4,FALSE)/_xlfn.NORM.DIST(Calculations!$F$3,Calculations!$F$3,Calculations!$F$4,FALSE),NA())</f>
        <v>#N/A</v>
      </c>
    </row>
    <row r="702" spans="1:13" x14ac:dyDescent="0.25">
      <c r="A702">
        <v>110.00000000000099</v>
      </c>
      <c r="B702" t="e">
        <f t="shared" si="100"/>
        <v>#N/A</v>
      </c>
      <c r="C702" t="e">
        <f t="shared" si="101"/>
        <v>#N/A</v>
      </c>
      <c r="D702" t="e">
        <f t="shared" si="102"/>
        <v>#N/A</v>
      </c>
      <c r="E702" t="e">
        <f t="shared" si="103"/>
        <v>#N/A</v>
      </c>
      <c r="F702" t="e">
        <f t="shared" si="104"/>
        <v>#N/A</v>
      </c>
      <c r="G702">
        <f t="shared" si="105"/>
        <v>2.1296533701489206E-2</v>
      </c>
      <c r="H702" t="e">
        <f t="shared" si="106"/>
        <v>#N/A</v>
      </c>
      <c r="I702" t="e">
        <f t="shared" si="107"/>
        <v>#N/A</v>
      </c>
      <c r="J702" t="e">
        <f t="shared" si="108"/>
        <v>#N/A</v>
      </c>
      <c r="K702">
        <f t="shared" si="109"/>
        <v>2.1496533701489205E-2</v>
      </c>
      <c r="L702" t="e">
        <f>IF(AND(ABS((ChartCalculations!A702-Calculations!$F$3)/Calculations!$F$4)&lt;5,OR(A702&lt;=Calculations!$F$7,A702&gt;=Calculations!$F$8)),0.2*_xlfn.NORM.DIST(100,100,15,FALSE)*_xlfn.NORM.DIST(A702,Calculations!$F$3,Calculations!$F$4,FALSE)/_xlfn.NORM.DIST(Calculations!$F$3,Calculations!$F$3,Calculations!$F$4,FALSE),NA())</f>
        <v>#N/A</v>
      </c>
      <c r="M702" t="e">
        <f>IF(AND(A702&gt;=Calculations!$F$7,A702&lt;=Calculations!$F$8),0.2*_xlfn.NORM.DIST(100,100,15,FALSE)*_xlfn.NORM.DIST(A702,Calculations!$F$3,Calculations!$F$4,FALSE)/_xlfn.NORM.DIST(Calculations!$F$3,Calculations!$F$3,Calculations!$F$4,FALSE),NA())</f>
        <v>#N/A</v>
      </c>
    </row>
    <row r="703" spans="1:13" x14ac:dyDescent="0.25">
      <c r="A703">
        <v>110.100000000001</v>
      </c>
      <c r="B703" t="e">
        <f t="shared" si="100"/>
        <v>#N/A</v>
      </c>
      <c r="C703" t="e">
        <f t="shared" si="101"/>
        <v>#N/A</v>
      </c>
      <c r="D703" t="e">
        <f t="shared" si="102"/>
        <v>#N/A</v>
      </c>
      <c r="E703" t="e">
        <f t="shared" si="103"/>
        <v>#N/A</v>
      </c>
      <c r="F703" t="e">
        <f t="shared" si="104"/>
        <v>#N/A</v>
      </c>
      <c r="G703">
        <f t="shared" si="105"/>
        <v>2.1201621313090543E-2</v>
      </c>
      <c r="H703" t="e">
        <f t="shared" si="106"/>
        <v>#N/A</v>
      </c>
      <c r="I703" t="e">
        <f t="shared" si="107"/>
        <v>#N/A</v>
      </c>
      <c r="J703" t="e">
        <f t="shared" si="108"/>
        <v>#N/A</v>
      </c>
      <c r="K703">
        <f t="shared" si="109"/>
        <v>2.1401621313090542E-2</v>
      </c>
      <c r="L703" t="e">
        <f>IF(AND(ABS((ChartCalculations!A703-Calculations!$F$3)/Calculations!$F$4)&lt;5,OR(A703&lt;=Calculations!$F$7,A703&gt;=Calculations!$F$8)),0.2*_xlfn.NORM.DIST(100,100,15,FALSE)*_xlfn.NORM.DIST(A703,Calculations!$F$3,Calculations!$F$4,FALSE)/_xlfn.NORM.DIST(Calculations!$F$3,Calculations!$F$3,Calculations!$F$4,FALSE),NA())</f>
        <v>#N/A</v>
      </c>
      <c r="M703" t="e">
        <f>IF(AND(A703&gt;=Calculations!$F$7,A703&lt;=Calculations!$F$8),0.2*_xlfn.NORM.DIST(100,100,15,FALSE)*_xlfn.NORM.DIST(A703,Calculations!$F$3,Calculations!$F$4,FALSE)/_xlfn.NORM.DIST(Calculations!$F$3,Calculations!$F$3,Calculations!$F$4,FALSE),NA())</f>
        <v>#N/A</v>
      </c>
    </row>
    <row r="704" spans="1:13" x14ac:dyDescent="0.25">
      <c r="A704">
        <v>110.200000000001</v>
      </c>
      <c r="B704" t="e">
        <f t="shared" si="100"/>
        <v>#N/A</v>
      </c>
      <c r="C704" t="e">
        <f t="shared" si="101"/>
        <v>#N/A</v>
      </c>
      <c r="D704" t="e">
        <f t="shared" si="102"/>
        <v>#N/A</v>
      </c>
      <c r="E704" t="e">
        <f t="shared" si="103"/>
        <v>#N/A</v>
      </c>
      <c r="F704" t="e">
        <f t="shared" si="104"/>
        <v>#N/A</v>
      </c>
      <c r="G704">
        <f t="shared" si="105"/>
        <v>2.1106193847391898E-2</v>
      </c>
      <c r="H704" t="e">
        <f t="shared" si="106"/>
        <v>#N/A</v>
      </c>
      <c r="I704" t="e">
        <f t="shared" si="107"/>
        <v>#N/A</v>
      </c>
      <c r="J704" t="e">
        <f t="shared" si="108"/>
        <v>#N/A</v>
      </c>
      <c r="K704">
        <f t="shared" si="109"/>
        <v>2.1306193847391897E-2</v>
      </c>
      <c r="L704" t="e">
        <f>IF(AND(ABS((ChartCalculations!A704-Calculations!$F$3)/Calculations!$F$4)&lt;5,OR(A704&lt;=Calculations!$F$7,A704&gt;=Calculations!$F$8)),0.2*_xlfn.NORM.DIST(100,100,15,FALSE)*_xlfn.NORM.DIST(A704,Calculations!$F$3,Calculations!$F$4,FALSE)/_xlfn.NORM.DIST(Calculations!$F$3,Calculations!$F$3,Calculations!$F$4,FALSE),NA())</f>
        <v>#N/A</v>
      </c>
      <c r="M704" t="e">
        <f>IF(AND(A704&gt;=Calculations!$F$7,A704&lt;=Calculations!$F$8),0.2*_xlfn.NORM.DIST(100,100,15,FALSE)*_xlfn.NORM.DIST(A704,Calculations!$F$3,Calculations!$F$4,FALSE)/_xlfn.NORM.DIST(Calculations!$F$3,Calculations!$F$3,Calculations!$F$4,FALSE),NA())</f>
        <v>#N/A</v>
      </c>
    </row>
    <row r="705" spans="1:13" x14ac:dyDescent="0.25">
      <c r="A705">
        <v>110.30000000000101</v>
      </c>
      <c r="B705" t="e">
        <f t="shared" si="100"/>
        <v>#N/A</v>
      </c>
      <c r="C705" t="e">
        <f t="shared" si="101"/>
        <v>#N/A</v>
      </c>
      <c r="D705" t="e">
        <f t="shared" si="102"/>
        <v>#N/A</v>
      </c>
      <c r="E705" t="e">
        <f t="shared" si="103"/>
        <v>#N/A</v>
      </c>
      <c r="F705" t="e">
        <f t="shared" si="104"/>
        <v>#N/A</v>
      </c>
      <c r="G705">
        <f t="shared" si="105"/>
        <v>2.1010262085894908E-2</v>
      </c>
      <c r="H705" t="e">
        <f t="shared" si="106"/>
        <v>#N/A</v>
      </c>
      <c r="I705" t="e">
        <f t="shared" si="107"/>
        <v>#N/A</v>
      </c>
      <c r="J705" t="e">
        <f t="shared" si="108"/>
        <v>#N/A</v>
      </c>
      <c r="K705">
        <f t="shared" si="109"/>
        <v>2.1210262085894906E-2</v>
      </c>
      <c r="L705" t="e">
        <f>IF(AND(ABS((ChartCalculations!A705-Calculations!$F$3)/Calculations!$F$4)&lt;5,OR(A705&lt;=Calculations!$F$7,A705&gt;=Calculations!$F$8)),0.2*_xlfn.NORM.DIST(100,100,15,FALSE)*_xlfn.NORM.DIST(A705,Calculations!$F$3,Calculations!$F$4,FALSE)/_xlfn.NORM.DIST(Calculations!$F$3,Calculations!$F$3,Calculations!$F$4,FALSE),NA())</f>
        <v>#N/A</v>
      </c>
      <c r="M705" t="e">
        <f>IF(AND(A705&gt;=Calculations!$F$7,A705&lt;=Calculations!$F$8),0.2*_xlfn.NORM.DIST(100,100,15,FALSE)*_xlfn.NORM.DIST(A705,Calculations!$F$3,Calculations!$F$4,FALSE)/_xlfn.NORM.DIST(Calculations!$F$3,Calculations!$F$3,Calculations!$F$4,FALSE),NA())</f>
        <v>#N/A</v>
      </c>
    </row>
    <row r="706" spans="1:13" x14ac:dyDescent="0.25">
      <c r="A706">
        <v>110.400000000001</v>
      </c>
      <c r="B706" t="e">
        <f t="shared" si="100"/>
        <v>#N/A</v>
      </c>
      <c r="C706" t="e">
        <f t="shared" si="101"/>
        <v>#N/A</v>
      </c>
      <c r="D706" t="e">
        <f t="shared" si="102"/>
        <v>#N/A</v>
      </c>
      <c r="E706" t="e">
        <f t="shared" si="103"/>
        <v>#N/A</v>
      </c>
      <c r="F706" t="e">
        <f t="shared" si="104"/>
        <v>#N/A</v>
      </c>
      <c r="G706">
        <f t="shared" si="105"/>
        <v>2.0913836828421781E-2</v>
      </c>
      <c r="H706" t="e">
        <f t="shared" si="106"/>
        <v>#N/A</v>
      </c>
      <c r="I706" t="e">
        <f t="shared" si="107"/>
        <v>#N/A</v>
      </c>
      <c r="J706" t="e">
        <f t="shared" si="108"/>
        <v>#N/A</v>
      </c>
      <c r="K706">
        <f t="shared" si="109"/>
        <v>2.111383682842178E-2</v>
      </c>
      <c r="L706" t="e">
        <f>IF(AND(ABS((ChartCalculations!A706-Calculations!$F$3)/Calculations!$F$4)&lt;5,OR(A706&lt;=Calculations!$F$7,A706&gt;=Calculations!$F$8)),0.2*_xlfn.NORM.DIST(100,100,15,FALSE)*_xlfn.NORM.DIST(A706,Calculations!$F$3,Calculations!$F$4,FALSE)/_xlfn.NORM.DIST(Calculations!$F$3,Calculations!$F$3,Calculations!$F$4,FALSE),NA())</f>
        <v>#N/A</v>
      </c>
      <c r="M706" t="e">
        <f>IF(AND(A706&gt;=Calculations!$F$7,A706&lt;=Calculations!$F$8),0.2*_xlfn.NORM.DIST(100,100,15,FALSE)*_xlfn.NORM.DIST(A706,Calculations!$F$3,Calculations!$F$4,FALSE)/_xlfn.NORM.DIST(Calculations!$F$3,Calculations!$F$3,Calculations!$F$4,FALSE),NA())</f>
        <v>#N/A</v>
      </c>
    </row>
    <row r="707" spans="1:13" x14ac:dyDescent="0.25">
      <c r="A707">
        <v>110.50000000000099</v>
      </c>
      <c r="B707" t="e">
        <f t="shared" ref="B707:B770" si="110">IF($A707&lt;=60,_xlfn.NORM.DIST($A707,100,15,FALSE),NA())</f>
        <v>#N/A</v>
      </c>
      <c r="C707" t="e">
        <f t="shared" ref="C707:C770" si="111">IF(AND($A707&gt;=60,$A707&lt;=70),_xlfn.NORM.DIST($A707,100,15,FALSE),NA())</f>
        <v>#N/A</v>
      </c>
      <c r="D707" t="e">
        <f t="shared" ref="D707:D770" si="112">IF(AND($A707&gt;=70,$A707&lt;=80),_xlfn.NORM.DIST($A707,100,15,FALSE),NA())</f>
        <v>#N/A</v>
      </c>
      <c r="E707" t="e">
        <f t="shared" ref="E707:E770" si="113">IF(AND($A707&gt;=80,$A707&lt;=90),_xlfn.NORM.DIST($A707,100,15,FALSE),NA())</f>
        <v>#N/A</v>
      </c>
      <c r="F707" t="e">
        <f t="shared" ref="F707:F770" si="114">IF(AND($A707&gt;=90,$A707&lt;=110),_xlfn.NORM.DIST($A707,100,15,FALSE),NA())</f>
        <v>#N/A</v>
      </c>
      <c r="G707">
        <f t="shared" ref="G707:G770" si="115">IF(AND($A707&gt;=110,$A707&lt;=120),_xlfn.NORM.DIST($A707,100,15,FALSE),NA())</f>
        <v>2.0816928891116453E-2</v>
      </c>
      <c r="H707" t="e">
        <f t="shared" ref="H707:H770" si="116">IF(AND($A707&gt;=120,$A707&lt;=130),_xlfn.NORM.DIST($A707,100,15,FALSE),NA())</f>
        <v>#N/A</v>
      </c>
      <c r="I707" t="e">
        <f t="shared" ref="I707:I770" si="117">IF(AND($A707&gt;=130,$A707&lt;=140),_xlfn.NORM.DIST($A707,100,15,FALSE),NA())</f>
        <v>#N/A</v>
      </c>
      <c r="J707" t="e">
        <f t="shared" ref="J707:J770" si="118">IF($A707&gt;=140,_xlfn.NORM.DIST($A707,100,15,FALSE),NA())</f>
        <v>#N/A</v>
      </c>
      <c r="K707">
        <f t="shared" ref="K707:K770" si="119">_xlfn.NORM.DIST($A707,100,15,FALSE)+0.0002</f>
        <v>2.1016928891116452E-2</v>
      </c>
      <c r="L707" t="e">
        <f>IF(AND(ABS((ChartCalculations!A707-Calculations!$F$3)/Calculations!$F$4)&lt;5,OR(A707&lt;=Calculations!$F$7,A707&gt;=Calculations!$F$8)),0.2*_xlfn.NORM.DIST(100,100,15,FALSE)*_xlfn.NORM.DIST(A707,Calculations!$F$3,Calculations!$F$4,FALSE)/_xlfn.NORM.DIST(Calculations!$F$3,Calculations!$F$3,Calculations!$F$4,FALSE),NA())</f>
        <v>#N/A</v>
      </c>
      <c r="M707" t="e">
        <f>IF(AND(A707&gt;=Calculations!$F$7,A707&lt;=Calculations!$F$8),0.2*_xlfn.NORM.DIST(100,100,15,FALSE)*_xlfn.NORM.DIST(A707,Calculations!$F$3,Calculations!$F$4,FALSE)/_xlfn.NORM.DIST(Calculations!$F$3,Calculations!$F$3,Calculations!$F$4,FALSE),NA())</f>
        <v>#N/A</v>
      </c>
    </row>
    <row r="708" spans="1:13" x14ac:dyDescent="0.25">
      <c r="A708">
        <v>110.600000000001</v>
      </c>
      <c r="B708" t="e">
        <f t="shared" si="110"/>
        <v>#N/A</v>
      </c>
      <c r="C708" t="e">
        <f t="shared" si="111"/>
        <v>#N/A</v>
      </c>
      <c r="D708" t="e">
        <f t="shared" si="112"/>
        <v>#N/A</v>
      </c>
      <c r="E708" t="e">
        <f t="shared" si="113"/>
        <v>#N/A</v>
      </c>
      <c r="F708" t="e">
        <f t="shared" si="114"/>
        <v>#N/A</v>
      </c>
      <c r="G708">
        <f t="shared" si="115"/>
        <v>2.0719549104451267E-2</v>
      </c>
      <c r="H708" t="e">
        <f t="shared" si="116"/>
        <v>#N/A</v>
      </c>
      <c r="I708" t="e">
        <f t="shared" si="117"/>
        <v>#N/A</v>
      </c>
      <c r="J708" t="e">
        <f t="shared" si="118"/>
        <v>#N/A</v>
      </c>
      <c r="K708">
        <f t="shared" si="119"/>
        <v>2.0919549104451266E-2</v>
      </c>
      <c r="L708" t="e">
        <f>IF(AND(ABS((ChartCalculations!A708-Calculations!$F$3)/Calculations!$F$4)&lt;5,OR(A708&lt;=Calculations!$F$7,A708&gt;=Calculations!$F$8)),0.2*_xlfn.NORM.DIST(100,100,15,FALSE)*_xlfn.NORM.DIST(A708,Calculations!$F$3,Calculations!$F$4,FALSE)/_xlfn.NORM.DIST(Calculations!$F$3,Calculations!$F$3,Calculations!$F$4,FALSE),NA())</f>
        <v>#N/A</v>
      </c>
      <c r="M708" t="e">
        <f>IF(AND(A708&gt;=Calculations!$F$7,A708&lt;=Calculations!$F$8),0.2*_xlfn.NORM.DIST(100,100,15,FALSE)*_xlfn.NORM.DIST(A708,Calculations!$F$3,Calculations!$F$4,FALSE)/_xlfn.NORM.DIST(Calculations!$F$3,Calculations!$F$3,Calculations!$F$4,FALSE),NA())</f>
        <v>#N/A</v>
      </c>
    </row>
    <row r="709" spans="1:13" x14ac:dyDescent="0.25">
      <c r="A709">
        <v>110.700000000001</v>
      </c>
      <c r="B709" t="e">
        <f t="shared" si="110"/>
        <v>#N/A</v>
      </c>
      <c r="C709" t="e">
        <f t="shared" si="111"/>
        <v>#N/A</v>
      </c>
      <c r="D709" t="e">
        <f t="shared" si="112"/>
        <v>#N/A</v>
      </c>
      <c r="E709" t="e">
        <f t="shared" si="113"/>
        <v>#N/A</v>
      </c>
      <c r="F709" t="e">
        <f t="shared" si="114"/>
        <v>#N/A</v>
      </c>
      <c r="G709">
        <f t="shared" si="115"/>
        <v>2.0621708311239776E-2</v>
      </c>
      <c r="H709" t="e">
        <f t="shared" si="116"/>
        <v>#N/A</v>
      </c>
      <c r="I709" t="e">
        <f t="shared" si="117"/>
        <v>#N/A</v>
      </c>
      <c r="J709" t="e">
        <f t="shared" si="118"/>
        <v>#N/A</v>
      </c>
      <c r="K709">
        <f t="shared" si="119"/>
        <v>2.0821708311239775E-2</v>
      </c>
      <c r="L709" t="e">
        <f>IF(AND(ABS((ChartCalculations!A709-Calculations!$F$3)/Calculations!$F$4)&lt;5,OR(A709&lt;=Calculations!$F$7,A709&gt;=Calculations!$F$8)),0.2*_xlfn.NORM.DIST(100,100,15,FALSE)*_xlfn.NORM.DIST(A709,Calculations!$F$3,Calculations!$F$4,FALSE)/_xlfn.NORM.DIST(Calculations!$F$3,Calculations!$F$3,Calculations!$F$4,FALSE),NA())</f>
        <v>#N/A</v>
      </c>
      <c r="M709" t="e">
        <f>IF(AND(A709&gt;=Calculations!$F$7,A709&lt;=Calculations!$F$8),0.2*_xlfn.NORM.DIST(100,100,15,FALSE)*_xlfn.NORM.DIST(A709,Calculations!$F$3,Calculations!$F$4,FALSE)/_xlfn.NORM.DIST(Calculations!$F$3,Calculations!$F$3,Calculations!$F$4,FALSE),NA())</f>
        <v>#N/A</v>
      </c>
    </row>
    <row r="710" spans="1:13" x14ac:dyDescent="0.25">
      <c r="A710">
        <v>110.80000000000101</v>
      </c>
      <c r="B710" t="e">
        <f t="shared" si="110"/>
        <v>#N/A</v>
      </c>
      <c r="C710" t="e">
        <f t="shared" si="111"/>
        <v>#N/A</v>
      </c>
      <c r="D710" t="e">
        <f t="shared" si="112"/>
        <v>#N/A</v>
      </c>
      <c r="E710" t="e">
        <f t="shared" si="113"/>
        <v>#N/A</v>
      </c>
      <c r="F710" t="e">
        <f t="shared" si="114"/>
        <v>#N/A</v>
      </c>
      <c r="G710">
        <f t="shared" si="115"/>
        <v>2.0523417364655874E-2</v>
      </c>
      <c r="H710" t="e">
        <f t="shared" si="116"/>
        <v>#N/A</v>
      </c>
      <c r="I710" t="e">
        <f t="shared" si="117"/>
        <v>#N/A</v>
      </c>
      <c r="J710" t="e">
        <f t="shared" si="118"/>
        <v>#N/A</v>
      </c>
      <c r="K710">
        <f t="shared" si="119"/>
        <v>2.0723417364655872E-2</v>
      </c>
      <c r="L710" t="e">
        <f>IF(AND(ABS((ChartCalculations!A710-Calculations!$F$3)/Calculations!$F$4)&lt;5,OR(A710&lt;=Calculations!$F$7,A710&gt;=Calculations!$F$8)),0.2*_xlfn.NORM.DIST(100,100,15,FALSE)*_xlfn.NORM.DIST(A710,Calculations!$F$3,Calculations!$F$4,FALSE)/_xlfn.NORM.DIST(Calculations!$F$3,Calculations!$F$3,Calculations!$F$4,FALSE),NA())</f>
        <v>#N/A</v>
      </c>
      <c r="M710" t="e">
        <f>IF(AND(A710&gt;=Calculations!$F$7,A710&lt;=Calculations!$F$8),0.2*_xlfn.NORM.DIST(100,100,15,FALSE)*_xlfn.NORM.DIST(A710,Calculations!$F$3,Calculations!$F$4,FALSE)/_xlfn.NORM.DIST(Calculations!$F$3,Calculations!$F$3,Calculations!$F$4,FALSE),NA())</f>
        <v>#N/A</v>
      </c>
    </row>
    <row r="711" spans="1:13" x14ac:dyDescent="0.25">
      <c r="A711">
        <v>110.900000000001</v>
      </c>
      <c r="B711" t="e">
        <f t="shared" si="110"/>
        <v>#N/A</v>
      </c>
      <c r="C711" t="e">
        <f t="shared" si="111"/>
        <v>#N/A</v>
      </c>
      <c r="D711" t="e">
        <f t="shared" si="112"/>
        <v>#N/A</v>
      </c>
      <c r="E711" t="e">
        <f t="shared" si="113"/>
        <v>#N/A</v>
      </c>
      <c r="F711" t="e">
        <f t="shared" si="114"/>
        <v>#N/A</v>
      </c>
      <c r="G711">
        <f t="shared" si="115"/>
        <v>2.0424687126260131E-2</v>
      </c>
      <c r="H711" t="e">
        <f t="shared" si="116"/>
        <v>#N/A</v>
      </c>
      <c r="I711" t="e">
        <f t="shared" si="117"/>
        <v>#N/A</v>
      </c>
      <c r="J711" t="e">
        <f t="shared" si="118"/>
        <v>#N/A</v>
      </c>
      <c r="K711">
        <f t="shared" si="119"/>
        <v>2.062468712626013E-2</v>
      </c>
      <c r="L711" t="e">
        <f>IF(AND(ABS((ChartCalculations!A711-Calculations!$F$3)/Calculations!$F$4)&lt;5,OR(A711&lt;=Calculations!$F$7,A711&gt;=Calculations!$F$8)),0.2*_xlfn.NORM.DIST(100,100,15,FALSE)*_xlfn.NORM.DIST(A711,Calculations!$F$3,Calculations!$F$4,FALSE)/_xlfn.NORM.DIST(Calculations!$F$3,Calculations!$F$3,Calculations!$F$4,FALSE),NA())</f>
        <v>#N/A</v>
      </c>
      <c r="M711" t="e">
        <f>IF(AND(A711&gt;=Calculations!$F$7,A711&lt;=Calculations!$F$8),0.2*_xlfn.NORM.DIST(100,100,15,FALSE)*_xlfn.NORM.DIST(A711,Calculations!$F$3,Calculations!$F$4,FALSE)/_xlfn.NORM.DIST(Calculations!$F$3,Calculations!$F$3,Calculations!$F$4,FALSE),NA())</f>
        <v>#N/A</v>
      </c>
    </row>
    <row r="712" spans="1:13" x14ac:dyDescent="0.25">
      <c r="A712">
        <v>111.00000000000099</v>
      </c>
      <c r="B712" t="e">
        <f t="shared" si="110"/>
        <v>#N/A</v>
      </c>
      <c r="C712" t="e">
        <f t="shared" si="111"/>
        <v>#N/A</v>
      </c>
      <c r="D712" t="e">
        <f t="shared" si="112"/>
        <v>#N/A</v>
      </c>
      <c r="E712" t="e">
        <f t="shared" si="113"/>
        <v>#N/A</v>
      </c>
      <c r="F712" t="e">
        <f t="shared" si="114"/>
        <v>#N/A</v>
      </c>
      <c r="G712">
        <f t="shared" si="115"/>
        <v>2.0325528464033491E-2</v>
      </c>
      <c r="H712" t="e">
        <f t="shared" si="116"/>
        <v>#N/A</v>
      </c>
      <c r="I712" t="e">
        <f t="shared" si="117"/>
        <v>#N/A</v>
      </c>
      <c r="J712" t="e">
        <f t="shared" si="118"/>
        <v>#N/A</v>
      </c>
      <c r="K712">
        <f t="shared" si="119"/>
        <v>2.052552846403349E-2</v>
      </c>
      <c r="L712" t="e">
        <f>IF(AND(ABS((ChartCalculations!A712-Calculations!$F$3)/Calculations!$F$4)&lt;5,OR(A712&lt;=Calculations!$F$7,A712&gt;=Calculations!$F$8)),0.2*_xlfn.NORM.DIST(100,100,15,FALSE)*_xlfn.NORM.DIST(A712,Calculations!$F$3,Calculations!$F$4,FALSE)/_xlfn.NORM.DIST(Calculations!$F$3,Calculations!$F$3,Calculations!$F$4,FALSE),NA())</f>
        <v>#N/A</v>
      </c>
      <c r="M712" t="e">
        <f>IF(AND(A712&gt;=Calculations!$F$7,A712&lt;=Calculations!$F$8),0.2*_xlfn.NORM.DIST(100,100,15,FALSE)*_xlfn.NORM.DIST(A712,Calculations!$F$3,Calculations!$F$4,FALSE)/_xlfn.NORM.DIST(Calculations!$F$3,Calculations!$F$3,Calculations!$F$4,FALSE),NA())</f>
        <v>#N/A</v>
      </c>
    </row>
    <row r="713" spans="1:13" x14ac:dyDescent="0.25">
      <c r="A713">
        <v>111.100000000001</v>
      </c>
      <c r="B713" t="e">
        <f t="shared" si="110"/>
        <v>#N/A</v>
      </c>
      <c r="C713" t="e">
        <f t="shared" si="111"/>
        <v>#N/A</v>
      </c>
      <c r="D713" t="e">
        <f t="shared" si="112"/>
        <v>#N/A</v>
      </c>
      <c r="E713" t="e">
        <f t="shared" si="113"/>
        <v>#N/A</v>
      </c>
      <c r="F713" t="e">
        <f t="shared" si="114"/>
        <v>#N/A</v>
      </c>
      <c r="G713">
        <f t="shared" si="115"/>
        <v>2.0225952250419007E-2</v>
      </c>
      <c r="H713" t="e">
        <f t="shared" si="116"/>
        <v>#N/A</v>
      </c>
      <c r="I713" t="e">
        <f t="shared" si="117"/>
        <v>#N/A</v>
      </c>
      <c r="J713" t="e">
        <f t="shared" si="118"/>
        <v>#N/A</v>
      </c>
      <c r="K713">
        <f t="shared" si="119"/>
        <v>2.0425952250419006E-2</v>
      </c>
      <c r="L713" t="e">
        <f>IF(AND(ABS((ChartCalculations!A713-Calculations!$F$3)/Calculations!$F$4)&lt;5,OR(A713&lt;=Calculations!$F$7,A713&gt;=Calculations!$F$8)),0.2*_xlfn.NORM.DIST(100,100,15,FALSE)*_xlfn.NORM.DIST(A713,Calculations!$F$3,Calculations!$F$4,FALSE)/_xlfn.NORM.DIST(Calculations!$F$3,Calculations!$F$3,Calculations!$F$4,FALSE),NA())</f>
        <v>#N/A</v>
      </c>
      <c r="M713" t="e">
        <f>IF(AND(A713&gt;=Calculations!$F$7,A713&lt;=Calculations!$F$8),0.2*_xlfn.NORM.DIST(100,100,15,FALSE)*_xlfn.NORM.DIST(A713,Calculations!$F$3,Calculations!$F$4,FALSE)/_xlfn.NORM.DIST(Calculations!$F$3,Calculations!$F$3,Calculations!$F$4,FALSE),NA())</f>
        <v>#N/A</v>
      </c>
    </row>
    <row r="714" spans="1:13" x14ac:dyDescent="0.25">
      <c r="A714">
        <v>111.200000000001</v>
      </c>
      <c r="B714" t="e">
        <f t="shared" si="110"/>
        <v>#N/A</v>
      </c>
      <c r="C714" t="e">
        <f t="shared" si="111"/>
        <v>#N/A</v>
      </c>
      <c r="D714" t="e">
        <f t="shared" si="112"/>
        <v>#N/A</v>
      </c>
      <c r="E714" t="e">
        <f t="shared" si="113"/>
        <v>#N/A</v>
      </c>
      <c r="F714" t="e">
        <f t="shared" si="114"/>
        <v>#N/A</v>
      </c>
      <c r="G714">
        <f t="shared" si="115"/>
        <v>2.0125969360372146E-2</v>
      </c>
      <c r="H714" t="e">
        <f t="shared" si="116"/>
        <v>#N/A</v>
      </c>
      <c r="I714" t="e">
        <f t="shared" si="117"/>
        <v>#N/A</v>
      </c>
      <c r="J714" t="e">
        <f t="shared" si="118"/>
        <v>#N/A</v>
      </c>
      <c r="K714">
        <f t="shared" si="119"/>
        <v>2.0325969360372145E-2</v>
      </c>
      <c r="L714" t="e">
        <f>IF(AND(ABS((ChartCalculations!A714-Calculations!$F$3)/Calculations!$F$4)&lt;5,OR(A714&lt;=Calculations!$F$7,A714&gt;=Calculations!$F$8)),0.2*_xlfn.NORM.DIST(100,100,15,FALSE)*_xlfn.NORM.DIST(A714,Calculations!$F$3,Calculations!$F$4,FALSE)/_xlfn.NORM.DIST(Calculations!$F$3,Calculations!$F$3,Calculations!$F$4,FALSE),NA())</f>
        <v>#N/A</v>
      </c>
      <c r="M714" t="e">
        <f>IF(AND(A714&gt;=Calculations!$F$7,A714&lt;=Calculations!$F$8),0.2*_xlfn.NORM.DIST(100,100,15,FALSE)*_xlfn.NORM.DIST(A714,Calculations!$F$3,Calculations!$F$4,FALSE)/_xlfn.NORM.DIST(Calculations!$F$3,Calculations!$F$3,Calculations!$F$4,FALSE),NA())</f>
        <v>#N/A</v>
      </c>
    </row>
    <row r="715" spans="1:13" x14ac:dyDescent="0.25">
      <c r="A715">
        <v>111.30000000000101</v>
      </c>
      <c r="B715" t="e">
        <f t="shared" si="110"/>
        <v>#N/A</v>
      </c>
      <c r="C715" t="e">
        <f t="shared" si="111"/>
        <v>#N/A</v>
      </c>
      <c r="D715" t="e">
        <f t="shared" si="112"/>
        <v>#N/A</v>
      </c>
      <c r="E715" t="e">
        <f t="shared" si="113"/>
        <v>#N/A</v>
      </c>
      <c r="F715" t="e">
        <f t="shared" si="114"/>
        <v>#N/A</v>
      </c>
      <c r="G715">
        <f t="shared" si="115"/>
        <v>2.0025590669419838E-2</v>
      </c>
      <c r="H715" t="e">
        <f t="shared" si="116"/>
        <v>#N/A</v>
      </c>
      <c r="I715" t="e">
        <f t="shared" si="117"/>
        <v>#N/A</v>
      </c>
      <c r="J715" t="e">
        <f t="shared" si="118"/>
        <v>#N/A</v>
      </c>
      <c r="K715">
        <f t="shared" si="119"/>
        <v>2.0225590669419837E-2</v>
      </c>
      <c r="L715" t="e">
        <f>IF(AND(ABS((ChartCalculations!A715-Calculations!$F$3)/Calculations!$F$4)&lt;5,OR(A715&lt;=Calculations!$F$7,A715&gt;=Calculations!$F$8)),0.2*_xlfn.NORM.DIST(100,100,15,FALSE)*_xlfn.NORM.DIST(A715,Calculations!$F$3,Calculations!$F$4,FALSE)/_xlfn.NORM.DIST(Calculations!$F$3,Calculations!$F$3,Calculations!$F$4,FALSE),NA())</f>
        <v>#N/A</v>
      </c>
      <c r="M715" t="e">
        <f>IF(AND(A715&gt;=Calculations!$F$7,A715&lt;=Calculations!$F$8),0.2*_xlfn.NORM.DIST(100,100,15,FALSE)*_xlfn.NORM.DIST(A715,Calculations!$F$3,Calculations!$F$4,FALSE)/_xlfn.NORM.DIST(Calculations!$F$3,Calculations!$F$3,Calculations!$F$4,FALSE),NA())</f>
        <v>#N/A</v>
      </c>
    </row>
    <row r="716" spans="1:13" x14ac:dyDescent="0.25">
      <c r="A716">
        <v>111.400000000001</v>
      </c>
      <c r="B716" t="e">
        <f t="shared" si="110"/>
        <v>#N/A</v>
      </c>
      <c r="C716" t="e">
        <f t="shared" si="111"/>
        <v>#N/A</v>
      </c>
      <c r="D716" t="e">
        <f t="shared" si="112"/>
        <v>#N/A</v>
      </c>
      <c r="E716" t="e">
        <f t="shared" si="113"/>
        <v>#N/A</v>
      </c>
      <c r="F716" t="e">
        <f t="shared" si="114"/>
        <v>#N/A</v>
      </c>
      <c r="G716">
        <f t="shared" si="115"/>
        <v>1.9924827051729172E-2</v>
      </c>
      <c r="H716" t="e">
        <f t="shared" si="116"/>
        <v>#N/A</v>
      </c>
      <c r="I716" t="e">
        <f t="shared" si="117"/>
        <v>#N/A</v>
      </c>
      <c r="J716" t="e">
        <f t="shared" si="118"/>
        <v>#N/A</v>
      </c>
      <c r="K716">
        <f t="shared" si="119"/>
        <v>2.0124827051729171E-2</v>
      </c>
      <c r="L716" t="e">
        <f>IF(AND(ABS((ChartCalculations!A716-Calculations!$F$3)/Calculations!$F$4)&lt;5,OR(A716&lt;=Calculations!$F$7,A716&gt;=Calculations!$F$8)),0.2*_xlfn.NORM.DIST(100,100,15,FALSE)*_xlfn.NORM.DIST(A716,Calculations!$F$3,Calculations!$F$4,FALSE)/_xlfn.NORM.DIST(Calculations!$F$3,Calculations!$F$3,Calculations!$F$4,FALSE),NA())</f>
        <v>#N/A</v>
      </c>
      <c r="M716" t="e">
        <f>IF(AND(A716&gt;=Calculations!$F$7,A716&lt;=Calculations!$F$8),0.2*_xlfn.NORM.DIST(100,100,15,FALSE)*_xlfn.NORM.DIST(A716,Calculations!$F$3,Calculations!$F$4,FALSE)/_xlfn.NORM.DIST(Calculations!$F$3,Calculations!$F$3,Calculations!$F$4,FALSE),NA())</f>
        <v>#N/A</v>
      </c>
    </row>
    <row r="717" spans="1:13" x14ac:dyDescent="0.25">
      <c r="A717">
        <v>111.50000000000099</v>
      </c>
      <c r="B717" t="e">
        <f t="shared" si="110"/>
        <v>#N/A</v>
      </c>
      <c r="C717" t="e">
        <f t="shared" si="111"/>
        <v>#N/A</v>
      </c>
      <c r="D717" t="e">
        <f t="shared" si="112"/>
        <v>#N/A</v>
      </c>
      <c r="E717" t="e">
        <f t="shared" si="113"/>
        <v>#N/A</v>
      </c>
      <c r="F717" t="e">
        <f t="shared" si="114"/>
        <v>#N/A</v>
      </c>
      <c r="G717">
        <f t="shared" si="115"/>
        <v>1.9823689378185832E-2</v>
      </c>
      <c r="H717" t="e">
        <f t="shared" si="116"/>
        <v>#N/A</v>
      </c>
      <c r="I717" t="e">
        <f t="shared" si="117"/>
        <v>#N/A</v>
      </c>
      <c r="J717" t="e">
        <f t="shared" si="118"/>
        <v>#N/A</v>
      </c>
      <c r="K717">
        <f t="shared" si="119"/>
        <v>2.0023689378185831E-2</v>
      </c>
      <c r="L717" t="e">
        <f>IF(AND(ABS((ChartCalculations!A717-Calculations!$F$3)/Calculations!$F$4)&lt;5,OR(A717&lt;=Calculations!$F$7,A717&gt;=Calculations!$F$8)),0.2*_xlfn.NORM.DIST(100,100,15,FALSE)*_xlfn.NORM.DIST(A717,Calculations!$F$3,Calculations!$F$4,FALSE)/_xlfn.NORM.DIST(Calculations!$F$3,Calculations!$F$3,Calculations!$F$4,FALSE),NA())</f>
        <v>#N/A</v>
      </c>
      <c r="M717" t="e">
        <f>IF(AND(A717&gt;=Calculations!$F$7,A717&lt;=Calculations!$F$8),0.2*_xlfn.NORM.DIST(100,100,15,FALSE)*_xlfn.NORM.DIST(A717,Calculations!$F$3,Calculations!$F$4,FALSE)/_xlfn.NORM.DIST(Calculations!$F$3,Calculations!$F$3,Calculations!$F$4,FALSE),NA())</f>
        <v>#N/A</v>
      </c>
    </row>
    <row r="718" spans="1:13" x14ac:dyDescent="0.25">
      <c r="A718">
        <v>111.600000000001</v>
      </c>
      <c r="B718" t="e">
        <f t="shared" si="110"/>
        <v>#N/A</v>
      </c>
      <c r="C718" t="e">
        <f t="shared" si="111"/>
        <v>#N/A</v>
      </c>
      <c r="D718" t="e">
        <f t="shared" si="112"/>
        <v>#N/A</v>
      </c>
      <c r="E718" t="e">
        <f t="shared" si="113"/>
        <v>#N/A</v>
      </c>
      <c r="F718" t="e">
        <f t="shared" si="114"/>
        <v>#N/A</v>
      </c>
      <c r="G718">
        <f t="shared" si="115"/>
        <v>1.9722188514482906E-2</v>
      </c>
      <c r="H718" t="e">
        <f t="shared" si="116"/>
        <v>#N/A</v>
      </c>
      <c r="I718" t="e">
        <f t="shared" si="117"/>
        <v>#N/A</v>
      </c>
      <c r="J718" t="e">
        <f t="shared" si="118"/>
        <v>#N/A</v>
      </c>
      <c r="K718">
        <f t="shared" si="119"/>
        <v>1.9922188514482905E-2</v>
      </c>
      <c r="L718" t="e">
        <f>IF(AND(ABS((ChartCalculations!A718-Calculations!$F$3)/Calculations!$F$4)&lt;5,OR(A718&lt;=Calculations!$F$7,A718&gt;=Calculations!$F$8)),0.2*_xlfn.NORM.DIST(100,100,15,FALSE)*_xlfn.NORM.DIST(A718,Calculations!$F$3,Calculations!$F$4,FALSE)/_xlfn.NORM.DIST(Calculations!$F$3,Calculations!$F$3,Calculations!$F$4,FALSE),NA())</f>
        <v>#N/A</v>
      </c>
      <c r="M718" t="e">
        <f>IF(AND(A718&gt;=Calculations!$F$7,A718&lt;=Calculations!$F$8),0.2*_xlfn.NORM.DIST(100,100,15,FALSE)*_xlfn.NORM.DIST(A718,Calculations!$F$3,Calculations!$F$4,FALSE)/_xlfn.NORM.DIST(Calculations!$F$3,Calculations!$F$3,Calculations!$F$4,FALSE),NA())</f>
        <v>#N/A</v>
      </c>
    </row>
    <row r="719" spans="1:13" x14ac:dyDescent="0.25">
      <c r="A719">
        <v>111.700000000001</v>
      </c>
      <c r="B719" t="e">
        <f t="shared" si="110"/>
        <v>#N/A</v>
      </c>
      <c r="C719" t="e">
        <f t="shared" si="111"/>
        <v>#N/A</v>
      </c>
      <c r="D719" t="e">
        <f t="shared" si="112"/>
        <v>#N/A</v>
      </c>
      <c r="E719" t="e">
        <f t="shared" si="113"/>
        <v>#N/A</v>
      </c>
      <c r="F719" t="e">
        <f t="shared" si="114"/>
        <v>#N/A</v>
      </c>
      <c r="G719">
        <f t="shared" si="115"/>
        <v>1.9620335319220659E-2</v>
      </c>
      <c r="H719" t="e">
        <f t="shared" si="116"/>
        <v>#N/A</v>
      </c>
      <c r="I719" t="e">
        <f t="shared" si="117"/>
        <v>#N/A</v>
      </c>
      <c r="J719" t="e">
        <f t="shared" si="118"/>
        <v>#N/A</v>
      </c>
      <c r="K719">
        <f t="shared" si="119"/>
        <v>1.9820335319220658E-2</v>
      </c>
      <c r="L719" t="e">
        <f>IF(AND(ABS((ChartCalculations!A719-Calculations!$F$3)/Calculations!$F$4)&lt;5,OR(A719&lt;=Calculations!$F$7,A719&gt;=Calculations!$F$8)),0.2*_xlfn.NORM.DIST(100,100,15,FALSE)*_xlfn.NORM.DIST(A719,Calculations!$F$3,Calculations!$F$4,FALSE)/_xlfn.NORM.DIST(Calculations!$F$3,Calculations!$F$3,Calculations!$F$4,FALSE),NA())</f>
        <v>#N/A</v>
      </c>
      <c r="M719" t="e">
        <f>IF(AND(A719&gt;=Calculations!$F$7,A719&lt;=Calculations!$F$8),0.2*_xlfn.NORM.DIST(100,100,15,FALSE)*_xlfn.NORM.DIST(A719,Calculations!$F$3,Calculations!$F$4,FALSE)/_xlfn.NORM.DIST(Calculations!$F$3,Calculations!$F$3,Calculations!$F$4,FALSE),NA())</f>
        <v>#N/A</v>
      </c>
    </row>
    <row r="720" spans="1:13" x14ac:dyDescent="0.25">
      <c r="A720">
        <v>111.80000000000101</v>
      </c>
      <c r="B720" t="e">
        <f t="shared" si="110"/>
        <v>#N/A</v>
      </c>
      <c r="C720" t="e">
        <f t="shared" si="111"/>
        <v>#N/A</v>
      </c>
      <c r="D720" t="e">
        <f t="shared" si="112"/>
        <v>#N/A</v>
      </c>
      <c r="E720" t="e">
        <f t="shared" si="113"/>
        <v>#N/A</v>
      </c>
      <c r="F720" t="e">
        <f t="shared" si="114"/>
        <v>#N/A</v>
      </c>
      <c r="G720">
        <f t="shared" si="115"/>
        <v>1.9518140642017266E-2</v>
      </c>
      <c r="H720" t="e">
        <f t="shared" si="116"/>
        <v>#N/A</v>
      </c>
      <c r="I720" t="e">
        <f t="shared" si="117"/>
        <v>#N/A</v>
      </c>
      <c r="J720" t="e">
        <f t="shared" si="118"/>
        <v>#N/A</v>
      </c>
      <c r="K720">
        <f t="shared" si="119"/>
        <v>1.9718140642017264E-2</v>
      </c>
      <c r="L720" t="e">
        <f>IF(AND(ABS((ChartCalculations!A720-Calculations!$F$3)/Calculations!$F$4)&lt;5,OR(A720&lt;=Calculations!$F$7,A720&gt;=Calculations!$F$8)),0.2*_xlfn.NORM.DIST(100,100,15,FALSE)*_xlfn.NORM.DIST(A720,Calculations!$F$3,Calculations!$F$4,FALSE)/_xlfn.NORM.DIST(Calculations!$F$3,Calculations!$F$3,Calculations!$F$4,FALSE),NA())</f>
        <v>#N/A</v>
      </c>
      <c r="M720" t="e">
        <f>IF(AND(A720&gt;=Calculations!$F$7,A720&lt;=Calculations!$F$8),0.2*_xlfn.NORM.DIST(100,100,15,FALSE)*_xlfn.NORM.DIST(A720,Calculations!$F$3,Calculations!$F$4,FALSE)/_xlfn.NORM.DIST(Calculations!$F$3,Calculations!$F$3,Calculations!$F$4,FALSE),NA())</f>
        <v>#N/A</v>
      </c>
    </row>
    <row r="721" spans="1:13" x14ac:dyDescent="0.25">
      <c r="A721">
        <v>111.900000000001</v>
      </c>
      <c r="B721" t="e">
        <f t="shared" si="110"/>
        <v>#N/A</v>
      </c>
      <c r="C721" t="e">
        <f t="shared" si="111"/>
        <v>#N/A</v>
      </c>
      <c r="D721" t="e">
        <f t="shared" si="112"/>
        <v>#N/A</v>
      </c>
      <c r="E721" t="e">
        <f t="shared" si="113"/>
        <v>#N/A</v>
      </c>
      <c r="F721" t="e">
        <f t="shared" si="114"/>
        <v>#N/A</v>
      </c>
      <c r="G721">
        <f t="shared" si="115"/>
        <v>1.941561532163159E-2</v>
      </c>
      <c r="H721" t="e">
        <f t="shared" si="116"/>
        <v>#N/A</v>
      </c>
      <c r="I721" t="e">
        <f t="shared" si="117"/>
        <v>#N/A</v>
      </c>
      <c r="J721" t="e">
        <f t="shared" si="118"/>
        <v>#N/A</v>
      </c>
      <c r="K721">
        <f t="shared" si="119"/>
        <v>1.9615615321631589E-2</v>
      </c>
      <c r="L721" t="e">
        <f>IF(AND(ABS((ChartCalculations!A721-Calculations!$F$3)/Calculations!$F$4)&lt;5,OR(A721&lt;=Calculations!$F$7,A721&gt;=Calculations!$F$8)),0.2*_xlfn.NORM.DIST(100,100,15,FALSE)*_xlfn.NORM.DIST(A721,Calculations!$F$3,Calculations!$F$4,FALSE)/_xlfn.NORM.DIST(Calculations!$F$3,Calculations!$F$3,Calculations!$F$4,FALSE),NA())</f>
        <v>#N/A</v>
      </c>
      <c r="M721" t="e">
        <f>IF(AND(A721&gt;=Calculations!$F$7,A721&lt;=Calculations!$F$8),0.2*_xlfn.NORM.DIST(100,100,15,FALSE)*_xlfn.NORM.DIST(A721,Calculations!$F$3,Calculations!$F$4,FALSE)/_xlfn.NORM.DIST(Calculations!$F$3,Calculations!$F$3,Calculations!$F$4,FALSE),NA())</f>
        <v>#N/A</v>
      </c>
    </row>
    <row r="722" spans="1:13" x14ac:dyDescent="0.25">
      <c r="A722">
        <v>112.00000000000099</v>
      </c>
      <c r="B722" t="e">
        <f t="shared" si="110"/>
        <v>#N/A</v>
      </c>
      <c r="C722" t="e">
        <f t="shared" si="111"/>
        <v>#N/A</v>
      </c>
      <c r="D722" t="e">
        <f t="shared" si="112"/>
        <v>#N/A</v>
      </c>
      <c r="E722" t="e">
        <f t="shared" si="113"/>
        <v>#N/A</v>
      </c>
      <c r="F722" t="e">
        <f t="shared" si="114"/>
        <v>#N/A</v>
      </c>
      <c r="G722">
        <f t="shared" si="115"/>
        <v>1.9312770184097827E-2</v>
      </c>
      <c r="H722" t="e">
        <f t="shared" si="116"/>
        <v>#N/A</v>
      </c>
      <c r="I722" t="e">
        <f t="shared" si="117"/>
        <v>#N/A</v>
      </c>
      <c r="J722" t="e">
        <f t="shared" si="118"/>
        <v>#N/A</v>
      </c>
      <c r="K722">
        <f t="shared" si="119"/>
        <v>1.9512770184097826E-2</v>
      </c>
      <c r="L722" t="e">
        <f>IF(AND(ABS((ChartCalculations!A722-Calculations!$F$3)/Calculations!$F$4)&lt;5,OR(A722&lt;=Calculations!$F$7,A722&gt;=Calculations!$F$8)),0.2*_xlfn.NORM.DIST(100,100,15,FALSE)*_xlfn.NORM.DIST(A722,Calculations!$F$3,Calculations!$F$4,FALSE)/_xlfn.NORM.DIST(Calculations!$F$3,Calculations!$F$3,Calculations!$F$4,FALSE),NA())</f>
        <v>#N/A</v>
      </c>
      <c r="M722" t="e">
        <f>IF(AND(A722&gt;=Calculations!$F$7,A722&lt;=Calculations!$F$8),0.2*_xlfn.NORM.DIST(100,100,15,FALSE)*_xlfn.NORM.DIST(A722,Calculations!$F$3,Calculations!$F$4,FALSE)/_xlfn.NORM.DIST(Calculations!$F$3,Calculations!$F$3,Calculations!$F$4,FALSE),NA())</f>
        <v>#N/A</v>
      </c>
    </row>
    <row r="723" spans="1:13" x14ac:dyDescent="0.25">
      <c r="A723">
        <v>112.100000000001</v>
      </c>
      <c r="B723" t="e">
        <f t="shared" si="110"/>
        <v>#N/A</v>
      </c>
      <c r="C723" t="e">
        <f t="shared" si="111"/>
        <v>#N/A</v>
      </c>
      <c r="D723" t="e">
        <f t="shared" si="112"/>
        <v>#N/A</v>
      </c>
      <c r="E723" t="e">
        <f t="shared" si="113"/>
        <v>#N/A</v>
      </c>
      <c r="F723" t="e">
        <f t="shared" si="114"/>
        <v>#N/A</v>
      </c>
      <c r="G723">
        <f t="shared" si="115"/>
        <v>1.9209616040872873E-2</v>
      </c>
      <c r="H723" t="e">
        <f t="shared" si="116"/>
        <v>#N/A</v>
      </c>
      <c r="I723" t="e">
        <f t="shared" si="117"/>
        <v>#N/A</v>
      </c>
      <c r="J723" t="e">
        <f t="shared" si="118"/>
        <v>#N/A</v>
      </c>
      <c r="K723">
        <f t="shared" si="119"/>
        <v>1.9409616040872872E-2</v>
      </c>
      <c r="L723" t="e">
        <f>IF(AND(ABS((ChartCalculations!A723-Calculations!$F$3)/Calculations!$F$4)&lt;5,OR(A723&lt;=Calculations!$F$7,A723&gt;=Calculations!$F$8)),0.2*_xlfn.NORM.DIST(100,100,15,FALSE)*_xlfn.NORM.DIST(A723,Calculations!$F$3,Calculations!$F$4,FALSE)/_xlfn.NORM.DIST(Calculations!$F$3,Calculations!$F$3,Calculations!$F$4,FALSE),NA())</f>
        <v>#N/A</v>
      </c>
      <c r="M723" t="e">
        <f>IF(AND(A723&gt;=Calculations!$F$7,A723&lt;=Calculations!$F$8),0.2*_xlfn.NORM.DIST(100,100,15,FALSE)*_xlfn.NORM.DIST(A723,Calculations!$F$3,Calculations!$F$4,FALSE)/_xlfn.NORM.DIST(Calculations!$F$3,Calculations!$F$3,Calculations!$F$4,FALSE),NA())</f>
        <v>#N/A</v>
      </c>
    </row>
    <row r="724" spans="1:13" x14ac:dyDescent="0.25">
      <c r="A724">
        <v>112.200000000001</v>
      </c>
      <c r="B724" t="e">
        <f t="shared" si="110"/>
        <v>#N/A</v>
      </c>
      <c r="C724" t="e">
        <f t="shared" si="111"/>
        <v>#N/A</v>
      </c>
      <c r="D724" t="e">
        <f t="shared" si="112"/>
        <v>#N/A</v>
      </c>
      <c r="E724" t="e">
        <f t="shared" si="113"/>
        <v>#N/A</v>
      </c>
      <c r="F724" t="e">
        <f t="shared" si="114"/>
        <v>#N/A</v>
      </c>
      <c r="G724">
        <f t="shared" si="115"/>
        <v>1.9106163686996722E-2</v>
      </c>
      <c r="H724" t="e">
        <f t="shared" si="116"/>
        <v>#N/A</v>
      </c>
      <c r="I724" t="e">
        <f t="shared" si="117"/>
        <v>#N/A</v>
      </c>
      <c r="J724" t="e">
        <f t="shared" si="118"/>
        <v>#N/A</v>
      </c>
      <c r="K724">
        <f t="shared" si="119"/>
        <v>1.9306163686996721E-2</v>
      </c>
      <c r="L724" t="e">
        <f>IF(AND(ABS((ChartCalculations!A724-Calculations!$F$3)/Calculations!$F$4)&lt;5,OR(A724&lt;=Calculations!$F$7,A724&gt;=Calculations!$F$8)),0.2*_xlfn.NORM.DIST(100,100,15,FALSE)*_xlfn.NORM.DIST(A724,Calculations!$F$3,Calculations!$F$4,FALSE)/_xlfn.NORM.DIST(Calculations!$F$3,Calculations!$F$3,Calculations!$F$4,FALSE),NA())</f>
        <v>#N/A</v>
      </c>
      <c r="M724" t="e">
        <f>IF(AND(A724&gt;=Calculations!$F$7,A724&lt;=Calculations!$F$8),0.2*_xlfn.NORM.DIST(100,100,15,FALSE)*_xlfn.NORM.DIST(A724,Calculations!$F$3,Calculations!$F$4,FALSE)/_xlfn.NORM.DIST(Calculations!$F$3,Calculations!$F$3,Calculations!$F$4,FALSE),NA())</f>
        <v>#N/A</v>
      </c>
    </row>
    <row r="725" spans="1:13" x14ac:dyDescent="0.25">
      <c r="A725">
        <v>112.30000000000101</v>
      </c>
      <c r="B725" t="e">
        <f t="shared" si="110"/>
        <v>#N/A</v>
      </c>
      <c r="C725" t="e">
        <f t="shared" si="111"/>
        <v>#N/A</v>
      </c>
      <c r="D725" t="e">
        <f t="shared" si="112"/>
        <v>#N/A</v>
      </c>
      <c r="E725" t="e">
        <f t="shared" si="113"/>
        <v>#N/A</v>
      </c>
      <c r="F725" t="e">
        <f t="shared" si="114"/>
        <v>#N/A</v>
      </c>
      <c r="G725">
        <f t="shared" si="115"/>
        <v>1.90024238992661E-2</v>
      </c>
      <c r="H725" t="e">
        <f t="shared" si="116"/>
        <v>#N/A</v>
      </c>
      <c r="I725" t="e">
        <f t="shared" si="117"/>
        <v>#N/A</v>
      </c>
      <c r="J725" t="e">
        <f t="shared" si="118"/>
        <v>#N/A</v>
      </c>
      <c r="K725">
        <f t="shared" si="119"/>
        <v>1.9202423899266099E-2</v>
      </c>
      <c r="L725" t="e">
        <f>IF(AND(ABS((ChartCalculations!A725-Calculations!$F$3)/Calculations!$F$4)&lt;5,OR(A725&lt;=Calculations!$F$7,A725&gt;=Calculations!$F$8)),0.2*_xlfn.NORM.DIST(100,100,15,FALSE)*_xlfn.NORM.DIST(A725,Calculations!$F$3,Calculations!$F$4,FALSE)/_xlfn.NORM.DIST(Calculations!$F$3,Calculations!$F$3,Calculations!$F$4,FALSE),NA())</f>
        <v>#N/A</v>
      </c>
      <c r="M725" t="e">
        <f>IF(AND(A725&gt;=Calculations!$F$7,A725&lt;=Calculations!$F$8),0.2*_xlfn.NORM.DIST(100,100,15,FALSE)*_xlfn.NORM.DIST(A725,Calculations!$F$3,Calculations!$F$4,FALSE)/_xlfn.NORM.DIST(Calculations!$F$3,Calculations!$F$3,Calculations!$F$4,FALSE),NA())</f>
        <v>#N/A</v>
      </c>
    </row>
    <row r="726" spans="1:13" x14ac:dyDescent="0.25">
      <c r="A726">
        <v>112.400000000001</v>
      </c>
      <c r="B726" t="e">
        <f t="shared" si="110"/>
        <v>#N/A</v>
      </c>
      <c r="C726" t="e">
        <f t="shared" si="111"/>
        <v>#N/A</v>
      </c>
      <c r="D726" t="e">
        <f t="shared" si="112"/>
        <v>#N/A</v>
      </c>
      <c r="E726" t="e">
        <f t="shared" si="113"/>
        <v>#N/A</v>
      </c>
      <c r="F726" t="e">
        <f t="shared" si="114"/>
        <v>#N/A</v>
      </c>
      <c r="G726">
        <f t="shared" si="115"/>
        <v>1.8898407434422216E-2</v>
      </c>
      <c r="H726" t="e">
        <f t="shared" si="116"/>
        <v>#N/A</v>
      </c>
      <c r="I726" t="e">
        <f t="shared" si="117"/>
        <v>#N/A</v>
      </c>
      <c r="J726" t="e">
        <f t="shared" si="118"/>
        <v>#N/A</v>
      </c>
      <c r="K726">
        <f t="shared" si="119"/>
        <v>1.9098407434422215E-2</v>
      </c>
      <c r="L726" t="e">
        <f>IF(AND(ABS((ChartCalculations!A726-Calculations!$F$3)/Calculations!$F$4)&lt;5,OR(A726&lt;=Calculations!$F$7,A726&gt;=Calculations!$F$8)),0.2*_xlfn.NORM.DIST(100,100,15,FALSE)*_xlfn.NORM.DIST(A726,Calculations!$F$3,Calculations!$F$4,FALSE)/_xlfn.NORM.DIST(Calculations!$F$3,Calculations!$F$3,Calculations!$F$4,FALSE),NA())</f>
        <v>#N/A</v>
      </c>
      <c r="M726" t="e">
        <f>IF(AND(A726&gt;=Calculations!$F$7,A726&lt;=Calculations!$F$8),0.2*_xlfn.NORM.DIST(100,100,15,FALSE)*_xlfn.NORM.DIST(A726,Calculations!$F$3,Calculations!$F$4,FALSE)/_xlfn.NORM.DIST(Calculations!$F$3,Calculations!$F$3,Calculations!$F$4,FALSE),NA())</f>
        <v>#N/A</v>
      </c>
    </row>
    <row r="727" spans="1:13" x14ac:dyDescent="0.25">
      <c r="A727">
        <v>112.50000000000099</v>
      </c>
      <c r="B727" t="e">
        <f t="shared" si="110"/>
        <v>#N/A</v>
      </c>
      <c r="C727" t="e">
        <f t="shared" si="111"/>
        <v>#N/A</v>
      </c>
      <c r="D727" t="e">
        <f t="shared" si="112"/>
        <v>#N/A</v>
      </c>
      <c r="E727" t="e">
        <f t="shared" si="113"/>
        <v>#N/A</v>
      </c>
      <c r="F727" t="e">
        <f t="shared" si="114"/>
        <v>#N/A</v>
      </c>
      <c r="G727">
        <f t="shared" si="115"/>
        <v>1.8794125027352469E-2</v>
      </c>
      <c r="H727" t="e">
        <f t="shared" si="116"/>
        <v>#N/A</v>
      </c>
      <c r="I727" t="e">
        <f t="shared" si="117"/>
        <v>#N/A</v>
      </c>
      <c r="J727" t="e">
        <f t="shared" si="118"/>
        <v>#N/A</v>
      </c>
      <c r="K727">
        <f t="shared" si="119"/>
        <v>1.8994125027352468E-2</v>
      </c>
      <c r="L727" t="e">
        <f>IF(AND(ABS((ChartCalculations!A727-Calculations!$F$3)/Calculations!$F$4)&lt;5,OR(A727&lt;=Calculations!$F$7,A727&gt;=Calculations!$F$8)),0.2*_xlfn.NORM.DIST(100,100,15,FALSE)*_xlfn.NORM.DIST(A727,Calculations!$F$3,Calculations!$F$4,FALSE)/_xlfn.NORM.DIST(Calculations!$F$3,Calculations!$F$3,Calculations!$F$4,FALSE),NA())</f>
        <v>#N/A</v>
      </c>
      <c r="M727" t="e">
        <f>IF(AND(A727&gt;=Calculations!$F$7,A727&lt;=Calculations!$F$8),0.2*_xlfn.NORM.DIST(100,100,15,FALSE)*_xlfn.NORM.DIST(A727,Calculations!$F$3,Calculations!$F$4,FALSE)/_xlfn.NORM.DIST(Calculations!$F$3,Calculations!$F$3,Calculations!$F$4,FALSE),NA())</f>
        <v>#N/A</v>
      </c>
    </row>
    <row r="728" spans="1:13" x14ac:dyDescent="0.25">
      <c r="A728">
        <v>112.600000000001</v>
      </c>
      <c r="B728" t="e">
        <f t="shared" si="110"/>
        <v>#N/A</v>
      </c>
      <c r="C728" t="e">
        <f t="shared" si="111"/>
        <v>#N/A</v>
      </c>
      <c r="D728" t="e">
        <f t="shared" si="112"/>
        <v>#N/A</v>
      </c>
      <c r="E728" t="e">
        <f t="shared" si="113"/>
        <v>#N/A</v>
      </c>
      <c r="F728" t="e">
        <f t="shared" si="114"/>
        <v>#N/A</v>
      </c>
      <c r="G728">
        <f t="shared" si="115"/>
        <v>1.8689587389306987E-2</v>
      </c>
      <c r="H728" t="e">
        <f t="shared" si="116"/>
        <v>#N/A</v>
      </c>
      <c r="I728" t="e">
        <f t="shared" si="117"/>
        <v>#N/A</v>
      </c>
      <c r="J728" t="e">
        <f t="shared" si="118"/>
        <v>#N/A</v>
      </c>
      <c r="K728">
        <f t="shared" si="119"/>
        <v>1.8889587389306985E-2</v>
      </c>
      <c r="L728" t="e">
        <f>IF(AND(ABS((ChartCalculations!A728-Calculations!$F$3)/Calculations!$F$4)&lt;5,OR(A728&lt;=Calculations!$F$7,A728&gt;=Calculations!$F$8)),0.2*_xlfn.NORM.DIST(100,100,15,FALSE)*_xlfn.NORM.DIST(A728,Calculations!$F$3,Calculations!$F$4,FALSE)/_xlfn.NORM.DIST(Calculations!$F$3,Calculations!$F$3,Calculations!$F$4,FALSE),NA())</f>
        <v>#N/A</v>
      </c>
      <c r="M728" t="e">
        <f>IF(AND(A728&gt;=Calculations!$F$7,A728&lt;=Calculations!$F$8),0.2*_xlfn.NORM.DIST(100,100,15,FALSE)*_xlfn.NORM.DIST(A728,Calculations!$F$3,Calculations!$F$4,FALSE)/_xlfn.NORM.DIST(Calculations!$F$3,Calculations!$F$3,Calculations!$F$4,FALSE),NA())</f>
        <v>#N/A</v>
      </c>
    </row>
    <row r="729" spans="1:13" x14ac:dyDescent="0.25">
      <c r="A729">
        <v>112.700000000001</v>
      </c>
      <c r="B729" t="e">
        <f t="shared" si="110"/>
        <v>#N/A</v>
      </c>
      <c r="C729" t="e">
        <f t="shared" si="111"/>
        <v>#N/A</v>
      </c>
      <c r="D729" t="e">
        <f t="shared" si="112"/>
        <v>#N/A</v>
      </c>
      <c r="E729" t="e">
        <f t="shared" si="113"/>
        <v>#N/A</v>
      </c>
      <c r="F729" t="e">
        <f t="shared" si="114"/>
        <v>#N/A</v>
      </c>
      <c r="G729">
        <f t="shared" si="115"/>
        <v>1.8584805206130234E-2</v>
      </c>
      <c r="H729" t="e">
        <f t="shared" si="116"/>
        <v>#N/A</v>
      </c>
      <c r="I729" t="e">
        <f t="shared" si="117"/>
        <v>#N/A</v>
      </c>
      <c r="J729" t="e">
        <f t="shared" si="118"/>
        <v>#N/A</v>
      </c>
      <c r="K729">
        <f t="shared" si="119"/>
        <v>1.8784805206130233E-2</v>
      </c>
      <c r="L729" t="e">
        <f>IF(AND(ABS((ChartCalculations!A729-Calculations!$F$3)/Calculations!$F$4)&lt;5,OR(A729&lt;=Calculations!$F$7,A729&gt;=Calculations!$F$8)),0.2*_xlfn.NORM.DIST(100,100,15,FALSE)*_xlfn.NORM.DIST(A729,Calculations!$F$3,Calculations!$F$4,FALSE)/_xlfn.NORM.DIST(Calculations!$F$3,Calculations!$F$3,Calculations!$F$4,FALSE),NA())</f>
        <v>#N/A</v>
      </c>
      <c r="M729" t="e">
        <f>IF(AND(A729&gt;=Calculations!$F$7,A729&lt;=Calculations!$F$8),0.2*_xlfn.NORM.DIST(100,100,15,FALSE)*_xlfn.NORM.DIST(A729,Calculations!$F$3,Calculations!$F$4,FALSE)/_xlfn.NORM.DIST(Calculations!$F$3,Calculations!$F$3,Calculations!$F$4,FALSE),NA())</f>
        <v>#N/A</v>
      </c>
    </row>
    <row r="730" spans="1:13" x14ac:dyDescent="0.25">
      <c r="A730">
        <v>112.80000000000101</v>
      </c>
      <c r="B730" t="e">
        <f t="shared" si="110"/>
        <v>#N/A</v>
      </c>
      <c r="C730" t="e">
        <f t="shared" si="111"/>
        <v>#N/A</v>
      </c>
      <c r="D730" t="e">
        <f t="shared" si="112"/>
        <v>#N/A</v>
      </c>
      <c r="E730" t="e">
        <f t="shared" si="113"/>
        <v>#N/A</v>
      </c>
      <c r="F730" t="e">
        <f t="shared" si="114"/>
        <v>#N/A</v>
      </c>
      <c r="G730">
        <f t="shared" si="115"/>
        <v>1.8479789136507815E-2</v>
      </c>
      <c r="H730" t="e">
        <f t="shared" si="116"/>
        <v>#N/A</v>
      </c>
      <c r="I730" t="e">
        <f t="shared" si="117"/>
        <v>#N/A</v>
      </c>
      <c r="J730" t="e">
        <f t="shared" si="118"/>
        <v>#N/A</v>
      </c>
      <c r="K730">
        <f t="shared" si="119"/>
        <v>1.8679789136507814E-2</v>
      </c>
      <c r="L730" t="e">
        <f>IF(AND(ABS((ChartCalculations!A730-Calculations!$F$3)/Calculations!$F$4)&lt;5,OR(A730&lt;=Calculations!$F$7,A730&gt;=Calculations!$F$8)),0.2*_xlfn.NORM.DIST(100,100,15,FALSE)*_xlfn.NORM.DIST(A730,Calculations!$F$3,Calculations!$F$4,FALSE)/_xlfn.NORM.DIST(Calculations!$F$3,Calculations!$F$3,Calculations!$F$4,FALSE),NA())</f>
        <v>#N/A</v>
      </c>
      <c r="M730" t="e">
        <f>IF(AND(A730&gt;=Calculations!$F$7,A730&lt;=Calculations!$F$8),0.2*_xlfn.NORM.DIST(100,100,15,FALSE)*_xlfn.NORM.DIST(A730,Calculations!$F$3,Calculations!$F$4,FALSE)/_xlfn.NORM.DIST(Calculations!$F$3,Calculations!$F$3,Calculations!$F$4,FALSE),NA())</f>
        <v>#N/A</v>
      </c>
    </row>
    <row r="731" spans="1:13" x14ac:dyDescent="0.25">
      <c r="A731">
        <v>112.900000000001</v>
      </c>
      <c r="B731" t="e">
        <f t="shared" si="110"/>
        <v>#N/A</v>
      </c>
      <c r="C731" t="e">
        <f t="shared" si="111"/>
        <v>#N/A</v>
      </c>
      <c r="D731" t="e">
        <f t="shared" si="112"/>
        <v>#N/A</v>
      </c>
      <c r="E731" t="e">
        <f t="shared" si="113"/>
        <v>#N/A</v>
      </c>
      <c r="F731" t="e">
        <f t="shared" si="114"/>
        <v>#N/A</v>
      </c>
      <c r="G731">
        <f t="shared" si="115"/>
        <v>1.8374549810229391E-2</v>
      </c>
      <c r="H731" t="e">
        <f t="shared" si="116"/>
        <v>#N/A</v>
      </c>
      <c r="I731" t="e">
        <f t="shared" si="117"/>
        <v>#N/A</v>
      </c>
      <c r="J731" t="e">
        <f t="shared" si="118"/>
        <v>#N/A</v>
      </c>
      <c r="K731">
        <f t="shared" si="119"/>
        <v>1.857454981022939E-2</v>
      </c>
      <c r="L731" t="e">
        <f>IF(AND(ABS((ChartCalculations!A731-Calculations!$F$3)/Calculations!$F$4)&lt;5,OR(A731&lt;=Calculations!$F$7,A731&gt;=Calculations!$F$8)),0.2*_xlfn.NORM.DIST(100,100,15,FALSE)*_xlfn.NORM.DIST(A731,Calculations!$F$3,Calculations!$F$4,FALSE)/_xlfn.NORM.DIST(Calculations!$F$3,Calculations!$F$3,Calculations!$F$4,FALSE),NA())</f>
        <v>#N/A</v>
      </c>
      <c r="M731" t="e">
        <f>IF(AND(A731&gt;=Calculations!$F$7,A731&lt;=Calculations!$F$8),0.2*_xlfn.NORM.DIST(100,100,15,FALSE)*_xlfn.NORM.DIST(A731,Calculations!$F$3,Calculations!$F$4,FALSE)/_xlfn.NORM.DIST(Calculations!$F$3,Calculations!$F$3,Calculations!$F$4,FALSE),NA())</f>
        <v>#N/A</v>
      </c>
    </row>
    <row r="732" spans="1:13" x14ac:dyDescent="0.25">
      <c r="A732">
        <v>113.00000000000099</v>
      </c>
      <c r="B732" t="e">
        <f t="shared" si="110"/>
        <v>#N/A</v>
      </c>
      <c r="C732" t="e">
        <f t="shared" si="111"/>
        <v>#N/A</v>
      </c>
      <c r="D732" t="e">
        <f t="shared" si="112"/>
        <v>#N/A</v>
      </c>
      <c r="E732" t="e">
        <f t="shared" si="113"/>
        <v>#N/A</v>
      </c>
      <c r="F732" t="e">
        <f t="shared" si="114"/>
        <v>#N/A</v>
      </c>
      <c r="G732">
        <f t="shared" si="115"/>
        <v>1.8269097826467514E-2</v>
      </c>
      <c r="H732" t="e">
        <f t="shared" si="116"/>
        <v>#N/A</v>
      </c>
      <c r="I732" t="e">
        <f t="shared" si="117"/>
        <v>#N/A</v>
      </c>
      <c r="J732" t="e">
        <f t="shared" si="118"/>
        <v>#N/A</v>
      </c>
      <c r="K732">
        <f t="shared" si="119"/>
        <v>1.8469097826467513E-2</v>
      </c>
      <c r="L732" t="e">
        <f>IF(AND(ABS((ChartCalculations!A732-Calculations!$F$3)/Calculations!$F$4)&lt;5,OR(A732&lt;=Calculations!$F$7,A732&gt;=Calculations!$F$8)),0.2*_xlfn.NORM.DIST(100,100,15,FALSE)*_xlfn.NORM.DIST(A732,Calculations!$F$3,Calculations!$F$4,FALSE)/_xlfn.NORM.DIST(Calculations!$F$3,Calculations!$F$3,Calculations!$F$4,FALSE),NA())</f>
        <v>#N/A</v>
      </c>
      <c r="M732" t="e">
        <f>IF(AND(A732&gt;=Calculations!$F$7,A732&lt;=Calculations!$F$8),0.2*_xlfn.NORM.DIST(100,100,15,FALSE)*_xlfn.NORM.DIST(A732,Calculations!$F$3,Calculations!$F$4,FALSE)/_xlfn.NORM.DIST(Calculations!$F$3,Calculations!$F$3,Calculations!$F$4,FALSE),NA())</f>
        <v>#N/A</v>
      </c>
    </row>
    <row r="733" spans="1:13" x14ac:dyDescent="0.25">
      <c r="A733">
        <v>113.100000000001</v>
      </c>
      <c r="B733" t="e">
        <f t="shared" si="110"/>
        <v>#N/A</v>
      </c>
      <c r="C733" t="e">
        <f t="shared" si="111"/>
        <v>#N/A</v>
      </c>
      <c r="D733" t="e">
        <f t="shared" si="112"/>
        <v>#N/A</v>
      </c>
      <c r="E733" t="e">
        <f t="shared" si="113"/>
        <v>#N/A</v>
      </c>
      <c r="F733" t="e">
        <f t="shared" si="114"/>
        <v>#N/A</v>
      </c>
      <c r="G733">
        <f t="shared" si="115"/>
        <v>1.8163443752073152E-2</v>
      </c>
      <c r="H733" t="e">
        <f t="shared" si="116"/>
        <v>#N/A</v>
      </c>
      <c r="I733" t="e">
        <f t="shared" si="117"/>
        <v>#N/A</v>
      </c>
      <c r="J733" t="e">
        <f t="shared" si="118"/>
        <v>#N/A</v>
      </c>
      <c r="K733">
        <f t="shared" si="119"/>
        <v>1.836344375207315E-2</v>
      </c>
      <c r="L733" t="e">
        <f>IF(AND(ABS((ChartCalculations!A733-Calculations!$F$3)/Calculations!$F$4)&lt;5,OR(A733&lt;=Calculations!$F$7,A733&gt;=Calculations!$F$8)),0.2*_xlfn.NORM.DIST(100,100,15,FALSE)*_xlfn.NORM.DIST(A733,Calculations!$F$3,Calculations!$F$4,FALSE)/_xlfn.NORM.DIST(Calculations!$F$3,Calculations!$F$3,Calculations!$F$4,FALSE),NA())</f>
        <v>#N/A</v>
      </c>
      <c r="M733" t="e">
        <f>IF(AND(A733&gt;=Calculations!$F$7,A733&lt;=Calculations!$F$8),0.2*_xlfn.NORM.DIST(100,100,15,FALSE)*_xlfn.NORM.DIST(A733,Calculations!$F$3,Calculations!$F$4,FALSE)/_xlfn.NORM.DIST(Calculations!$F$3,Calculations!$F$3,Calculations!$F$4,FALSE),NA())</f>
        <v>#N/A</v>
      </c>
    </row>
    <row r="734" spans="1:13" x14ac:dyDescent="0.25">
      <c r="A734">
        <v>113.200000000001</v>
      </c>
      <c r="B734" t="e">
        <f t="shared" si="110"/>
        <v>#N/A</v>
      </c>
      <c r="C734" t="e">
        <f t="shared" si="111"/>
        <v>#N/A</v>
      </c>
      <c r="D734" t="e">
        <f t="shared" si="112"/>
        <v>#N/A</v>
      </c>
      <c r="E734" t="e">
        <f t="shared" si="113"/>
        <v>#N/A</v>
      </c>
      <c r="F734" t="e">
        <f t="shared" si="114"/>
        <v>#N/A</v>
      </c>
      <c r="G734">
        <f t="shared" si="115"/>
        <v>1.8057598119888146E-2</v>
      </c>
      <c r="H734" t="e">
        <f t="shared" si="116"/>
        <v>#N/A</v>
      </c>
      <c r="I734" t="e">
        <f t="shared" si="117"/>
        <v>#N/A</v>
      </c>
      <c r="J734" t="e">
        <f t="shared" si="118"/>
        <v>#N/A</v>
      </c>
      <c r="K734">
        <f t="shared" si="119"/>
        <v>1.8257598119888144E-2</v>
      </c>
      <c r="L734" t="e">
        <f>IF(AND(ABS((ChartCalculations!A734-Calculations!$F$3)/Calculations!$F$4)&lt;5,OR(A734&lt;=Calculations!$F$7,A734&gt;=Calculations!$F$8)),0.2*_xlfn.NORM.DIST(100,100,15,FALSE)*_xlfn.NORM.DIST(A734,Calculations!$F$3,Calculations!$F$4,FALSE)/_xlfn.NORM.DIST(Calculations!$F$3,Calculations!$F$3,Calculations!$F$4,FALSE),NA())</f>
        <v>#N/A</v>
      </c>
      <c r="M734" t="e">
        <f>IF(AND(A734&gt;=Calculations!$F$7,A734&lt;=Calculations!$F$8),0.2*_xlfn.NORM.DIST(100,100,15,FALSE)*_xlfn.NORM.DIST(A734,Calculations!$F$3,Calculations!$F$4,FALSE)/_xlfn.NORM.DIST(Calculations!$F$3,Calculations!$F$3,Calculations!$F$4,FALSE),NA())</f>
        <v>#N/A</v>
      </c>
    </row>
    <row r="735" spans="1:13" x14ac:dyDescent="0.25">
      <c r="A735">
        <v>113.30000000000101</v>
      </c>
      <c r="B735" t="e">
        <f t="shared" si="110"/>
        <v>#N/A</v>
      </c>
      <c r="C735" t="e">
        <f t="shared" si="111"/>
        <v>#N/A</v>
      </c>
      <c r="D735" t="e">
        <f t="shared" si="112"/>
        <v>#N/A</v>
      </c>
      <c r="E735" t="e">
        <f t="shared" si="113"/>
        <v>#N/A</v>
      </c>
      <c r="F735" t="e">
        <f t="shared" si="114"/>
        <v>#N/A</v>
      </c>
      <c r="G735">
        <f t="shared" si="115"/>
        <v>1.7951571427074754E-2</v>
      </c>
      <c r="H735" t="e">
        <f t="shared" si="116"/>
        <v>#N/A</v>
      </c>
      <c r="I735" t="e">
        <f t="shared" si="117"/>
        <v>#N/A</v>
      </c>
      <c r="J735" t="e">
        <f t="shared" si="118"/>
        <v>#N/A</v>
      </c>
      <c r="K735">
        <f t="shared" si="119"/>
        <v>1.8151571427074752E-2</v>
      </c>
      <c r="L735" t="e">
        <f>IF(AND(ABS((ChartCalculations!A735-Calculations!$F$3)/Calculations!$F$4)&lt;5,OR(A735&lt;=Calculations!$F$7,A735&gt;=Calculations!$F$8)),0.2*_xlfn.NORM.DIST(100,100,15,FALSE)*_xlfn.NORM.DIST(A735,Calculations!$F$3,Calculations!$F$4,FALSE)/_xlfn.NORM.DIST(Calculations!$F$3,Calculations!$F$3,Calculations!$F$4,FALSE),NA())</f>
        <v>#N/A</v>
      </c>
      <c r="M735" t="e">
        <f>IF(AND(A735&gt;=Calculations!$F$7,A735&lt;=Calculations!$F$8),0.2*_xlfn.NORM.DIST(100,100,15,FALSE)*_xlfn.NORM.DIST(A735,Calculations!$F$3,Calculations!$F$4,FALSE)/_xlfn.NORM.DIST(Calculations!$F$3,Calculations!$F$3,Calculations!$F$4,FALSE),NA())</f>
        <v>#N/A</v>
      </c>
    </row>
    <row r="736" spans="1:13" x14ac:dyDescent="0.25">
      <c r="A736">
        <v>113.400000000001</v>
      </c>
      <c r="B736" t="e">
        <f t="shared" si="110"/>
        <v>#N/A</v>
      </c>
      <c r="C736" t="e">
        <f t="shared" si="111"/>
        <v>#N/A</v>
      </c>
      <c r="D736" t="e">
        <f t="shared" si="112"/>
        <v>#N/A</v>
      </c>
      <c r="E736" t="e">
        <f t="shared" si="113"/>
        <v>#N/A</v>
      </c>
      <c r="F736" t="e">
        <f t="shared" si="114"/>
        <v>#N/A</v>
      </c>
      <c r="G736">
        <f t="shared" si="115"/>
        <v>1.7845374133463033E-2</v>
      </c>
      <c r="H736" t="e">
        <f t="shared" si="116"/>
        <v>#N/A</v>
      </c>
      <c r="I736" t="e">
        <f t="shared" si="117"/>
        <v>#N/A</v>
      </c>
      <c r="J736" t="e">
        <f t="shared" si="118"/>
        <v>#N/A</v>
      </c>
      <c r="K736">
        <f t="shared" si="119"/>
        <v>1.8045374133463032E-2</v>
      </c>
      <c r="L736" t="e">
        <f>IF(AND(ABS((ChartCalculations!A736-Calculations!$F$3)/Calculations!$F$4)&lt;5,OR(A736&lt;=Calculations!$F$7,A736&gt;=Calculations!$F$8)),0.2*_xlfn.NORM.DIST(100,100,15,FALSE)*_xlfn.NORM.DIST(A736,Calculations!$F$3,Calculations!$F$4,FALSE)/_xlfn.NORM.DIST(Calculations!$F$3,Calculations!$F$3,Calculations!$F$4,FALSE),NA())</f>
        <v>#N/A</v>
      </c>
      <c r="M736" t="e">
        <f>IF(AND(A736&gt;=Calculations!$F$7,A736&lt;=Calculations!$F$8),0.2*_xlfn.NORM.DIST(100,100,15,FALSE)*_xlfn.NORM.DIST(A736,Calculations!$F$3,Calculations!$F$4,FALSE)/_xlfn.NORM.DIST(Calculations!$F$3,Calculations!$F$3,Calculations!$F$4,FALSE),NA())</f>
        <v>#N/A</v>
      </c>
    </row>
    <row r="737" spans="1:13" x14ac:dyDescent="0.25">
      <c r="A737">
        <v>113.50000000000099</v>
      </c>
      <c r="B737" t="e">
        <f t="shared" si="110"/>
        <v>#N/A</v>
      </c>
      <c r="C737" t="e">
        <f t="shared" si="111"/>
        <v>#N/A</v>
      </c>
      <c r="D737" t="e">
        <f t="shared" si="112"/>
        <v>#N/A</v>
      </c>
      <c r="E737" t="e">
        <f t="shared" si="113"/>
        <v>#N/A</v>
      </c>
      <c r="F737" t="e">
        <f t="shared" si="114"/>
        <v>#N/A</v>
      </c>
      <c r="G737">
        <f t="shared" si="115"/>
        <v>1.7739016659915931E-2</v>
      </c>
      <c r="H737" t="e">
        <f t="shared" si="116"/>
        <v>#N/A</v>
      </c>
      <c r="I737" t="e">
        <f t="shared" si="117"/>
        <v>#N/A</v>
      </c>
      <c r="J737" t="e">
        <f t="shared" si="118"/>
        <v>#N/A</v>
      </c>
      <c r="K737">
        <f t="shared" si="119"/>
        <v>1.793901665991593E-2</v>
      </c>
      <c r="L737" t="e">
        <f>IF(AND(ABS((ChartCalculations!A737-Calculations!$F$3)/Calculations!$F$4)&lt;5,OR(A737&lt;=Calculations!$F$7,A737&gt;=Calculations!$F$8)),0.2*_xlfn.NORM.DIST(100,100,15,FALSE)*_xlfn.NORM.DIST(A737,Calculations!$F$3,Calculations!$F$4,FALSE)/_xlfn.NORM.DIST(Calculations!$F$3,Calculations!$F$3,Calculations!$F$4,FALSE),NA())</f>
        <v>#N/A</v>
      </c>
      <c r="M737" t="e">
        <f>IF(AND(A737&gt;=Calculations!$F$7,A737&lt;=Calculations!$F$8),0.2*_xlfn.NORM.DIST(100,100,15,FALSE)*_xlfn.NORM.DIST(A737,Calculations!$F$3,Calculations!$F$4,FALSE)/_xlfn.NORM.DIST(Calculations!$F$3,Calculations!$F$3,Calculations!$F$4,FALSE),NA())</f>
        <v>#N/A</v>
      </c>
    </row>
    <row r="738" spans="1:13" x14ac:dyDescent="0.25">
      <c r="A738">
        <v>113.600000000001</v>
      </c>
      <c r="B738" t="e">
        <f t="shared" si="110"/>
        <v>#N/A</v>
      </c>
      <c r="C738" t="e">
        <f t="shared" si="111"/>
        <v>#N/A</v>
      </c>
      <c r="D738" t="e">
        <f t="shared" si="112"/>
        <v>#N/A</v>
      </c>
      <c r="E738" t="e">
        <f t="shared" si="113"/>
        <v>#N/A</v>
      </c>
      <c r="F738" t="e">
        <f t="shared" si="114"/>
        <v>#N/A</v>
      </c>
      <c r="G738">
        <f t="shared" si="115"/>
        <v>1.7632509386712791E-2</v>
      </c>
      <c r="H738" t="e">
        <f t="shared" si="116"/>
        <v>#N/A</v>
      </c>
      <c r="I738" t="e">
        <f t="shared" si="117"/>
        <v>#N/A</v>
      </c>
      <c r="J738" t="e">
        <f t="shared" si="118"/>
        <v>#N/A</v>
      </c>
      <c r="K738">
        <f t="shared" si="119"/>
        <v>1.783250938671279E-2</v>
      </c>
      <c r="L738" t="e">
        <f>IF(AND(ABS((ChartCalculations!A738-Calculations!$F$3)/Calculations!$F$4)&lt;5,OR(A738&lt;=Calculations!$F$7,A738&gt;=Calculations!$F$8)),0.2*_xlfn.NORM.DIST(100,100,15,FALSE)*_xlfn.NORM.DIST(A738,Calculations!$F$3,Calculations!$F$4,FALSE)/_xlfn.NORM.DIST(Calculations!$F$3,Calculations!$F$3,Calculations!$F$4,FALSE),NA())</f>
        <v>#N/A</v>
      </c>
      <c r="M738" t="e">
        <f>IF(AND(A738&gt;=Calculations!$F$7,A738&lt;=Calculations!$F$8),0.2*_xlfn.NORM.DIST(100,100,15,FALSE)*_xlfn.NORM.DIST(A738,Calculations!$F$3,Calculations!$F$4,FALSE)/_xlfn.NORM.DIST(Calculations!$F$3,Calculations!$F$3,Calculations!$F$4,FALSE),NA())</f>
        <v>#N/A</v>
      </c>
    </row>
    <row r="739" spans="1:13" x14ac:dyDescent="0.25">
      <c r="A739">
        <v>113.700000000001</v>
      </c>
      <c r="B739" t="e">
        <f t="shared" si="110"/>
        <v>#N/A</v>
      </c>
      <c r="C739" t="e">
        <f t="shared" si="111"/>
        <v>#N/A</v>
      </c>
      <c r="D739" t="e">
        <f t="shared" si="112"/>
        <v>#N/A</v>
      </c>
      <c r="E739" t="e">
        <f t="shared" si="113"/>
        <v>#N/A</v>
      </c>
      <c r="F739" t="e">
        <f t="shared" si="114"/>
        <v>#N/A</v>
      </c>
      <c r="G739">
        <f t="shared" si="115"/>
        <v>1.7525862651951458E-2</v>
      </c>
      <c r="H739" t="e">
        <f t="shared" si="116"/>
        <v>#N/A</v>
      </c>
      <c r="I739" t="e">
        <f t="shared" si="117"/>
        <v>#N/A</v>
      </c>
      <c r="J739" t="e">
        <f t="shared" si="118"/>
        <v>#N/A</v>
      </c>
      <c r="K739">
        <f t="shared" si="119"/>
        <v>1.7725862651951457E-2</v>
      </c>
      <c r="L739" t="e">
        <f>IF(AND(ABS((ChartCalculations!A739-Calculations!$F$3)/Calculations!$F$4)&lt;5,OR(A739&lt;=Calculations!$F$7,A739&gt;=Calculations!$F$8)),0.2*_xlfn.NORM.DIST(100,100,15,FALSE)*_xlfn.NORM.DIST(A739,Calculations!$F$3,Calculations!$F$4,FALSE)/_xlfn.NORM.DIST(Calculations!$F$3,Calculations!$F$3,Calculations!$F$4,FALSE),NA())</f>
        <v>#N/A</v>
      </c>
      <c r="M739" t="e">
        <f>IF(AND(A739&gt;=Calculations!$F$7,A739&lt;=Calculations!$F$8),0.2*_xlfn.NORM.DIST(100,100,15,FALSE)*_xlfn.NORM.DIST(A739,Calculations!$F$3,Calculations!$F$4,FALSE)/_xlfn.NORM.DIST(Calculations!$F$3,Calculations!$F$3,Calculations!$F$4,FALSE),NA())</f>
        <v>#N/A</v>
      </c>
    </row>
    <row r="740" spans="1:13" x14ac:dyDescent="0.25">
      <c r="A740">
        <v>113.80000000000101</v>
      </c>
      <c r="B740" t="e">
        <f t="shared" si="110"/>
        <v>#N/A</v>
      </c>
      <c r="C740" t="e">
        <f t="shared" si="111"/>
        <v>#N/A</v>
      </c>
      <c r="D740" t="e">
        <f t="shared" si="112"/>
        <v>#N/A</v>
      </c>
      <c r="E740" t="e">
        <f t="shared" si="113"/>
        <v>#N/A</v>
      </c>
      <c r="F740" t="e">
        <f t="shared" si="114"/>
        <v>#N/A</v>
      </c>
      <c r="G740">
        <f t="shared" si="115"/>
        <v>1.7419086749969132E-2</v>
      </c>
      <c r="H740" t="e">
        <f t="shared" si="116"/>
        <v>#N/A</v>
      </c>
      <c r="I740" t="e">
        <f t="shared" si="117"/>
        <v>#N/A</v>
      </c>
      <c r="J740" t="e">
        <f t="shared" si="118"/>
        <v>#N/A</v>
      </c>
      <c r="K740">
        <f t="shared" si="119"/>
        <v>1.7619086749969131E-2</v>
      </c>
      <c r="L740" t="e">
        <f>IF(AND(ABS((ChartCalculations!A740-Calculations!$F$3)/Calculations!$F$4)&lt;5,OR(A740&lt;=Calculations!$F$7,A740&gt;=Calculations!$F$8)),0.2*_xlfn.NORM.DIST(100,100,15,FALSE)*_xlfn.NORM.DIST(A740,Calculations!$F$3,Calculations!$F$4,FALSE)/_xlfn.NORM.DIST(Calculations!$F$3,Calculations!$F$3,Calculations!$F$4,FALSE),NA())</f>
        <v>#N/A</v>
      </c>
      <c r="M740" t="e">
        <f>IF(AND(A740&gt;=Calculations!$F$7,A740&lt;=Calculations!$F$8),0.2*_xlfn.NORM.DIST(100,100,15,FALSE)*_xlfn.NORM.DIST(A740,Calculations!$F$3,Calculations!$F$4,FALSE)/_xlfn.NORM.DIST(Calculations!$F$3,Calculations!$F$3,Calculations!$F$4,FALSE),NA())</f>
        <v>#N/A</v>
      </c>
    </row>
    <row r="741" spans="1:13" x14ac:dyDescent="0.25">
      <c r="A741">
        <v>113.900000000001</v>
      </c>
      <c r="B741" t="e">
        <f t="shared" si="110"/>
        <v>#N/A</v>
      </c>
      <c r="C741" t="e">
        <f t="shared" si="111"/>
        <v>#N/A</v>
      </c>
      <c r="D741" t="e">
        <f t="shared" si="112"/>
        <v>#N/A</v>
      </c>
      <c r="E741" t="e">
        <f t="shared" si="113"/>
        <v>#N/A</v>
      </c>
      <c r="F741" t="e">
        <f t="shared" si="114"/>
        <v>#N/A</v>
      </c>
      <c r="G741">
        <f t="shared" si="115"/>
        <v>1.7312191929782665E-2</v>
      </c>
      <c r="H741" t="e">
        <f t="shared" si="116"/>
        <v>#N/A</v>
      </c>
      <c r="I741" t="e">
        <f t="shared" si="117"/>
        <v>#N/A</v>
      </c>
      <c r="J741" t="e">
        <f t="shared" si="118"/>
        <v>#N/A</v>
      </c>
      <c r="K741">
        <f t="shared" si="119"/>
        <v>1.7512191929782664E-2</v>
      </c>
      <c r="L741" t="e">
        <f>IF(AND(ABS((ChartCalculations!A741-Calculations!$F$3)/Calculations!$F$4)&lt;5,OR(A741&lt;=Calculations!$F$7,A741&gt;=Calculations!$F$8)),0.2*_xlfn.NORM.DIST(100,100,15,FALSE)*_xlfn.NORM.DIST(A741,Calculations!$F$3,Calculations!$F$4,FALSE)/_xlfn.NORM.DIST(Calculations!$F$3,Calculations!$F$3,Calculations!$F$4,FALSE),NA())</f>
        <v>#N/A</v>
      </c>
      <c r="M741" t="e">
        <f>IF(AND(A741&gt;=Calculations!$F$7,A741&lt;=Calculations!$F$8),0.2*_xlfn.NORM.DIST(100,100,15,FALSE)*_xlfn.NORM.DIST(A741,Calculations!$F$3,Calculations!$F$4,FALSE)/_xlfn.NORM.DIST(Calculations!$F$3,Calculations!$F$3,Calculations!$F$4,FALSE),NA())</f>
        <v>#N/A</v>
      </c>
    </row>
    <row r="742" spans="1:13" x14ac:dyDescent="0.25">
      <c r="A742">
        <v>114.00000000000099</v>
      </c>
      <c r="B742" t="e">
        <f t="shared" si="110"/>
        <v>#N/A</v>
      </c>
      <c r="C742" t="e">
        <f t="shared" si="111"/>
        <v>#N/A</v>
      </c>
      <c r="D742" t="e">
        <f t="shared" si="112"/>
        <v>#N/A</v>
      </c>
      <c r="E742" t="e">
        <f t="shared" si="113"/>
        <v>#N/A</v>
      </c>
      <c r="F742" t="e">
        <f t="shared" si="114"/>
        <v>#N/A</v>
      </c>
      <c r="G742">
        <f t="shared" si="115"/>
        <v>1.7205188393548114E-2</v>
      </c>
      <c r="H742" t="e">
        <f t="shared" si="116"/>
        <v>#N/A</v>
      </c>
      <c r="I742" t="e">
        <f t="shared" si="117"/>
        <v>#N/A</v>
      </c>
      <c r="J742" t="e">
        <f t="shared" si="118"/>
        <v>#N/A</v>
      </c>
      <c r="K742">
        <f t="shared" si="119"/>
        <v>1.7405188393548113E-2</v>
      </c>
      <c r="L742" t="e">
        <f>IF(AND(ABS((ChartCalculations!A742-Calculations!$F$3)/Calculations!$F$4)&lt;5,OR(A742&lt;=Calculations!$F$7,A742&gt;=Calculations!$F$8)),0.2*_xlfn.NORM.DIST(100,100,15,FALSE)*_xlfn.NORM.DIST(A742,Calculations!$F$3,Calculations!$F$4,FALSE)/_xlfn.NORM.DIST(Calculations!$F$3,Calculations!$F$3,Calculations!$F$4,FALSE),NA())</f>
        <v>#N/A</v>
      </c>
      <c r="M742" t="e">
        <f>IF(AND(A742&gt;=Calculations!$F$7,A742&lt;=Calculations!$F$8),0.2*_xlfn.NORM.DIST(100,100,15,FALSE)*_xlfn.NORM.DIST(A742,Calculations!$F$3,Calculations!$F$4,FALSE)/_xlfn.NORM.DIST(Calculations!$F$3,Calculations!$F$3,Calculations!$F$4,FALSE),NA())</f>
        <v>#N/A</v>
      </c>
    </row>
    <row r="743" spans="1:13" x14ac:dyDescent="0.25">
      <c r="A743">
        <v>114.100000000001</v>
      </c>
      <c r="B743" t="e">
        <f t="shared" si="110"/>
        <v>#N/A</v>
      </c>
      <c r="C743" t="e">
        <f t="shared" si="111"/>
        <v>#N/A</v>
      </c>
      <c r="D743" t="e">
        <f t="shared" si="112"/>
        <v>#N/A</v>
      </c>
      <c r="E743" t="e">
        <f t="shared" si="113"/>
        <v>#N/A</v>
      </c>
      <c r="F743" t="e">
        <f t="shared" si="114"/>
        <v>#N/A</v>
      </c>
      <c r="G743">
        <f t="shared" si="115"/>
        <v>1.7098086295040282E-2</v>
      </c>
      <c r="H743" t="e">
        <f t="shared" si="116"/>
        <v>#N/A</v>
      </c>
      <c r="I743" t="e">
        <f t="shared" si="117"/>
        <v>#N/A</v>
      </c>
      <c r="J743" t="e">
        <f t="shared" si="118"/>
        <v>#N/A</v>
      </c>
      <c r="K743">
        <f t="shared" si="119"/>
        <v>1.7298086295040281E-2</v>
      </c>
      <c r="L743" t="e">
        <f>IF(AND(ABS((ChartCalculations!A743-Calculations!$F$3)/Calculations!$F$4)&lt;5,OR(A743&lt;=Calculations!$F$7,A743&gt;=Calculations!$F$8)),0.2*_xlfn.NORM.DIST(100,100,15,FALSE)*_xlfn.NORM.DIST(A743,Calculations!$F$3,Calculations!$F$4,FALSE)/_xlfn.NORM.DIST(Calculations!$F$3,Calculations!$F$3,Calculations!$F$4,FALSE),NA())</f>
        <v>#N/A</v>
      </c>
      <c r="M743" t="e">
        <f>IF(AND(A743&gt;=Calculations!$F$7,A743&lt;=Calculations!$F$8),0.2*_xlfn.NORM.DIST(100,100,15,FALSE)*_xlfn.NORM.DIST(A743,Calculations!$F$3,Calculations!$F$4,FALSE)/_xlfn.NORM.DIST(Calculations!$F$3,Calculations!$F$3,Calculations!$F$4,FALSE),NA())</f>
        <v>#N/A</v>
      </c>
    </row>
    <row r="744" spans="1:13" x14ac:dyDescent="0.25">
      <c r="A744">
        <v>114.200000000001</v>
      </c>
      <c r="B744" t="e">
        <f t="shared" si="110"/>
        <v>#N/A</v>
      </c>
      <c r="C744" t="e">
        <f t="shared" si="111"/>
        <v>#N/A</v>
      </c>
      <c r="D744" t="e">
        <f t="shared" si="112"/>
        <v>#N/A</v>
      </c>
      <c r="E744" t="e">
        <f t="shared" si="113"/>
        <v>#N/A</v>
      </c>
      <c r="F744" t="e">
        <f t="shared" si="114"/>
        <v>#N/A</v>
      </c>
      <c r="G744">
        <f t="shared" si="115"/>
        <v>1.6990895738152323E-2</v>
      </c>
      <c r="H744" t="e">
        <f t="shared" si="116"/>
        <v>#N/A</v>
      </c>
      <c r="I744" t="e">
        <f t="shared" si="117"/>
        <v>#N/A</v>
      </c>
      <c r="J744" t="e">
        <f t="shared" si="118"/>
        <v>#N/A</v>
      </c>
      <c r="K744">
        <f t="shared" si="119"/>
        <v>1.7190895738152322E-2</v>
      </c>
      <c r="L744" t="e">
        <f>IF(AND(ABS((ChartCalculations!A744-Calculations!$F$3)/Calculations!$F$4)&lt;5,OR(A744&lt;=Calculations!$F$7,A744&gt;=Calculations!$F$8)),0.2*_xlfn.NORM.DIST(100,100,15,FALSE)*_xlfn.NORM.DIST(A744,Calculations!$F$3,Calculations!$F$4,FALSE)/_xlfn.NORM.DIST(Calculations!$F$3,Calculations!$F$3,Calculations!$F$4,FALSE),NA())</f>
        <v>#N/A</v>
      </c>
      <c r="M744" t="e">
        <f>IF(AND(A744&gt;=Calculations!$F$7,A744&lt;=Calculations!$F$8),0.2*_xlfn.NORM.DIST(100,100,15,FALSE)*_xlfn.NORM.DIST(A744,Calculations!$F$3,Calculations!$F$4,FALSE)/_xlfn.NORM.DIST(Calculations!$F$3,Calculations!$F$3,Calculations!$F$4,FALSE),NA())</f>
        <v>#N/A</v>
      </c>
    </row>
    <row r="745" spans="1:13" x14ac:dyDescent="0.25">
      <c r="A745">
        <v>114.30000000000101</v>
      </c>
      <c r="B745" t="e">
        <f t="shared" si="110"/>
        <v>#N/A</v>
      </c>
      <c r="C745" t="e">
        <f t="shared" si="111"/>
        <v>#N/A</v>
      </c>
      <c r="D745" t="e">
        <f t="shared" si="112"/>
        <v>#N/A</v>
      </c>
      <c r="E745" t="e">
        <f t="shared" si="113"/>
        <v>#N/A</v>
      </c>
      <c r="F745" t="e">
        <f t="shared" si="114"/>
        <v>#N/A</v>
      </c>
      <c r="G745">
        <f t="shared" si="115"/>
        <v>1.6883626775415543E-2</v>
      </c>
      <c r="H745" t="e">
        <f t="shared" si="116"/>
        <v>#N/A</v>
      </c>
      <c r="I745" t="e">
        <f t="shared" si="117"/>
        <v>#N/A</v>
      </c>
      <c r="J745" t="e">
        <f t="shared" si="118"/>
        <v>#N/A</v>
      </c>
      <c r="K745">
        <f t="shared" si="119"/>
        <v>1.7083626775415542E-2</v>
      </c>
      <c r="L745" t="e">
        <f>IF(AND(ABS((ChartCalculations!A745-Calculations!$F$3)/Calculations!$F$4)&lt;5,OR(A745&lt;=Calculations!$F$7,A745&gt;=Calculations!$F$8)),0.2*_xlfn.NORM.DIST(100,100,15,FALSE)*_xlfn.NORM.DIST(A745,Calculations!$F$3,Calculations!$F$4,FALSE)/_xlfn.NORM.DIST(Calculations!$F$3,Calculations!$F$3,Calculations!$F$4,FALSE),NA())</f>
        <v>#N/A</v>
      </c>
      <c r="M745" t="e">
        <f>IF(AND(A745&gt;=Calculations!$F$7,A745&lt;=Calculations!$F$8),0.2*_xlfn.NORM.DIST(100,100,15,FALSE)*_xlfn.NORM.DIST(A745,Calculations!$F$3,Calculations!$F$4,FALSE)/_xlfn.NORM.DIST(Calculations!$F$3,Calculations!$F$3,Calculations!$F$4,FALSE),NA())</f>
        <v>#N/A</v>
      </c>
    </row>
    <row r="746" spans="1:13" x14ac:dyDescent="0.25">
      <c r="A746">
        <v>114.400000000001</v>
      </c>
      <c r="B746" t="e">
        <f t="shared" si="110"/>
        <v>#N/A</v>
      </c>
      <c r="C746" t="e">
        <f t="shared" si="111"/>
        <v>#N/A</v>
      </c>
      <c r="D746" t="e">
        <f t="shared" si="112"/>
        <v>#N/A</v>
      </c>
      <c r="E746" t="e">
        <f t="shared" si="113"/>
        <v>#N/A</v>
      </c>
      <c r="F746" t="e">
        <f t="shared" si="114"/>
        <v>#N/A</v>
      </c>
      <c r="G746">
        <f t="shared" si="115"/>
        <v>1.6776289406540065E-2</v>
      </c>
      <c r="H746" t="e">
        <f t="shared" si="116"/>
        <v>#N/A</v>
      </c>
      <c r="I746" t="e">
        <f t="shared" si="117"/>
        <v>#N/A</v>
      </c>
      <c r="J746" t="e">
        <f t="shared" si="118"/>
        <v>#N/A</v>
      </c>
      <c r="K746">
        <f t="shared" si="119"/>
        <v>1.6976289406540064E-2</v>
      </c>
      <c r="L746" t="e">
        <f>IF(AND(ABS((ChartCalculations!A746-Calculations!$F$3)/Calculations!$F$4)&lt;5,OR(A746&lt;=Calculations!$F$7,A746&gt;=Calculations!$F$8)),0.2*_xlfn.NORM.DIST(100,100,15,FALSE)*_xlfn.NORM.DIST(A746,Calculations!$F$3,Calculations!$F$4,FALSE)/_xlfn.NORM.DIST(Calculations!$F$3,Calculations!$F$3,Calculations!$F$4,FALSE),NA())</f>
        <v>#N/A</v>
      </c>
      <c r="M746" t="e">
        <f>IF(AND(A746&gt;=Calculations!$F$7,A746&lt;=Calculations!$F$8),0.2*_xlfn.NORM.DIST(100,100,15,FALSE)*_xlfn.NORM.DIST(A746,Calculations!$F$3,Calculations!$F$4,FALSE)/_xlfn.NORM.DIST(Calculations!$F$3,Calculations!$F$3,Calculations!$F$4,FALSE),NA())</f>
        <v>#N/A</v>
      </c>
    </row>
    <row r="747" spans="1:13" x14ac:dyDescent="0.25">
      <c r="A747">
        <v>114.50000000000099</v>
      </c>
      <c r="B747" t="e">
        <f t="shared" si="110"/>
        <v>#N/A</v>
      </c>
      <c r="C747" t="e">
        <f t="shared" si="111"/>
        <v>#N/A</v>
      </c>
      <c r="D747" t="e">
        <f t="shared" si="112"/>
        <v>#N/A</v>
      </c>
      <c r="E747" t="e">
        <f t="shared" si="113"/>
        <v>#N/A</v>
      </c>
      <c r="F747" t="e">
        <f t="shared" si="114"/>
        <v>#N/A</v>
      </c>
      <c r="G747">
        <f t="shared" si="115"/>
        <v>1.6668893576976162E-2</v>
      </c>
      <c r="H747" t="e">
        <f t="shared" si="116"/>
        <v>#N/A</v>
      </c>
      <c r="I747" t="e">
        <f t="shared" si="117"/>
        <v>#N/A</v>
      </c>
      <c r="J747" t="e">
        <f t="shared" si="118"/>
        <v>#N/A</v>
      </c>
      <c r="K747">
        <f t="shared" si="119"/>
        <v>1.6868893576976161E-2</v>
      </c>
      <c r="L747" t="e">
        <f>IF(AND(ABS((ChartCalculations!A747-Calculations!$F$3)/Calculations!$F$4)&lt;5,OR(A747&lt;=Calculations!$F$7,A747&gt;=Calculations!$F$8)),0.2*_xlfn.NORM.DIST(100,100,15,FALSE)*_xlfn.NORM.DIST(A747,Calculations!$F$3,Calculations!$F$4,FALSE)/_xlfn.NORM.DIST(Calculations!$F$3,Calculations!$F$3,Calculations!$F$4,FALSE),NA())</f>
        <v>#N/A</v>
      </c>
      <c r="M747" t="e">
        <f>IF(AND(A747&gt;=Calculations!$F$7,A747&lt;=Calculations!$F$8),0.2*_xlfn.NORM.DIST(100,100,15,FALSE)*_xlfn.NORM.DIST(A747,Calculations!$F$3,Calculations!$F$4,FALSE)/_xlfn.NORM.DIST(Calculations!$F$3,Calculations!$F$3,Calculations!$F$4,FALSE),NA())</f>
        <v>#N/A</v>
      </c>
    </row>
    <row r="748" spans="1:13" x14ac:dyDescent="0.25">
      <c r="A748">
        <v>114.600000000001</v>
      </c>
      <c r="B748" t="e">
        <f t="shared" si="110"/>
        <v>#N/A</v>
      </c>
      <c r="C748" t="e">
        <f t="shared" si="111"/>
        <v>#N/A</v>
      </c>
      <c r="D748" t="e">
        <f t="shared" si="112"/>
        <v>#N/A</v>
      </c>
      <c r="E748" t="e">
        <f t="shared" si="113"/>
        <v>#N/A</v>
      </c>
      <c r="F748" t="e">
        <f t="shared" si="114"/>
        <v>#N/A</v>
      </c>
      <c r="G748">
        <f t="shared" si="115"/>
        <v>1.6561449176496826E-2</v>
      </c>
      <c r="H748" t="e">
        <f t="shared" si="116"/>
        <v>#N/A</v>
      </c>
      <c r="I748" t="e">
        <f t="shared" si="117"/>
        <v>#N/A</v>
      </c>
      <c r="J748" t="e">
        <f t="shared" si="118"/>
        <v>#N/A</v>
      </c>
      <c r="K748">
        <f t="shared" si="119"/>
        <v>1.6761449176496825E-2</v>
      </c>
      <c r="L748" t="e">
        <f>IF(AND(ABS((ChartCalculations!A748-Calculations!$F$3)/Calculations!$F$4)&lt;5,OR(A748&lt;=Calculations!$F$7,A748&gt;=Calculations!$F$8)),0.2*_xlfn.NORM.DIST(100,100,15,FALSE)*_xlfn.NORM.DIST(A748,Calculations!$F$3,Calculations!$F$4,FALSE)/_xlfn.NORM.DIST(Calculations!$F$3,Calculations!$F$3,Calculations!$F$4,FALSE),NA())</f>
        <v>#N/A</v>
      </c>
      <c r="M748" t="e">
        <f>IF(AND(A748&gt;=Calculations!$F$7,A748&lt;=Calculations!$F$8),0.2*_xlfn.NORM.DIST(100,100,15,FALSE)*_xlfn.NORM.DIST(A748,Calculations!$F$3,Calculations!$F$4,FALSE)/_xlfn.NORM.DIST(Calculations!$F$3,Calculations!$F$3,Calculations!$F$4,FALSE),NA())</f>
        <v>#N/A</v>
      </c>
    </row>
    <row r="749" spans="1:13" x14ac:dyDescent="0.25">
      <c r="A749">
        <v>114.700000000001</v>
      </c>
      <c r="B749" t="e">
        <f t="shared" si="110"/>
        <v>#N/A</v>
      </c>
      <c r="C749" t="e">
        <f t="shared" si="111"/>
        <v>#N/A</v>
      </c>
      <c r="D749" t="e">
        <f t="shared" si="112"/>
        <v>#N/A</v>
      </c>
      <c r="E749" t="e">
        <f t="shared" si="113"/>
        <v>#N/A</v>
      </c>
      <c r="F749" t="e">
        <f t="shared" si="114"/>
        <v>#N/A</v>
      </c>
      <c r="G749">
        <f t="shared" si="115"/>
        <v>1.6453966037801779E-2</v>
      </c>
      <c r="H749" t="e">
        <f t="shared" si="116"/>
        <v>#N/A</v>
      </c>
      <c r="I749" t="e">
        <f t="shared" si="117"/>
        <v>#N/A</v>
      </c>
      <c r="J749" t="e">
        <f t="shared" si="118"/>
        <v>#N/A</v>
      </c>
      <c r="K749">
        <f t="shared" si="119"/>
        <v>1.6653966037801778E-2</v>
      </c>
      <c r="L749" t="e">
        <f>IF(AND(ABS((ChartCalculations!A749-Calculations!$F$3)/Calculations!$F$4)&lt;5,OR(A749&lt;=Calculations!$F$7,A749&gt;=Calculations!$F$8)),0.2*_xlfn.NORM.DIST(100,100,15,FALSE)*_xlfn.NORM.DIST(A749,Calculations!$F$3,Calculations!$F$4,FALSE)/_xlfn.NORM.DIST(Calculations!$F$3,Calculations!$F$3,Calculations!$F$4,FALSE),NA())</f>
        <v>#N/A</v>
      </c>
      <c r="M749" t="e">
        <f>IF(AND(A749&gt;=Calculations!$F$7,A749&lt;=Calculations!$F$8),0.2*_xlfn.NORM.DIST(100,100,15,FALSE)*_xlfn.NORM.DIST(A749,Calculations!$F$3,Calculations!$F$4,FALSE)/_xlfn.NORM.DIST(Calculations!$F$3,Calculations!$F$3,Calculations!$F$4,FALSE),NA())</f>
        <v>#N/A</v>
      </c>
    </row>
    <row r="750" spans="1:13" x14ac:dyDescent="0.25">
      <c r="A750">
        <v>114.80000000000101</v>
      </c>
      <c r="B750" t="e">
        <f t="shared" si="110"/>
        <v>#N/A</v>
      </c>
      <c r="C750" t="e">
        <f t="shared" si="111"/>
        <v>#N/A</v>
      </c>
      <c r="D750" t="e">
        <f t="shared" si="112"/>
        <v>#N/A</v>
      </c>
      <c r="E750" t="e">
        <f t="shared" si="113"/>
        <v>#N/A</v>
      </c>
      <c r="F750" t="e">
        <f t="shared" si="114"/>
        <v>#N/A</v>
      </c>
      <c r="G750">
        <f t="shared" si="115"/>
        <v>1.6346453935142873E-2</v>
      </c>
      <c r="H750" t="e">
        <f t="shared" si="116"/>
        <v>#N/A</v>
      </c>
      <c r="I750" t="e">
        <f t="shared" si="117"/>
        <v>#N/A</v>
      </c>
      <c r="J750" t="e">
        <f t="shared" si="118"/>
        <v>#N/A</v>
      </c>
      <c r="K750">
        <f t="shared" si="119"/>
        <v>1.6546453935142872E-2</v>
      </c>
      <c r="L750" t="e">
        <f>IF(AND(ABS((ChartCalculations!A750-Calculations!$F$3)/Calculations!$F$4)&lt;5,OR(A750&lt;=Calculations!$F$7,A750&gt;=Calculations!$F$8)),0.2*_xlfn.NORM.DIST(100,100,15,FALSE)*_xlfn.NORM.DIST(A750,Calculations!$F$3,Calculations!$F$4,FALSE)/_xlfn.NORM.DIST(Calculations!$F$3,Calculations!$F$3,Calculations!$F$4,FALSE),NA())</f>
        <v>#N/A</v>
      </c>
      <c r="M750" t="e">
        <f>IF(AND(A750&gt;=Calculations!$F$7,A750&lt;=Calculations!$F$8),0.2*_xlfn.NORM.DIST(100,100,15,FALSE)*_xlfn.NORM.DIST(A750,Calculations!$F$3,Calculations!$F$4,FALSE)/_xlfn.NORM.DIST(Calculations!$F$3,Calculations!$F$3,Calculations!$F$4,FALSE),NA())</f>
        <v>#N/A</v>
      </c>
    </row>
    <row r="751" spans="1:13" x14ac:dyDescent="0.25">
      <c r="A751">
        <v>114.900000000001</v>
      </c>
      <c r="B751" t="e">
        <f t="shared" si="110"/>
        <v>#N/A</v>
      </c>
      <c r="C751" t="e">
        <f t="shared" si="111"/>
        <v>#N/A</v>
      </c>
      <c r="D751" t="e">
        <f t="shared" si="112"/>
        <v>#N/A</v>
      </c>
      <c r="E751" t="e">
        <f t="shared" si="113"/>
        <v>#N/A</v>
      </c>
      <c r="F751" t="e">
        <f t="shared" si="114"/>
        <v>#N/A</v>
      </c>
      <c r="G751">
        <f t="shared" si="115"/>
        <v>1.6238922582971618E-2</v>
      </c>
      <c r="H751" t="e">
        <f t="shared" si="116"/>
        <v>#N/A</v>
      </c>
      <c r="I751" t="e">
        <f t="shared" si="117"/>
        <v>#N/A</v>
      </c>
      <c r="J751" t="e">
        <f t="shared" si="118"/>
        <v>#N/A</v>
      </c>
      <c r="K751">
        <f t="shared" si="119"/>
        <v>1.6438922582971617E-2</v>
      </c>
      <c r="L751" t="e">
        <f>IF(AND(ABS((ChartCalculations!A751-Calculations!$F$3)/Calculations!$F$4)&lt;5,OR(A751&lt;=Calculations!$F$7,A751&gt;=Calculations!$F$8)),0.2*_xlfn.NORM.DIST(100,100,15,FALSE)*_xlfn.NORM.DIST(A751,Calculations!$F$3,Calculations!$F$4,FALSE)/_xlfn.NORM.DIST(Calculations!$F$3,Calculations!$F$3,Calculations!$F$4,FALSE),NA())</f>
        <v>#N/A</v>
      </c>
      <c r="M751" t="e">
        <f>IF(AND(A751&gt;=Calculations!$F$7,A751&lt;=Calculations!$F$8),0.2*_xlfn.NORM.DIST(100,100,15,FALSE)*_xlfn.NORM.DIST(A751,Calculations!$F$3,Calculations!$F$4,FALSE)/_xlfn.NORM.DIST(Calculations!$F$3,Calculations!$F$3,Calculations!$F$4,FALSE),NA())</f>
        <v>#N/A</v>
      </c>
    </row>
    <row r="752" spans="1:13" x14ac:dyDescent="0.25">
      <c r="A752">
        <v>115.00000000000099</v>
      </c>
      <c r="B752" t="e">
        <f t="shared" si="110"/>
        <v>#N/A</v>
      </c>
      <c r="C752" t="e">
        <f t="shared" si="111"/>
        <v>#N/A</v>
      </c>
      <c r="D752" t="e">
        <f t="shared" si="112"/>
        <v>#N/A</v>
      </c>
      <c r="E752" t="e">
        <f t="shared" si="113"/>
        <v>#N/A</v>
      </c>
      <c r="F752" t="e">
        <f t="shared" si="114"/>
        <v>#N/A</v>
      </c>
      <c r="G752">
        <f t="shared" si="115"/>
        <v>1.6131381634608487E-2</v>
      </c>
      <c r="H752" t="e">
        <f t="shared" si="116"/>
        <v>#N/A</v>
      </c>
      <c r="I752" t="e">
        <f t="shared" si="117"/>
        <v>#N/A</v>
      </c>
      <c r="J752" t="e">
        <f t="shared" si="118"/>
        <v>#N/A</v>
      </c>
      <c r="K752">
        <f t="shared" si="119"/>
        <v>1.6331381634608486E-2</v>
      </c>
      <c r="L752" t="e">
        <f>IF(AND(ABS((ChartCalculations!A752-Calculations!$F$3)/Calculations!$F$4)&lt;5,OR(A752&lt;=Calculations!$F$7,A752&gt;=Calculations!$F$8)),0.2*_xlfn.NORM.DIST(100,100,15,FALSE)*_xlfn.NORM.DIST(A752,Calculations!$F$3,Calculations!$F$4,FALSE)/_xlfn.NORM.DIST(Calculations!$F$3,Calculations!$F$3,Calculations!$F$4,FALSE),NA())</f>
        <v>#N/A</v>
      </c>
      <c r="M752" t="e">
        <f>IF(AND(A752&gt;=Calculations!$F$7,A752&lt;=Calculations!$F$8),0.2*_xlfn.NORM.DIST(100,100,15,FALSE)*_xlfn.NORM.DIST(A752,Calculations!$F$3,Calculations!$F$4,FALSE)/_xlfn.NORM.DIST(Calculations!$F$3,Calculations!$F$3,Calculations!$F$4,FALSE),NA())</f>
        <v>#N/A</v>
      </c>
    </row>
    <row r="753" spans="1:13" x14ac:dyDescent="0.25">
      <c r="A753">
        <v>115.100000000001</v>
      </c>
      <c r="B753" t="e">
        <f t="shared" si="110"/>
        <v>#N/A</v>
      </c>
      <c r="C753" t="e">
        <f t="shared" si="111"/>
        <v>#N/A</v>
      </c>
      <c r="D753" t="e">
        <f t="shared" si="112"/>
        <v>#N/A</v>
      </c>
      <c r="E753" t="e">
        <f t="shared" si="113"/>
        <v>#N/A</v>
      </c>
      <c r="F753" t="e">
        <f t="shared" si="114"/>
        <v>#N/A</v>
      </c>
      <c r="G753">
        <f t="shared" si="115"/>
        <v>1.6023840680934664E-2</v>
      </c>
      <c r="H753" t="e">
        <f t="shared" si="116"/>
        <v>#N/A</v>
      </c>
      <c r="I753" t="e">
        <f t="shared" si="117"/>
        <v>#N/A</v>
      </c>
      <c r="J753" t="e">
        <f t="shared" si="118"/>
        <v>#N/A</v>
      </c>
      <c r="K753">
        <f t="shared" si="119"/>
        <v>1.6223840680934663E-2</v>
      </c>
      <c r="L753" t="e">
        <f>IF(AND(ABS((ChartCalculations!A753-Calculations!$F$3)/Calculations!$F$4)&lt;5,OR(A753&lt;=Calculations!$F$7,A753&gt;=Calculations!$F$8)),0.2*_xlfn.NORM.DIST(100,100,15,FALSE)*_xlfn.NORM.DIST(A753,Calculations!$F$3,Calculations!$F$4,FALSE)/_xlfn.NORM.DIST(Calculations!$F$3,Calculations!$F$3,Calculations!$F$4,FALSE),NA())</f>
        <v>#N/A</v>
      </c>
      <c r="M753" t="e">
        <f>IF(AND(A753&gt;=Calculations!$F$7,A753&lt;=Calculations!$F$8),0.2*_xlfn.NORM.DIST(100,100,15,FALSE)*_xlfn.NORM.DIST(A753,Calculations!$F$3,Calculations!$F$4,FALSE)/_xlfn.NORM.DIST(Calculations!$F$3,Calculations!$F$3,Calculations!$F$4,FALSE),NA())</f>
        <v>#N/A</v>
      </c>
    </row>
    <row r="754" spans="1:13" x14ac:dyDescent="0.25">
      <c r="A754">
        <v>115.200000000001</v>
      </c>
      <c r="B754" t="e">
        <f t="shared" si="110"/>
        <v>#N/A</v>
      </c>
      <c r="C754" t="e">
        <f t="shared" si="111"/>
        <v>#N/A</v>
      </c>
      <c r="D754" t="e">
        <f t="shared" si="112"/>
        <v>#N/A</v>
      </c>
      <c r="E754" t="e">
        <f t="shared" si="113"/>
        <v>#N/A</v>
      </c>
      <c r="F754" t="e">
        <f t="shared" si="114"/>
        <v>#N/A</v>
      </c>
      <c r="G754">
        <f t="shared" si="115"/>
        <v>1.5916309249106232E-2</v>
      </c>
      <c r="H754" t="e">
        <f t="shared" si="116"/>
        <v>#N/A</v>
      </c>
      <c r="I754" t="e">
        <f t="shared" si="117"/>
        <v>#N/A</v>
      </c>
      <c r="J754" t="e">
        <f t="shared" si="118"/>
        <v>#N/A</v>
      </c>
      <c r="K754">
        <f t="shared" si="119"/>
        <v>1.6116309249106231E-2</v>
      </c>
      <c r="L754" t="e">
        <f>IF(AND(ABS((ChartCalculations!A754-Calculations!$F$3)/Calculations!$F$4)&lt;5,OR(A754&lt;=Calculations!$F$7,A754&gt;=Calculations!$F$8)),0.2*_xlfn.NORM.DIST(100,100,15,FALSE)*_xlfn.NORM.DIST(A754,Calculations!$F$3,Calculations!$F$4,FALSE)/_xlfn.NORM.DIST(Calculations!$F$3,Calculations!$F$3,Calculations!$F$4,FALSE),NA())</f>
        <v>#N/A</v>
      </c>
      <c r="M754" t="e">
        <f>IF(AND(A754&gt;=Calculations!$F$7,A754&lt;=Calculations!$F$8),0.2*_xlfn.NORM.DIST(100,100,15,FALSE)*_xlfn.NORM.DIST(A754,Calculations!$F$3,Calculations!$F$4,FALSE)/_xlfn.NORM.DIST(Calculations!$F$3,Calculations!$F$3,Calculations!$F$4,FALSE),NA())</f>
        <v>#N/A</v>
      </c>
    </row>
    <row r="755" spans="1:13" x14ac:dyDescent="0.25">
      <c r="A755">
        <v>115.30000000000101</v>
      </c>
      <c r="B755" t="e">
        <f t="shared" si="110"/>
        <v>#N/A</v>
      </c>
      <c r="C755" t="e">
        <f t="shared" si="111"/>
        <v>#N/A</v>
      </c>
      <c r="D755" t="e">
        <f t="shared" si="112"/>
        <v>#N/A</v>
      </c>
      <c r="E755" t="e">
        <f t="shared" si="113"/>
        <v>#N/A</v>
      </c>
      <c r="F755" t="e">
        <f t="shared" si="114"/>
        <v>#N/A</v>
      </c>
      <c r="G755">
        <f t="shared" si="115"/>
        <v>1.5808796801290891E-2</v>
      </c>
      <c r="H755" t="e">
        <f t="shared" si="116"/>
        <v>#N/A</v>
      </c>
      <c r="I755" t="e">
        <f t="shared" si="117"/>
        <v>#N/A</v>
      </c>
      <c r="J755" t="e">
        <f t="shared" si="118"/>
        <v>#N/A</v>
      </c>
      <c r="K755">
        <f t="shared" si="119"/>
        <v>1.600879680129089E-2</v>
      </c>
      <c r="L755" t="e">
        <f>IF(AND(ABS((ChartCalculations!A755-Calculations!$F$3)/Calculations!$F$4)&lt;5,OR(A755&lt;=Calculations!$F$7,A755&gt;=Calculations!$F$8)),0.2*_xlfn.NORM.DIST(100,100,15,FALSE)*_xlfn.NORM.DIST(A755,Calculations!$F$3,Calculations!$F$4,FALSE)/_xlfn.NORM.DIST(Calculations!$F$3,Calculations!$F$3,Calculations!$F$4,FALSE),NA())</f>
        <v>#N/A</v>
      </c>
      <c r="M755" t="e">
        <f>IF(AND(A755&gt;=Calculations!$F$7,A755&lt;=Calculations!$F$8),0.2*_xlfn.NORM.DIST(100,100,15,FALSE)*_xlfn.NORM.DIST(A755,Calculations!$F$3,Calculations!$F$4,FALSE)/_xlfn.NORM.DIST(Calculations!$F$3,Calculations!$F$3,Calculations!$F$4,FALSE),NA())</f>
        <v>#N/A</v>
      </c>
    </row>
    <row r="756" spans="1:13" x14ac:dyDescent="0.25">
      <c r="A756">
        <v>115.400000000001</v>
      </c>
      <c r="B756" t="e">
        <f t="shared" si="110"/>
        <v>#N/A</v>
      </c>
      <c r="C756" t="e">
        <f t="shared" si="111"/>
        <v>#N/A</v>
      </c>
      <c r="D756" t="e">
        <f t="shared" si="112"/>
        <v>#N/A</v>
      </c>
      <c r="E756" t="e">
        <f t="shared" si="113"/>
        <v>#N/A</v>
      </c>
      <c r="F756" t="e">
        <f t="shared" si="114"/>
        <v>#N/A</v>
      </c>
      <c r="G756">
        <f t="shared" si="115"/>
        <v>1.570131273342773E-2</v>
      </c>
      <c r="H756" t="e">
        <f t="shared" si="116"/>
        <v>#N/A</v>
      </c>
      <c r="I756" t="e">
        <f t="shared" si="117"/>
        <v>#N/A</v>
      </c>
      <c r="J756" t="e">
        <f t="shared" si="118"/>
        <v>#N/A</v>
      </c>
      <c r="K756">
        <f t="shared" si="119"/>
        <v>1.5901312733427729E-2</v>
      </c>
      <c r="L756" t="e">
        <f>IF(AND(ABS((ChartCalculations!A756-Calculations!$F$3)/Calculations!$F$4)&lt;5,OR(A756&lt;=Calculations!$F$7,A756&gt;=Calculations!$F$8)),0.2*_xlfn.NORM.DIST(100,100,15,FALSE)*_xlfn.NORM.DIST(A756,Calculations!$F$3,Calculations!$F$4,FALSE)/_xlfn.NORM.DIST(Calculations!$F$3,Calculations!$F$3,Calculations!$F$4,FALSE),NA())</f>
        <v>#N/A</v>
      </c>
      <c r="M756" t="e">
        <f>IF(AND(A756&gt;=Calculations!$F$7,A756&lt;=Calculations!$F$8),0.2*_xlfn.NORM.DIST(100,100,15,FALSE)*_xlfn.NORM.DIST(A756,Calculations!$F$3,Calculations!$F$4,FALSE)/_xlfn.NORM.DIST(Calculations!$F$3,Calculations!$F$3,Calculations!$F$4,FALSE),NA())</f>
        <v>#N/A</v>
      </c>
    </row>
    <row r="757" spans="1:13" x14ac:dyDescent="0.25">
      <c r="A757">
        <v>115.50000000000099</v>
      </c>
      <c r="B757" t="e">
        <f t="shared" si="110"/>
        <v>#N/A</v>
      </c>
      <c r="C757" t="e">
        <f t="shared" si="111"/>
        <v>#N/A</v>
      </c>
      <c r="D757" t="e">
        <f t="shared" si="112"/>
        <v>#N/A</v>
      </c>
      <c r="E757" t="e">
        <f t="shared" si="113"/>
        <v>#N/A</v>
      </c>
      <c r="F757" t="e">
        <f t="shared" si="114"/>
        <v>#N/A</v>
      </c>
      <c r="G757">
        <f t="shared" si="115"/>
        <v>1.5593866374009797E-2</v>
      </c>
      <c r="H757" t="e">
        <f t="shared" si="116"/>
        <v>#N/A</v>
      </c>
      <c r="I757" t="e">
        <f t="shared" si="117"/>
        <v>#N/A</v>
      </c>
      <c r="J757" t="e">
        <f t="shared" si="118"/>
        <v>#N/A</v>
      </c>
      <c r="K757">
        <f t="shared" si="119"/>
        <v>1.5793866374009796E-2</v>
      </c>
      <c r="L757" t="e">
        <f>IF(AND(ABS((ChartCalculations!A757-Calculations!$F$3)/Calculations!$F$4)&lt;5,OR(A757&lt;=Calculations!$F$7,A757&gt;=Calculations!$F$8)),0.2*_xlfn.NORM.DIST(100,100,15,FALSE)*_xlfn.NORM.DIST(A757,Calculations!$F$3,Calculations!$F$4,FALSE)/_xlfn.NORM.DIST(Calculations!$F$3,Calculations!$F$3,Calculations!$F$4,FALSE),NA())</f>
        <v>#N/A</v>
      </c>
      <c r="M757" t="e">
        <f>IF(AND(A757&gt;=Calculations!$F$7,A757&lt;=Calculations!$F$8),0.2*_xlfn.NORM.DIST(100,100,15,FALSE)*_xlfn.NORM.DIST(A757,Calculations!$F$3,Calculations!$F$4,FALSE)/_xlfn.NORM.DIST(Calculations!$F$3,Calculations!$F$3,Calculations!$F$4,FALSE),NA())</f>
        <v>#N/A</v>
      </c>
    </row>
    <row r="758" spans="1:13" x14ac:dyDescent="0.25">
      <c r="A758">
        <v>115.600000000001</v>
      </c>
      <c r="B758" t="e">
        <f t="shared" si="110"/>
        <v>#N/A</v>
      </c>
      <c r="C758" t="e">
        <f t="shared" si="111"/>
        <v>#N/A</v>
      </c>
      <c r="D758" t="e">
        <f t="shared" si="112"/>
        <v>#N/A</v>
      </c>
      <c r="E758" t="e">
        <f t="shared" si="113"/>
        <v>#N/A</v>
      </c>
      <c r="F758" t="e">
        <f t="shared" si="114"/>
        <v>#N/A</v>
      </c>
      <c r="G758">
        <f t="shared" si="115"/>
        <v>1.5486466982890001E-2</v>
      </c>
      <c r="H758" t="e">
        <f t="shared" si="116"/>
        <v>#N/A</v>
      </c>
      <c r="I758" t="e">
        <f t="shared" si="117"/>
        <v>#N/A</v>
      </c>
      <c r="J758" t="e">
        <f t="shared" si="118"/>
        <v>#N/A</v>
      </c>
      <c r="K758">
        <f t="shared" si="119"/>
        <v>1.5686466982890002E-2</v>
      </c>
      <c r="L758" t="e">
        <f>IF(AND(ABS((ChartCalculations!A758-Calculations!$F$3)/Calculations!$F$4)&lt;5,OR(A758&lt;=Calculations!$F$7,A758&gt;=Calculations!$F$8)),0.2*_xlfn.NORM.DIST(100,100,15,FALSE)*_xlfn.NORM.DIST(A758,Calculations!$F$3,Calculations!$F$4,FALSE)/_xlfn.NORM.DIST(Calculations!$F$3,Calculations!$F$3,Calculations!$F$4,FALSE),NA())</f>
        <v>#N/A</v>
      </c>
      <c r="M758" t="e">
        <f>IF(AND(A758&gt;=Calculations!$F$7,A758&lt;=Calculations!$F$8),0.2*_xlfn.NORM.DIST(100,100,15,FALSE)*_xlfn.NORM.DIST(A758,Calculations!$F$3,Calculations!$F$4,FALSE)/_xlfn.NORM.DIST(Calculations!$F$3,Calculations!$F$3,Calculations!$F$4,FALSE),NA())</f>
        <v>#N/A</v>
      </c>
    </row>
    <row r="759" spans="1:13" x14ac:dyDescent="0.25">
      <c r="A759">
        <v>115.700000000001</v>
      </c>
      <c r="B759" t="e">
        <f t="shared" si="110"/>
        <v>#N/A</v>
      </c>
      <c r="C759" t="e">
        <f t="shared" si="111"/>
        <v>#N/A</v>
      </c>
      <c r="D759" t="e">
        <f t="shared" si="112"/>
        <v>#N/A</v>
      </c>
      <c r="E759" t="e">
        <f t="shared" si="113"/>
        <v>#N/A</v>
      </c>
      <c r="F759" t="e">
        <f t="shared" si="114"/>
        <v>#N/A</v>
      </c>
      <c r="G759">
        <f t="shared" si="115"/>
        <v>1.5379123750110364E-2</v>
      </c>
      <c r="H759" t="e">
        <f t="shared" si="116"/>
        <v>#N/A</v>
      </c>
      <c r="I759" t="e">
        <f t="shared" si="117"/>
        <v>#N/A</v>
      </c>
      <c r="J759" t="e">
        <f t="shared" si="118"/>
        <v>#N/A</v>
      </c>
      <c r="K759">
        <f t="shared" si="119"/>
        <v>1.5579123750110365E-2</v>
      </c>
      <c r="L759" t="e">
        <f>IF(AND(ABS((ChartCalculations!A759-Calculations!$F$3)/Calculations!$F$4)&lt;5,OR(A759&lt;=Calculations!$F$7,A759&gt;=Calculations!$F$8)),0.2*_xlfn.NORM.DIST(100,100,15,FALSE)*_xlfn.NORM.DIST(A759,Calculations!$F$3,Calculations!$F$4,FALSE)/_xlfn.NORM.DIST(Calculations!$F$3,Calculations!$F$3,Calculations!$F$4,FALSE),NA())</f>
        <v>#N/A</v>
      </c>
      <c r="M759" t="e">
        <f>IF(AND(A759&gt;=Calculations!$F$7,A759&lt;=Calculations!$F$8),0.2*_xlfn.NORM.DIST(100,100,15,FALSE)*_xlfn.NORM.DIST(A759,Calculations!$F$3,Calculations!$F$4,FALSE)/_xlfn.NORM.DIST(Calculations!$F$3,Calculations!$F$3,Calculations!$F$4,FALSE),NA())</f>
        <v>#N/A</v>
      </c>
    </row>
    <row r="760" spans="1:13" x14ac:dyDescent="0.25">
      <c r="A760">
        <v>115.80000000000101</v>
      </c>
      <c r="B760" t="e">
        <f t="shared" si="110"/>
        <v>#N/A</v>
      </c>
      <c r="C760" t="e">
        <f t="shared" si="111"/>
        <v>#N/A</v>
      </c>
      <c r="D760" t="e">
        <f t="shared" si="112"/>
        <v>#N/A</v>
      </c>
      <c r="E760" t="e">
        <f t="shared" si="113"/>
        <v>#N/A</v>
      </c>
      <c r="F760" t="e">
        <f t="shared" si="114"/>
        <v>#N/A</v>
      </c>
      <c r="G760">
        <f t="shared" si="115"/>
        <v>1.5271845794754614E-2</v>
      </c>
      <c r="H760" t="e">
        <f t="shared" si="116"/>
        <v>#N/A</v>
      </c>
      <c r="I760" t="e">
        <f t="shared" si="117"/>
        <v>#N/A</v>
      </c>
      <c r="J760" t="e">
        <f t="shared" si="118"/>
        <v>#N/A</v>
      </c>
      <c r="K760">
        <f t="shared" si="119"/>
        <v>1.5471845794754614E-2</v>
      </c>
      <c r="L760" t="e">
        <f>IF(AND(ABS((ChartCalculations!A760-Calculations!$F$3)/Calculations!$F$4)&lt;5,OR(A760&lt;=Calculations!$F$7,A760&gt;=Calculations!$F$8)),0.2*_xlfn.NORM.DIST(100,100,15,FALSE)*_xlfn.NORM.DIST(A760,Calculations!$F$3,Calculations!$F$4,FALSE)/_xlfn.NORM.DIST(Calculations!$F$3,Calculations!$F$3,Calculations!$F$4,FALSE),NA())</f>
        <v>#N/A</v>
      </c>
      <c r="M760" t="e">
        <f>IF(AND(A760&gt;=Calculations!$F$7,A760&lt;=Calculations!$F$8),0.2*_xlfn.NORM.DIST(100,100,15,FALSE)*_xlfn.NORM.DIST(A760,Calculations!$F$3,Calculations!$F$4,FALSE)/_xlfn.NORM.DIST(Calculations!$F$3,Calculations!$F$3,Calculations!$F$4,FALSE),NA())</f>
        <v>#N/A</v>
      </c>
    </row>
    <row r="761" spans="1:13" x14ac:dyDescent="0.25">
      <c r="A761">
        <v>115.900000000001</v>
      </c>
      <c r="B761" t="e">
        <f t="shared" si="110"/>
        <v>#N/A</v>
      </c>
      <c r="C761" t="e">
        <f t="shared" si="111"/>
        <v>#N/A</v>
      </c>
      <c r="D761" t="e">
        <f t="shared" si="112"/>
        <v>#N/A</v>
      </c>
      <c r="E761" t="e">
        <f t="shared" si="113"/>
        <v>#N/A</v>
      </c>
      <c r="F761" t="e">
        <f t="shared" si="114"/>
        <v>#N/A</v>
      </c>
      <c r="G761">
        <f t="shared" si="115"/>
        <v>1.5164642163824654E-2</v>
      </c>
      <c r="H761" t="e">
        <f t="shared" si="116"/>
        <v>#N/A</v>
      </c>
      <c r="I761" t="e">
        <f t="shared" si="117"/>
        <v>#N/A</v>
      </c>
      <c r="J761" t="e">
        <f t="shared" si="118"/>
        <v>#N/A</v>
      </c>
      <c r="K761">
        <f t="shared" si="119"/>
        <v>1.5364642163824655E-2</v>
      </c>
      <c r="L761" t="e">
        <f>IF(AND(ABS((ChartCalculations!A761-Calculations!$F$3)/Calculations!$F$4)&lt;5,OR(A761&lt;=Calculations!$F$7,A761&gt;=Calculations!$F$8)),0.2*_xlfn.NORM.DIST(100,100,15,FALSE)*_xlfn.NORM.DIST(A761,Calculations!$F$3,Calculations!$F$4,FALSE)/_xlfn.NORM.DIST(Calculations!$F$3,Calculations!$F$3,Calculations!$F$4,FALSE),NA())</f>
        <v>#N/A</v>
      </c>
      <c r="M761" t="e">
        <f>IF(AND(A761&gt;=Calculations!$F$7,A761&lt;=Calculations!$F$8),0.2*_xlfn.NORM.DIST(100,100,15,FALSE)*_xlfn.NORM.DIST(A761,Calculations!$F$3,Calculations!$F$4,FALSE)/_xlfn.NORM.DIST(Calculations!$F$3,Calculations!$F$3,Calculations!$F$4,FALSE),NA())</f>
        <v>#N/A</v>
      </c>
    </row>
    <row r="762" spans="1:13" x14ac:dyDescent="0.25">
      <c r="A762">
        <v>116.00000000000099</v>
      </c>
      <c r="B762" t="e">
        <f t="shared" si="110"/>
        <v>#N/A</v>
      </c>
      <c r="C762" t="e">
        <f t="shared" si="111"/>
        <v>#N/A</v>
      </c>
      <c r="D762" t="e">
        <f t="shared" si="112"/>
        <v>#N/A</v>
      </c>
      <c r="E762" t="e">
        <f t="shared" si="113"/>
        <v>#N/A</v>
      </c>
      <c r="F762" t="e">
        <f t="shared" si="114"/>
        <v>#N/A</v>
      </c>
      <c r="G762">
        <f t="shared" si="115"/>
        <v>1.5057521831140565E-2</v>
      </c>
      <c r="H762" t="e">
        <f t="shared" si="116"/>
        <v>#N/A</v>
      </c>
      <c r="I762" t="e">
        <f t="shared" si="117"/>
        <v>#N/A</v>
      </c>
      <c r="J762" t="e">
        <f t="shared" si="118"/>
        <v>#N/A</v>
      </c>
      <c r="K762">
        <f t="shared" si="119"/>
        <v>1.5257521831140566E-2</v>
      </c>
      <c r="L762" t="e">
        <f>IF(AND(ABS((ChartCalculations!A762-Calculations!$F$3)/Calculations!$F$4)&lt;5,OR(A762&lt;=Calculations!$F$7,A762&gt;=Calculations!$F$8)),0.2*_xlfn.NORM.DIST(100,100,15,FALSE)*_xlfn.NORM.DIST(A762,Calculations!$F$3,Calculations!$F$4,FALSE)/_xlfn.NORM.DIST(Calculations!$F$3,Calculations!$F$3,Calculations!$F$4,FALSE),NA())</f>
        <v>#N/A</v>
      </c>
      <c r="M762" t="e">
        <f>IF(AND(A762&gt;=Calculations!$F$7,A762&lt;=Calculations!$F$8),0.2*_xlfn.NORM.DIST(100,100,15,FALSE)*_xlfn.NORM.DIST(A762,Calculations!$F$3,Calculations!$F$4,FALSE)/_xlfn.NORM.DIST(Calculations!$F$3,Calculations!$F$3,Calculations!$F$4,FALSE),NA())</f>
        <v>#N/A</v>
      </c>
    </row>
    <row r="763" spans="1:13" x14ac:dyDescent="0.25">
      <c r="A763">
        <v>116.100000000001</v>
      </c>
      <c r="B763" t="e">
        <f t="shared" si="110"/>
        <v>#N/A</v>
      </c>
      <c r="C763" t="e">
        <f t="shared" si="111"/>
        <v>#N/A</v>
      </c>
      <c r="D763" t="e">
        <f t="shared" si="112"/>
        <v>#N/A</v>
      </c>
      <c r="E763" t="e">
        <f t="shared" si="113"/>
        <v>#N/A</v>
      </c>
      <c r="F763" t="e">
        <f t="shared" si="114"/>
        <v>#N/A</v>
      </c>
      <c r="G763">
        <f t="shared" si="115"/>
        <v>1.4950493696264684E-2</v>
      </c>
      <c r="H763" t="e">
        <f t="shared" si="116"/>
        <v>#N/A</v>
      </c>
      <c r="I763" t="e">
        <f t="shared" si="117"/>
        <v>#N/A</v>
      </c>
      <c r="J763" t="e">
        <f t="shared" si="118"/>
        <v>#N/A</v>
      </c>
      <c r="K763">
        <f t="shared" si="119"/>
        <v>1.5150493696264684E-2</v>
      </c>
      <c r="L763" t="e">
        <f>IF(AND(ABS((ChartCalculations!A763-Calculations!$F$3)/Calculations!$F$4)&lt;5,OR(A763&lt;=Calculations!$F$7,A763&gt;=Calculations!$F$8)),0.2*_xlfn.NORM.DIST(100,100,15,FALSE)*_xlfn.NORM.DIST(A763,Calculations!$F$3,Calculations!$F$4,FALSE)/_xlfn.NORM.DIST(Calculations!$F$3,Calculations!$F$3,Calculations!$F$4,FALSE),NA())</f>
        <v>#N/A</v>
      </c>
      <c r="M763" t="e">
        <f>IF(AND(A763&gt;=Calculations!$F$7,A763&lt;=Calculations!$F$8),0.2*_xlfn.NORM.DIST(100,100,15,FALSE)*_xlfn.NORM.DIST(A763,Calculations!$F$3,Calculations!$F$4,FALSE)/_xlfn.NORM.DIST(Calculations!$F$3,Calculations!$F$3,Calculations!$F$4,FALSE),NA())</f>
        <v>#N/A</v>
      </c>
    </row>
    <row r="764" spans="1:13" x14ac:dyDescent="0.25">
      <c r="A764">
        <v>116.200000000001</v>
      </c>
      <c r="B764" t="e">
        <f t="shared" si="110"/>
        <v>#N/A</v>
      </c>
      <c r="C764" t="e">
        <f t="shared" si="111"/>
        <v>#N/A</v>
      </c>
      <c r="D764" t="e">
        <f t="shared" si="112"/>
        <v>#N/A</v>
      </c>
      <c r="E764" t="e">
        <f t="shared" si="113"/>
        <v>#N/A</v>
      </c>
      <c r="F764" t="e">
        <f t="shared" si="114"/>
        <v>#N/A</v>
      </c>
      <c r="G764">
        <f t="shared" si="115"/>
        <v>1.4843566583449676E-2</v>
      </c>
      <c r="H764" t="e">
        <f t="shared" si="116"/>
        <v>#N/A</v>
      </c>
      <c r="I764" t="e">
        <f t="shared" si="117"/>
        <v>#N/A</v>
      </c>
      <c r="J764" t="e">
        <f t="shared" si="118"/>
        <v>#N/A</v>
      </c>
      <c r="K764">
        <f t="shared" si="119"/>
        <v>1.5043566583449677E-2</v>
      </c>
      <c r="L764" t="e">
        <f>IF(AND(ABS((ChartCalculations!A764-Calculations!$F$3)/Calculations!$F$4)&lt;5,OR(A764&lt;=Calculations!$F$7,A764&gt;=Calculations!$F$8)),0.2*_xlfn.NORM.DIST(100,100,15,FALSE)*_xlfn.NORM.DIST(A764,Calculations!$F$3,Calculations!$F$4,FALSE)/_xlfn.NORM.DIST(Calculations!$F$3,Calculations!$F$3,Calculations!$F$4,FALSE),NA())</f>
        <v>#N/A</v>
      </c>
      <c r="M764" t="e">
        <f>IF(AND(A764&gt;=Calculations!$F$7,A764&lt;=Calculations!$F$8),0.2*_xlfn.NORM.DIST(100,100,15,FALSE)*_xlfn.NORM.DIST(A764,Calculations!$F$3,Calculations!$F$4,FALSE)/_xlfn.NORM.DIST(Calculations!$F$3,Calculations!$F$3,Calculations!$F$4,FALSE),NA())</f>
        <v>#N/A</v>
      </c>
    </row>
    <row r="765" spans="1:13" x14ac:dyDescent="0.25">
      <c r="A765">
        <v>116.30000000000101</v>
      </c>
      <c r="B765" t="e">
        <f t="shared" si="110"/>
        <v>#N/A</v>
      </c>
      <c r="C765" t="e">
        <f t="shared" si="111"/>
        <v>#N/A</v>
      </c>
      <c r="D765" t="e">
        <f t="shared" si="112"/>
        <v>#N/A</v>
      </c>
      <c r="E765" t="e">
        <f t="shared" si="113"/>
        <v>#N/A</v>
      </c>
      <c r="F765" t="e">
        <f t="shared" si="114"/>
        <v>#N/A</v>
      </c>
      <c r="G765">
        <f t="shared" si="115"/>
        <v>1.4736749240610598E-2</v>
      </c>
      <c r="H765" t="e">
        <f t="shared" si="116"/>
        <v>#N/A</v>
      </c>
      <c r="I765" t="e">
        <f t="shared" si="117"/>
        <v>#N/A</v>
      </c>
      <c r="J765" t="e">
        <f t="shared" si="118"/>
        <v>#N/A</v>
      </c>
      <c r="K765">
        <f t="shared" si="119"/>
        <v>1.4936749240610598E-2</v>
      </c>
      <c r="L765" t="e">
        <f>IF(AND(ABS((ChartCalculations!A765-Calculations!$F$3)/Calculations!$F$4)&lt;5,OR(A765&lt;=Calculations!$F$7,A765&gt;=Calculations!$F$8)),0.2*_xlfn.NORM.DIST(100,100,15,FALSE)*_xlfn.NORM.DIST(A765,Calculations!$F$3,Calculations!$F$4,FALSE)/_xlfn.NORM.DIST(Calculations!$F$3,Calculations!$F$3,Calculations!$F$4,FALSE),NA())</f>
        <v>#N/A</v>
      </c>
      <c r="M765" t="e">
        <f>IF(AND(A765&gt;=Calculations!$F$7,A765&lt;=Calculations!$F$8),0.2*_xlfn.NORM.DIST(100,100,15,FALSE)*_xlfn.NORM.DIST(A765,Calculations!$F$3,Calculations!$F$4,FALSE)/_xlfn.NORM.DIST(Calculations!$F$3,Calculations!$F$3,Calculations!$F$4,FALSE),NA())</f>
        <v>#N/A</v>
      </c>
    </row>
    <row r="766" spans="1:13" x14ac:dyDescent="0.25">
      <c r="A766">
        <v>116.400000000001</v>
      </c>
      <c r="B766" t="e">
        <f t="shared" si="110"/>
        <v>#N/A</v>
      </c>
      <c r="C766" t="e">
        <f t="shared" si="111"/>
        <v>#N/A</v>
      </c>
      <c r="D766" t="e">
        <f t="shared" si="112"/>
        <v>#N/A</v>
      </c>
      <c r="E766" t="e">
        <f t="shared" si="113"/>
        <v>#N/A</v>
      </c>
      <c r="F766" t="e">
        <f t="shared" si="114"/>
        <v>#N/A</v>
      </c>
      <c r="G766">
        <f t="shared" si="115"/>
        <v>1.4630050338321418E-2</v>
      </c>
      <c r="H766" t="e">
        <f t="shared" si="116"/>
        <v>#N/A</v>
      </c>
      <c r="I766" t="e">
        <f t="shared" si="117"/>
        <v>#N/A</v>
      </c>
      <c r="J766" t="e">
        <f t="shared" si="118"/>
        <v>#N/A</v>
      </c>
      <c r="K766">
        <f t="shared" si="119"/>
        <v>1.4830050338321419E-2</v>
      </c>
      <c r="L766" t="e">
        <f>IF(AND(ABS((ChartCalculations!A766-Calculations!$F$3)/Calculations!$F$4)&lt;5,OR(A766&lt;=Calculations!$F$7,A766&gt;=Calculations!$F$8)),0.2*_xlfn.NORM.DIST(100,100,15,FALSE)*_xlfn.NORM.DIST(A766,Calculations!$F$3,Calculations!$F$4,FALSE)/_xlfn.NORM.DIST(Calculations!$F$3,Calculations!$F$3,Calculations!$F$4,FALSE),NA())</f>
        <v>#N/A</v>
      </c>
      <c r="M766" t="e">
        <f>IF(AND(A766&gt;=Calculations!$F$7,A766&lt;=Calculations!$F$8),0.2*_xlfn.NORM.DIST(100,100,15,FALSE)*_xlfn.NORM.DIST(A766,Calculations!$F$3,Calculations!$F$4,FALSE)/_xlfn.NORM.DIST(Calculations!$F$3,Calculations!$F$3,Calculations!$F$4,FALSE),NA())</f>
        <v>#N/A</v>
      </c>
    </row>
    <row r="767" spans="1:13" x14ac:dyDescent="0.25">
      <c r="A767">
        <v>116.50000000000099</v>
      </c>
      <c r="B767" t="e">
        <f t="shared" si="110"/>
        <v>#N/A</v>
      </c>
      <c r="C767" t="e">
        <f t="shared" si="111"/>
        <v>#N/A</v>
      </c>
      <c r="D767" t="e">
        <f t="shared" si="112"/>
        <v>#N/A</v>
      </c>
      <c r="E767" t="e">
        <f t="shared" si="113"/>
        <v>#N/A</v>
      </c>
      <c r="F767" t="e">
        <f t="shared" si="114"/>
        <v>#N/A</v>
      </c>
      <c r="G767">
        <f t="shared" si="115"/>
        <v>1.4523478468835642E-2</v>
      </c>
      <c r="H767" t="e">
        <f t="shared" si="116"/>
        <v>#N/A</v>
      </c>
      <c r="I767" t="e">
        <f t="shared" si="117"/>
        <v>#N/A</v>
      </c>
      <c r="J767" t="e">
        <f t="shared" si="118"/>
        <v>#N/A</v>
      </c>
      <c r="K767">
        <f t="shared" si="119"/>
        <v>1.4723478468835642E-2</v>
      </c>
      <c r="L767" t="e">
        <f>IF(AND(ABS((ChartCalculations!A767-Calculations!$F$3)/Calculations!$F$4)&lt;5,OR(A767&lt;=Calculations!$F$7,A767&gt;=Calculations!$F$8)),0.2*_xlfn.NORM.DIST(100,100,15,FALSE)*_xlfn.NORM.DIST(A767,Calculations!$F$3,Calculations!$F$4,FALSE)/_xlfn.NORM.DIST(Calculations!$F$3,Calculations!$F$3,Calculations!$F$4,FALSE),NA())</f>
        <v>#N/A</v>
      </c>
      <c r="M767" t="e">
        <f>IF(AND(A767&gt;=Calculations!$F$7,A767&lt;=Calculations!$F$8),0.2*_xlfn.NORM.DIST(100,100,15,FALSE)*_xlfn.NORM.DIST(A767,Calculations!$F$3,Calculations!$F$4,FALSE)/_xlfn.NORM.DIST(Calculations!$F$3,Calculations!$F$3,Calculations!$F$4,FALSE),NA())</f>
        <v>#N/A</v>
      </c>
    </row>
    <row r="768" spans="1:13" x14ac:dyDescent="0.25">
      <c r="A768">
        <v>116.600000000001</v>
      </c>
      <c r="B768" t="e">
        <f t="shared" si="110"/>
        <v>#N/A</v>
      </c>
      <c r="C768" t="e">
        <f t="shared" si="111"/>
        <v>#N/A</v>
      </c>
      <c r="D768" t="e">
        <f t="shared" si="112"/>
        <v>#N/A</v>
      </c>
      <c r="E768" t="e">
        <f t="shared" si="113"/>
        <v>#N/A</v>
      </c>
      <c r="F768" t="e">
        <f t="shared" si="114"/>
        <v>#N/A</v>
      </c>
      <c r="G768">
        <f t="shared" si="115"/>
        <v>1.4417042145131483E-2</v>
      </c>
      <c r="H768" t="e">
        <f t="shared" si="116"/>
        <v>#N/A</v>
      </c>
      <c r="I768" t="e">
        <f t="shared" si="117"/>
        <v>#N/A</v>
      </c>
      <c r="J768" t="e">
        <f t="shared" si="118"/>
        <v>#N/A</v>
      </c>
      <c r="K768">
        <f t="shared" si="119"/>
        <v>1.4617042145131483E-2</v>
      </c>
      <c r="L768" t="e">
        <f>IF(AND(ABS((ChartCalculations!A768-Calculations!$F$3)/Calculations!$F$4)&lt;5,OR(A768&lt;=Calculations!$F$7,A768&gt;=Calculations!$F$8)),0.2*_xlfn.NORM.DIST(100,100,15,FALSE)*_xlfn.NORM.DIST(A768,Calculations!$F$3,Calculations!$F$4,FALSE)/_xlfn.NORM.DIST(Calculations!$F$3,Calculations!$F$3,Calculations!$F$4,FALSE),NA())</f>
        <v>#N/A</v>
      </c>
      <c r="M768" t="e">
        <f>IF(AND(A768&gt;=Calculations!$F$7,A768&lt;=Calculations!$F$8),0.2*_xlfn.NORM.DIST(100,100,15,FALSE)*_xlfn.NORM.DIST(A768,Calculations!$F$3,Calculations!$F$4,FALSE)/_xlfn.NORM.DIST(Calculations!$F$3,Calculations!$F$3,Calculations!$F$4,FALSE),NA())</f>
        <v>#N/A</v>
      </c>
    </row>
    <row r="769" spans="1:13" x14ac:dyDescent="0.25">
      <c r="A769">
        <v>116.700000000001</v>
      </c>
      <c r="B769" t="e">
        <f t="shared" si="110"/>
        <v>#N/A</v>
      </c>
      <c r="C769" t="e">
        <f t="shared" si="111"/>
        <v>#N/A</v>
      </c>
      <c r="D769" t="e">
        <f t="shared" si="112"/>
        <v>#N/A</v>
      </c>
      <c r="E769" t="e">
        <f t="shared" si="113"/>
        <v>#N/A</v>
      </c>
      <c r="F769" t="e">
        <f t="shared" si="114"/>
        <v>#N/A</v>
      </c>
      <c r="G769">
        <f t="shared" si="115"/>
        <v>1.4310749799981523E-2</v>
      </c>
      <c r="H769" t="e">
        <f t="shared" si="116"/>
        <v>#N/A</v>
      </c>
      <c r="I769" t="e">
        <f t="shared" si="117"/>
        <v>#N/A</v>
      </c>
      <c r="J769" t="e">
        <f t="shared" si="118"/>
        <v>#N/A</v>
      </c>
      <c r="K769">
        <f t="shared" si="119"/>
        <v>1.4510749799981524E-2</v>
      </c>
      <c r="L769" t="e">
        <f>IF(AND(ABS((ChartCalculations!A769-Calculations!$F$3)/Calculations!$F$4)&lt;5,OR(A769&lt;=Calculations!$F$7,A769&gt;=Calculations!$F$8)),0.2*_xlfn.NORM.DIST(100,100,15,FALSE)*_xlfn.NORM.DIST(A769,Calculations!$F$3,Calculations!$F$4,FALSE)/_xlfn.NORM.DIST(Calculations!$F$3,Calculations!$F$3,Calculations!$F$4,FALSE),NA())</f>
        <v>#N/A</v>
      </c>
      <c r="M769" t="e">
        <f>IF(AND(A769&gt;=Calculations!$F$7,A769&lt;=Calculations!$F$8),0.2*_xlfn.NORM.DIST(100,100,15,FALSE)*_xlfn.NORM.DIST(A769,Calculations!$F$3,Calculations!$F$4,FALSE)/_xlfn.NORM.DIST(Calculations!$F$3,Calculations!$F$3,Calculations!$F$4,FALSE),NA())</f>
        <v>#N/A</v>
      </c>
    </row>
    <row r="770" spans="1:13" x14ac:dyDescent="0.25">
      <c r="A770">
        <v>116.80000000000101</v>
      </c>
      <c r="B770" t="e">
        <f t="shared" si="110"/>
        <v>#N/A</v>
      </c>
      <c r="C770" t="e">
        <f t="shared" si="111"/>
        <v>#N/A</v>
      </c>
      <c r="D770" t="e">
        <f t="shared" si="112"/>
        <v>#N/A</v>
      </c>
      <c r="E770" t="e">
        <f t="shared" si="113"/>
        <v>#N/A</v>
      </c>
      <c r="F770" t="e">
        <f t="shared" si="114"/>
        <v>#N/A</v>
      </c>
      <c r="G770">
        <f t="shared" si="115"/>
        <v>1.4204609785046791E-2</v>
      </c>
      <c r="H770" t="e">
        <f t="shared" si="116"/>
        <v>#N/A</v>
      </c>
      <c r="I770" t="e">
        <f t="shared" si="117"/>
        <v>#N/A</v>
      </c>
      <c r="J770" t="e">
        <f t="shared" si="118"/>
        <v>#N/A</v>
      </c>
      <c r="K770">
        <f t="shared" si="119"/>
        <v>1.4404609785046792E-2</v>
      </c>
      <c r="L770" t="e">
        <f>IF(AND(ABS((ChartCalculations!A770-Calculations!$F$3)/Calculations!$F$4)&lt;5,OR(A770&lt;=Calculations!$F$7,A770&gt;=Calculations!$F$8)),0.2*_xlfn.NORM.DIST(100,100,15,FALSE)*_xlfn.NORM.DIST(A770,Calculations!$F$3,Calculations!$F$4,FALSE)/_xlfn.NORM.DIST(Calculations!$F$3,Calculations!$F$3,Calculations!$F$4,FALSE),NA())</f>
        <v>#N/A</v>
      </c>
      <c r="M770" t="e">
        <f>IF(AND(A770&gt;=Calculations!$F$7,A770&lt;=Calculations!$F$8),0.2*_xlfn.NORM.DIST(100,100,15,FALSE)*_xlfn.NORM.DIST(A770,Calculations!$F$3,Calculations!$F$4,FALSE)/_xlfn.NORM.DIST(Calculations!$F$3,Calculations!$F$3,Calculations!$F$4,FALSE),NA())</f>
        <v>#N/A</v>
      </c>
    </row>
    <row r="771" spans="1:13" x14ac:dyDescent="0.25">
      <c r="A771">
        <v>116.900000000001</v>
      </c>
      <c r="B771" t="e">
        <f t="shared" ref="B771:B834" si="120">IF($A771&lt;=60,_xlfn.NORM.DIST($A771,100,15,FALSE),NA())</f>
        <v>#N/A</v>
      </c>
      <c r="C771" t="e">
        <f t="shared" ref="C771:C834" si="121">IF(AND($A771&gt;=60,$A771&lt;=70),_xlfn.NORM.DIST($A771,100,15,FALSE),NA())</f>
        <v>#N/A</v>
      </c>
      <c r="D771" t="e">
        <f t="shared" ref="D771:D834" si="122">IF(AND($A771&gt;=70,$A771&lt;=80),_xlfn.NORM.DIST($A771,100,15,FALSE),NA())</f>
        <v>#N/A</v>
      </c>
      <c r="E771" t="e">
        <f t="shared" ref="E771:E834" si="123">IF(AND($A771&gt;=80,$A771&lt;=90),_xlfn.NORM.DIST($A771,100,15,FALSE),NA())</f>
        <v>#N/A</v>
      </c>
      <c r="F771" t="e">
        <f t="shared" ref="F771:F834" si="124">IF(AND($A771&gt;=90,$A771&lt;=110),_xlfn.NORM.DIST($A771,100,15,FALSE),NA())</f>
        <v>#N/A</v>
      </c>
      <c r="G771">
        <f t="shared" ref="G771:G834" si="125">IF(AND($A771&gt;=110,$A771&lt;=120),_xlfn.NORM.DIST($A771,100,15,FALSE),NA())</f>
        <v>1.4098630369995665E-2</v>
      </c>
      <c r="H771" t="e">
        <f t="shared" ref="H771:H834" si="126">IF(AND($A771&gt;=120,$A771&lt;=130),_xlfn.NORM.DIST($A771,100,15,FALSE),NA())</f>
        <v>#N/A</v>
      </c>
      <c r="I771" t="e">
        <f t="shared" ref="I771:I834" si="127">IF(AND($A771&gt;=130,$A771&lt;=140),_xlfn.NORM.DIST($A771,100,15,FALSE),NA())</f>
        <v>#N/A</v>
      </c>
      <c r="J771" t="e">
        <f t="shared" ref="J771:J834" si="128">IF($A771&gt;=140,_xlfn.NORM.DIST($A771,100,15,FALSE),NA())</f>
        <v>#N/A</v>
      </c>
      <c r="K771">
        <f t="shared" ref="K771:K834" si="129">_xlfn.NORM.DIST($A771,100,15,FALSE)+0.0002</f>
        <v>1.4298630369995666E-2</v>
      </c>
      <c r="L771" t="e">
        <f>IF(AND(ABS((ChartCalculations!A771-Calculations!$F$3)/Calculations!$F$4)&lt;5,OR(A771&lt;=Calculations!$F$7,A771&gt;=Calculations!$F$8)),0.2*_xlfn.NORM.DIST(100,100,15,FALSE)*_xlfn.NORM.DIST(A771,Calculations!$F$3,Calculations!$F$4,FALSE)/_xlfn.NORM.DIST(Calculations!$F$3,Calculations!$F$3,Calculations!$F$4,FALSE),NA())</f>
        <v>#N/A</v>
      </c>
      <c r="M771" t="e">
        <f>IF(AND(A771&gt;=Calculations!$F$7,A771&lt;=Calculations!$F$8),0.2*_xlfn.NORM.DIST(100,100,15,FALSE)*_xlfn.NORM.DIST(A771,Calculations!$F$3,Calculations!$F$4,FALSE)/_xlfn.NORM.DIST(Calculations!$F$3,Calculations!$F$3,Calculations!$F$4,FALSE),NA())</f>
        <v>#N/A</v>
      </c>
    </row>
    <row r="772" spans="1:13" x14ac:dyDescent="0.25">
      <c r="A772">
        <v>117.00000000000099</v>
      </c>
      <c r="B772" t="e">
        <f t="shared" si="120"/>
        <v>#N/A</v>
      </c>
      <c r="C772" t="e">
        <f t="shared" si="121"/>
        <v>#N/A</v>
      </c>
      <c r="D772" t="e">
        <f t="shared" si="122"/>
        <v>#N/A</v>
      </c>
      <c r="E772" t="e">
        <f t="shared" si="123"/>
        <v>#N/A</v>
      </c>
      <c r="F772" t="e">
        <f t="shared" si="124"/>
        <v>#N/A</v>
      </c>
      <c r="G772">
        <f t="shared" si="125"/>
        <v>1.399281974164723E-2</v>
      </c>
      <c r="H772" t="e">
        <f t="shared" si="126"/>
        <v>#N/A</v>
      </c>
      <c r="I772" t="e">
        <f t="shared" si="127"/>
        <v>#N/A</v>
      </c>
      <c r="J772" t="e">
        <f t="shared" si="128"/>
        <v>#N/A</v>
      </c>
      <c r="K772">
        <f t="shared" si="129"/>
        <v>1.419281974164723E-2</v>
      </c>
      <c r="L772" t="e">
        <f>IF(AND(ABS((ChartCalculations!A772-Calculations!$F$3)/Calculations!$F$4)&lt;5,OR(A772&lt;=Calculations!$F$7,A772&gt;=Calculations!$F$8)),0.2*_xlfn.NORM.DIST(100,100,15,FALSE)*_xlfn.NORM.DIST(A772,Calculations!$F$3,Calculations!$F$4,FALSE)/_xlfn.NORM.DIST(Calculations!$F$3,Calculations!$F$3,Calculations!$F$4,FALSE),NA())</f>
        <v>#N/A</v>
      </c>
      <c r="M772" t="e">
        <f>IF(AND(A772&gt;=Calculations!$F$7,A772&lt;=Calculations!$F$8),0.2*_xlfn.NORM.DIST(100,100,15,FALSE)*_xlfn.NORM.DIST(A772,Calculations!$F$3,Calculations!$F$4,FALSE)/_xlfn.NORM.DIST(Calculations!$F$3,Calculations!$F$3,Calculations!$F$4,FALSE),NA())</f>
        <v>#N/A</v>
      </c>
    </row>
    <row r="773" spans="1:13" x14ac:dyDescent="0.25">
      <c r="A773">
        <v>117.100000000001</v>
      </c>
      <c r="B773" t="e">
        <f t="shared" si="120"/>
        <v>#N/A</v>
      </c>
      <c r="C773" t="e">
        <f t="shared" si="121"/>
        <v>#N/A</v>
      </c>
      <c r="D773" t="e">
        <f t="shared" si="122"/>
        <v>#N/A</v>
      </c>
      <c r="E773" t="e">
        <f t="shared" si="123"/>
        <v>#N/A</v>
      </c>
      <c r="F773" t="e">
        <f t="shared" si="124"/>
        <v>#N/A</v>
      </c>
      <c r="G773">
        <f t="shared" si="125"/>
        <v>1.3887186003139497E-2</v>
      </c>
      <c r="H773" t="e">
        <f t="shared" si="126"/>
        <v>#N/A</v>
      </c>
      <c r="I773" t="e">
        <f t="shared" si="127"/>
        <v>#N/A</v>
      </c>
      <c r="J773" t="e">
        <f t="shared" si="128"/>
        <v>#N/A</v>
      </c>
      <c r="K773">
        <f t="shared" si="129"/>
        <v>1.4087186003139497E-2</v>
      </c>
      <c r="L773" t="e">
        <f>IF(AND(ABS((ChartCalculations!A773-Calculations!$F$3)/Calculations!$F$4)&lt;5,OR(A773&lt;=Calculations!$F$7,A773&gt;=Calculations!$F$8)),0.2*_xlfn.NORM.DIST(100,100,15,FALSE)*_xlfn.NORM.DIST(A773,Calculations!$F$3,Calculations!$F$4,FALSE)/_xlfn.NORM.DIST(Calculations!$F$3,Calculations!$F$3,Calculations!$F$4,FALSE),NA())</f>
        <v>#N/A</v>
      </c>
      <c r="M773" t="e">
        <f>IF(AND(A773&gt;=Calculations!$F$7,A773&lt;=Calculations!$F$8),0.2*_xlfn.NORM.DIST(100,100,15,FALSE)*_xlfn.NORM.DIST(A773,Calculations!$F$3,Calculations!$F$4,FALSE)/_xlfn.NORM.DIST(Calculations!$F$3,Calculations!$F$3,Calculations!$F$4,FALSE),NA())</f>
        <v>#N/A</v>
      </c>
    </row>
    <row r="774" spans="1:13" x14ac:dyDescent="0.25">
      <c r="A774">
        <v>117.200000000001</v>
      </c>
      <c r="B774" t="e">
        <f t="shared" si="120"/>
        <v>#N/A</v>
      </c>
      <c r="C774" t="e">
        <f t="shared" si="121"/>
        <v>#N/A</v>
      </c>
      <c r="D774" t="e">
        <f t="shared" si="122"/>
        <v>#N/A</v>
      </c>
      <c r="E774" t="e">
        <f t="shared" si="123"/>
        <v>#N/A</v>
      </c>
      <c r="F774" t="e">
        <f t="shared" si="124"/>
        <v>#N/A</v>
      </c>
      <c r="G774">
        <f t="shared" si="125"/>
        <v>1.3781737173122371E-2</v>
      </c>
      <c r="H774" t="e">
        <f t="shared" si="126"/>
        <v>#N/A</v>
      </c>
      <c r="I774" t="e">
        <f t="shared" si="127"/>
        <v>#N/A</v>
      </c>
      <c r="J774" t="e">
        <f t="shared" si="128"/>
        <v>#N/A</v>
      </c>
      <c r="K774">
        <f t="shared" si="129"/>
        <v>1.3981737173122372E-2</v>
      </c>
      <c r="L774" t="e">
        <f>IF(AND(ABS((ChartCalculations!A774-Calculations!$F$3)/Calculations!$F$4)&lt;5,OR(A774&lt;=Calculations!$F$7,A774&gt;=Calculations!$F$8)),0.2*_xlfn.NORM.DIST(100,100,15,FALSE)*_xlfn.NORM.DIST(A774,Calculations!$F$3,Calculations!$F$4,FALSE)/_xlfn.NORM.DIST(Calculations!$F$3,Calculations!$F$3,Calculations!$F$4,FALSE),NA())</f>
        <v>#N/A</v>
      </c>
      <c r="M774" t="e">
        <f>IF(AND(A774&gt;=Calculations!$F$7,A774&lt;=Calculations!$F$8),0.2*_xlfn.NORM.DIST(100,100,15,FALSE)*_xlfn.NORM.DIST(A774,Calculations!$F$3,Calculations!$F$4,FALSE)/_xlfn.NORM.DIST(Calculations!$F$3,Calculations!$F$3,Calculations!$F$4,FALSE),NA())</f>
        <v>#N/A</v>
      </c>
    </row>
    <row r="775" spans="1:13" x14ac:dyDescent="0.25">
      <c r="A775">
        <v>117.30000000000101</v>
      </c>
      <c r="B775" t="e">
        <f t="shared" si="120"/>
        <v>#N/A</v>
      </c>
      <c r="C775" t="e">
        <f t="shared" si="121"/>
        <v>#N/A</v>
      </c>
      <c r="D775" t="e">
        <f t="shared" si="122"/>
        <v>#N/A</v>
      </c>
      <c r="E775" t="e">
        <f t="shared" si="123"/>
        <v>#N/A</v>
      </c>
      <c r="F775" t="e">
        <f t="shared" si="124"/>
        <v>#N/A</v>
      </c>
      <c r="G775">
        <f t="shared" si="125"/>
        <v>1.3676481184975234E-2</v>
      </c>
      <c r="H775" t="e">
        <f t="shared" si="126"/>
        <v>#N/A</v>
      </c>
      <c r="I775" t="e">
        <f t="shared" si="127"/>
        <v>#N/A</v>
      </c>
      <c r="J775" t="e">
        <f t="shared" si="128"/>
        <v>#N/A</v>
      </c>
      <c r="K775">
        <f t="shared" si="129"/>
        <v>1.3876481184975234E-2</v>
      </c>
      <c r="L775" t="e">
        <f>IF(AND(ABS((ChartCalculations!A775-Calculations!$F$3)/Calculations!$F$4)&lt;5,OR(A775&lt;=Calculations!$F$7,A775&gt;=Calculations!$F$8)),0.2*_xlfn.NORM.DIST(100,100,15,FALSE)*_xlfn.NORM.DIST(A775,Calculations!$F$3,Calculations!$F$4,FALSE)/_xlfn.NORM.DIST(Calculations!$F$3,Calculations!$F$3,Calculations!$F$4,FALSE),NA())</f>
        <v>#N/A</v>
      </c>
      <c r="M775" t="e">
        <f>IF(AND(A775&gt;=Calculations!$F$7,A775&lt;=Calculations!$F$8),0.2*_xlfn.NORM.DIST(100,100,15,FALSE)*_xlfn.NORM.DIST(A775,Calculations!$F$3,Calculations!$F$4,FALSE)/_xlfn.NORM.DIST(Calculations!$F$3,Calculations!$F$3,Calculations!$F$4,FALSE),NA())</f>
        <v>#N/A</v>
      </c>
    </row>
    <row r="776" spans="1:13" x14ac:dyDescent="0.25">
      <c r="A776">
        <v>117.400000000001</v>
      </c>
      <c r="B776" t="e">
        <f t="shared" si="120"/>
        <v>#N/A</v>
      </c>
      <c r="C776" t="e">
        <f t="shared" si="121"/>
        <v>#N/A</v>
      </c>
      <c r="D776" t="e">
        <f t="shared" si="122"/>
        <v>#N/A</v>
      </c>
      <c r="E776" t="e">
        <f t="shared" si="123"/>
        <v>#N/A</v>
      </c>
      <c r="F776" t="e">
        <f t="shared" si="124"/>
        <v>#N/A</v>
      </c>
      <c r="G776">
        <f t="shared" si="125"/>
        <v>1.3571425886049577E-2</v>
      </c>
      <c r="H776" t="e">
        <f t="shared" si="126"/>
        <v>#N/A</v>
      </c>
      <c r="I776" t="e">
        <f t="shared" si="127"/>
        <v>#N/A</v>
      </c>
      <c r="J776" t="e">
        <f t="shared" si="128"/>
        <v>#N/A</v>
      </c>
      <c r="K776">
        <f t="shared" si="129"/>
        <v>1.3771425886049578E-2</v>
      </c>
      <c r="L776" t="e">
        <f>IF(AND(ABS((ChartCalculations!A776-Calculations!$F$3)/Calculations!$F$4)&lt;5,OR(A776&lt;=Calculations!$F$7,A776&gt;=Calculations!$F$8)),0.2*_xlfn.NORM.DIST(100,100,15,FALSE)*_xlfn.NORM.DIST(A776,Calculations!$F$3,Calculations!$F$4,FALSE)/_xlfn.NORM.DIST(Calculations!$F$3,Calculations!$F$3,Calculations!$F$4,FALSE),NA())</f>
        <v>#N/A</v>
      </c>
      <c r="M776" t="e">
        <f>IF(AND(A776&gt;=Calculations!$F$7,A776&lt;=Calculations!$F$8),0.2*_xlfn.NORM.DIST(100,100,15,FALSE)*_xlfn.NORM.DIST(A776,Calculations!$F$3,Calculations!$F$4,FALSE)/_xlfn.NORM.DIST(Calculations!$F$3,Calculations!$F$3,Calculations!$F$4,FALSE),NA())</f>
        <v>#N/A</v>
      </c>
    </row>
    <row r="777" spans="1:13" x14ac:dyDescent="0.25">
      <c r="A777">
        <v>117.50000000000099</v>
      </c>
      <c r="B777" t="e">
        <f t="shared" si="120"/>
        <v>#N/A</v>
      </c>
      <c r="C777" t="e">
        <f t="shared" si="121"/>
        <v>#N/A</v>
      </c>
      <c r="D777" t="e">
        <f t="shared" si="122"/>
        <v>#N/A</v>
      </c>
      <c r="E777" t="e">
        <f t="shared" si="123"/>
        <v>#N/A</v>
      </c>
      <c r="F777" t="e">
        <f t="shared" si="124"/>
        <v>#N/A</v>
      </c>
      <c r="G777">
        <f t="shared" si="125"/>
        <v>1.3466579036936219E-2</v>
      </c>
      <c r="H777" t="e">
        <f t="shared" si="126"/>
        <v>#N/A</v>
      </c>
      <c r="I777" t="e">
        <f t="shared" si="127"/>
        <v>#N/A</v>
      </c>
      <c r="J777" t="e">
        <f t="shared" si="128"/>
        <v>#N/A</v>
      </c>
      <c r="K777">
        <f t="shared" si="129"/>
        <v>1.366657903693622E-2</v>
      </c>
      <c r="L777" t="e">
        <f>IF(AND(ABS((ChartCalculations!A777-Calculations!$F$3)/Calculations!$F$4)&lt;5,OR(A777&lt;=Calculations!$F$7,A777&gt;=Calculations!$F$8)),0.2*_xlfn.NORM.DIST(100,100,15,FALSE)*_xlfn.NORM.DIST(A777,Calculations!$F$3,Calculations!$F$4,FALSE)/_xlfn.NORM.DIST(Calculations!$F$3,Calculations!$F$3,Calculations!$F$4,FALSE),NA())</f>
        <v>#N/A</v>
      </c>
      <c r="M777" t="e">
        <f>IF(AND(A777&gt;=Calculations!$F$7,A777&lt;=Calculations!$F$8),0.2*_xlfn.NORM.DIST(100,100,15,FALSE)*_xlfn.NORM.DIST(A777,Calculations!$F$3,Calculations!$F$4,FALSE)/_xlfn.NORM.DIST(Calculations!$F$3,Calculations!$F$3,Calculations!$F$4,FALSE),NA())</f>
        <v>#N/A</v>
      </c>
    </row>
    <row r="778" spans="1:13" x14ac:dyDescent="0.25">
      <c r="A778">
        <v>117.600000000001</v>
      </c>
      <c r="B778" t="e">
        <f t="shared" si="120"/>
        <v>#N/A</v>
      </c>
      <c r="C778" t="e">
        <f t="shared" si="121"/>
        <v>#N/A</v>
      </c>
      <c r="D778" t="e">
        <f t="shared" si="122"/>
        <v>#N/A</v>
      </c>
      <c r="E778" t="e">
        <f t="shared" si="123"/>
        <v>#N/A</v>
      </c>
      <c r="F778" t="e">
        <f t="shared" si="124"/>
        <v>#N/A</v>
      </c>
      <c r="G778">
        <f t="shared" si="125"/>
        <v>1.3361948310757441E-2</v>
      </c>
      <c r="H778" t="e">
        <f t="shared" si="126"/>
        <v>#N/A</v>
      </c>
      <c r="I778" t="e">
        <f t="shared" si="127"/>
        <v>#N/A</v>
      </c>
      <c r="J778" t="e">
        <f t="shared" si="128"/>
        <v>#N/A</v>
      </c>
      <c r="K778">
        <f t="shared" si="129"/>
        <v>1.3561948310757441E-2</v>
      </c>
      <c r="L778" t="e">
        <f>IF(AND(ABS((ChartCalculations!A778-Calculations!$F$3)/Calculations!$F$4)&lt;5,OR(A778&lt;=Calculations!$F$7,A778&gt;=Calculations!$F$8)),0.2*_xlfn.NORM.DIST(100,100,15,FALSE)*_xlfn.NORM.DIST(A778,Calculations!$F$3,Calculations!$F$4,FALSE)/_xlfn.NORM.DIST(Calculations!$F$3,Calculations!$F$3,Calculations!$F$4,FALSE),NA())</f>
        <v>#N/A</v>
      </c>
      <c r="M778" t="e">
        <f>IF(AND(A778&gt;=Calculations!$F$7,A778&lt;=Calculations!$F$8),0.2*_xlfn.NORM.DIST(100,100,15,FALSE)*_xlfn.NORM.DIST(A778,Calculations!$F$3,Calculations!$F$4,FALSE)/_xlfn.NORM.DIST(Calculations!$F$3,Calculations!$F$3,Calculations!$F$4,FALSE),NA())</f>
        <v>#N/A</v>
      </c>
    </row>
    <row r="779" spans="1:13" x14ac:dyDescent="0.25">
      <c r="A779">
        <v>117.700000000001</v>
      </c>
      <c r="B779" t="e">
        <f t="shared" si="120"/>
        <v>#N/A</v>
      </c>
      <c r="C779" t="e">
        <f t="shared" si="121"/>
        <v>#N/A</v>
      </c>
      <c r="D779" t="e">
        <f t="shared" si="122"/>
        <v>#N/A</v>
      </c>
      <c r="E779" t="e">
        <f t="shared" si="123"/>
        <v>#N/A</v>
      </c>
      <c r="F779" t="e">
        <f t="shared" si="124"/>
        <v>#N/A</v>
      </c>
      <c r="G779">
        <f t="shared" si="125"/>
        <v>1.3257541292484019E-2</v>
      </c>
      <c r="H779" t="e">
        <f t="shared" si="126"/>
        <v>#N/A</v>
      </c>
      <c r="I779" t="e">
        <f t="shared" si="127"/>
        <v>#N/A</v>
      </c>
      <c r="J779" t="e">
        <f t="shared" si="128"/>
        <v>#N/A</v>
      </c>
      <c r="K779">
        <f t="shared" si="129"/>
        <v>1.345754129248402E-2</v>
      </c>
      <c r="L779" t="e">
        <f>IF(AND(ABS((ChartCalculations!A779-Calculations!$F$3)/Calculations!$F$4)&lt;5,OR(A779&lt;=Calculations!$F$7,A779&gt;=Calculations!$F$8)),0.2*_xlfn.NORM.DIST(100,100,15,FALSE)*_xlfn.NORM.DIST(A779,Calculations!$F$3,Calculations!$F$4,FALSE)/_xlfn.NORM.DIST(Calculations!$F$3,Calculations!$F$3,Calculations!$F$4,FALSE),NA())</f>
        <v>#N/A</v>
      </c>
      <c r="M779" t="e">
        <f>IF(AND(A779&gt;=Calculations!$F$7,A779&lt;=Calculations!$F$8),0.2*_xlfn.NORM.DIST(100,100,15,FALSE)*_xlfn.NORM.DIST(A779,Calculations!$F$3,Calculations!$F$4,FALSE)/_xlfn.NORM.DIST(Calculations!$F$3,Calculations!$F$3,Calculations!$F$4,FALSE),NA())</f>
        <v>#N/A</v>
      </c>
    </row>
    <row r="780" spans="1:13" x14ac:dyDescent="0.25">
      <c r="A780">
        <v>117.80000000000101</v>
      </c>
      <c r="B780" t="e">
        <f t="shared" si="120"/>
        <v>#N/A</v>
      </c>
      <c r="C780" t="e">
        <f t="shared" si="121"/>
        <v>#N/A</v>
      </c>
      <c r="D780" t="e">
        <f t="shared" si="122"/>
        <v>#N/A</v>
      </c>
      <c r="E780" t="e">
        <f t="shared" si="123"/>
        <v>#N/A</v>
      </c>
      <c r="F780" t="e">
        <f t="shared" si="124"/>
        <v>#N/A</v>
      </c>
      <c r="G780">
        <f t="shared" si="125"/>
        <v>1.3153365478276842E-2</v>
      </c>
      <c r="H780" t="e">
        <f t="shared" si="126"/>
        <v>#N/A</v>
      </c>
      <c r="I780" t="e">
        <f t="shared" si="127"/>
        <v>#N/A</v>
      </c>
      <c r="J780" t="e">
        <f t="shared" si="128"/>
        <v>#N/A</v>
      </c>
      <c r="K780">
        <f t="shared" si="129"/>
        <v>1.3353365478276842E-2</v>
      </c>
      <c r="L780" t="e">
        <f>IF(AND(ABS((ChartCalculations!A780-Calculations!$F$3)/Calculations!$F$4)&lt;5,OR(A780&lt;=Calculations!$F$7,A780&gt;=Calculations!$F$8)),0.2*_xlfn.NORM.DIST(100,100,15,FALSE)*_xlfn.NORM.DIST(A780,Calculations!$F$3,Calculations!$F$4,FALSE)/_xlfn.NORM.DIST(Calculations!$F$3,Calculations!$F$3,Calculations!$F$4,FALSE),NA())</f>
        <v>#N/A</v>
      </c>
      <c r="M780" t="e">
        <f>IF(AND(A780&gt;=Calculations!$F$7,A780&lt;=Calculations!$F$8),0.2*_xlfn.NORM.DIST(100,100,15,FALSE)*_xlfn.NORM.DIST(A780,Calculations!$F$3,Calculations!$F$4,FALSE)/_xlfn.NORM.DIST(Calculations!$F$3,Calculations!$F$3,Calculations!$F$4,FALSE),NA())</f>
        <v>#N/A</v>
      </c>
    </row>
    <row r="781" spans="1:13" x14ac:dyDescent="0.25">
      <c r="A781">
        <v>117.900000000001</v>
      </c>
      <c r="B781" t="e">
        <f t="shared" si="120"/>
        <v>#N/A</v>
      </c>
      <c r="C781" t="e">
        <f t="shared" si="121"/>
        <v>#N/A</v>
      </c>
      <c r="D781" t="e">
        <f t="shared" si="122"/>
        <v>#N/A</v>
      </c>
      <c r="E781" t="e">
        <f t="shared" si="123"/>
        <v>#N/A</v>
      </c>
      <c r="F781" t="e">
        <f t="shared" si="124"/>
        <v>#N/A</v>
      </c>
      <c r="G781">
        <f t="shared" si="125"/>
        <v>1.3049428274853571E-2</v>
      </c>
      <c r="H781" t="e">
        <f t="shared" si="126"/>
        <v>#N/A</v>
      </c>
      <c r="I781" t="e">
        <f t="shared" si="127"/>
        <v>#N/A</v>
      </c>
      <c r="J781" t="e">
        <f t="shared" si="128"/>
        <v>#N/A</v>
      </c>
      <c r="K781">
        <f t="shared" si="129"/>
        <v>1.3249428274853571E-2</v>
      </c>
      <c r="L781" t="e">
        <f>IF(AND(ABS((ChartCalculations!A781-Calculations!$F$3)/Calculations!$F$4)&lt;5,OR(A781&lt;=Calculations!$F$7,A781&gt;=Calculations!$F$8)),0.2*_xlfn.NORM.DIST(100,100,15,FALSE)*_xlfn.NORM.DIST(A781,Calculations!$F$3,Calculations!$F$4,FALSE)/_xlfn.NORM.DIST(Calculations!$F$3,Calculations!$F$3,Calculations!$F$4,FALSE),NA())</f>
        <v>#N/A</v>
      </c>
      <c r="M781" t="e">
        <f>IF(AND(A781&gt;=Calculations!$F$7,A781&lt;=Calculations!$F$8),0.2*_xlfn.NORM.DIST(100,100,15,FALSE)*_xlfn.NORM.DIST(A781,Calculations!$F$3,Calculations!$F$4,FALSE)/_xlfn.NORM.DIST(Calculations!$F$3,Calculations!$F$3,Calculations!$F$4,FALSE),NA())</f>
        <v>#N/A</v>
      </c>
    </row>
    <row r="782" spans="1:13" x14ac:dyDescent="0.25">
      <c r="A782">
        <v>118.00000000000099</v>
      </c>
      <c r="B782" t="e">
        <f t="shared" si="120"/>
        <v>#N/A</v>
      </c>
      <c r="C782" t="e">
        <f t="shared" si="121"/>
        <v>#N/A</v>
      </c>
      <c r="D782" t="e">
        <f t="shared" si="122"/>
        <v>#N/A</v>
      </c>
      <c r="E782" t="e">
        <f t="shared" si="123"/>
        <v>#N/A</v>
      </c>
      <c r="F782" t="e">
        <f t="shared" si="124"/>
        <v>#N/A</v>
      </c>
      <c r="G782">
        <f t="shared" si="125"/>
        <v>1.2945736998879834E-2</v>
      </c>
      <c r="H782" t="e">
        <f t="shared" si="126"/>
        <v>#N/A</v>
      </c>
      <c r="I782" t="e">
        <f t="shared" si="127"/>
        <v>#N/A</v>
      </c>
      <c r="J782" t="e">
        <f t="shared" si="128"/>
        <v>#N/A</v>
      </c>
      <c r="K782">
        <f t="shared" si="129"/>
        <v>1.3145736998879835E-2</v>
      </c>
      <c r="L782" t="e">
        <f>IF(AND(ABS((ChartCalculations!A782-Calculations!$F$3)/Calculations!$F$4)&lt;5,OR(A782&lt;=Calculations!$F$7,A782&gt;=Calculations!$F$8)),0.2*_xlfn.NORM.DIST(100,100,15,FALSE)*_xlfn.NORM.DIST(A782,Calculations!$F$3,Calculations!$F$4,FALSE)/_xlfn.NORM.DIST(Calculations!$F$3,Calculations!$F$3,Calculations!$F$4,FALSE),NA())</f>
        <v>#N/A</v>
      </c>
      <c r="M782" t="e">
        <f>IF(AND(A782&gt;=Calculations!$F$7,A782&lt;=Calculations!$F$8),0.2*_xlfn.NORM.DIST(100,100,15,FALSE)*_xlfn.NORM.DIST(A782,Calculations!$F$3,Calculations!$F$4,FALSE)/_xlfn.NORM.DIST(Calculations!$F$3,Calculations!$F$3,Calculations!$F$4,FALSE),NA())</f>
        <v>#N/A</v>
      </c>
    </row>
    <row r="783" spans="1:13" x14ac:dyDescent="0.25">
      <c r="A783">
        <v>118.100000000001</v>
      </c>
      <c r="B783" t="e">
        <f t="shared" si="120"/>
        <v>#N/A</v>
      </c>
      <c r="C783" t="e">
        <f t="shared" si="121"/>
        <v>#N/A</v>
      </c>
      <c r="D783" t="e">
        <f t="shared" si="122"/>
        <v>#N/A</v>
      </c>
      <c r="E783" t="e">
        <f t="shared" si="123"/>
        <v>#N/A</v>
      </c>
      <c r="F783" t="e">
        <f t="shared" si="124"/>
        <v>#N/A</v>
      </c>
      <c r="G783">
        <f t="shared" si="125"/>
        <v>1.2842298876385293E-2</v>
      </c>
      <c r="H783" t="e">
        <f t="shared" si="126"/>
        <v>#N/A</v>
      </c>
      <c r="I783" t="e">
        <f t="shared" si="127"/>
        <v>#N/A</v>
      </c>
      <c r="J783" t="e">
        <f t="shared" si="128"/>
        <v>#N/A</v>
      </c>
      <c r="K783">
        <f t="shared" si="129"/>
        <v>1.3042298876385293E-2</v>
      </c>
      <c r="L783" t="e">
        <f>IF(AND(ABS((ChartCalculations!A783-Calculations!$F$3)/Calculations!$F$4)&lt;5,OR(A783&lt;=Calculations!$F$7,A783&gt;=Calculations!$F$8)),0.2*_xlfn.NORM.DIST(100,100,15,FALSE)*_xlfn.NORM.DIST(A783,Calculations!$F$3,Calculations!$F$4,FALSE)/_xlfn.NORM.DIST(Calculations!$F$3,Calculations!$F$3,Calculations!$F$4,FALSE),NA())</f>
        <v>#N/A</v>
      </c>
      <c r="M783" t="e">
        <f>IF(AND(A783&gt;=Calculations!$F$7,A783&lt;=Calculations!$F$8),0.2*_xlfn.NORM.DIST(100,100,15,FALSE)*_xlfn.NORM.DIST(A783,Calculations!$F$3,Calculations!$F$4,FALSE)/_xlfn.NORM.DIST(Calculations!$F$3,Calculations!$F$3,Calculations!$F$4,FALSE),NA())</f>
        <v>#N/A</v>
      </c>
    </row>
    <row r="784" spans="1:13" x14ac:dyDescent="0.25">
      <c r="A784">
        <v>118.200000000001</v>
      </c>
      <c r="B784" t="e">
        <f t="shared" si="120"/>
        <v>#N/A</v>
      </c>
      <c r="C784" t="e">
        <f t="shared" si="121"/>
        <v>#N/A</v>
      </c>
      <c r="D784" t="e">
        <f t="shared" si="122"/>
        <v>#N/A</v>
      </c>
      <c r="E784" t="e">
        <f t="shared" si="123"/>
        <v>#N/A</v>
      </c>
      <c r="F784" t="e">
        <f t="shared" si="124"/>
        <v>#N/A</v>
      </c>
      <c r="G784">
        <f t="shared" si="125"/>
        <v>1.2739121042204401E-2</v>
      </c>
      <c r="H784" t="e">
        <f t="shared" si="126"/>
        <v>#N/A</v>
      </c>
      <c r="I784" t="e">
        <f t="shared" si="127"/>
        <v>#N/A</v>
      </c>
      <c r="J784" t="e">
        <f t="shared" si="128"/>
        <v>#N/A</v>
      </c>
      <c r="K784">
        <f t="shared" si="129"/>
        <v>1.2939121042204401E-2</v>
      </c>
      <c r="L784" t="e">
        <f>IF(AND(ABS((ChartCalculations!A784-Calculations!$F$3)/Calculations!$F$4)&lt;5,OR(A784&lt;=Calculations!$F$7,A784&gt;=Calculations!$F$8)),0.2*_xlfn.NORM.DIST(100,100,15,FALSE)*_xlfn.NORM.DIST(A784,Calculations!$F$3,Calculations!$F$4,FALSE)/_xlfn.NORM.DIST(Calculations!$F$3,Calculations!$F$3,Calculations!$F$4,FALSE),NA())</f>
        <v>#N/A</v>
      </c>
      <c r="M784" t="e">
        <f>IF(AND(A784&gt;=Calculations!$F$7,A784&lt;=Calculations!$F$8),0.2*_xlfn.NORM.DIST(100,100,15,FALSE)*_xlfn.NORM.DIST(A784,Calculations!$F$3,Calculations!$F$4,FALSE)/_xlfn.NORM.DIST(Calculations!$F$3,Calculations!$F$3,Calculations!$F$4,FALSE),NA())</f>
        <v>#N/A</v>
      </c>
    </row>
    <row r="785" spans="1:13" x14ac:dyDescent="0.25">
      <c r="A785">
        <v>118.30000000000101</v>
      </c>
      <c r="B785" t="e">
        <f t="shared" si="120"/>
        <v>#N/A</v>
      </c>
      <c r="C785" t="e">
        <f t="shared" si="121"/>
        <v>#N/A</v>
      </c>
      <c r="D785" t="e">
        <f t="shared" si="122"/>
        <v>#N/A</v>
      </c>
      <c r="E785" t="e">
        <f t="shared" si="123"/>
        <v>#N/A</v>
      </c>
      <c r="F785" t="e">
        <f t="shared" si="124"/>
        <v>#N/A</v>
      </c>
      <c r="G785">
        <f t="shared" si="125"/>
        <v>1.2636210539441648E-2</v>
      </c>
      <c r="H785" t="e">
        <f t="shared" si="126"/>
        <v>#N/A</v>
      </c>
      <c r="I785" t="e">
        <f t="shared" si="127"/>
        <v>#N/A</v>
      </c>
      <c r="J785" t="e">
        <f t="shared" si="128"/>
        <v>#N/A</v>
      </c>
      <c r="K785">
        <f t="shared" si="129"/>
        <v>1.2836210539441648E-2</v>
      </c>
      <c r="L785" t="e">
        <f>IF(AND(ABS((ChartCalculations!A785-Calculations!$F$3)/Calculations!$F$4)&lt;5,OR(A785&lt;=Calculations!$F$7,A785&gt;=Calculations!$F$8)),0.2*_xlfn.NORM.DIST(100,100,15,FALSE)*_xlfn.NORM.DIST(A785,Calculations!$F$3,Calculations!$F$4,FALSE)/_xlfn.NORM.DIST(Calculations!$F$3,Calculations!$F$3,Calculations!$F$4,FALSE),NA())</f>
        <v>#N/A</v>
      </c>
      <c r="M785" t="e">
        <f>IF(AND(A785&gt;=Calculations!$F$7,A785&lt;=Calculations!$F$8),0.2*_xlfn.NORM.DIST(100,100,15,FALSE)*_xlfn.NORM.DIST(A785,Calculations!$F$3,Calculations!$F$4,FALSE)/_xlfn.NORM.DIST(Calculations!$F$3,Calculations!$F$3,Calculations!$F$4,FALSE),NA())</f>
        <v>#N/A</v>
      </c>
    </row>
    <row r="786" spans="1:13" x14ac:dyDescent="0.25">
      <c r="A786">
        <v>118.400000000001</v>
      </c>
      <c r="B786" t="e">
        <f t="shared" si="120"/>
        <v>#N/A</v>
      </c>
      <c r="C786" t="e">
        <f t="shared" si="121"/>
        <v>#N/A</v>
      </c>
      <c r="D786" t="e">
        <f t="shared" si="122"/>
        <v>#N/A</v>
      </c>
      <c r="E786" t="e">
        <f t="shared" si="123"/>
        <v>#N/A</v>
      </c>
      <c r="F786" t="e">
        <f t="shared" si="124"/>
        <v>#N/A</v>
      </c>
      <c r="G786">
        <f t="shared" si="125"/>
        <v>1.2533574318961623E-2</v>
      </c>
      <c r="H786" t="e">
        <f t="shared" si="126"/>
        <v>#N/A</v>
      </c>
      <c r="I786" t="e">
        <f t="shared" si="127"/>
        <v>#N/A</v>
      </c>
      <c r="J786" t="e">
        <f t="shared" si="128"/>
        <v>#N/A</v>
      </c>
      <c r="K786">
        <f t="shared" si="129"/>
        <v>1.2733574318961624E-2</v>
      </c>
      <c r="L786" t="e">
        <f>IF(AND(ABS((ChartCalculations!A786-Calculations!$F$3)/Calculations!$F$4)&lt;5,OR(A786&lt;=Calculations!$F$7,A786&gt;=Calculations!$F$8)),0.2*_xlfn.NORM.DIST(100,100,15,FALSE)*_xlfn.NORM.DIST(A786,Calculations!$F$3,Calculations!$F$4,FALSE)/_xlfn.NORM.DIST(Calculations!$F$3,Calculations!$F$3,Calculations!$F$4,FALSE),NA())</f>
        <v>#N/A</v>
      </c>
      <c r="M786" t="e">
        <f>IF(AND(A786&gt;=Calculations!$F$7,A786&lt;=Calculations!$F$8),0.2*_xlfn.NORM.DIST(100,100,15,FALSE)*_xlfn.NORM.DIST(A786,Calculations!$F$3,Calculations!$F$4,FALSE)/_xlfn.NORM.DIST(Calculations!$F$3,Calculations!$F$3,Calculations!$F$4,FALSE),NA())</f>
        <v>#N/A</v>
      </c>
    </row>
    <row r="787" spans="1:13" x14ac:dyDescent="0.25">
      <c r="A787">
        <v>118.50000000000099</v>
      </c>
      <c r="B787" t="e">
        <f t="shared" si="120"/>
        <v>#N/A</v>
      </c>
      <c r="C787" t="e">
        <f t="shared" si="121"/>
        <v>#N/A</v>
      </c>
      <c r="D787" t="e">
        <f t="shared" si="122"/>
        <v>#N/A</v>
      </c>
      <c r="E787" t="e">
        <f t="shared" si="123"/>
        <v>#N/A</v>
      </c>
      <c r="F787" t="e">
        <f t="shared" si="124"/>
        <v>#N/A</v>
      </c>
      <c r="G787">
        <f t="shared" si="125"/>
        <v>1.2431219238903368E-2</v>
      </c>
      <c r="H787" t="e">
        <f t="shared" si="126"/>
        <v>#N/A</v>
      </c>
      <c r="I787" t="e">
        <f t="shared" si="127"/>
        <v>#N/A</v>
      </c>
      <c r="J787" t="e">
        <f t="shared" si="128"/>
        <v>#N/A</v>
      </c>
      <c r="K787">
        <f t="shared" si="129"/>
        <v>1.2631219238903368E-2</v>
      </c>
      <c r="L787" t="e">
        <f>IF(AND(ABS((ChartCalculations!A787-Calculations!$F$3)/Calculations!$F$4)&lt;5,OR(A787&lt;=Calculations!$F$7,A787&gt;=Calculations!$F$8)),0.2*_xlfn.NORM.DIST(100,100,15,FALSE)*_xlfn.NORM.DIST(A787,Calculations!$F$3,Calculations!$F$4,FALSE)/_xlfn.NORM.DIST(Calculations!$F$3,Calculations!$F$3,Calculations!$F$4,FALSE),NA())</f>
        <v>#N/A</v>
      </c>
      <c r="M787" t="e">
        <f>IF(AND(A787&gt;=Calculations!$F$7,A787&lt;=Calculations!$F$8),0.2*_xlfn.NORM.DIST(100,100,15,FALSE)*_xlfn.NORM.DIST(A787,Calculations!$F$3,Calculations!$F$4,FALSE)/_xlfn.NORM.DIST(Calculations!$F$3,Calculations!$F$3,Calculations!$F$4,FALSE),NA())</f>
        <v>#N/A</v>
      </c>
    </row>
    <row r="788" spans="1:13" x14ac:dyDescent="0.25">
      <c r="A788">
        <v>118.600000000001</v>
      </c>
      <c r="B788" t="e">
        <f t="shared" si="120"/>
        <v>#N/A</v>
      </c>
      <c r="C788" t="e">
        <f t="shared" si="121"/>
        <v>#N/A</v>
      </c>
      <c r="D788" t="e">
        <f t="shared" si="122"/>
        <v>#N/A</v>
      </c>
      <c r="E788" t="e">
        <f t="shared" si="123"/>
        <v>#N/A</v>
      </c>
      <c r="F788" t="e">
        <f t="shared" si="124"/>
        <v>#N/A</v>
      </c>
      <c r="G788">
        <f t="shared" si="125"/>
        <v>1.2329152064219331E-2</v>
      </c>
      <c r="H788" t="e">
        <f t="shared" si="126"/>
        <v>#N/A</v>
      </c>
      <c r="I788" t="e">
        <f t="shared" si="127"/>
        <v>#N/A</v>
      </c>
      <c r="J788" t="e">
        <f t="shared" si="128"/>
        <v>#N/A</v>
      </c>
      <c r="K788">
        <f t="shared" si="129"/>
        <v>1.2529152064219331E-2</v>
      </c>
      <c r="L788" t="e">
        <f>IF(AND(ABS((ChartCalculations!A788-Calculations!$F$3)/Calculations!$F$4)&lt;5,OR(A788&lt;=Calculations!$F$7,A788&gt;=Calculations!$F$8)),0.2*_xlfn.NORM.DIST(100,100,15,FALSE)*_xlfn.NORM.DIST(A788,Calculations!$F$3,Calculations!$F$4,FALSE)/_xlfn.NORM.DIST(Calculations!$F$3,Calculations!$F$3,Calculations!$F$4,FALSE),NA())</f>
        <v>#N/A</v>
      </c>
      <c r="M788" t="e">
        <f>IF(AND(A788&gt;=Calculations!$F$7,A788&lt;=Calculations!$F$8),0.2*_xlfn.NORM.DIST(100,100,15,FALSE)*_xlfn.NORM.DIST(A788,Calculations!$F$3,Calculations!$F$4,FALSE)/_xlfn.NORM.DIST(Calculations!$F$3,Calculations!$F$3,Calculations!$F$4,FALSE),NA())</f>
        <v>#N/A</v>
      </c>
    </row>
    <row r="789" spans="1:13" x14ac:dyDescent="0.25">
      <c r="A789">
        <v>118.700000000001</v>
      </c>
      <c r="B789" t="e">
        <f t="shared" si="120"/>
        <v>#N/A</v>
      </c>
      <c r="C789" t="e">
        <f t="shared" si="121"/>
        <v>#N/A</v>
      </c>
      <c r="D789" t="e">
        <f t="shared" si="122"/>
        <v>#N/A</v>
      </c>
      <c r="E789" t="e">
        <f t="shared" si="123"/>
        <v>#N/A</v>
      </c>
      <c r="F789" t="e">
        <f t="shared" si="124"/>
        <v>#N/A</v>
      </c>
      <c r="G789">
        <f t="shared" si="125"/>
        <v>1.2227379466238718E-2</v>
      </c>
      <c r="H789" t="e">
        <f t="shared" si="126"/>
        <v>#N/A</v>
      </c>
      <c r="I789" t="e">
        <f t="shared" si="127"/>
        <v>#N/A</v>
      </c>
      <c r="J789" t="e">
        <f t="shared" si="128"/>
        <v>#N/A</v>
      </c>
      <c r="K789">
        <f t="shared" si="129"/>
        <v>1.2427379466238718E-2</v>
      </c>
      <c r="L789" t="e">
        <f>IF(AND(ABS((ChartCalculations!A789-Calculations!$F$3)/Calculations!$F$4)&lt;5,OR(A789&lt;=Calculations!$F$7,A789&gt;=Calculations!$F$8)),0.2*_xlfn.NORM.DIST(100,100,15,FALSE)*_xlfn.NORM.DIST(A789,Calculations!$F$3,Calculations!$F$4,FALSE)/_xlfn.NORM.DIST(Calculations!$F$3,Calculations!$F$3,Calculations!$F$4,FALSE),NA())</f>
        <v>#N/A</v>
      </c>
      <c r="M789" t="e">
        <f>IF(AND(A789&gt;=Calculations!$F$7,A789&lt;=Calculations!$F$8),0.2*_xlfn.NORM.DIST(100,100,15,FALSE)*_xlfn.NORM.DIST(A789,Calculations!$F$3,Calculations!$F$4,FALSE)/_xlfn.NORM.DIST(Calculations!$F$3,Calculations!$F$3,Calculations!$F$4,FALSE),NA())</f>
        <v>#N/A</v>
      </c>
    </row>
    <row r="790" spans="1:13" x14ac:dyDescent="0.25">
      <c r="A790">
        <v>118.80000000000101</v>
      </c>
      <c r="B790" t="e">
        <f t="shared" si="120"/>
        <v>#N/A</v>
      </c>
      <c r="C790" t="e">
        <f t="shared" si="121"/>
        <v>#N/A</v>
      </c>
      <c r="D790" t="e">
        <f t="shared" si="122"/>
        <v>#N/A</v>
      </c>
      <c r="E790" t="e">
        <f t="shared" si="123"/>
        <v>#N/A</v>
      </c>
      <c r="F790" t="e">
        <f t="shared" si="124"/>
        <v>#N/A</v>
      </c>
      <c r="G790">
        <f t="shared" si="125"/>
        <v>1.2125908022254973E-2</v>
      </c>
      <c r="H790" t="e">
        <f t="shared" si="126"/>
        <v>#N/A</v>
      </c>
      <c r="I790" t="e">
        <f t="shared" si="127"/>
        <v>#N/A</v>
      </c>
      <c r="J790" t="e">
        <f t="shared" si="128"/>
        <v>#N/A</v>
      </c>
      <c r="K790">
        <f t="shared" si="129"/>
        <v>1.2325908022254974E-2</v>
      </c>
      <c r="L790" t="e">
        <f>IF(AND(ABS((ChartCalculations!A790-Calculations!$F$3)/Calculations!$F$4)&lt;5,OR(A790&lt;=Calculations!$F$7,A790&gt;=Calculations!$F$8)),0.2*_xlfn.NORM.DIST(100,100,15,FALSE)*_xlfn.NORM.DIST(A790,Calculations!$F$3,Calculations!$F$4,FALSE)/_xlfn.NORM.DIST(Calculations!$F$3,Calculations!$F$3,Calculations!$F$4,FALSE),NA())</f>
        <v>#N/A</v>
      </c>
      <c r="M790" t="e">
        <f>IF(AND(A790&gt;=Calculations!$F$7,A790&lt;=Calculations!$F$8),0.2*_xlfn.NORM.DIST(100,100,15,FALSE)*_xlfn.NORM.DIST(A790,Calculations!$F$3,Calculations!$F$4,FALSE)/_xlfn.NORM.DIST(Calculations!$F$3,Calculations!$F$3,Calculations!$F$4,FALSE),NA())</f>
        <v>#N/A</v>
      </c>
    </row>
    <row r="791" spans="1:13" x14ac:dyDescent="0.25">
      <c r="A791">
        <v>118.900000000001</v>
      </c>
      <c r="B791" t="e">
        <f t="shared" si="120"/>
        <v>#N/A</v>
      </c>
      <c r="C791" t="e">
        <f t="shared" si="121"/>
        <v>#N/A</v>
      </c>
      <c r="D791" t="e">
        <f t="shared" si="122"/>
        <v>#N/A</v>
      </c>
      <c r="E791" t="e">
        <f t="shared" si="123"/>
        <v>#N/A</v>
      </c>
      <c r="F791" t="e">
        <f t="shared" si="124"/>
        <v>#N/A</v>
      </c>
      <c r="G791">
        <f t="shared" si="125"/>
        <v>1.2024744215137679E-2</v>
      </c>
      <c r="H791" t="e">
        <f t="shared" si="126"/>
        <v>#N/A</v>
      </c>
      <c r="I791" t="e">
        <f t="shared" si="127"/>
        <v>#N/A</v>
      </c>
      <c r="J791" t="e">
        <f t="shared" si="128"/>
        <v>#N/A</v>
      </c>
      <c r="K791">
        <f t="shared" si="129"/>
        <v>1.2224744215137679E-2</v>
      </c>
      <c r="L791" t="e">
        <f>IF(AND(ABS((ChartCalculations!A791-Calculations!$F$3)/Calculations!$F$4)&lt;5,OR(A791&lt;=Calculations!$F$7,A791&gt;=Calculations!$F$8)),0.2*_xlfn.NORM.DIST(100,100,15,FALSE)*_xlfn.NORM.DIST(A791,Calculations!$F$3,Calculations!$F$4,FALSE)/_xlfn.NORM.DIST(Calculations!$F$3,Calculations!$F$3,Calculations!$F$4,FALSE),NA())</f>
        <v>#N/A</v>
      </c>
      <c r="M791" t="e">
        <f>IF(AND(A791&gt;=Calculations!$F$7,A791&lt;=Calculations!$F$8),0.2*_xlfn.NORM.DIST(100,100,15,FALSE)*_xlfn.NORM.DIST(A791,Calculations!$F$3,Calculations!$F$4,FALSE)/_xlfn.NORM.DIST(Calculations!$F$3,Calculations!$F$3,Calculations!$F$4,FALSE),NA())</f>
        <v>#N/A</v>
      </c>
    </row>
    <row r="792" spans="1:13" x14ac:dyDescent="0.25">
      <c r="A792">
        <v>119.00000000000099</v>
      </c>
      <c r="B792" t="e">
        <f t="shared" si="120"/>
        <v>#N/A</v>
      </c>
      <c r="C792" t="e">
        <f t="shared" si="121"/>
        <v>#N/A</v>
      </c>
      <c r="D792" t="e">
        <f t="shared" si="122"/>
        <v>#N/A</v>
      </c>
      <c r="E792" t="e">
        <f t="shared" si="123"/>
        <v>#N/A</v>
      </c>
      <c r="F792" t="e">
        <f t="shared" si="124"/>
        <v>#N/A</v>
      </c>
      <c r="G792">
        <f t="shared" si="125"/>
        <v>1.1923894432968367E-2</v>
      </c>
      <c r="H792" t="e">
        <f t="shared" si="126"/>
        <v>#N/A</v>
      </c>
      <c r="I792" t="e">
        <f t="shared" si="127"/>
        <v>#N/A</v>
      </c>
      <c r="J792" t="e">
        <f t="shared" si="128"/>
        <v>#N/A</v>
      </c>
      <c r="K792">
        <f t="shared" si="129"/>
        <v>1.2123894432968367E-2</v>
      </c>
      <c r="L792" t="e">
        <f>IF(AND(ABS((ChartCalculations!A792-Calculations!$F$3)/Calculations!$F$4)&lt;5,OR(A792&lt;=Calculations!$F$7,A792&gt;=Calculations!$F$8)),0.2*_xlfn.NORM.DIST(100,100,15,FALSE)*_xlfn.NORM.DIST(A792,Calculations!$F$3,Calculations!$F$4,FALSE)/_xlfn.NORM.DIST(Calculations!$F$3,Calculations!$F$3,Calculations!$F$4,FALSE),NA())</f>
        <v>#N/A</v>
      </c>
      <c r="M792" t="e">
        <f>IF(AND(A792&gt;=Calculations!$F$7,A792&lt;=Calculations!$F$8),0.2*_xlfn.NORM.DIST(100,100,15,FALSE)*_xlfn.NORM.DIST(A792,Calculations!$F$3,Calculations!$F$4,FALSE)/_xlfn.NORM.DIST(Calculations!$F$3,Calculations!$F$3,Calculations!$F$4,FALSE),NA())</f>
        <v>#N/A</v>
      </c>
    </row>
    <row r="793" spans="1:13" x14ac:dyDescent="0.25">
      <c r="A793">
        <v>119.100000000001</v>
      </c>
      <c r="B793" t="e">
        <f t="shared" si="120"/>
        <v>#N/A</v>
      </c>
      <c r="C793" t="e">
        <f t="shared" si="121"/>
        <v>#N/A</v>
      </c>
      <c r="D793" t="e">
        <f t="shared" si="122"/>
        <v>#N/A</v>
      </c>
      <c r="E793" t="e">
        <f t="shared" si="123"/>
        <v>#N/A</v>
      </c>
      <c r="F793" t="e">
        <f t="shared" si="124"/>
        <v>#N/A</v>
      </c>
      <c r="G793">
        <f t="shared" si="125"/>
        <v>1.182336496870047E-2</v>
      </c>
      <c r="H793" t="e">
        <f t="shared" si="126"/>
        <v>#N/A</v>
      </c>
      <c r="I793" t="e">
        <f t="shared" si="127"/>
        <v>#N/A</v>
      </c>
      <c r="J793" t="e">
        <f t="shared" si="128"/>
        <v>#N/A</v>
      </c>
      <c r="K793">
        <f t="shared" si="129"/>
        <v>1.202336496870047E-2</v>
      </c>
      <c r="L793" t="e">
        <f>IF(AND(ABS((ChartCalculations!A793-Calculations!$F$3)/Calculations!$F$4)&lt;5,OR(A793&lt;=Calculations!$F$7,A793&gt;=Calculations!$F$8)),0.2*_xlfn.NORM.DIST(100,100,15,FALSE)*_xlfn.NORM.DIST(A793,Calculations!$F$3,Calculations!$F$4,FALSE)/_xlfn.NORM.DIST(Calculations!$F$3,Calculations!$F$3,Calculations!$F$4,FALSE),NA())</f>
        <v>#N/A</v>
      </c>
      <c r="M793" t="e">
        <f>IF(AND(A793&gt;=Calculations!$F$7,A793&lt;=Calculations!$F$8),0.2*_xlfn.NORM.DIST(100,100,15,FALSE)*_xlfn.NORM.DIST(A793,Calculations!$F$3,Calculations!$F$4,FALSE)/_xlfn.NORM.DIST(Calculations!$F$3,Calculations!$F$3,Calculations!$F$4,FALSE),NA())</f>
        <v>#N/A</v>
      </c>
    </row>
    <row r="794" spans="1:13" x14ac:dyDescent="0.25">
      <c r="A794">
        <v>119.200000000001</v>
      </c>
      <c r="B794" t="e">
        <f t="shared" si="120"/>
        <v>#N/A</v>
      </c>
      <c r="C794" t="e">
        <f t="shared" si="121"/>
        <v>#N/A</v>
      </c>
      <c r="D794" t="e">
        <f t="shared" si="122"/>
        <v>#N/A</v>
      </c>
      <c r="E794" t="e">
        <f t="shared" si="123"/>
        <v>#N/A</v>
      </c>
      <c r="F794" t="e">
        <f t="shared" si="124"/>
        <v>#N/A</v>
      </c>
      <c r="G794">
        <f t="shared" si="125"/>
        <v>1.1723162019843161E-2</v>
      </c>
      <c r="H794" t="e">
        <f t="shared" si="126"/>
        <v>#N/A</v>
      </c>
      <c r="I794" t="e">
        <f t="shared" si="127"/>
        <v>#N/A</v>
      </c>
      <c r="J794" t="e">
        <f t="shared" si="128"/>
        <v>#N/A</v>
      </c>
      <c r="K794">
        <f t="shared" si="129"/>
        <v>1.1923162019843161E-2</v>
      </c>
      <c r="L794" t="e">
        <f>IF(AND(ABS((ChartCalculations!A794-Calculations!$F$3)/Calculations!$F$4)&lt;5,OR(A794&lt;=Calculations!$F$7,A794&gt;=Calculations!$F$8)),0.2*_xlfn.NORM.DIST(100,100,15,FALSE)*_xlfn.NORM.DIST(A794,Calculations!$F$3,Calculations!$F$4,FALSE)/_xlfn.NORM.DIST(Calculations!$F$3,Calculations!$F$3,Calculations!$F$4,FALSE),NA())</f>
        <v>#N/A</v>
      </c>
      <c r="M794" t="e">
        <f>IF(AND(A794&gt;=Calculations!$F$7,A794&lt;=Calculations!$F$8),0.2*_xlfn.NORM.DIST(100,100,15,FALSE)*_xlfn.NORM.DIST(A794,Calculations!$F$3,Calculations!$F$4,FALSE)/_xlfn.NORM.DIST(Calculations!$F$3,Calculations!$F$3,Calculations!$F$4,FALSE),NA())</f>
        <v>#N/A</v>
      </c>
    </row>
    <row r="795" spans="1:13" x14ac:dyDescent="0.25">
      <c r="A795">
        <v>119.30000000000101</v>
      </c>
      <c r="B795" t="e">
        <f t="shared" si="120"/>
        <v>#N/A</v>
      </c>
      <c r="C795" t="e">
        <f t="shared" si="121"/>
        <v>#N/A</v>
      </c>
      <c r="D795" t="e">
        <f t="shared" si="122"/>
        <v>#N/A</v>
      </c>
      <c r="E795" t="e">
        <f t="shared" si="123"/>
        <v>#N/A</v>
      </c>
      <c r="F795" t="e">
        <f t="shared" si="124"/>
        <v>#N/A</v>
      </c>
      <c r="G795">
        <f t="shared" si="125"/>
        <v>1.1623291688168827E-2</v>
      </c>
      <c r="H795" t="e">
        <f t="shared" si="126"/>
        <v>#N/A</v>
      </c>
      <c r="I795" t="e">
        <f t="shared" si="127"/>
        <v>#N/A</v>
      </c>
      <c r="J795" t="e">
        <f t="shared" si="128"/>
        <v>#N/A</v>
      </c>
      <c r="K795">
        <f t="shared" si="129"/>
        <v>1.1823291688168827E-2</v>
      </c>
      <c r="L795" t="e">
        <f>IF(AND(ABS((ChartCalculations!A795-Calculations!$F$3)/Calculations!$F$4)&lt;5,OR(A795&lt;=Calculations!$F$7,A795&gt;=Calculations!$F$8)),0.2*_xlfn.NORM.DIST(100,100,15,FALSE)*_xlfn.NORM.DIST(A795,Calculations!$F$3,Calculations!$F$4,FALSE)/_xlfn.NORM.DIST(Calculations!$F$3,Calculations!$F$3,Calculations!$F$4,FALSE),NA())</f>
        <v>#N/A</v>
      </c>
      <c r="M795" t="e">
        <f>IF(AND(A795&gt;=Calculations!$F$7,A795&lt;=Calculations!$F$8),0.2*_xlfn.NORM.DIST(100,100,15,FALSE)*_xlfn.NORM.DIST(A795,Calculations!$F$3,Calculations!$F$4,FALSE)/_xlfn.NORM.DIST(Calculations!$F$3,Calculations!$F$3,Calculations!$F$4,FALSE),NA())</f>
        <v>#N/A</v>
      </c>
    </row>
    <row r="796" spans="1:13" x14ac:dyDescent="0.25">
      <c r="A796">
        <v>119.400000000001</v>
      </c>
      <c r="B796" t="e">
        <f t="shared" si="120"/>
        <v>#N/A</v>
      </c>
      <c r="C796" t="e">
        <f t="shared" si="121"/>
        <v>#N/A</v>
      </c>
      <c r="D796" t="e">
        <f t="shared" si="122"/>
        <v>#N/A</v>
      </c>
      <c r="E796" t="e">
        <f t="shared" si="123"/>
        <v>#N/A</v>
      </c>
      <c r="F796" t="e">
        <f t="shared" si="124"/>
        <v>#N/A</v>
      </c>
      <c r="G796">
        <f t="shared" si="125"/>
        <v>1.152375997944443E-2</v>
      </c>
      <c r="H796" t="e">
        <f t="shared" si="126"/>
        <v>#N/A</v>
      </c>
      <c r="I796" t="e">
        <f t="shared" si="127"/>
        <v>#N/A</v>
      </c>
      <c r="J796" t="e">
        <f t="shared" si="128"/>
        <v>#N/A</v>
      </c>
      <c r="K796">
        <f t="shared" si="129"/>
        <v>1.172375997944443E-2</v>
      </c>
      <c r="L796" t="e">
        <f>IF(AND(ABS((ChartCalculations!A796-Calculations!$F$3)/Calculations!$F$4)&lt;5,OR(A796&lt;=Calculations!$F$7,A796&gt;=Calculations!$F$8)),0.2*_xlfn.NORM.DIST(100,100,15,FALSE)*_xlfn.NORM.DIST(A796,Calculations!$F$3,Calculations!$F$4,FALSE)/_xlfn.NORM.DIST(Calculations!$F$3,Calculations!$F$3,Calculations!$F$4,FALSE),NA())</f>
        <v>#N/A</v>
      </c>
      <c r="M796" t="e">
        <f>IF(AND(A796&gt;=Calculations!$F$7,A796&lt;=Calculations!$F$8),0.2*_xlfn.NORM.DIST(100,100,15,FALSE)*_xlfn.NORM.DIST(A796,Calculations!$F$3,Calculations!$F$4,FALSE)/_xlfn.NORM.DIST(Calculations!$F$3,Calculations!$F$3,Calculations!$F$4,FALSE),NA())</f>
        <v>#N/A</v>
      </c>
    </row>
    <row r="797" spans="1:13" x14ac:dyDescent="0.25">
      <c r="A797">
        <v>119.50000000000099</v>
      </c>
      <c r="B797" t="e">
        <f t="shared" si="120"/>
        <v>#N/A</v>
      </c>
      <c r="C797" t="e">
        <f t="shared" si="121"/>
        <v>#N/A</v>
      </c>
      <c r="D797" t="e">
        <f t="shared" si="122"/>
        <v>#N/A</v>
      </c>
      <c r="E797" t="e">
        <f t="shared" si="123"/>
        <v>#N/A</v>
      </c>
      <c r="F797" t="e">
        <f t="shared" si="124"/>
        <v>#N/A</v>
      </c>
      <c r="G797">
        <f t="shared" si="125"/>
        <v>1.1424572803186175E-2</v>
      </c>
      <c r="H797" t="e">
        <f t="shared" si="126"/>
        <v>#N/A</v>
      </c>
      <c r="I797" t="e">
        <f t="shared" si="127"/>
        <v>#N/A</v>
      </c>
      <c r="J797" t="e">
        <f t="shared" si="128"/>
        <v>#N/A</v>
      </c>
      <c r="K797">
        <f t="shared" si="129"/>
        <v>1.1624572803186175E-2</v>
      </c>
      <c r="L797" t="e">
        <f>IF(AND(ABS((ChartCalculations!A797-Calculations!$F$3)/Calculations!$F$4)&lt;5,OR(A797&lt;=Calculations!$F$7,A797&gt;=Calculations!$F$8)),0.2*_xlfn.NORM.DIST(100,100,15,FALSE)*_xlfn.NORM.DIST(A797,Calculations!$F$3,Calculations!$F$4,FALSE)/_xlfn.NORM.DIST(Calculations!$F$3,Calculations!$F$3,Calculations!$F$4,FALSE),NA())</f>
        <v>#N/A</v>
      </c>
      <c r="M797" t="e">
        <f>IF(AND(A797&gt;=Calculations!$F$7,A797&lt;=Calculations!$F$8),0.2*_xlfn.NORM.DIST(100,100,15,FALSE)*_xlfn.NORM.DIST(A797,Calculations!$F$3,Calculations!$F$4,FALSE)/_xlfn.NORM.DIST(Calculations!$F$3,Calculations!$F$3,Calculations!$F$4,FALSE),NA())</f>
        <v>#N/A</v>
      </c>
    </row>
    <row r="798" spans="1:13" x14ac:dyDescent="0.25">
      <c r="A798">
        <v>119.600000000001</v>
      </c>
      <c r="B798" t="e">
        <f t="shared" si="120"/>
        <v>#N/A</v>
      </c>
      <c r="C798" t="e">
        <f t="shared" si="121"/>
        <v>#N/A</v>
      </c>
      <c r="D798" t="e">
        <f t="shared" si="122"/>
        <v>#N/A</v>
      </c>
      <c r="E798" t="e">
        <f t="shared" si="123"/>
        <v>#N/A</v>
      </c>
      <c r="F798" t="e">
        <f t="shared" si="124"/>
        <v>#N/A</v>
      </c>
      <c r="G798">
        <f t="shared" si="125"/>
        <v>1.1325735972437679E-2</v>
      </c>
      <c r="H798" t="e">
        <f t="shared" si="126"/>
        <v>#N/A</v>
      </c>
      <c r="I798" t="e">
        <f t="shared" si="127"/>
        <v>#N/A</v>
      </c>
      <c r="J798" t="e">
        <f t="shared" si="128"/>
        <v>#N/A</v>
      </c>
      <c r="K798">
        <f t="shared" si="129"/>
        <v>1.1525735972437679E-2</v>
      </c>
      <c r="L798" t="e">
        <f>IF(AND(ABS((ChartCalculations!A798-Calculations!$F$3)/Calculations!$F$4)&lt;5,OR(A798&lt;=Calculations!$F$7,A798&gt;=Calculations!$F$8)),0.2*_xlfn.NORM.DIST(100,100,15,FALSE)*_xlfn.NORM.DIST(A798,Calculations!$F$3,Calculations!$F$4,FALSE)/_xlfn.NORM.DIST(Calculations!$F$3,Calculations!$F$3,Calculations!$F$4,FALSE),NA())</f>
        <v>#N/A</v>
      </c>
      <c r="M798" t="e">
        <f>IF(AND(A798&gt;=Calculations!$F$7,A798&lt;=Calculations!$F$8),0.2*_xlfn.NORM.DIST(100,100,15,FALSE)*_xlfn.NORM.DIST(A798,Calculations!$F$3,Calculations!$F$4,FALSE)/_xlfn.NORM.DIST(Calculations!$F$3,Calculations!$F$3,Calculations!$F$4,FALSE),NA())</f>
        <v>#N/A</v>
      </c>
    </row>
    <row r="799" spans="1:13" x14ac:dyDescent="0.25">
      <c r="A799">
        <v>119.700000000001</v>
      </c>
      <c r="B799" t="e">
        <f t="shared" si="120"/>
        <v>#N/A</v>
      </c>
      <c r="C799" t="e">
        <f t="shared" si="121"/>
        <v>#N/A</v>
      </c>
      <c r="D799" t="e">
        <f t="shared" si="122"/>
        <v>#N/A</v>
      </c>
      <c r="E799" t="e">
        <f t="shared" si="123"/>
        <v>#N/A</v>
      </c>
      <c r="F799" t="e">
        <f t="shared" si="124"/>
        <v>#N/A</v>
      </c>
      <c r="G799">
        <f t="shared" si="125"/>
        <v>1.1227255203571448E-2</v>
      </c>
      <c r="H799" t="e">
        <f t="shared" si="126"/>
        <v>#N/A</v>
      </c>
      <c r="I799" t="e">
        <f t="shared" si="127"/>
        <v>#N/A</v>
      </c>
      <c r="J799" t="e">
        <f t="shared" si="128"/>
        <v>#N/A</v>
      </c>
      <c r="K799">
        <f t="shared" si="129"/>
        <v>1.1427255203571449E-2</v>
      </c>
      <c r="L799" t="e">
        <f>IF(AND(ABS((ChartCalculations!A799-Calculations!$F$3)/Calculations!$F$4)&lt;5,OR(A799&lt;=Calculations!$F$7,A799&gt;=Calculations!$F$8)),0.2*_xlfn.NORM.DIST(100,100,15,FALSE)*_xlfn.NORM.DIST(A799,Calculations!$F$3,Calculations!$F$4,FALSE)/_xlfn.NORM.DIST(Calculations!$F$3,Calculations!$F$3,Calculations!$F$4,FALSE),NA())</f>
        <v>#N/A</v>
      </c>
      <c r="M799" t="e">
        <f>IF(AND(A799&gt;=Calculations!$F$7,A799&lt;=Calculations!$F$8),0.2*_xlfn.NORM.DIST(100,100,15,FALSE)*_xlfn.NORM.DIST(A799,Calculations!$F$3,Calculations!$F$4,FALSE)/_xlfn.NORM.DIST(Calculations!$F$3,Calculations!$F$3,Calculations!$F$4,FALSE),NA())</f>
        <v>#N/A</v>
      </c>
    </row>
    <row r="800" spans="1:13" x14ac:dyDescent="0.25">
      <c r="A800">
        <v>119.80000000000101</v>
      </c>
      <c r="B800" t="e">
        <f t="shared" si="120"/>
        <v>#N/A</v>
      </c>
      <c r="C800" t="e">
        <f t="shared" si="121"/>
        <v>#N/A</v>
      </c>
      <c r="D800" t="e">
        <f t="shared" si="122"/>
        <v>#N/A</v>
      </c>
      <c r="E800" t="e">
        <f t="shared" si="123"/>
        <v>#N/A</v>
      </c>
      <c r="F800" t="e">
        <f t="shared" si="124"/>
        <v>#N/A</v>
      </c>
      <c r="G800">
        <f t="shared" si="125"/>
        <v>1.112913611611327E-2</v>
      </c>
      <c r="H800" t="e">
        <f t="shared" si="126"/>
        <v>#N/A</v>
      </c>
      <c r="I800" t="e">
        <f t="shared" si="127"/>
        <v>#N/A</v>
      </c>
      <c r="J800" t="e">
        <f t="shared" si="128"/>
        <v>#N/A</v>
      </c>
      <c r="K800">
        <f t="shared" si="129"/>
        <v>1.132913611611327E-2</v>
      </c>
      <c r="L800" t="e">
        <f>IF(AND(ABS((ChartCalculations!A800-Calculations!$F$3)/Calculations!$F$4)&lt;5,OR(A800&lt;=Calculations!$F$7,A800&gt;=Calculations!$F$8)),0.2*_xlfn.NORM.DIST(100,100,15,FALSE)*_xlfn.NORM.DIST(A800,Calculations!$F$3,Calculations!$F$4,FALSE)/_xlfn.NORM.DIST(Calculations!$F$3,Calculations!$F$3,Calculations!$F$4,FALSE),NA())</f>
        <v>#N/A</v>
      </c>
      <c r="M800" t="e">
        <f>IF(AND(A800&gt;=Calculations!$F$7,A800&lt;=Calculations!$F$8),0.2*_xlfn.NORM.DIST(100,100,15,FALSE)*_xlfn.NORM.DIST(A800,Calculations!$F$3,Calculations!$F$4,FALSE)/_xlfn.NORM.DIST(Calculations!$F$3,Calculations!$F$3,Calculations!$F$4,FALSE),NA())</f>
        <v>#N/A</v>
      </c>
    </row>
    <row r="801" spans="1:13" x14ac:dyDescent="0.25">
      <c r="A801">
        <v>119.900000000001</v>
      </c>
      <c r="B801" t="e">
        <f t="shared" si="120"/>
        <v>#N/A</v>
      </c>
      <c r="C801" t="e">
        <f t="shared" si="121"/>
        <v>#N/A</v>
      </c>
      <c r="D801" t="e">
        <f t="shared" si="122"/>
        <v>#N/A</v>
      </c>
      <c r="E801" t="e">
        <f t="shared" si="123"/>
        <v>#N/A</v>
      </c>
      <c r="F801" t="e">
        <f t="shared" si="124"/>
        <v>#N/A</v>
      </c>
      <c r="G801">
        <f t="shared" si="125"/>
        <v>1.1031384232589779E-2</v>
      </c>
      <c r="H801" t="e">
        <f t="shared" si="126"/>
        <v>#N/A</v>
      </c>
      <c r="I801" t="e">
        <f t="shared" si="127"/>
        <v>#N/A</v>
      </c>
      <c r="J801" t="e">
        <f t="shared" si="128"/>
        <v>#N/A</v>
      </c>
      <c r="K801">
        <f t="shared" si="129"/>
        <v>1.123138423258978E-2</v>
      </c>
      <c r="L801" t="e">
        <f>IF(AND(ABS((ChartCalculations!A801-Calculations!$F$3)/Calculations!$F$4)&lt;5,OR(A801&lt;=Calculations!$F$7,A801&gt;=Calculations!$F$8)),0.2*_xlfn.NORM.DIST(100,100,15,FALSE)*_xlfn.NORM.DIST(A801,Calculations!$F$3,Calculations!$F$4,FALSE)/_xlfn.NORM.DIST(Calculations!$F$3,Calculations!$F$3,Calculations!$F$4,FALSE),NA())</f>
        <v>#N/A</v>
      </c>
      <c r="M801" t="e">
        <f>IF(AND(A801&gt;=Calculations!$F$7,A801&lt;=Calculations!$F$8),0.2*_xlfn.NORM.DIST(100,100,15,FALSE)*_xlfn.NORM.DIST(A801,Calculations!$F$3,Calculations!$F$4,FALSE)/_xlfn.NORM.DIST(Calculations!$F$3,Calculations!$F$3,Calculations!$F$4,FALSE),NA())</f>
        <v>#N/A</v>
      </c>
    </row>
    <row r="802" spans="1:13" x14ac:dyDescent="0.25">
      <c r="A802">
        <v>120.00000000000099</v>
      </c>
      <c r="B802" t="e">
        <f t="shared" si="120"/>
        <v>#N/A</v>
      </c>
      <c r="C802" t="e">
        <f t="shared" si="121"/>
        <v>#N/A</v>
      </c>
      <c r="D802" t="e">
        <f t="shared" si="122"/>
        <v>#N/A</v>
      </c>
      <c r="E802" t="e">
        <f t="shared" si="123"/>
        <v>#N/A</v>
      </c>
      <c r="F802" t="e">
        <f t="shared" si="124"/>
        <v>#N/A</v>
      </c>
      <c r="G802" t="e">
        <f t="shared" si="125"/>
        <v>#N/A</v>
      </c>
      <c r="H802">
        <f t="shared" si="126"/>
        <v>1.0934004978398608E-2</v>
      </c>
      <c r="I802" t="e">
        <f t="shared" si="127"/>
        <v>#N/A</v>
      </c>
      <c r="J802" t="e">
        <f t="shared" si="128"/>
        <v>#N/A</v>
      </c>
      <c r="K802">
        <f t="shared" si="129"/>
        <v>1.1134004978398608E-2</v>
      </c>
      <c r="L802" t="e">
        <f>IF(AND(ABS((ChartCalculations!A802-Calculations!$F$3)/Calculations!$F$4)&lt;5,OR(A802&lt;=Calculations!$F$7,A802&gt;=Calculations!$F$8)),0.2*_xlfn.NORM.DIST(100,100,15,FALSE)*_xlfn.NORM.DIST(A802,Calculations!$F$3,Calculations!$F$4,FALSE)/_xlfn.NORM.DIST(Calculations!$F$3,Calculations!$F$3,Calculations!$F$4,FALSE),NA())</f>
        <v>#N/A</v>
      </c>
      <c r="M802" t="e">
        <f>IF(AND(A802&gt;=Calculations!$F$7,A802&lt;=Calculations!$F$8),0.2*_xlfn.NORM.DIST(100,100,15,FALSE)*_xlfn.NORM.DIST(A802,Calculations!$F$3,Calculations!$F$4,FALSE)/_xlfn.NORM.DIST(Calculations!$F$3,Calculations!$F$3,Calculations!$F$4,FALSE),NA())</f>
        <v>#N/A</v>
      </c>
    </row>
    <row r="803" spans="1:13" x14ac:dyDescent="0.25">
      <c r="A803">
        <v>120.100000000001</v>
      </c>
      <c r="B803" t="e">
        <f t="shared" si="120"/>
        <v>#N/A</v>
      </c>
      <c r="C803" t="e">
        <f t="shared" si="121"/>
        <v>#N/A</v>
      </c>
      <c r="D803" t="e">
        <f t="shared" si="122"/>
        <v>#N/A</v>
      </c>
      <c r="E803" t="e">
        <f t="shared" si="123"/>
        <v>#N/A</v>
      </c>
      <c r="F803" t="e">
        <f t="shared" si="124"/>
        <v>#N/A</v>
      </c>
      <c r="G803" t="e">
        <f t="shared" si="125"/>
        <v>#N/A</v>
      </c>
      <c r="H803">
        <f t="shared" si="126"/>
        <v>1.0837003681701304E-2</v>
      </c>
      <c r="I803" t="e">
        <f t="shared" si="127"/>
        <v>#N/A</v>
      </c>
      <c r="J803" t="e">
        <f t="shared" si="128"/>
        <v>#N/A</v>
      </c>
      <c r="K803">
        <f t="shared" si="129"/>
        <v>1.1037003681701305E-2</v>
      </c>
      <c r="L803" t="e">
        <f>IF(AND(ABS((ChartCalculations!A803-Calculations!$F$3)/Calculations!$F$4)&lt;5,OR(A803&lt;=Calculations!$F$7,A803&gt;=Calculations!$F$8)),0.2*_xlfn.NORM.DIST(100,100,15,FALSE)*_xlfn.NORM.DIST(A803,Calculations!$F$3,Calculations!$F$4,FALSE)/_xlfn.NORM.DIST(Calculations!$F$3,Calculations!$F$3,Calculations!$F$4,FALSE),NA())</f>
        <v>#N/A</v>
      </c>
      <c r="M803" t="e">
        <f>IF(AND(A803&gt;=Calculations!$F$7,A803&lt;=Calculations!$F$8),0.2*_xlfn.NORM.DIST(100,100,15,FALSE)*_xlfn.NORM.DIST(A803,Calculations!$F$3,Calculations!$F$4,FALSE)/_xlfn.NORM.DIST(Calculations!$F$3,Calculations!$F$3,Calculations!$F$4,FALSE),NA())</f>
        <v>#N/A</v>
      </c>
    </row>
    <row r="804" spans="1:13" x14ac:dyDescent="0.25">
      <c r="A804">
        <v>120.200000000001</v>
      </c>
      <c r="B804" t="e">
        <f t="shared" si="120"/>
        <v>#N/A</v>
      </c>
      <c r="C804" t="e">
        <f t="shared" si="121"/>
        <v>#N/A</v>
      </c>
      <c r="D804" t="e">
        <f t="shared" si="122"/>
        <v>#N/A</v>
      </c>
      <c r="E804" t="e">
        <f t="shared" si="123"/>
        <v>#N/A</v>
      </c>
      <c r="F804" t="e">
        <f t="shared" si="124"/>
        <v>#N/A</v>
      </c>
      <c r="G804" t="e">
        <f t="shared" si="125"/>
        <v>#N/A</v>
      </c>
      <c r="H804">
        <f t="shared" si="126"/>
        <v>1.0740385573338692E-2</v>
      </c>
      <c r="I804" t="e">
        <f t="shared" si="127"/>
        <v>#N/A</v>
      </c>
      <c r="J804" t="e">
        <f t="shared" si="128"/>
        <v>#N/A</v>
      </c>
      <c r="K804">
        <f t="shared" si="129"/>
        <v>1.0940385573338693E-2</v>
      </c>
      <c r="L804" t="e">
        <f>IF(AND(ABS((ChartCalculations!A804-Calculations!$F$3)/Calculations!$F$4)&lt;5,OR(A804&lt;=Calculations!$F$7,A804&gt;=Calculations!$F$8)),0.2*_xlfn.NORM.DIST(100,100,15,FALSE)*_xlfn.NORM.DIST(A804,Calculations!$F$3,Calculations!$F$4,FALSE)/_xlfn.NORM.DIST(Calculations!$F$3,Calculations!$F$3,Calculations!$F$4,FALSE),NA())</f>
        <v>#N/A</v>
      </c>
      <c r="M804" t="e">
        <f>IF(AND(A804&gt;=Calculations!$F$7,A804&lt;=Calculations!$F$8),0.2*_xlfn.NORM.DIST(100,100,15,FALSE)*_xlfn.NORM.DIST(A804,Calculations!$F$3,Calculations!$F$4,FALSE)/_xlfn.NORM.DIST(Calculations!$F$3,Calculations!$F$3,Calculations!$F$4,FALSE),NA())</f>
        <v>#N/A</v>
      </c>
    </row>
    <row r="805" spans="1:13" x14ac:dyDescent="0.25">
      <c r="A805">
        <v>120.30000000000101</v>
      </c>
      <c r="B805" t="e">
        <f t="shared" si="120"/>
        <v>#N/A</v>
      </c>
      <c r="C805" t="e">
        <f t="shared" si="121"/>
        <v>#N/A</v>
      </c>
      <c r="D805" t="e">
        <f t="shared" si="122"/>
        <v>#N/A</v>
      </c>
      <c r="E805" t="e">
        <f t="shared" si="123"/>
        <v>#N/A</v>
      </c>
      <c r="F805" t="e">
        <f t="shared" si="124"/>
        <v>#N/A</v>
      </c>
      <c r="G805" t="e">
        <f t="shared" si="125"/>
        <v>#N/A</v>
      </c>
      <c r="H805">
        <f t="shared" si="126"/>
        <v>1.0644155786768382E-2</v>
      </c>
      <c r="I805" t="e">
        <f t="shared" si="127"/>
        <v>#N/A</v>
      </c>
      <c r="J805" t="e">
        <f t="shared" si="128"/>
        <v>#N/A</v>
      </c>
      <c r="K805">
        <f t="shared" si="129"/>
        <v>1.0844155786768383E-2</v>
      </c>
      <c r="L805" t="e">
        <f>IF(AND(ABS((ChartCalculations!A805-Calculations!$F$3)/Calculations!$F$4)&lt;5,OR(A805&lt;=Calculations!$F$7,A805&gt;=Calculations!$F$8)),0.2*_xlfn.NORM.DIST(100,100,15,FALSE)*_xlfn.NORM.DIST(A805,Calculations!$F$3,Calculations!$F$4,FALSE)/_xlfn.NORM.DIST(Calculations!$F$3,Calculations!$F$3,Calculations!$F$4,FALSE),NA())</f>
        <v>#N/A</v>
      </c>
      <c r="M805" t="e">
        <f>IF(AND(A805&gt;=Calculations!$F$7,A805&lt;=Calculations!$F$8),0.2*_xlfn.NORM.DIST(100,100,15,FALSE)*_xlfn.NORM.DIST(A805,Calculations!$F$3,Calculations!$F$4,FALSE)/_xlfn.NORM.DIST(Calculations!$F$3,Calculations!$F$3,Calculations!$F$4,FALSE),NA())</f>
        <v>#N/A</v>
      </c>
    </row>
    <row r="806" spans="1:13" x14ac:dyDescent="0.25">
      <c r="A806">
        <v>120.400000000001</v>
      </c>
      <c r="B806" t="e">
        <f t="shared" si="120"/>
        <v>#N/A</v>
      </c>
      <c r="C806" t="e">
        <f t="shared" si="121"/>
        <v>#N/A</v>
      </c>
      <c r="D806" t="e">
        <f t="shared" si="122"/>
        <v>#N/A</v>
      </c>
      <c r="E806" t="e">
        <f t="shared" si="123"/>
        <v>#N/A</v>
      </c>
      <c r="F806" t="e">
        <f t="shared" si="124"/>
        <v>#N/A</v>
      </c>
      <c r="G806" t="e">
        <f t="shared" si="125"/>
        <v>#N/A</v>
      </c>
      <c r="H806">
        <f t="shared" si="126"/>
        <v>1.0548319358024579E-2</v>
      </c>
      <c r="I806" t="e">
        <f t="shared" si="127"/>
        <v>#N/A</v>
      </c>
      <c r="J806" t="e">
        <f t="shared" si="128"/>
        <v>#N/A</v>
      </c>
      <c r="K806">
        <f t="shared" si="129"/>
        <v>1.074831935802458E-2</v>
      </c>
      <c r="L806" t="e">
        <f>IF(AND(ABS((ChartCalculations!A806-Calculations!$F$3)/Calculations!$F$4)&lt;5,OR(A806&lt;=Calculations!$F$7,A806&gt;=Calculations!$F$8)),0.2*_xlfn.NORM.DIST(100,100,15,FALSE)*_xlfn.NORM.DIST(A806,Calculations!$F$3,Calculations!$F$4,FALSE)/_xlfn.NORM.DIST(Calculations!$F$3,Calculations!$F$3,Calculations!$F$4,FALSE),NA())</f>
        <v>#N/A</v>
      </c>
      <c r="M806" t="e">
        <f>IF(AND(A806&gt;=Calculations!$F$7,A806&lt;=Calculations!$F$8),0.2*_xlfn.NORM.DIST(100,100,15,FALSE)*_xlfn.NORM.DIST(A806,Calculations!$F$3,Calculations!$F$4,FALSE)/_xlfn.NORM.DIST(Calculations!$F$3,Calculations!$F$3,Calculations!$F$4,FALSE),NA())</f>
        <v>#N/A</v>
      </c>
    </row>
    <row r="807" spans="1:13" x14ac:dyDescent="0.25">
      <c r="A807">
        <v>120.50000000000099</v>
      </c>
      <c r="B807" t="e">
        <f t="shared" si="120"/>
        <v>#N/A</v>
      </c>
      <c r="C807" t="e">
        <f t="shared" si="121"/>
        <v>#N/A</v>
      </c>
      <c r="D807" t="e">
        <f t="shared" si="122"/>
        <v>#N/A</v>
      </c>
      <c r="E807" t="e">
        <f t="shared" si="123"/>
        <v>#N/A</v>
      </c>
      <c r="F807" t="e">
        <f t="shared" si="124"/>
        <v>#N/A</v>
      </c>
      <c r="G807" t="e">
        <f t="shared" si="125"/>
        <v>#N/A</v>
      </c>
      <c r="H807">
        <f t="shared" si="126"/>
        <v>1.0452881225699623E-2</v>
      </c>
      <c r="I807" t="e">
        <f t="shared" si="127"/>
        <v>#N/A</v>
      </c>
      <c r="J807" t="e">
        <f t="shared" si="128"/>
        <v>#N/A</v>
      </c>
      <c r="K807">
        <f t="shared" si="129"/>
        <v>1.0652881225699623E-2</v>
      </c>
      <c r="L807" t="e">
        <f>IF(AND(ABS((ChartCalculations!A807-Calculations!$F$3)/Calculations!$F$4)&lt;5,OR(A807&lt;=Calculations!$F$7,A807&gt;=Calculations!$F$8)),0.2*_xlfn.NORM.DIST(100,100,15,FALSE)*_xlfn.NORM.DIST(A807,Calculations!$F$3,Calculations!$F$4,FALSE)/_xlfn.NORM.DIST(Calculations!$F$3,Calculations!$F$3,Calculations!$F$4,FALSE),NA())</f>
        <v>#N/A</v>
      </c>
      <c r="M807" t="e">
        <f>IF(AND(A807&gt;=Calculations!$F$7,A807&lt;=Calculations!$F$8),0.2*_xlfn.NORM.DIST(100,100,15,FALSE)*_xlfn.NORM.DIST(A807,Calculations!$F$3,Calculations!$F$4,FALSE)/_xlfn.NORM.DIST(Calculations!$F$3,Calculations!$F$3,Calculations!$F$4,FALSE),NA())</f>
        <v>#N/A</v>
      </c>
    </row>
    <row r="808" spans="1:13" x14ac:dyDescent="0.25">
      <c r="A808">
        <v>120.600000000001</v>
      </c>
      <c r="B808" t="e">
        <f t="shared" si="120"/>
        <v>#N/A</v>
      </c>
      <c r="C808" t="e">
        <f t="shared" si="121"/>
        <v>#N/A</v>
      </c>
      <c r="D808" t="e">
        <f t="shared" si="122"/>
        <v>#N/A</v>
      </c>
      <c r="E808" t="e">
        <f t="shared" si="123"/>
        <v>#N/A</v>
      </c>
      <c r="F808" t="e">
        <f t="shared" si="124"/>
        <v>#N/A</v>
      </c>
      <c r="G808" t="e">
        <f t="shared" si="125"/>
        <v>#N/A</v>
      </c>
      <c r="H808">
        <f t="shared" si="126"/>
        <v>1.0357846230947347E-2</v>
      </c>
      <c r="I808" t="e">
        <f t="shared" si="127"/>
        <v>#N/A</v>
      </c>
      <c r="J808" t="e">
        <f t="shared" si="128"/>
        <v>#N/A</v>
      </c>
      <c r="K808">
        <f t="shared" si="129"/>
        <v>1.0557846230947347E-2</v>
      </c>
      <c r="L808" t="e">
        <f>IF(AND(ABS((ChartCalculations!A808-Calculations!$F$3)/Calculations!$F$4)&lt;5,OR(A808&lt;=Calculations!$F$7,A808&gt;=Calculations!$F$8)),0.2*_xlfn.NORM.DIST(100,100,15,FALSE)*_xlfn.NORM.DIST(A808,Calculations!$F$3,Calculations!$F$4,FALSE)/_xlfn.NORM.DIST(Calculations!$F$3,Calculations!$F$3,Calculations!$F$4,FALSE),NA())</f>
        <v>#N/A</v>
      </c>
      <c r="M808" t="e">
        <f>IF(AND(A808&gt;=Calculations!$F$7,A808&lt;=Calculations!$F$8),0.2*_xlfn.NORM.DIST(100,100,15,FALSE)*_xlfn.NORM.DIST(A808,Calculations!$F$3,Calculations!$F$4,FALSE)/_xlfn.NORM.DIST(Calculations!$F$3,Calculations!$F$3,Calculations!$F$4,FALSE),NA())</f>
        <v>#N/A</v>
      </c>
    </row>
    <row r="809" spans="1:13" x14ac:dyDescent="0.25">
      <c r="A809">
        <v>120.700000000001</v>
      </c>
      <c r="B809" t="e">
        <f t="shared" si="120"/>
        <v>#N/A</v>
      </c>
      <c r="C809" t="e">
        <f t="shared" si="121"/>
        <v>#N/A</v>
      </c>
      <c r="D809" t="e">
        <f t="shared" si="122"/>
        <v>#N/A</v>
      </c>
      <c r="E809" t="e">
        <f t="shared" si="123"/>
        <v>#N/A</v>
      </c>
      <c r="F809" t="e">
        <f t="shared" si="124"/>
        <v>#N/A</v>
      </c>
      <c r="G809" t="e">
        <f t="shared" si="125"/>
        <v>#N/A</v>
      </c>
      <c r="H809">
        <f t="shared" si="126"/>
        <v>1.0263219117507973E-2</v>
      </c>
      <c r="I809" t="e">
        <f t="shared" si="127"/>
        <v>#N/A</v>
      </c>
      <c r="J809" t="e">
        <f t="shared" si="128"/>
        <v>#N/A</v>
      </c>
      <c r="K809">
        <f t="shared" si="129"/>
        <v>1.0463219117507973E-2</v>
      </c>
      <c r="L809" t="e">
        <f>IF(AND(ABS((ChartCalculations!A809-Calculations!$F$3)/Calculations!$F$4)&lt;5,OR(A809&lt;=Calculations!$F$7,A809&gt;=Calculations!$F$8)),0.2*_xlfn.NORM.DIST(100,100,15,FALSE)*_xlfn.NORM.DIST(A809,Calculations!$F$3,Calculations!$F$4,FALSE)/_xlfn.NORM.DIST(Calculations!$F$3,Calculations!$F$3,Calculations!$F$4,FALSE),NA())</f>
        <v>#N/A</v>
      </c>
      <c r="M809" t="e">
        <f>IF(AND(A809&gt;=Calculations!$F$7,A809&lt;=Calculations!$F$8),0.2*_xlfn.NORM.DIST(100,100,15,FALSE)*_xlfn.NORM.DIST(A809,Calculations!$F$3,Calculations!$F$4,FALSE)/_xlfn.NORM.DIST(Calculations!$F$3,Calculations!$F$3,Calculations!$F$4,FALSE),NA())</f>
        <v>#N/A</v>
      </c>
    </row>
    <row r="810" spans="1:13" x14ac:dyDescent="0.25">
      <c r="A810">
        <v>120.80000000000101</v>
      </c>
      <c r="B810" t="e">
        <f t="shared" si="120"/>
        <v>#N/A</v>
      </c>
      <c r="C810" t="e">
        <f t="shared" si="121"/>
        <v>#N/A</v>
      </c>
      <c r="D810" t="e">
        <f t="shared" si="122"/>
        <v>#N/A</v>
      </c>
      <c r="E810" t="e">
        <f t="shared" si="123"/>
        <v>#N/A</v>
      </c>
      <c r="F810" t="e">
        <f t="shared" si="124"/>
        <v>#N/A</v>
      </c>
      <c r="G810" t="e">
        <f t="shared" si="125"/>
        <v>#N/A</v>
      </c>
      <c r="H810">
        <f t="shared" si="126"/>
        <v>1.0169004531754221E-2</v>
      </c>
      <c r="I810" t="e">
        <f t="shared" si="127"/>
        <v>#N/A</v>
      </c>
      <c r="J810" t="e">
        <f t="shared" si="128"/>
        <v>#N/A</v>
      </c>
      <c r="K810">
        <f t="shared" si="129"/>
        <v>1.0369004531754222E-2</v>
      </c>
      <c r="L810" t="e">
        <f>IF(AND(ABS((ChartCalculations!A810-Calculations!$F$3)/Calculations!$F$4)&lt;5,OR(A810&lt;=Calculations!$F$7,A810&gt;=Calculations!$F$8)),0.2*_xlfn.NORM.DIST(100,100,15,FALSE)*_xlfn.NORM.DIST(A810,Calculations!$F$3,Calculations!$F$4,FALSE)/_xlfn.NORM.DIST(Calculations!$F$3,Calculations!$F$3,Calculations!$F$4,FALSE),NA())</f>
        <v>#N/A</v>
      </c>
      <c r="M810" t="e">
        <f>IF(AND(A810&gt;=Calculations!$F$7,A810&lt;=Calculations!$F$8),0.2*_xlfn.NORM.DIST(100,100,15,FALSE)*_xlfn.NORM.DIST(A810,Calculations!$F$3,Calculations!$F$4,FALSE)/_xlfn.NORM.DIST(Calculations!$F$3,Calculations!$F$3,Calculations!$F$4,FALSE),NA())</f>
        <v>#N/A</v>
      </c>
    </row>
    <row r="811" spans="1:13" x14ac:dyDescent="0.25">
      <c r="A811">
        <v>120.900000000001</v>
      </c>
      <c r="B811" t="e">
        <f t="shared" si="120"/>
        <v>#N/A</v>
      </c>
      <c r="C811" t="e">
        <f t="shared" si="121"/>
        <v>#N/A</v>
      </c>
      <c r="D811" t="e">
        <f t="shared" si="122"/>
        <v>#N/A</v>
      </c>
      <c r="E811" t="e">
        <f t="shared" si="123"/>
        <v>#N/A</v>
      </c>
      <c r="F811" t="e">
        <f t="shared" si="124"/>
        <v>#N/A</v>
      </c>
      <c r="G811" t="e">
        <f t="shared" si="125"/>
        <v>#N/A</v>
      </c>
      <c r="H811">
        <f t="shared" si="126"/>
        <v>1.0075207022758714E-2</v>
      </c>
      <c r="I811" t="e">
        <f t="shared" si="127"/>
        <v>#N/A</v>
      </c>
      <c r="J811" t="e">
        <f t="shared" si="128"/>
        <v>#N/A</v>
      </c>
      <c r="K811">
        <f t="shared" si="129"/>
        <v>1.0275207022758715E-2</v>
      </c>
      <c r="L811" t="e">
        <f>IF(AND(ABS((ChartCalculations!A811-Calculations!$F$3)/Calculations!$F$4)&lt;5,OR(A811&lt;=Calculations!$F$7,A811&gt;=Calculations!$F$8)),0.2*_xlfn.NORM.DIST(100,100,15,FALSE)*_xlfn.NORM.DIST(A811,Calculations!$F$3,Calculations!$F$4,FALSE)/_xlfn.NORM.DIST(Calculations!$F$3,Calculations!$F$3,Calculations!$F$4,FALSE),NA())</f>
        <v>#N/A</v>
      </c>
      <c r="M811" t="e">
        <f>IF(AND(A811&gt;=Calculations!$F$7,A811&lt;=Calculations!$F$8),0.2*_xlfn.NORM.DIST(100,100,15,FALSE)*_xlfn.NORM.DIST(A811,Calculations!$F$3,Calculations!$F$4,FALSE)/_xlfn.NORM.DIST(Calculations!$F$3,Calculations!$F$3,Calculations!$F$4,FALSE),NA())</f>
        <v>#N/A</v>
      </c>
    </row>
    <row r="812" spans="1:13" x14ac:dyDescent="0.25">
      <c r="A812">
        <v>121.00000000000099</v>
      </c>
      <c r="B812" t="e">
        <f t="shared" si="120"/>
        <v>#N/A</v>
      </c>
      <c r="C812" t="e">
        <f t="shared" si="121"/>
        <v>#N/A</v>
      </c>
      <c r="D812" t="e">
        <f t="shared" si="122"/>
        <v>#N/A</v>
      </c>
      <c r="E812" t="e">
        <f t="shared" si="123"/>
        <v>#N/A</v>
      </c>
      <c r="F812" t="e">
        <f t="shared" si="124"/>
        <v>#N/A</v>
      </c>
      <c r="G812" t="e">
        <f t="shared" si="125"/>
        <v>#N/A</v>
      </c>
      <c r="H812">
        <f t="shared" si="126"/>
        <v>9.9818310423820649E-3</v>
      </c>
      <c r="I812" t="e">
        <f t="shared" si="127"/>
        <v>#N/A</v>
      </c>
      <c r="J812" t="e">
        <f t="shared" si="128"/>
        <v>#N/A</v>
      </c>
      <c r="K812">
        <f t="shared" si="129"/>
        <v>1.0181831042382065E-2</v>
      </c>
      <c r="L812" t="e">
        <f>IF(AND(ABS((ChartCalculations!A812-Calculations!$F$3)/Calculations!$F$4)&lt;5,OR(A812&lt;=Calculations!$F$7,A812&gt;=Calculations!$F$8)),0.2*_xlfn.NORM.DIST(100,100,15,FALSE)*_xlfn.NORM.DIST(A812,Calculations!$F$3,Calculations!$F$4,FALSE)/_xlfn.NORM.DIST(Calculations!$F$3,Calculations!$F$3,Calculations!$F$4,FALSE),NA())</f>
        <v>#N/A</v>
      </c>
      <c r="M812" t="e">
        <f>IF(AND(A812&gt;=Calculations!$F$7,A812&lt;=Calculations!$F$8),0.2*_xlfn.NORM.DIST(100,100,15,FALSE)*_xlfn.NORM.DIST(A812,Calculations!$F$3,Calculations!$F$4,FALSE)/_xlfn.NORM.DIST(Calculations!$F$3,Calculations!$F$3,Calculations!$F$4,FALSE),NA())</f>
        <v>#N/A</v>
      </c>
    </row>
    <row r="813" spans="1:13" x14ac:dyDescent="0.25">
      <c r="A813">
        <v>121.100000000001</v>
      </c>
      <c r="B813" t="e">
        <f t="shared" si="120"/>
        <v>#N/A</v>
      </c>
      <c r="C813" t="e">
        <f t="shared" si="121"/>
        <v>#N/A</v>
      </c>
      <c r="D813" t="e">
        <f t="shared" si="122"/>
        <v>#N/A</v>
      </c>
      <c r="E813" t="e">
        <f t="shared" si="123"/>
        <v>#N/A</v>
      </c>
      <c r="F813" t="e">
        <f t="shared" si="124"/>
        <v>#N/A</v>
      </c>
      <c r="G813" t="e">
        <f t="shared" si="125"/>
        <v>#N/A</v>
      </c>
      <c r="H813">
        <f t="shared" si="126"/>
        <v>9.8888809453818449E-3</v>
      </c>
      <c r="I813" t="e">
        <f t="shared" si="127"/>
        <v>#N/A</v>
      </c>
      <c r="J813" t="e">
        <f t="shared" si="128"/>
        <v>#N/A</v>
      </c>
      <c r="K813">
        <f t="shared" si="129"/>
        <v>1.0088880945381845E-2</v>
      </c>
      <c r="L813" t="e">
        <f>IF(AND(ABS((ChartCalculations!A813-Calculations!$F$3)/Calculations!$F$4)&lt;5,OR(A813&lt;=Calculations!$F$7,A813&gt;=Calculations!$F$8)),0.2*_xlfn.NORM.DIST(100,100,15,FALSE)*_xlfn.NORM.DIST(A813,Calculations!$F$3,Calculations!$F$4,FALSE)/_xlfn.NORM.DIST(Calculations!$F$3,Calculations!$F$3,Calculations!$F$4,FALSE),NA())</f>
        <v>#N/A</v>
      </c>
      <c r="M813" t="e">
        <f>IF(AND(A813&gt;=Calculations!$F$7,A813&lt;=Calculations!$F$8),0.2*_xlfn.NORM.DIST(100,100,15,FALSE)*_xlfn.NORM.DIST(A813,Calculations!$F$3,Calculations!$F$4,FALSE)/_xlfn.NORM.DIST(Calculations!$F$3,Calculations!$F$3,Calculations!$F$4,FALSE),NA())</f>
        <v>#N/A</v>
      </c>
    </row>
    <row r="814" spans="1:13" x14ac:dyDescent="0.25">
      <c r="A814">
        <v>121.200000000001</v>
      </c>
      <c r="B814" t="e">
        <f t="shared" si="120"/>
        <v>#N/A</v>
      </c>
      <c r="C814" t="e">
        <f t="shared" si="121"/>
        <v>#N/A</v>
      </c>
      <c r="D814" t="e">
        <f t="shared" si="122"/>
        <v>#N/A</v>
      </c>
      <c r="E814" t="e">
        <f t="shared" si="123"/>
        <v>#N/A</v>
      </c>
      <c r="F814" t="e">
        <f t="shared" si="124"/>
        <v>#N/A</v>
      </c>
      <c r="G814" t="e">
        <f t="shared" si="125"/>
        <v>#N/A</v>
      </c>
      <c r="H814">
        <f t="shared" si="126"/>
        <v>9.7963609895419749E-3</v>
      </c>
      <c r="I814" t="e">
        <f t="shared" si="127"/>
        <v>#N/A</v>
      </c>
      <c r="J814" t="e">
        <f t="shared" si="128"/>
        <v>#N/A</v>
      </c>
      <c r="K814">
        <f t="shared" si="129"/>
        <v>9.9963609895419754E-3</v>
      </c>
      <c r="L814" t="e">
        <f>IF(AND(ABS((ChartCalculations!A814-Calculations!$F$3)/Calculations!$F$4)&lt;5,OR(A814&lt;=Calculations!$F$7,A814&gt;=Calculations!$F$8)),0.2*_xlfn.NORM.DIST(100,100,15,FALSE)*_xlfn.NORM.DIST(A814,Calculations!$F$3,Calculations!$F$4,FALSE)/_xlfn.NORM.DIST(Calculations!$F$3,Calculations!$F$3,Calculations!$F$4,FALSE),NA())</f>
        <v>#N/A</v>
      </c>
      <c r="M814" t="e">
        <f>IF(AND(A814&gt;=Calculations!$F$7,A814&lt;=Calculations!$F$8),0.2*_xlfn.NORM.DIST(100,100,15,FALSE)*_xlfn.NORM.DIST(A814,Calculations!$F$3,Calculations!$F$4,FALSE)/_xlfn.NORM.DIST(Calculations!$F$3,Calculations!$F$3,Calculations!$F$4,FALSE),NA())</f>
        <v>#N/A</v>
      </c>
    </row>
    <row r="815" spans="1:13" x14ac:dyDescent="0.25">
      <c r="A815">
        <v>121.30000000000101</v>
      </c>
      <c r="B815" t="e">
        <f t="shared" si="120"/>
        <v>#N/A</v>
      </c>
      <c r="C815" t="e">
        <f t="shared" si="121"/>
        <v>#N/A</v>
      </c>
      <c r="D815" t="e">
        <f t="shared" si="122"/>
        <v>#N/A</v>
      </c>
      <c r="E815" t="e">
        <f t="shared" si="123"/>
        <v>#N/A</v>
      </c>
      <c r="F815" t="e">
        <f t="shared" si="124"/>
        <v>#N/A</v>
      </c>
      <c r="G815" t="e">
        <f t="shared" si="125"/>
        <v>#N/A</v>
      </c>
      <c r="H815">
        <f t="shared" si="126"/>
        <v>9.7042753358222503E-3</v>
      </c>
      <c r="I815" t="e">
        <f t="shared" si="127"/>
        <v>#N/A</v>
      </c>
      <c r="J815" t="e">
        <f t="shared" si="128"/>
        <v>#N/A</v>
      </c>
      <c r="K815">
        <f t="shared" si="129"/>
        <v>9.9042753358222508E-3</v>
      </c>
      <c r="L815" t="e">
        <f>IF(AND(ABS((ChartCalculations!A815-Calculations!$F$3)/Calculations!$F$4)&lt;5,OR(A815&lt;=Calculations!$F$7,A815&gt;=Calculations!$F$8)),0.2*_xlfn.NORM.DIST(100,100,15,FALSE)*_xlfn.NORM.DIST(A815,Calculations!$F$3,Calculations!$F$4,FALSE)/_xlfn.NORM.DIST(Calculations!$F$3,Calculations!$F$3,Calculations!$F$4,FALSE),NA())</f>
        <v>#N/A</v>
      </c>
      <c r="M815" t="e">
        <f>IF(AND(A815&gt;=Calculations!$F$7,A815&lt;=Calculations!$F$8),0.2*_xlfn.NORM.DIST(100,100,15,FALSE)*_xlfn.NORM.DIST(A815,Calculations!$F$3,Calculations!$F$4,FALSE)/_xlfn.NORM.DIST(Calculations!$F$3,Calculations!$F$3,Calculations!$F$4,FALSE),NA())</f>
        <v>#N/A</v>
      </c>
    </row>
    <row r="816" spans="1:13" x14ac:dyDescent="0.25">
      <c r="A816">
        <v>121.400000000001</v>
      </c>
      <c r="B816" t="e">
        <f t="shared" si="120"/>
        <v>#N/A</v>
      </c>
      <c r="C816" t="e">
        <f t="shared" si="121"/>
        <v>#N/A</v>
      </c>
      <c r="D816" t="e">
        <f t="shared" si="122"/>
        <v>#N/A</v>
      </c>
      <c r="E816" t="e">
        <f t="shared" si="123"/>
        <v>#N/A</v>
      </c>
      <c r="F816" t="e">
        <f t="shared" si="124"/>
        <v>#N/A</v>
      </c>
      <c r="G816" t="e">
        <f t="shared" si="125"/>
        <v>#N/A</v>
      </c>
      <c r="H816">
        <f t="shared" si="126"/>
        <v>9.6126280485280702E-3</v>
      </c>
      <c r="I816" t="e">
        <f t="shared" si="127"/>
        <v>#N/A</v>
      </c>
      <c r="J816" t="e">
        <f t="shared" si="128"/>
        <v>#N/A</v>
      </c>
      <c r="K816">
        <f t="shared" si="129"/>
        <v>9.8126280485280708E-3</v>
      </c>
      <c r="L816" t="e">
        <f>IF(AND(ABS((ChartCalculations!A816-Calculations!$F$3)/Calculations!$F$4)&lt;5,OR(A816&lt;=Calculations!$F$7,A816&gt;=Calculations!$F$8)),0.2*_xlfn.NORM.DIST(100,100,15,FALSE)*_xlfn.NORM.DIST(A816,Calculations!$F$3,Calculations!$F$4,FALSE)/_xlfn.NORM.DIST(Calculations!$F$3,Calculations!$F$3,Calculations!$F$4,FALSE),NA())</f>
        <v>#N/A</v>
      </c>
      <c r="M816" t="e">
        <f>IF(AND(A816&gt;=Calculations!$F$7,A816&lt;=Calculations!$F$8),0.2*_xlfn.NORM.DIST(100,100,15,FALSE)*_xlfn.NORM.DIST(A816,Calculations!$F$3,Calculations!$F$4,FALSE)/_xlfn.NORM.DIST(Calculations!$F$3,Calculations!$F$3,Calculations!$F$4,FALSE),NA())</f>
        <v>#N/A</v>
      </c>
    </row>
    <row r="817" spans="1:13" x14ac:dyDescent="0.25">
      <c r="A817">
        <v>121.50000000000099</v>
      </c>
      <c r="B817" t="e">
        <f t="shared" si="120"/>
        <v>#N/A</v>
      </c>
      <c r="C817" t="e">
        <f t="shared" si="121"/>
        <v>#N/A</v>
      </c>
      <c r="D817" t="e">
        <f t="shared" si="122"/>
        <v>#N/A</v>
      </c>
      <c r="E817" t="e">
        <f t="shared" si="123"/>
        <v>#N/A</v>
      </c>
      <c r="F817" t="e">
        <f t="shared" si="124"/>
        <v>#N/A</v>
      </c>
      <c r="G817" t="e">
        <f t="shared" si="125"/>
        <v>#N/A</v>
      </c>
      <c r="H817">
        <f t="shared" si="126"/>
        <v>9.5214230954997828E-3</v>
      </c>
      <c r="I817" t="e">
        <f t="shared" si="127"/>
        <v>#N/A</v>
      </c>
      <c r="J817" t="e">
        <f t="shared" si="128"/>
        <v>#N/A</v>
      </c>
      <c r="K817">
        <f t="shared" si="129"/>
        <v>9.7214230954997833E-3</v>
      </c>
      <c r="L817" t="e">
        <f>IF(AND(ABS((ChartCalculations!A817-Calculations!$F$3)/Calculations!$F$4)&lt;5,OR(A817&lt;=Calculations!$F$7,A817&gt;=Calculations!$F$8)),0.2*_xlfn.NORM.DIST(100,100,15,FALSE)*_xlfn.NORM.DIST(A817,Calculations!$F$3,Calculations!$F$4,FALSE)/_xlfn.NORM.DIST(Calculations!$F$3,Calculations!$F$3,Calculations!$F$4,FALSE),NA())</f>
        <v>#N/A</v>
      </c>
      <c r="M817" t="e">
        <f>IF(AND(A817&gt;=Calculations!$F$7,A817&lt;=Calculations!$F$8),0.2*_xlfn.NORM.DIST(100,100,15,FALSE)*_xlfn.NORM.DIST(A817,Calculations!$F$3,Calculations!$F$4,FALSE)/_xlfn.NORM.DIST(Calculations!$F$3,Calculations!$F$3,Calculations!$F$4,FALSE),NA())</f>
        <v>#N/A</v>
      </c>
    </row>
    <row r="818" spans="1:13" x14ac:dyDescent="0.25">
      <c r="A818">
        <v>121.600000000001</v>
      </c>
      <c r="B818" t="e">
        <f t="shared" si="120"/>
        <v>#N/A</v>
      </c>
      <c r="C818" t="e">
        <f t="shared" si="121"/>
        <v>#N/A</v>
      </c>
      <c r="D818" t="e">
        <f t="shared" si="122"/>
        <v>#N/A</v>
      </c>
      <c r="E818" t="e">
        <f t="shared" si="123"/>
        <v>#N/A</v>
      </c>
      <c r="F818" t="e">
        <f t="shared" si="124"/>
        <v>#N/A</v>
      </c>
      <c r="G818" t="e">
        <f t="shared" si="125"/>
        <v>#N/A</v>
      </c>
      <c r="H818">
        <f t="shared" si="126"/>
        <v>9.4306643483216806E-3</v>
      </c>
      <c r="I818" t="e">
        <f t="shared" si="127"/>
        <v>#N/A</v>
      </c>
      <c r="J818" t="e">
        <f t="shared" si="128"/>
        <v>#N/A</v>
      </c>
      <c r="K818">
        <f t="shared" si="129"/>
        <v>9.6306643483216811E-3</v>
      </c>
      <c r="L818" t="e">
        <f>IF(AND(ABS((ChartCalculations!A818-Calculations!$F$3)/Calculations!$F$4)&lt;5,OR(A818&lt;=Calculations!$F$7,A818&gt;=Calculations!$F$8)),0.2*_xlfn.NORM.DIST(100,100,15,FALSE)*_xlfn.NORM.DIST(A818,Calculations!$F$3,Calculations!$F$4,FALSE)/_xlfn.NORM.DIST(Calculations!$F$3,Calculations!$F$3,Calculations!$F$4,FALSE),NA())</f>
        <v>#N/A</v>
      </c>
      <c r="M818" t="e">
        <f>IF(AND(A818&gt;=Calculations!$F$7,A818&lt;=Calculations!$F$8),0.2*_xlfn.NORM.DIST(100,100,15,FALSE)*_xlfn.NORM.DIST(A818,Calculations!$F$3,Calculations!$F$4,FALSE)/_xlfn.NORM.DIST(Calculations!$F$3,Calculations!$F$3,Calculations!$F$4,FALSE),NA())</f>
        <v>#N/A</v>
      </c>
    </row>
    <row r="819" spans="1:13" x14ac:dyDescent="0.25">
      <c r="A819">
        <v>121.700000000001</v>
      </c>
      <c r="B819" t="e">
        <f t="shared" si="120"/>
        <v>#N/A</v>
      </c>
      <c r="C819" t="e">
        <f t="shared" si="121"/>
        <v>#N/A</v>
      </c>
      <c r="D819" t="e">
        <f t="shared" si="122"/>
        <v>#N/A</v>
      </c>
      <c r="E819" t="e">
        <f t="shared" si="123"/>
        <v>#N/A</v>
      </c>
      <c r="F819" t="e">
        <f t="shared" si="124"/>
        <v>#N/A</v>
      </c>
      <c r="G819" t="e">
        <f t="shared" si="125"/>
        <v>#N/A</v>
      </c>
      <c r="H819">
        <f t="shared" si="126"/>
        <v>9.3403555825503134E-3</v>
      </c>
      <c r="I819" t="e">
        <f t="shared" si="127"/>
        <v>#N/A</v>
      </c>
      <c r="J819" t="e">
        <f t="shared" si="128"/>
        <v>#N/A</v>
      </c>
      <c r="K819">
        <f t="shared" si="129"/>
        <v>9.5403555825503139E-3</v>
      </c>
      <c r="L819" t="e">
        <f>IF(AND(ABS((ChartCalculations!A819-Calculations!$F$3)/Calculations!$F$4)&lt;5,OR(A819&lt;=Calculations!$F$7,A819&gt;=Calculations!$F$8)),0.2*_xlfn.NORM.DIST(100,100,15,FALSE)*_xlfn.NORM.DIST(A819,Calculations!$F$3,Calculations!$F$4,FALSE)/_xlfn.NORM.DIST(Calculations!$F$3,Calculations!$F$3,Calculations!$F$4,FALSE),NA())</f>
        <v>#N/A</v>
      </c>
      <c r="M819" t="e">
        <f>IF(AND(A819&gt;=Calculations!$F$7,A819&lt;=Calculations!$F$8),0.2*_xlfn.NORM.DIST(100,100,15,FALSE)*_xlfn.NORM.DIST(A819,Calculations!$F$3,Calculations!$F$4,FALSE)/_xlfn.NORM.DIST(Calculations!$F$3,Calculations!$F$3,Calculations!$F$4,FALSE),NA())</f>
        <v>#N/A</v>
      </c>
    </row>
    <row r="820" spans="1:13" x14ac:dyDescent="0.25">
      <c r="A820">
        <v>121.80000000000101</v>
      </c>
      <c r="B820" t="e">
        <f t="shared" si="120"/>
        <v>#N/A</v>
      </c>
      <c r="C820" t="e">
        <f t="shared" si="121"/>
        <v>#N/A</v>
      </c>
      <c r="D820" t="e">
        <f t="shared" si="122"/>
        <v>#N/A</v>
      </c>
      <c r="E820" t="e">
        <f t="shared" si="123"/>
        <v>#N/A</v>
      </c>
      <c r="F820" t="e">
        <f t="shared" si="124"/>
        <v>#N/A</v>
      </c>
      <c r="G820" t="e">
        <f t="shared" si="125"/>
        <v>#N/A</v>
      </c>
      <c r="H820">
        <f t="shared" si="126"/>
        <v>9.250500477961764E-3</v>
      </c>
      <c r="I820" t="e">
        <f t="shared" si="127"/>
        <v>#N/A</v>
      </c>
      <c r="J820" t="e">
        <f t="shared" si="128"/>
        <v>#N/A</v>
      </c>
      <c r="K820">
        <f t="shared" si="129"/>
        <v>9.4505004779617645E-3</v>
      </c>
      <c r="L820" t="e">
        <f>IF(AND(ABS((ChartCalculations!A820-Calculations!$F$3)/Calculations!$F$4)&lt;5,OR(A820&lt;=Calculations!$F$7,A820&gt;=Calculations!$F$8)),0.2*_xlfn.NORM.DIST(100,100,15,FALSE)*_xlfn.NORM.DIST(A820,Calculations!$F$3,Calculations!$F$4,FALSE)/_xlfn.NORM.DIST(Calculations!$F$3,Calculations!$F$3,Calculations!$F$4,FALSE),NA())</f>
        <v>#N/A</v>
      </c>
      <c r="M820" t="e">
        <f>IF(AND(A820&gt;=Calculations!$F$7,A820&lt;=Calculations!$F$8),0.2*_xlfn.NORM.DIST(100,100,15,FALSE)*_xlfn.NORM.DIST(A820,Calculations!$F$3,Calculations!$F$4,FALSE)/_xlfn.NORM.DIST(Calculations!$F$3,Calculations!$F$3,Calculations!$F$4,FALSE),NA())</f>
        <v>#N/A</v>
      </c>
    </row>
    <row r="821" spans="1:13" x14ac:dyDescent="0.25">
      <c r="A821">
        <v>121.900000000001</v>
      </c>
      <c r="B821" t="e">
        <f t="shared" si="120"/>
        <v>#N/A</v>
      </c>
      <c r="C821" t="e">
        <f t="shared" si="121"/>
        <v>#N/A</v>
      </c>
      <c r="D821" t="e">
        <f t="shared" si="122"/>
        <v>#N/A</v>
      </c>
      <c r="E821" t="e">
        <f t="shared" si="123"/>
        <v>#N/A</v>
      </c>
      <c r="F821" t="e">
        <f t="shared" si="124"/>
        <v>#N/A</v>
      </c>
      <c r="G821" t="e">
        <f t="shared" si="125"/>
        <v>#N/A</v>
      </c>
      <c r="H821">
        <f t="shared" si="126"/>
        <v>9.1611026188178901E-3</v>
      </c>
      <c r="I821" t="e">
        <f t="shared" si="127"/>
        <v>#N/A</v>
      </c>
      <c r="J821" t="e">
        <f t="shared" si="128"/>
        <v>#N/A</v>
      </c>
      <c r="K821">
        <f t="shared" si="129"/>
        <v>9.3611026188178906E-3</v>
      </c>
      <c r="L821" t="e">
        <f>IF(AND(ABS((ChartCalculations!A821-Calculations!$F$3)/Calculations!$F$4)&lt;5,OR(A821&lt;=Calculations!$F$7,A821&gt;=Calculations!$F$8)),0.2*_xlfn.NORM.DIST(100,100,15,FALSE)*_xlfn.NORM.DIST(A821,Calculations!$F$3,Calculations!$F$4,FALSE)/_xlfn.NORM.DIST(Calculations!$F$3,Calculations!$F$3,Calculations!$F$4,FALSE),NA())</f>
        <v>#N/A</v>
      </c>
      <c r="M821" t="e">
        <f>IF(AND(A821&gt;=Calculations!$F$7,A821&lt;=Calculations!$F$8),0.2*_xlfn.NORM.DIST(100,100,15,FALSE)*_xlfn.NORM.DIST(A821,Calculations!$F$3,Calculations!$F$4,FALSE)/_xlfn.NORM.DIST(Calculations!$F$3,Calculations!$F$3,Calculations!$F$4,FALSE),NA())</f>
        <v>#N/A</v>
      </c>
    </row>
    <row r="822" spans="1:13" x14ac:dyDescent="0.25">
      <c r="A822">
        <v>122.00000000000099</v>
      </c>
      <c r="B822" t="e">
        <f t="shared" si="120"/>
        <v>#N/A</v>
      </c>
      <c r="C822" t="e">
        <f t="shared" si="121"/>
        <v>#N/A</v>
      </c>
      <c r="D822" t="e">
        <f t="shared" si="122"/>
        <v>#N/A</v>
      </c>
      <c r="E822" t="e">
        <f t="shared" si="123"/>
        <v>#N/A</v>
      </c>
      <c r="F822" t="e">
        <f t="shared" si="124"/>
        <v>#N/A</v>
      </c>
      <c r="G822" t="e">
        <f t="shared" si="125"/>
        <v>#N/A</v>
      </c>
      <c r="H822">
        <f t="shared" si="126"/>
        <v>9.0721654941509893E-3</v>
      </c>
      <c r="I822" t="e">
        <f t="shared" si="127"/>
        <v>#N/A</v>
      </c>
      <c r="J822" t="e">
        <f t="shared" si="128"/>
        <v>#N/A</v>
      </c>
      <c r="K822">
        <f t="shared" si="129"/>
        <v>9.2721654941509898E-3</v>
      </c>
      <c r="L822" t="e">
        <f>IF(AND(ABS((ChartCalculations!A822-Calculations!$F$3)/Calculations!$F$4)&lt;5,OR(A822&lt;=Calculations!$F$7,A822&gt;=Calculations!$F$8)),0.2*_xlfn.NORM.DIST(100,100,15,FALSE)*_xlfn.NORM.DIST(A822,Calculations!$F$3,Calculations!$F$4,FALSE)/_xlfn.NORM.DIST(Calculations!$F$3,Calculations!$F$3,Calculations!$F$4,FALSE),NA())</f>
        <v>#N/A</v>
      </c>
      <c r="M822" t="e">
        <f>IF(AND(A822&gt;=Calculations!$F$7,A822&lt;=Calculations!$F$8),0.2*_xlfn.NORM.DIST(100,100,15,FALSE)*_xlfn.NORM.DIST(A822,Calculations!$F$3,Calculations!$F$4,FALSE)/_xlfn.NORM.DIST(Calculations!$F$3,Calculations!$F$3,Calculations!$F$4,FALSE),NA())</f>
        <v>#N/A</v>
      </c>
    </row>
    <row r="823" spans="1:13" x14ac:dyDescent="0.25">
      <c r="A823">
        <v>122.100000000001</v>
      </c>
      <c r="B823" t="e">
        <f t="shared" si="120"/>
        <v>#N/A</v>
      </c>
      <c r="C823" t="e">
        <f t="shared" si="121"/>
        <v>#N/A</v>
      </c>
      <c r="D823" t="e">
        <f t="shared" si="122"/>
        <v>#N/A</v>
      </c>
      <c r="E823" t="e">
        <f t="shared" si="123"/>
        <v>#N/A</v>
      </c>
      <c r="F823" t="e">
        <f t="shared" si="124"/>
        <v>#N/A</v>
      </c>
      <c r="G823" t="e">
        <f t="shared" si="125"/>
        <v>#N/A</v>
      </c>
      <c r="H823">
        <f t="shared" si="126"/>
        <v>8.9836924980668548E-3</v>
      </c>
      <c r="I823" t="e">
        <f t="shared" si="127"/>
        <v>#N/A</v>
      </c>
      <c r="J823" t="e">
        <f t="shared" si="128"/>
        <v>#N/A</v>
      </c>
      <c r="K823">
        <f t="shared" si="129"/>
        <v>9.1836924980668554E-3</v>
      </c>
      <c r="L823" t="e">
        <f>IF(AND(ABS((ChartCalculations!A823-Calculations!$F$3)/Calculations!$F$4)&lt;5,OR(A823&lt;=Calculations!$F$7,A823&gt;=Calculations!$F$8)),0.2*_xlfn.NORM.DIST(100,100,15,FALSE)*_xlfn.NORM.DIST(A823,Calculations!$F$3,Calculations!$F$4,FALSE)/_xlfn.NORM.DIST(Calculations!$F$3,Calculations!$F$3,Calculations!$F$4,FALSE),NA())</f>
        <v>#N/A</v>
      </c>
      <c r="M823" t="e">
        <f>IF(AND(A823&gt;=Calculations!$F$7,A823&lt;=Calculations!$F$8),0.2*_xlfn.NORM.DIST(100,100,15,FALSE)*_xlfn.NORM.DIST(A823,Calculations!$F$3,Calculations!$F$4,FALSE)/_xlfn.NORM.DIST(Calculations!$F$3,Calculations!$F$3,Calculations!$F$4,FALSE),NA())</f>
        <v>#N/A</v>
      </c>
    </row>
    <row r="824" spans="1:13" x14ac:dyDescent="0.25">
      <c r="A824">
        <v>122.200000000001</v>
      </c>
      <c r="B824" t="e">
        <f t="shared" si="120"/>
        <v>#N/A</v>
      </c>
      <c r="C824" t="e">
        <f t="shared" si="121"/>
        <v>#N/A</v>
      </c>
      <c r="D824" t="e">
        <f t="shared" si="122"/>
        <v>#N/A</v>
      </c>
      <c r="E824" t="e">
        <f t="shared" si="123"/>
        <v>#N/A</v>
      </c>
      <c r="F824" t="e">
        <f t="shared" si="124"/>
        <v>#N/A</v>
      </c>
      <c r="G824" t="e">
        <f t="shared" si="125"/>
        <v>#N/A</v>
      </c>
      <c r="H824">
        <f t="shared" si="126"/>
        <v>8.8956869300659425E-3</v>
      </c>
      <c r="I824" t="e">
        <f t="shared" si="127"/>
        <v>#N/A</v>
      </c>
      <c r="J824" t="e">
        <f t="shared" si="128"/>
        <v>#N/A</v>
      </c>
      <c r="K824">
        <f t="shared" si="129"/>
        <v>9.0956869300659431E-3</v>
      </c>
      <c r="L824" t="e">
        <f>IF(AND(ABS((ChartCalculations!A824-Calculations!$F$3)/Calculations!$F$4)&lt;5,OR(A824&lt;=Calculations!$F$7,A824&gt;=Calculations!$F$8)),0.2*_xlfn.NORM.DIST(100,100,15,FALSE)*_xlfn.NORM.DIST(A824,Calculations!$F$3,Calculations!$F$4,FALSE)/_xlfn.NORM.DIST(Calculations!$F$3,Calculations!$F$3,Calculations!$F$4,FALSE),NA())</f>
        <v>#N/A</v>
      </c>
      <c r="M824" t="e">
        <f>IF(AND(A824&gt;=Calculations!$F$7,A824&lt;=Calculations!$F$8),0.2*_xlfn.NORM.DIST(100,100,15,FALSE)*_xlfn.NORM.DIST(A824,Calculations!$F$3,Calculations!$F$4,FALSE)/_xlfn.NORM.DIST(Calculations!$F$3,Calculations!$F$3,Calculations!$F$4,FALSE),NA())</f>
        <v>#N/A</v>
      </c>
    </row>
    <row r="825" spans="1:13" x14ac:dyDescent="0.25">
      <c r="A825">
        <v>122.30000000000101</v>
      </c>
      <c r="B825" t="e">
        <f t="shared" si="120"/>
        <v>#N/A</v>
      </c>
      <c r="C825" t="e">
        <f t="shared" si="121"/>
        <v>#N/A</v>
      </c>
      <c r="D825" t="e">
        <f t="shared" si="122"/>
        <v>#N/A</v>
      </c>
      <c r="E825" t="e">
        <f t="shared" si="123"/>
        <v>#N/A</v>
      </c>
      <c r="F825" t="e">
        <f t="shared" si="124"/>
        <v>#N/A</v>
      </c>
      <c r="G825" t="e">
        <f t="shared" si="125"/>
        <v>#N/A</v>
      </c>
      <c r="H825">
        <f t="shared" si="126"/>
        <v>8.8081519953821744E-3</v>
      </c>
      <c r="I825" t="e">
        <f t="shared" si="127"/>
        <v>#N/A</v>
      </c>
      <c r="J825" t="e">
        <f t="shared" si="128"/>
        <v>#N/A</v>
      </c>
      <c r="K825">
        <f t="shared" si="129"/>
        <v>9.008151995382175E-3</v>
      </c>
      <c r="L825" t="e">
        <f>IF(AND(ABS((ChartCalculations!A825-Calculations!$F$3)/Calculations!$F$4)&lt;5,OR(A825&lt;=Calculations!$F$7,A825&gt;=Calculations!$F$8)),0.2*_xlfn.NORM.DIST(100,100,15,FALSE)*_xlfn.NORM.DIST(A825,Calculations!$F$3,Calculations!$F$4,FALSE)/_xlfn.NORM.DIST(Calculations!$F$3,Calculations!$F$3,Calculations!$F$4,FALSE),NA())</f>
        <v>#N/A</v>
      </c>
      <c r="M825" t="e">
        <f>IF(AND(A825&gt;=Calculations!$F$7,A825&lt;=Calculations!$F$8),0.2*_xlfn.NORM.DIST(100,100,15,FALSE)*_xlfn.NORM.DIST(A825,Calculations!$F$3,Calculations!$F$4,FALSE)/_xlfn.NORM.DIST(Calculations!$F$3,Calculations!$F$3,Calculations!$F$4,FALSE),NA())</f>
        <v>#N/A</v>
      </c>
    </row>
    <row r="826" spans="1:13" x14ac:dyDescent="0.25">
      <c r="A826">
        <v>122.400000000001</v>
      </c>
      <c r="B826" t="e">
        <f t="shared" si="120"/>
        <v>#N/A</v>
      </c>
      <c r="C826" t="e">
        <f t="shared" si="121"/>
        <v>#N/A</v>
      </c>
      <c r="D826" t="e">
        <f t="shared" si="122"/>
        <v>#N/A</v>
      </c>
      <c r="E826" t="e">
        <f t="shared" si="123"/>
        <v>#N/A</v>
      </c>
      <c r="F826" t="e">
        <f t="shared" si="124"/>
        <v>#N/A</v>
      </c>
      <c r="G826" t="e">
        <f t="shared" si="125"/>
        <v>#N/A</v>
      </c>
      <c r="H826">
        <f t="shared" si="126"/>
        <v>8.72109080533944E-3</v>
      </c>
      <c r="I826" t="e">
        <f t="shared" si="127"/>
        <v>#N/A</v>
      </c>
      <c r="J826" t="e">
        <f t="shared" si="128"/>
        <v>#N/A</v>
      </c>
      <c r="K826">
        <f t="shared" si="129"/>
        <v>8.9210908053394405E-3</v>
      </c>
      <c r="L826" t="e">
        <f>IF(AND(ABS((ChartCalculations!A826-Calculations!$F$3)/Calculations!$F$4)&lt;5,OR(A826&lt;=Calculations!$F$7,A826&gt;=Calculations!$F$8)),0.2*_xlfn.NORM.DIST(100,100,15,FALSE)*_xlfn.NORM.DIST(A826,Calculations!$F$3,Calculations!$F$4,FALSE)/_xlfn.NORM.DIST(Calculations!$F$3,Calculations!$F$3,Calculations!$F$4,FALSE),NA())</f>
        <v>#N/A</v>
      </c>
      <c r="M826" t="e">
        <f>IF(AND(A826&gt;=Calculations!$F$7,A826&lt;=Calculations!$F$8),0.2*_xlfn.NORM.DIST(100,100,15,FALSE)*_xlfn.NORM.DIST(A826,Calculations!$F$3,Calculations!$F$4,FALSE)/_xlfn.NORM.DIST(Calculations!$F$3,Calculations!$F$3,Calculations!$F$4,FALSE),NA())</f>
        <v>#N/A</v>
      </c>
    </row>
    <row r="827" spans="1:13" x14ac:dyDescent="0.25">
      <c r="A827">
        <v>122.50000000000099</v>
      </c>
      <c r="B827" t="e">
        <f t="shared" si="120"/>
        <v>#N/A</v>
      </c>
      <c r="C827" t="e">
        <f t="shared" si="121"/>
        <v>#N/A</v>
      </c>
      <c r="D827" t="e">
        <f t="shared" si="122"/>
        <v>#N/A</v>
      </c>
      <c r="E827" t="e">
        <f t="shared" si="123"/>
        <v>#N/A</v>
      </c>
      <c r="F827" t="e">
        <f t="shared" si="124"/>
        <v>#N/A</v>
      </c>
      <c r="G827" t="e">
        <f t="shared" si="125"/>
        <v>#N/A</v>
      </c>
      <c r="H827">
        <f t="shared" si="126"/>
        <v>8.6345063777252557E-3</v>
      </c>
      <c r="I827" t="e">
        <f t="shared" si="127"/>
        <v>#N/A</v>
      </c>
      <c r="J827" t="e">
        <f t="shared" si="128"/>
        <v>#N/A</v>
      </c>
      <c r="K827">
        <f t="shared" si="129"/>
        <v>8.8345063777252562E-3</v>
      </c>
      <c r="L827" t="e">
        <f>IF(AND(ABS((ChartCalculations!A827-Calculations!$F$3)/Calculations!$F$4)&lt;5,OR(A827&lt;=Calculations!$F$7,A827&gt;=Calculations!$F$8)),0.2*_xlfn.NORM.DIST(100,100,15,FALSE)*_xlfn.NORM.DIST(A827,Calculations!$F$3,Calculations!$F$4,FALSE)/_xlfn.NORM.DIST(Calculations!$F$3,Calculations!$F$3,Calculations!$F$4,FALSE),NA())</f>
        <v>#N/A</v>
      </c>
      <c r="M827" t="e">
        <f>IF(AND(A827&gt;=Calculations!$F$7,A827&lt;=Calculations!$F$8),0.2*_xlfn.NORM.DIST(100,100,15,FALSE)*_xlfn.NORM.DIST(A827,Calculations!$F$3,Calculations!$F$4,FALSE)/_xlfn.NORM.DIST(Calculations!$F$3,Calculations!$F$3,Calculations!$F$4,FALSE),NA())</f>
        <v>#N/A</v>
      </c>
    </row>
    <row r="828" spans="1:13" x14ac:dyDescent="0.25">
      <c r="A828">
        <v>122.600000000001</v>
      </c>
      <c r="B828" t="e">
        <f t="shared" si="120"/>
        <v>#N/A</v>
      </c>
      <c r="C828" t="e">
        <f t="shared" si="121"/>
        <v>#N/A</v>
      </c>
      <c r="D828" t="e">
        <f t="shared" si="122"/>
        <v>#N/A</v>
      </c>
      <c r="E828" t="e">
        <f t="shared" si="123"/>
        <v>#N/A</v>
      </c>
      <c r="F828" t="e">
        <f t="shared" si="124"/>
        <v>#N/A</v>
      </c>
      <c r="G828" t="e">
        <f t="shared" si="125"/>
        <v>#N/A</v>
      </c>
      <c r="H828">
        <f t="shared" si="126"/>
        <v>8.5484016371814506E-3</v>
      </c>
      <c r="I828" t="e">
        <f t="shared" si="127"/>
        <v>#N/A</v>
      </c>
      <c r="J828" t="e">
        <f t="shared" si="128"/>
        <v>#N/A</v>
      </c>
      <c r="K828">
        <f t="shared" si="129"/>
        <v>8.7484016371814511E-3</v>
      </c>
      <c r="L828" t="e">
        <f>IF(AND(ABS((ChartCalculations!A828-Calculations!$F$3)/Calculations!$F$4)&lt;5,OR(A828&lt;=Calculations!$F$7,A828&gt;=Calculations!$F$8)),0.2*_xlfn.NORM.DIST(100,100,15,FALSE)*_xlfn.NORM.DIST(A828,Calculations!$F$3,Calculations!$F$4,FALSE)/_xlfn.NORM.DIST(Calculations!$F$3,Calculations!$F$3,Calculations!$F$4,FALSE),NA())</f>
        <v>#N/A</v>
      </c>
      <c r="M828" t="e">
        <f>IF(AND(A828&gt;=Calculations!$F$7,A828&lt;=Calculations!$F$8),0.2*_xlfn.NORM.DIST(100,100,15,FALSE)*_xlfn.NORM.DIST(A828,Calculations!$F$3,Calculations!$F$4,FALSE)/_xlfn.NORM.DIST(Calculations!$F$3,Calculations!$F$3,Calculations!$F$4,FALSE),NA())</f>
        <v>#N/A</v>
      </c>
    </row>
    <row r="829" spans="1:13" x14ac:dyDescent="0.25">
      <c r="A829">
        <v>122.700000000001</v>
      </c>
      <c r="B829" t="e">
        <f t="shared" si="120"/>
        <v>#N/A</v>
      </c>
      <c r="C829" t="e">
        <f t="shared" si="121"/>
        <v>#N/A</v>
      </c>
      <c r="D829" t="e">
        <f t="shared" si="122"/>
        <v>#N/A</v>
      </c>
      <c r="E829" t="e">
        <f t="shared" si="123"/>
        <v>#N/A</v>
      </c>
      <c r="F829" t="e">
        <f t="shared" si="124"/>
        <v>#N/A</v>
      </c>
      <c r="G829" t="e">
        <f t="shared" si="125"/>
        <v>#N/A</v>
      </c>
      <c r="H829">
        <f t="shared" si="126"/>
        <v>8.4627794156116459E-3</v>
      </c>
      <c r="I829" t="e">
        <f t="shared" si="127"/>
        <v>#N/A</v>
      </c>
      <c r="J829" t="e">
        <f t="shared" si="128"/>
        <v>#N/A</v>
      </c>
      <c r="K829">
        <f t="shared" si="129"/>
        <v>8.6627794156116465E-3</v>
      </c>
      <c r="L829" t="e">
        <f>IF(AND(ABS((ChartCalculations!A829-Calculations!$F$3)/Calculations!$F$4)&lt;5,OR(A829&lt;=Calculations!$F$7,A829&gt;=Calculations!$F$8)),0.2*_xlfn.NORM.DIST(100,100,15,FALSE)*_xlfn.NORM.DIST(A829,Calculations!$F$3,Calculations!$F$4,FALSE)/_xlfn.NORM.DIST(Calculations!$F$3,Calculations!$F$3,Calculations!$F$4,FALSE),NA())</f>
        <v>#N/A</v>
      </c>
      <c r="M829" t="e">
        <f>IF(AND(A829&gt;=Calculations!$F$7,A829&lt;=Calculations!$F$8),0.2*_xlfn.NORM.DIST(100,100,15,FALSE)*_xlfn.NORM.DIST(A829,Calculations!$F$3,Calculations!$F$4,FALSE)/_xlfn.NORM.DIST(Calculations!$F$3,Calculations!$F$3,Calculations!$F$4,FALSE),NA())</f>
        <v>#N/A</v>
      </c>
    </row>
    <row r="830" spans="1:13" x14ac:dyDescent="0.25">
      <c r="A830">
        <v>122.80000000000101</v>
      </c>
      <c r="B830" t="e">
        <f t="shared" si="120"/>
        <v>#N/A</v>
      </c>
      <c r="C830" t="e">
        <f t="shared" si="121"/>
        <v>#N/A</v>
      </c>
      <c r="D830" t="e">
        <f t="shared" si="122"/>
        <v>#N/A</v>
      </c>
      <c r="E830" t="e">
        <f t="shared" si="123"/>
        <v>#N/A</v>
      </c>
      <c r="F830" t="e">
        <f t="shared" si="124"/>
        <v>#N/A</v>
      </c>
      <c r="G830" t="e">
        <f t="shared" si="125"/>
        <v>#N/A</v>
      </c>
      <c r="H830">
        <f t="shared" si="126"/>
        <v>8.3776424526050223E-3</v>
      </c>
      <c r="I830" t="e">
        <f t="shared" si="127"/>
        <v>#N/A</v>
      </c>
      <c r="J830" t="e">
        <f t="shared" si="128"/>
        <v>#N/A</v>
      </c>
      <c r="K830">
        <f t="shared" si="129"/>
        <v>8.5776424526050228E-3</v>
      </c>
      <c r="L830" t="e">
        <f>IF(AND(ABS((ChartCalculations!A830-Calculations!$F$3)/Calculations!$F$4)&lt;5,OR(A830&lt;=Calculations!$F$7,A830&gt;=Calculations!$F$8)),0.2*_xlfn.NORM.DIST(100,100,15,FALSE)*_xlfn.NORM.DIST(A830,Calculations!$F$3,Calculations!$F$4,FALSE)/_xlfn.NORM.DIST(Calculations!$F$3,Calculations!$F$3,Calculations!$F$4,FALSE),NA())</f>
        <v>#N/A</v>
      </c>
      <c r="M830" t="e">
        <f>IF(AND(A830&gt;=Calculations!$F$7,A830&lt;=Calculations!$F$8),0.2*_xlfn.NORM.DIST(100,100,15,FALSE)*_xlfn.NORM.DIST(A830,Calculations!$F$3,Calculations!$F$4,FALSE)/_xlfn.NORM.DIST(Calculations!$F$3,Calculations!$F$3,Calculations!$F$4,FALSE),NA())</f>
        <v>#N/A</v>
      </c>
    </row>
    <row r="831" spans="1:13" x14ac:dyDescent="0.25">
      <c r="A831">
        <v>122.900000000001</v>
      </c>
      <c r="B831" t="e">
        <f t="shared" si="120"/>
        <v>#N/A</v>
      </c>
      <c r="C831" t="e">
        <f t="shared" si="121"/>
        <v>#N/A</v>
      </c>
      <c r="D831" t="e">
        <f t="shared" si="122"/>
        <v>#N/A</v>
      </c>
      <c r="E831" t="e">
        <f t="shared" si="123"/>
        <v>#N/A</v>
      </c>
      <c r="F831" t="e">
        <f t="shared" si="124"/>
        <v>#N/A</v>
      </c>
      <c r="G831" t="e">
        <f t="shared" si="125"/>
        <v>#N/A</v>
      </c>
      <c r="H831">
        <f t="shared" si="126"/>
        <v>8.2929933958764742E-3</v>
      </c>
      <c r="I831" t="e">
        <f t="shared" si="127"/>
        <v>#N/A</v>
      </c>
      <c r="J831" t="e">
        <f t="shared" si="128"/>
        <v>#N/A</v>
      </c>
      <c r="K831">
        <f t="shared" si="129"/>
        <v>8.4929933958764747E-3</v>
      </c>
      <c r="L831" t="e">
        <f>IF(AND(ABS((ChartCalculations!A831-Calculations!$F$3)/Calculations!$F$4)&lt;5,OR(A831&lt;=Calculations!$F$7,A831&gt;=Calculations!$F$8)),0.2*_xlfn.NORM.DIST(100,100,15,FALSE)*_xlfn.NORM.DIST(A831,Calculations!$F$3,Calculations!$F$4,FALSE)/_xlfn.NORM.DIST(Calculations!$F$3,Calculations!$F$3,Calculations!$F$4,FALSE),NA())</f>
        <v>#N/A</v>
      </c>
      <c r="M831" t="e">
        <f>IF(AND(A831&gt;=Calculations!$F$7,A831&lt;=Calculations!$F$8),0.2*_xlfn.NORM.DIST(100,100,15,FALSE)*_xlfn.NORM.DIST(A831,Calculations!$F$3,Calculations!$F$4,FALSE)/_xlfn.NORM.DIST(Calculations!$F$3,Calculations!$F$3,Calculations!$F$4,FALSE),NA())</f>
        <v>#N/A</v>
      </c>
    </row>
    <row r="832" spans="1:13" x14ac:dyDescent="0.25">
      <c r="A832">
        <v>123.00000000000099</v>
      </c>
      <c r="B832" t="e">
        <f t="shared" si="120"/>
        <v>#N/A</v>
      </c>
      <c r="C832" t="e">
        <f t="shared" si="121"/>
        <v>#N/A</v>
      </c>
      <c r="D832" t="e">
        <f t="shared" si="122"/>
        <v>#N/A</v>
      </c>
      <c r="E832" t="e">
        <f t="shared" si="123"/>
        <v>#N/A</v>
      </c>
      <c r="F832" t="e">
        <f t="shared" si="124"/>
        <v>#N/A</v>
      </c>
      <c r="G832" t="e">
        <f t="shared" si="125"/>
        <v>#N/A</v>
      </c>
      <c r="H832">
        <f t="shared" si="126"/>
        <v>8.2088348017224696E-3</v>
      </c>
      <c r="I832" t="e">
        <f t="shared" si="127"/>
        <v>#N/A</v>
      </c>
      <c r="J832" t="e">
        <f t="shared" si="128"/>
        <v>#N/A</v>
      </c>
      <c r="K832">
        <f t="shared" si="129"/>
        <v>8.4088348017224701E-3</v>
      </c>
      <c r="L832" t="e">
        <f>IF(AND(ABS((ChartCalculations!A832-Calculations!$F$3)/Calculations!$F$4)&lt;5,OR(A832&lt;=Calculations!$F$7,A832&gt;=Calculations!$F$8)),0.2*_xlfn.NORM.DIST(100,100,15,FALSE)*_xlfn.NORM.DIST(A832,Calculations!$F$3,Calculations!$F$4,FALSE)/_xlfn.NORM.DIST(Calculations!$F$3,Calculations!$F$3,Calculations!$F$4,FALSE),NA())</f>
        <v>#N/A</v>
      </c>
      <c r="M832" t="e">
        <f>IF(AND(A832&gt;=Calculations!$F$7,A832&lt;=Calculations!$F$8),0.2*_xlfn.NORM.DIST(100,100,15,FALSE)*_xlfn.NORM.DIST(A832,Calculations!$F$3,Calculations!$F$4,FALSE)/_xlfn.NORM.DIST(Calculations!$F$3,Calculations!$F$3,Calculations!$F$4,FALSE),NA())</f>
        <v>#N/A</v>
      </c>
    </row>
    <row r="833" spans="1:13" x14ac:dyDescent="0.25">
      <c r="A833">
        <v>123.100000000001</v>
      </c>
      <c r="B833" t="e">
        <f t="shared" si="120"/>
        <v>#N/A</v>
      </c>
      <c r="C833" t="e">
        <f t="shared" si="121"/>
        <v>#N/A</v>
      </c>
      <c r="D833" t="e">
        <f t="shared" si="122"/>
        <v>#N/A</v>
      </c>
      <c r="E833" t="e">
        <f t="shared" si="123"/>
        <v>#N/A</v>
      </c>
      <c r="F833" t="e">
        <f t="shared" si="124"/>
        <v>#N/A</v>
      </c>
      <c r="G833" t="e">
        <f t="shared" si="125"/>
        <v>#N/A</v>
      </c>
      <c r="H833">
        <f t="shared" si="126"/>
        <v>8.1251691354926152E-3</v>
      </c>
      <c r="I833" t="e">
        <f t="shared" si="127"/>
        <v>#N/A</v>
      </c>
      <c r="J833" t="e">
        <f t="shared" si="128"/>
        <v>#N/A</v>
      </c>
      <c r="K833">
        <f t="shared" si="129"/>
        <v>8.3251691354926157E-3</v>
      </c>
      <c r="L833" t="e">
        <f>IF(AND(ABS((ChartCalculations!A833-Calculations!$F$3)/Calculations!$F$4)&lt;5,OR(A833&lt;=Calculations!$F$7,A833&gt;=Calculations!$F$8)),0.2*_xlfn.NORM.DIST(100,100,15,FALSE)*_xlfn.NORM.DIST(A833,Calculations!$F$3,Calculations!$F$4,FALSE)/_xlfn.NORM.DIST(Calculations!$F$3,Calculations!$F$3,Calculations!$F$4,FALSE),NA())</f>
        <v>#N/A</v>
      </c>
      <c r="M833" t="e">
        <f>IF(AND(A833&gt;=Calculations!$F$7,A833&lt;=Calculations!$F$8),0.2*_xlfn.NORM.DIST(100,100,15,FALSE)*_xlfn.NORM.DIST(A833,Calculations!$F$3,Calculations!$F$4,FALSE)/_xlfn.NORM.DIST(Calculations!$F$3,Calculations!$F$3,Calculations!$F$4,FALSE),NA())</f>
        <v>#N/A</v>
      </c>
    </row>
    <row r="834" spans="1:13" x14ac:dyDescent="0.25">
      <c r="A834">
        <v>123.200000000001</v>
      </c>
      <c r="B834" t="e">
        <f t="shared" si="120"/>
        <v>#N/A</v>
      </c>
      <c r="C834" t="e">
        <f t="shared" si="121"/>
        <v>#N/A</v>
      </c>
      <c r="D834" t="e">
        <f t="shared" si="122"/>
        <v>#N/A</v>
      </c>
      <c r="E834" t="e">
        <f t="shared" si="123"/>
        <v>#N/A</v>
      </c>
      <c r="F834" t="e">
        <f t="shared" si="124"/>
        <v>#N/A</v>
      </c>
      <c r="G834" t="e">
        <f t="shared" si="125"/>
        <v>#N/A</v>
      </c>
      <c r="H834">
        <f t="shared" si="126"/>
        <v>8.0419987720766056E-3</v>
      </c>
      <c r="I834" t="e">
        <f t="shared" si="127"/>
        <v>#N/A</v>
      </c>
      <c r="J834" t="e">
        <f t="shared" si="128"/>
        <v>#N/A</v>
      </c>
      <c r="K834">
        <f t="shared" si="129"/>
        <v>8.2419987720766062E-3</v>
      </c>
      <c r="L834" t="e">
        <f>IF(AND(ABS((ChartCalculations!A834-Calculations!$F$3)/Calculations!$F$4)&lt;5,OR(A834&lt;=Calculations!$F$7,A834&gt;=Calculations!$F$8)),0.2*_xlfn.NORM.DIST(100,100,15,FALSE)*_xlfn.NORM.DIST(A834,Calculations!$F$3,Calculations!$F$4,FALSE)/_xlfn.NORM.DIST(Calculations!$F$3,Calculations!$F$3,Calculations!$F$4,FALSE),NA())</f>
        <v>#N/A</v>
      </c>
      <c r="M834" t="e">
        <f>IF(AND(A834&gt;=Calculations!$F$7,A834&lt;=Calculations!$F$8),0.2*_xlfn.NORM.DIST(100,100,15,FALSE)*_xlfn.NORM.DIST(A834,Calculations!$F$3,Calculations!$F$4,FALSE)/_xlfn.NORM.DIST(Calculations!$F$3,Calculations!$F$3,Calculations!$F$4,FALSE),NA())</f>
        <v>#N/A</v>
      </c>
    </row>
    <row r="835" spans="1:13" x14ac:dyDescent="0.25">
      <c r="A835">
        <v>123.30000000000101</v>
      </c>
      <c r="B835" t="e">
        <f t="shared" ref="B835:B898" si="130">IF($A835&lt;=60,_xlfn.NORM.DIST($A835,100,15,FALSE),NA())</f>
        <v>#N/A</v>
      </c>
      <c r="C835" t="e">
        <f t="shared" ref="C835:C898" si="131">IF(AND($A835&gt;=60,$A835&lt;=70),_xlfn.NORM.DIST($A835,100,15,FALSE),NA())</f>
        <v>#N/A</v>
      </c>
      <c r="D835" t="e">
        <f t="shared" ref="D835:D898" si="132">IF(AND($A835&gt;=70,$A835&lt;=80),_xlfn.NORM.DIST($A835,100,15,FALSE),NA())</f>
        <v>#N/A</v>
      </c>
      <c r="E835" t="e">
        <f t="shared" ref="E835:E898" si="133">IF(AND($A835&gt;=80,$A835&lt;=90),_xlfn.NORM.DIST($A835,100,15,FALSE),NA())</f>
        <v>#N/A</v>
      </c>
      <c r="F835" t="e">
        <f t="shared" ref="F835:F898" si="134">IF(AND($A835&gt;=90,$A835&lt;=110),_xlfn.NORM.DIST($A835,100,15,FALSE),NA())</f>
        <v>#N/A</v>
      </c>
      <c r="G835" t="e">
        <f t="shared" ref="G835:G898" si="135">IF(AND($A835&gt;=110,$A835&lt;=120),_xlfn.NORM.DIST($A835,100,15,FALSE),NA())</f>
        <v>#N/A</v>
      </c>
      <c r="H835">
        <f t="shared" ref="H835:H898" si="136">IF(AND($A835&gt;=120,$A835&lt;=130),_xlfn.NORM.DIST($A835,100,15,FALSE),NA())</f>
        <v>7.9593259964060616E-3</v>
      </c>
      <c r="I835" t="e">
        <f t="shared" ref="I835:I898" si="137">IF(AND($A835&gt;=130,$A835&lt;=140),_xlfn.NORM.DIST($A835,100,15,FALSE),NA())</f>
        <v>#N/A</v>
      </c>
      <c r="J835" t="e">
        <f t="shared" ref="J835:J898" si="138">IF($A835&gt;=140,_xlfn.NORM.DIST($A835,100,15,FALSE),NA())</f>
        <v>#N/A</v>
      </c>
      <c r="K835">
        <f t="shared" ref="K835:K898" si="139">_xlfn.NORM.DIST($A835,100,15,FALSE)+0.0002</f>
        <v>8.1593259964060621E-3</v>
      </c>
      <c r="L835" t="e">
        <f>IF(AND(ABS((ChartCalculations!A835-Calculations!$F$3)/Calculations!$F$4)&lt;5,OR(A835&lt;=Calculations!$F$7,A835&gt;=Calculations!$F$8)),0.2*_xlfn.NORM.DIST(100,100,15,FALSE)*_xlfn.NORM.DIST(A835,Calculations!$F$3,Calculations!$F$4,FALSE)/_xlfn.NORM.DIST(Calculations!$F$3,Calculations!$F$3,Calculations!$F$4,FALSE),NA())</f>
        <v>#N/A</v>
      </c>
      <c r="M835" t="e">
        <f>IF(AND(A835&gt;=Calculations!$F$7,A835&lt;=Calculations!$F$8),0.2*_xlfn.NORM.DIST(100,100,15,FALSE)*_xlfn.NORM.DIST(A835,Calculations!$F$3,Calculations!$F$4,FALSE)/_xlfn.NORM.DIST(Calculations!$F$3,Calculations!$F$3,Calculations!$F$4,FALSE),NA())</f>
        <v>#N/A</v>
      </c>
    </row>
    <row r="836" spans="1:13" x14ac:dyDescent="0.25">
      <c r="A836">
        <v>123.400000000001</v>
      </c>
      <c r="B836" t="e">
        <f t="shared" si="130"/>
        <v>#N/A</v>
      </c>
      <c r="C836" t="e">
        <f t="shared" si="131"/>
        <v>#N/A</v>
      </c>
      <c r="D836" t="e">
        <f t="shared" si="132"/>
        <v>#N/A</v>
      </c>
      <c r="E836" t="e">
        <f t="shared" si="133"/>
        <v>#N/A</v>
      </c>
      <c r="F836" t="e">
        <f t="shared" si="134"/>
        <v>#N/A</v>
      </c>
      <c r="G836" t="e">
        <f t="shared" si="135"/>
        <v>#N/A</v>
      </c>
      <c r="H836">
        <f t="shared" si="136"/>
        <v>7.8771530039713333E-3</v>
      </c>
      <c r="I836" t="e">
        <f t="shared" si="137"/>
        <v>#N/A</v>
      </c>
      <c r="J836" t="e">
        <f t="shared" si="138"/>
        <v>#N/A</v>
      </c>
      <c r="K836">
        <f t="shared" si="139"/>
        <v>8.0771530039713338E-3</v>
      </c>
      <c r="L836" t="e">
        <f>IF(AND(ABS((ChartCalculations!A836-Calculations!$F$3)/Calculations!$F$4)&lt;5,OR(A836&lt;=Calculations!$F$7,A836&gt;=Calculations!$F$8)),0.2*_xlfn.NORM.DIST(100,100,15,FALSE)*_xlfn.NORM.DIST(A836,Calculations!$F$3,Calculations!$F$4,FALSE)/_xlfn.NORM.DIST(Calculations!$F$3,Calculations!$F$3,Calculations!$F$4,FALSE),NA())</f>
        <v>#N/A</v>
      </c>
      <c r="M836" t="e">
        <f>IF(AND(A836&gt;=Calculations!$F$7,A836&lt;=Calculations!$F$8),0.2*_xlfn.NORM.DIST(100,100,15,FALSE)*_xlfn.NORM.DIST(A836,Calculations!$F$3,Calculations!$F$4,FALSE)/_xlfn.NORM.DIST(Calculations!$F$3,Calculations!$F$3,Calculations!$F$4,FALSE),NA())</f>
        <v>#N/A</v>
      </c>
    </row>
    <row r="837" spans="1:13" x14ac:dyDescent="0.25">
      <c r="A837">
        <v>123.50000000000099</v>
      </c>
      <c r="B837" t="e">
        <f t="shared" si="130"/>
        <v>#N/A</v>
      </c>
      <c r="C837" t="e">
        <f t="shared" si="131"/>
        <v>#N/A</v>
      </c>
      <c r="D837" t="e">
        <f t="shared" si="132"/>
        <v>#N/A</v>
      </c>
      <c r="E837" t="e">
        <f t="shared" si="133"/>
        <v>#N/A</v>
      </c>
      <c r="F837" t="e">
        <f t="shared" si="134"/>
        <v>#N/A</v>
      </c>
      <c r="G837" t="e">
        <f t="shared" si="135"/>
        <v>#N/A</v>
      </c>
      <c r="H837">
        <f t="shared" si="136"/>
        <v>7.7954819013525576E-3</v>
      </c>
      <c r="I837" t="e">
        <f t="shared" si="137"/>
        <v>#N/A</v>
      </c>
      <c r="J837" t="e">
        <f t="shared" si="138"/>
        <v>#N/A</v>
      </c>
      <c r="K837">
        <f t="shared" si="139"/>
        <v>7.9954819013525573E-3</v>
      </c>
      <c r="L837" t="e">
        <f>IF(AND(ABS((ChartCalculations!A837-Calculations!$F$3)/Calculations!$F$4)&lt;5,OR(A837&lt;=Calculations!$F$7,A837&gt;=Calculations!$F$8)),0.2*_xlfn.NORM.DIST(100,100,15,FALSE)*_xlfn.NORM.DIST(A837,Calculations!$F$3,Calculations!$F$4,FALSE)/_xlfn.NORM.DIST(Calculations!$F$3,Calculations!$F$3,Calculations!$F$4,FALSE),NA())</f>
        <v>#N/A</v>
      </c>
      <c r="M837" t="e">
        <f>IF(AND(A837&gt;=Calculations!$F$7,A837&lt;=Calculations!$F$8),0.2*_xlfn.NORM.DIST(100,100,15,FALSE)*_xlfn.NORM.DIST(A837,Calculations!$F$3,Calculations!$F$4,FALSE)/_xlfn.NORM.DIST(Calculations!$F$3,Calculations!$F$3,Calculations!$F$4,FALSE),NA())</f>
        <v>#N/A</v>
      </c>
    </row>
    <row r="838" spans="1:13" x14ac:dyDescent="0.25">
      <c r="A838">
        <v>123.600000000001</v>
      </c>
      <c r="B838" t="e">
        <f t="shared" si="130"/>
        <v>#N/A</v>
      </c>
      <c r="C838" t="e">
        <f t="shared" si="131"/>
        <v>#N/A</v>
      </c>
      <c r="D838" t="e">
        <f t="shared" si="132"/>
        <v>#N/A</v>
      </c>
      <c r="E838" t="e">
        <f t="shared" si="133"/>
        <v>#N/A</v>
      </c>
      <c r="F838" t="e">
        <f t="shared" si="134"/>
        <v>#N/A</v>
      </c>
      <c r="G838" t="e">
        <f t="shared" si="135"/>
        <v>#N/A</v>
      </c>
      <c r="H838">
        <f t="shared" si="136"/>
        <v>7.7143147067650734E-3</v>
      </c>
      <c r="I838" t="e">
        <f t="shared" si="137"/>
        <v>#N/A</v>
      </c>
      <c r="J838" t="e">
        <f t="shared" si="138"/>
        <v>#N/A</v>
      </c>
      <c r="K838">
        <f t="shared" si="139"/>
        <v>7.914314706765074E-3</v>
      </c>
      <c r="L838" t="e">
        <f>IF(AND(ABS((ChartCalculations!A838-Calculations!$F$3)/Calculations!$F$4)&lt;5,OR(A838&lt;=Calculations!$F$7,A838&gt;=Calculations!$F$8)),0.2*_xlfn.NORM.DIST(100,100,15,FALSE)*_xlfn.NORM.DIST(A838,Calculations!$F$3,Calculations!$F$4,FALSE)/_xlfn.NORM.DIST(Calculations!$F$3,Calculations!$F$3,Calculations!$F$4,FALSE),NA())</f>
        <v>#N/A</v>
      </c>
      <c r="M838" t="e">
        <f>IF(AND(A838&gt;=Calculations!$F$7,A838&lt;=Calculations!$F$8),0.2*_xlfn.NORM.DIST(100,100,15,FALSE)*_xlfn.NORM.DIST(A838,Calculations!$F$3,Calculations!$F$4,FALSE)/_xlfn.NORM.DIST(Calculations!$F$3,Calculations!$F$3,Calculations!$F$4,FALSE),NA())</f>
        <v>#N/A</v>
      </c>
    </row>
    <row r="839" spans="1:13" x14ac:dyDescent="0.25">
      <c r="A839">
        <v>123.700000000001</v>
      </c>
      <c r="B839" t="e">
        <f t="shared" si="130"/>
        <v>#N/A</v>
      </c>
      <c r="C839" t="e">
        <f t="shared" si="131"/>
        <v>#N/A</v>
      </c>
      <c r="D839" t="e">
        <f t="shared" si="132"/>
        <v>#N/A</v>
      </c>
      <c r="E839" t="e">
        <f t="shared" si="133"/>
        <v>#N/A</v>
      </c>
      <c r="F839" t="e">
        <f t="shared" si="134"/>
        <v>#N/A</v>
      </c>
      <c r="G839" t="e">
        <f t="shared" si="135"/>
        <v>#N/A</v>
      </c>
      <c r="H839">
        <f t="shared" si="136"/>
        <v>7.633653350618691E-3</v>
      </c>
      <c r="I839" t="e">
        <f t="shared" si="137"/>
        <v>#N/A</v>
      </c>
      <c r="J839" t="e">
        <f t="shared" si="138"/>
        <v>#N/A</v>
      </c>
      <c r="K839">
        <f t="shared" si="139"/>
        <v>7.8336533506186915E-3</v>
      </c>
      <c r="L839" t="e">
        <f>IF(AND(ABS((ChartCalculations!A839-Calculations!$F$3)/Calculations!$F$4)&lt;5,OR(A839&lt;=Calculations!$F$7,A839&gt;=Calculations!$F$8)),0.2*_xlfn.NORM.DIST(100,100,15,FALSE)*_xlfn.NORM.DIST(A839,Calculations!$F$3,Calculations!$F$4,FALSE)/_xlfn.NORM.DIST(Calculations!$F$3,Calculations!$F$3,Calculations!$F$4,FALSE),NA())</f>
        <v>#N/A</v>
      </c>
      <c r="M839" t="e">
        <f>IF(AND(A839&gt;=Calculations!$F$7,A839&lt;=Calculations!$F$8),0.2*_xlfn.NORM.DIST(100,100,15,FALSE)*_xlfn.NORM.DIST(A839,Calculations!$F$3,Calculations!$F$4,FALSE)/_xlfn.NORM.DIST(Calculations!$F$3,Calculations!$F$3,Calculations!$F$4,FALSE),NA())</f>
        <v>#N/A</v>
      </c>
    </row>
    <row r="840" spans="1:13" x14ac:dyDescent="0.25">
      <c r="A840">
        <v>123.80000000000101</v>
      </c>
      <c r="B840" t="e">
        <f t="shared" si="130"/>
        <v>#N/A</v>
      </c>
      <c r="C840" t="e">
        <f t="shared" si="131"/>
        <v>#N/A</v>
      </c>
      <c r="D840" t="e">
        <f t="shared" si="132"/>
        <v>#N/A</v>
      </c>
      <c r="E840" t="e">
        <f t="shared" si="133"/>
        <v>#N/A</v>
      </c>
      <c r="F840" t="e">
        <f t="shared" si="134"/>
        <v>#N/A</v>
      </c>
      <c r="G840" t="e">
        <f t="shared" si="135"/>
        <v>#N/A</v>
      </c>
      <c r="H840">
        <f t="shared" si="136"/>
        <v>7.5534996760904406E-3</v>
      </c>
      <c r="I840" t="e">
        <f t="shared" si="137"/>
        <v>#N/A</v>
      </c>
      <c r="J840" t="e">
        <f t="shared" si="138"/>
        <v>#N/A</v>
      </c>
      <c r="K840">
        <f t="shared" si="139"/>
        <v>7.7534996760904402E-3</v>
      </c>
      <c r="L840" t="e">
        <f>IF(AND(ABS((ChartCalculations!A840-Calculations!$F$3)/Calculations!$F$4)&lt;5,OR(A840&lt;=Calculations!$F$7,A840&gt;=Calculations!$F$8)),0.2*_xlfn.NORM.DIST(100,100,15,FALSE)*_xlfn.NORM.DIST(A840,Calculations!$F$3,Calculations!$F$4,FALSE)/_xlfn.NORM.DIST(Calculations!$F$3,Calculations!$F$3,Calculations!$F$4,FALSE),NA())</f>
        <v>#N/A</v>
      </c>
      <c r="M840" t="e">
        <f>IF(AND(A840&gt;=Calculations!$F$7,A840&lt;=Calculations!$F$8),0.2*_xlfn.NORM.DIST(100,100,15,FALSE)*_xlfn.NORM.DIST(A840,Calculations!$F$3,Calculations!$F$4,FALSE)/_xlfn.NORM.DIST(Calculations!$F$3,Calculations!$F$3,Calculations!$F$4,FALSE),NA())</f>
        <v>#N/A</v>
      </c>
    </row>
    <row r="841" spans="1:13" x14ac:dyDescent="0.25">
      <c r="A841">
        <v>123.900000000001</v>
      </c>
      <c r="B841" t="e">
        <f t="shared" si="130"/>
        <v>#N/A</v>
      </c>
      <c r="C841" t="e">
        <f t="shared" si="131"/>
        <v>#N/A</v>
      </c>
      <c r="D841" t="e">
        <f t="shared" si="132"/>
        <v>#N/A</v>
      </c>
      <c r="E841" t="e">
        <f t="shared" si="133"/>
        <v>#N/A</v>
      </c>
      <c r="F841" t="e">
        <f t="shared" si="134"/>
        <v>#N/A</v>
      </c>
      <c r="G841" t="e">
        <f t="shared" si="135"/>
        <v>#N/A</v>
      </c>
      <c r="H841">
        <f t="shared" si="136"/>
        <v>7.4738554397108308E-3</v>
      </c>
      <c r="I841" t="e">
        <f t="shared" si="137"/>
        <v>#N/A</v>
      </c>
      <c r="J841" t="e">
        <f t="shared" si="138"/>
        <v>#N/A</v>
      </c>
      <c r="K841">
        <f t="shared" si="139"/>
        <v>7.6738554397108305E-3</v>
      </c>
      <c r="L841" t="e">
        <f>IF(AND(ABS((ChartCalculations!A841-Calculations!$F$3)/Calculations!$F$4)&lt;5,OR(A841&lt;=Calculations!$F$7,A841&gt;=Calculations!$F$8)),0.2*_xlfn.NORM.DIST(100,100,15,FALSE)*_xlfn.NORM.DIST(A841,Calculations!$F$3,Calculations!$F$4,FALSE)/_xlfn.NORM.DIST(Calculations!$F$3,Calculations!$F$3,Calculations!$F$4,FALSE),NA())</f>
        <v>#N/A</v>
      </c>
      <c r="M841" t="e">
        <f>IF(AND(A841&gt;=Calculations!$F$7,A841&lt;=Calculations!$F$8),0.2*_xlfn.NORM.DIST(100,100,15,FALSE)*_xlfn.NORM.DIST(A841,Calculations!$F$3,Calculations!$F$4,FALSE)/_xlfn.NORM.DIST(Calculations!$F$3,Calculations!$F$3,Calculations!$F$4,FALSE),NA())</f>
        <v>#N/A</v>
      </c>
    </row>
    <row r="842" spans="1:13" x14ac:dyDescent="0.25">
      <c r="A842">
        <v>124.00000000000099</v>
      </c>
      <c r="B842" t="e">
        <f t="shared" si="130"/>
        <v>#N/A</v>
      </c>
      <c r="C842" t="e">
        <f t="shared" si="131"/>
        <v>#N/A</v>
      </c>
      <c r="D842" t="e">
        <f t="shared" si="132"/>
        <v>#N/A</v>
      </c>
      <c r="E842" t="e">
        <f t="shared" si="133"/>
        <v>#N/A</v>
      </c>
      <c r="F842" t="e">
        <f t="shared" si="134"/>
        <v>#N/A</v>
      </c>
      <c r="G842" t="e">
        <f t="shared" si="135"/>
        <v>#N/A</v>
      </c>
      <c r="H842">
        <f t="shared" si="136"/>
        <v>7.3947223119629202E-3</v>
      </c>
      <c r="I842" t="e">
        <f t="shared" si="137"/>
        <v>#N/A</v>
      </c>
      <c r="J842" t="e">
        <f t="shared" si="138"/>
        <v>#N/A</v>
      </c>
      <c r="K842">
        <f t="shared" si="139"/>
        <v>7.5947223119629198E-3</v>
      </c>
      <c r="L842" t="e">
        <f>IF(AND(ABS((ChartCalculations!A842-Calculations!$F$3)/Calculations!$F$4)&lt;5,OR(A842&lt;=Calculations!$F$7,A842&gt;=Calculations!$F$8)),0.2*_xlfn.NORM.DIST(100,100,15,FALSE)*_xlfn.NORM.DIST(A842,Calculations!$F$3,Calculations!$F$4,FALSE)/_xlfn.NORM.DIST(Calculations!$F$3,Calculations!$F$3,Calculations!$F$4,FALSE),NA())</f>
        <v>#N/A</v>
      </c>
      <c r="M842" t="e">
        <f>IF(AND(A842&gt;=Calculations!$F$7,A842&lt;=Calculations!$F$8),0.2*_xlfn.NORM.DIST(100,100,15,FALSE)*_xlfn.NORM.DIST(A842,Calculations!$F$3,Calculations!$F$4,FALSE)/_xlfn.NORM.DIST(Calculations!$F$3,Calculations!$F$3,Calculations!$F$4,FALSE),NA())</f>
        <v>#N/A</v>
      </c>
    </row>
    <row r="843" spans="1:13" x14ac:dyDescent="0.25">
      <c r="A843">
        <v>124.100000000001</v>
      </c>
      <c r="B843" t="e">
        <f t="shared" si="130"/>
        <v>#N/A</v>
      </c>
      <c r="C843" t="e">
        <f t="shared" si="131"/>
        <v>#N/A</v>
      </c>
      <c r="D843" t="e">
        <f t="shared" si="132"/>
        <v>#N/A</v>
      </c>
      <c r="E843" t="e">
        <f t="shared" si="133"/>
        <v>#N/A</v>
      </c>
      <c r="F843" t="e">
        <f t="shared" si="134"/>
        <v>#N/A</v>
      </c>
      <c r="G843" t="e">
        <f t="shared" si="135"/>
        <v>#N/A</v>
      </c>
      <c r="H843">
        <f t="shared" si="136"/>
        <v>7.3161018778942219E-3</v>
      </c>
      <c r="I843" t="e">
        <f t="shared" si="137"/>
        <v>#N/A</v>
      </c>
      <c r="J843" t="e">
        <f t="shared" si="138"/>
        <v>#N/A</v>
      </c>
      <c r="K843">
        <f t="shared" si="139"/>
        <v>7.5161018778942216E-3</v>
      </c>
      <c r="L843" t="e">
        <f>IF(AND(ABS((ChartCalculations!A843-Calculations!$F$3)/Calculations!$F$4)&lt;5,OR(A843&lt;=Calculations!$F$7,A843&gt;=Calculations!$F$8)),0.2*_xlfn.NORM.DIST(100,100,15,FALSE)*_xlfn.NORM.DIST(A843,Calculations!$F$3,Calculations!$F$4,FALSE)/_xlfn.NORM.DIST(Calculations!$F$3,Calculations!$F$3,Calculations!$F$4,FALSE),NA())</f>
        <v>#N/A</v>
      </c>
      <c r="M843" t="e">
        <f>IF(AND(A843&gt;=Calculations!$F$7,A843&lt;=Calculations!$F$8),0.2*_xlfn.NORM.DIST(100,100,15,FALSE)*_xlfn.NORM.DIST(A843,Calculations!$F$3,Calculations!$F$4,FALSE)/_xlfn.NORM.DIST(Calculations!$F$3,Calculations!$F$3,Calculations!$F$4,FALSE),NA())</f>
        <v>#N/A</v>
      </c>
    </row>
    <row r="844" spans="1:13" x14ac:dyDescent="0.25">
      <c r="A844">
        <v>124.200000000001</v>
      </c>
      <c r="B844" t="e">
        <f t="shared" si="130"/>
        <v>#N/A</v>
      </c>
      <c r="C844" t="e">
        <f t="shared" si="131"/>
        <v>#N/A</v>
      </c>
      <c r="D844" t="e">
        <f t="shared" si="132"/>
        <v>#N/A</v>
      </c>
      <c r="E844" t="e">
        <f t="shared" si="133"/>
        <v>#N/A</v>
      </c>
      <c r="F844" t="e">
        <f t="shared" si="134"/>
        <v>#N/A</v>
      </c>
      <c r="G844" t="e">
        <f t="shared" si="135"/>
        <v>#N/A</v>
      </c>
      <c r="H844">
        <f t="shared" si="136"/>
        <v>7.2379956377410402E-3</v>
      </c>
      <c r="I844" t="e">
        <f t="shared" si="137"/>
        <v>#N/A</v>
      </c>
      <c r="J844" t="e">
        <f t="shared" si="138"/>
        <v>#N/A</v>
      </c>
      <c r="K844">
        <f t="shared" si="139"/>
        <v>7.4379956377410399E-3</v>
      </c>
      <c r="L844" t="e">
        <f>IF(AND(ABS((ChartCalculations!A844-Calculations!$F$3)/Calculations!$F$4)&lt;5,OR(A844&lt;=Calculations!$F$7,A844&gt;=Calculations!$F$8)),0.2*_xlfn.NORM.DIST(100,100,15,FALSE)*_xlfn.NORM.DIST(A844,Calculations!$F$3,Calculations!$F$4,FALSE)/_xlfn.NORM.DIST(Calculations!$F$3,Calculations!$F$3,Calculations!$F$4,FALSE),NA())</f>
        <v>#N/A</v>
      </c>
      <c r="M844" t="e">
        <f>IF(AND(A844&gt;=Calculations!$F$7,A844&lt;=Calculations!$F$8),0.2*_xlfn.NORM.DIST(100,100,15,FALSE)*_xlfn.NORM.DIST(A844,Calculations!$F$3,Calculations!$F$4,FALSE)/_xlfn.NORM.DIST(Calculations!$F$3,Calculations!$F$3,Calculations!$F$4,FALSE),NA())</f>
        <v>#N/A</v>
      </c>
    </row>
    <row r="845" spans="1:13" x14ac:dyDescent="0.25">
      <c r="A845">
        <v>124.30000000000101</v>
      </c>
      <c r="B845" t="e">
        <f t="shared" si="130"/>
        <v>#N/A</v>
      </c>
      <c r="C845" t="e">
        <f t="shared" si="131"/>
        <v>#N/A</v>
      </c>
      <c r="D845" t="e">
        <f t="shared" si="132"/>
        <v>#N/A</v>
      </c>
      <c r="E845" t="e">
        <f t="shared" si="133"/>
        <v>#N/A</v>
      </c>
      <c r="F845" t="e">
        <f t="shared" si="134"/>
        <v>#N/A</v>
      </c>
      <c r="G845" t="e">
        <f t="shared" si="135"/>
        <v>#N/A</v>
      </c>
      <c r="H845">
        <f t="shared" si="136"/>
        <v>7.1604050075648098E-3</v>
      </c>
      <c r="I845" t="e">
        <f t="shared" si="137"/>
        <v>#N/A</v>
      </c>
      <c r="J845" t="e">
        <f t="shared" si="138"/>
        <v>#N/A</v>
      </c>
      <c r="K845">
        <f t="shared" si="139"/>
        <v>7.3604050075648094E-3</v>
      </c>
      <c r="L845" t="e">
        <f>IF(AND(ABS((ChartCalculations!A845-Calculations!$F$3)/Calculations!$F$4)&lt;5,OR(A845&lt;=Calculations!$F$7,A845&gt;=Calculations!$F$8)),0.2*_xlfn.NORM.DIST(100,100,15,FALSE)*_xlfn.NORM.DIST(A845,Calculations!$F$3,Calculations!$F$4,FALSE)/_xlfn.NORM.DIST(Calculations!$F$3,Calculations!$F$3,Calculations!$F$4,FALSE),NA())</f>
        <v>#N/A</v>
      </c>
      <c r="M845" t="e">
        <f>IF(AND(A845&gt;=Calculations!$F$7,A845&lt;=Calculations!$F$8),0.2*_xlfn.NORM.DIST(100,100,15,FALSE)*_xlfn.NORM.DIST(A845,Calculations!$F$3,Calculations!$F$4,FALSE)/_xlfn.NORM.DIST(Calculations!$F$3,Calculations!$F$3,Calculations!$F$4,FALSE),NA())</f>
        <v>#N/A</v>
      </c>
    </row>
    <row r="846" spans="1:13" x14ac:dyDescent="0.25">
      <c r="A846">
        <v>124.400000000001</v>
      </c>
      <c r="B846" t="e">
        <f t="shared" si="130"/>
        <v>#N/A</v>
      </c>
      <c r="C846" t="e">
        <f t="shared" si="131"/>
        <v>#N/A</v>
      </c>
      <c r="D846" t="e">
        <f t="shared" si="132"/>
        <v>#N/A</v>
      </c>
      <c r="E846" t="e">
        <f t="shared" si="133"/>
        <v>#N/A</v>
      </c>
      <c r="F846" t="e">
        <f t="shared" si="134"/>
        <v>#N/A</v>
      </c>
      <c r="G846" t="e">
        <f t="shared" si="135"/>
        <v>#N/A</v>
      </c>
      <c r="H846">
        <f t="shared" si="136"/>
        <v>7.0833313199004221E-3</v>
      </c>
      <c r="I846" t="e">
        <f t="shared" si="137"/>
        <v>#N/A</v>
      </c>
      <c r="J846" t="e">
        <f t="shared" si="138"/>
        <v>#N/A</v>
      </c>
      <c r="K846">
        <f t="shared" si="139"/>
        <v>7.2833313199004218E-3</v>
      </c>
      <c r="L846" t="e">
        <f>IF(AND(ABS((ChartCalculations!A846-Calculations!$F$3)/Calculations!$F$4)&lt;5,OR(A846&lt;=Calculations!$F$7,A846&gt;=Calculations!$F$8)),0.2*_xlfn.NORM.DIST(100,100,15,FALSE)*_xlfn.NORM.DIST(A846,Calculations!$F$3,Calculations!$F$4,FALSE)/_xlfn.NORM.DIST(Calculations!$F$3,Calculations!$F$3,Calculations!$F$4,FALSE),NA())</f>
        <v>#N/A</v>
      </c>
      <c r="M846" t="e">
        <f>IF(AND(A846&gt;=Calculations!$F$7,A846&lt;=Calculations!$F$8),0.2*_xlfn.NORM.DIST(100,100,15,FALSE)*_xlfn.NORM.DIST(A846,Calculations!$F$3,Calculations!$F$4,FALSE)/_xlfn.NORM.DIST(Calculations!$F$3,Calculations!$F$3,Calculations!$F$4,FALSE),NA())</f>
        <v>#N/A</v>
      </c>
    </row>
    <row r="847" spans="1:13" x14ac:dyDescent="0.25">
      <c r="A847">
        <v>124.50000000000099</v>
      </c>
      <c r="B847" t="e">
        <f t="shared" si="130"/>
        <v>#N/A</v>
      </c>
      <c r="C847" t="e">
        <f t="shared" si="131"/>
        <v>#N/A</v>
      </c>
      <c r="D847" t="e">
        <f t="shared" si="132"/>
        <v>#N/A</v>
      </c>
      <c r="E847" t="e">
        <f t="shared" si="133"/>
        <v>#N/A</v>
      </c>
      <c r="F847" t="e">
        <f t="shared" si="134"/>
        <v>#N/A</v>
      </c>
      <c r="G847" t="e">
        <f t="shared" si="135"/>
        <v>#N/A</v>
      </c>
      <c r="H847">
        <f t="shared" si="136"/>
        <v>7.0067758244159182E-3</v>
      </c>
      <c r="I847" t="e">
        <f t="shared" si="137"/>
        <v>#N/A</v>
      </c>
      <c r="J847" t="e">
        <f t="shared" si="138"/>
        <v>#N/A</v>
      </c>
      <c r="K847">
        <f t="shared" si="139"/>
        <v>7.2067758244159178E-3</v>
      </c>
      <c r="L847" t="e">
        <f>IF(AND(ABS((ChartCalculations!A847-Calculations!$F$3)/Calculations!$F$4)&lt;5,OR(A847&lt;=Calculations!$F$7,A847&gt;=Calculations!$F$8)),0.2*_xlfn.NORM.DIST(100,100,15,FALSE)*_xlfn.NORM.DIST(A847,Calculations!$F$3,Calculations!$F$4,FALSE)/_xlfn.NORM.DIST(Calculations!$F$3,Calculations!$F$3,Calculations!$F$4,FALSE),NA())</f>
        <v>#N/A</v>
      </c>
      <c r="M847" t="e">
        <f>IF(AND(A847&gt;=Calculations!$F$7,A847&lt;=Calculations!$F$8),0.2*_xlfn.NORM.DIST(100,100,15,FALSE)*_xlfn.NORM.DIST(A847,Calculations!$F$3,Calculations!$F$4,FALSE)/_xlfn.NORM.DIST(Calculations!$F$3,Calculations!$F$3,Calculations!$F$4,FALSE),NA())</f>
        <v>#N/A</v>
      </c>
    </row>
    <row r="848" spans="1:13" x14ac:dyDescent="0.25">
      <c r="A848">
        <v>124.600000000001</v>
      </c>
      <c r="B848" t="e">
        <f t="shared" si="130"/>
        <v>#N/A</v>
      </c>
      <c r="C848" t="e">
        <f t="shared" si="131"/>
        <v>#N/A</v>
      </c>
      <c r="D848" t="e">
        <f t="shared" si="132"/>
        <v>#N/A</v>
      </c>
      <c r="E848" t="e">
        <f t="shared" si="133"/>
        <v>#N/A</v>
      </c>
      <c r="F848" t="e">
        <f t="shared" si="134"/>
        <v>#N/A</v>
      </c>
      <c r="G848" t="e">
        <f t="shared" si="135"/>
        <v>#N/A</v>
      </c>
      <c r="H848">
        <f t="shared" si="136"/>
        <v>6.9307396885835183E-3</v>
      </c>
      <c r="I848" t="e">
        <f t="shared" si="137"/>
        <v>#N/A</v>
      </c>
      <c r="J848" t="e">
        <f t="shared" si="138"/>
        <v>#N/A</v>
      </c>
      <c r="K848">
        <f t="shared" si="139"/>
        <v>7.130739688583518E-3</v>
      </c>
      <c r="L848" t="e">
        <f>IF(AND(ABS((ChartCalculations!A848-Calculations!$F$3)/Calculations!$F$4)&lt;5,OR(A848&lt;=Calculations!$F$7,A848&gt;=Calculations!$F$8)),0.2*_xlfn.NORM.DIST(100,100,15,FALSE)*_xlfn.NORM.DIST(A848,Calculations!$F$3,Calculations!$F$4,FALSE)/_xlfn.NORM.DIST(Calculations!$F$3,Calculations!$F$3,Calculations!$F$4,FALSE),NA())</f>
        <v>#N/A</v>
      </c>
      <c r="M848" t="e">
        <f>IF(AND(A848&gt;=Calculations!$F$7,A848&lt;=Calculations!$F$8),0.2*_xlfn.NORM.DIST(100,100,15,FALSE)*_xlfn.NORM.DIST(A848,Calculations!$F$3,Calculations!$F$4,FALSE)/_xlfn.NORM.DIST(Calculations!$F$3,Calculations!$F$3,Calculations!$F$4,FALSE),NA())</f>
        <v>#N/A</v>
      </c>
    </row>
    <row r="849" spans="1:13" x14ac:dyDescent="0.25">
      <c r="A849">
        <v>124.700000000001</v>
      </c>
      <c r="B849" t="e">
        <f t="shared" si="130"/>
        <v>#N/A</v>
      </c>
      <c r="C849" t="e">
        <f t="shared" si="131"/>
        <v>#N/A</v>
      </c>
      <c r="D849" t="e">
        <f t="shared" si="132"/>
        <v>#N/A</v>
      </c>
      <c r="E849" t="e">
        <f t="shared" si="133"/>
        <v>#N/A</v>
      </c>
      <c r="F849" t="e">
        <f t="shared" si="134"/>
        <v>#N/A</v>
      </c>
      <c r="G849" t="e">
        <f t="shared" si="135"/>
        <v>#N/A</v>
      </c>
      <c r="H849">
        <f t="shared" si="136"/>
        <v>6.8552239983615875E-3</v>
      </c>
      <c r="I849" t="e">
        <f t="shared" si="137"/>
        <v>#N/A</v>
      </c>
      <c r="J849" t="e">
        <f t="shared" si="138"/>
        <v>#N/A</v>
      </c>
      <c r="K849">
        <f t="shared" si="139"/>
        <v>7.0552239983615872E-3</v>
      </c>
      <c r="L849" t="e">
        <f>IF(AND(ABS((ChartCalculations!A849-Calculations!$F$3)/Calculations!$F$4)&lt;5,OR(A849&lt;=Calculations!$F$7,A849&gt;=Calculations!$F$8)),0.2*_xlfn.NORM.DIST(100,100,15,FALSE)*_xlfn.NORM.DIST(A849,Calculations!$F$3,Calculations!$F$4,FALSE)/_xlfn.NORM.DIST(Calculations!$F$3,Calculations!$F$3,Calculations!$F$4,FALSE),NA())</f>
        <v>#N/A</v>
      </c>
      <c r="M849" t="e">
        <f>IF(AND(A849&gt;=Calculations!$F$7,A849&lt;=Calculations!$F$8),0.2*_xlfn.NORM.DIST(100,100,15,FALSE)*_xlfn.NORM.DIST(A849,Calculations!$F$3,Calculations!$F$4,FALSE)/_xlfn.NORM.DIST(Calculations!$F$3,Calculations!$F$3,Calculations!$F$4,FALSE),NA())</f>
        <v>#N/A</v>
      </c>
    </row>
    <row r="850" spans="1:13" x14ac:dyDescent="0.25">
      <c r="A850">
        <v>124.80000000000101</v>
      </c>
      <c r="B850" t="e">
        <f t="shared" si="130"/>
        <v>#N/A</v>
      </c>
      <c r="C850" t="e">
        <f t="shared" si="131"/>
        <v>#N/A</v>
      </c>
      <c r="D850" t="e">
        <f t="shared" si="132"/>
        <v>#N/A</v>
      </c>
      <c r="E850" t="e">
        <f t="shared" si="133"/>
        <v>#N/A</v>
      </c>
      <c r="F850" t="e">
        <f t="shared" si="134"/>
        <v>#N/A</v>
      </c>
      <c r="G850" t="e">
        <f t="shared" si="135"/>
        <v>#N/A</v>
      </c>
      <c r="H850">
        <f t="shared" si="136"/>
        <v>6.7802297588871012E-3</v>
      </c>
      <c r="I850" t="e">
        <f t="shared" si="137"/>
        <v>#N/A</v>
      </c>
      <c r="J850" t="e">
        <f t="shared" si="138"/>
        <v>#N/A</v>
      </c>
      <c r="K850">
        <f t="shared" si="139"/>
        <v>6.9802297588871009E-3</v>
      </c>
      <c r="L850" t="e">
        <f>IF(AND(ABS((ChartCalculations!A850-Calculations!$F$3)/Calculations!$F$4)&lt;5,OR(A850&lt;=Calculations!$F$7,A850&gt;=Calculations!$F$8)),0.2*_xlfn.NORM.DIST(100,100,15,FALSE)*_xlfn.NORM.DIST(A850,Calculations!$F$3,Calculations!$F$4,FALSE)/_xlfn.NORM.DIST(Calculations!$F$3,Calculations!$F$3,Calculations!$F$4,FALSE),NA())</f>
        <v>#N/A</v>
      </c>
      <c r="M850" t="e">
        <f>IF(AND(A850&gt;=Calculations!$F$7,A850&lt;=Calculations!$F$8),0.2*_xlfn.NORM.DIST(100,100,15,FALSE)*_xlfn.NORM.DIST(A850,Calculations!$F$3,Calculations!$F$4,FALSE)/_xlfn.NORM.DIST(Calculations!$F$3,Calculations!$F$3,Calculations!$F$4,FALSE),NA())</f>
        <v>#N/A</v>
      </c>
    </row>
    <row r="851" spans="1:13" x14ac:dyDescent="0.25">
      <c r="A851">
        <v>124.900000000001</v>
      </c>
      <c r="B851" t="e">
        <f t="shared" si="130"/>
        <v>#N/A</v>
      </c>
      <c r="C851" t="e">
        <f t="shared" si="131"/>
        <v>#N/A</v>
      </c>
      <c r="D851" t="e">
        <f t="shared" si="132"/>
        <v>#N/A</v>
      </c>
      <c r="E851" t="e">
        <f t="shared" si="133"/>
        <v>#N/A</v>
      </c>
      <c r="F851" t="e">
        <f t="shared" si="134"/>
        <v>#N/A</v>
      </c>
      <c r="G851" t="e">
        <f t="shared" si="135"/>
        <v>#N/A</v>
      </c>
      <c r="H851">
        <f t="shared" si="136"/>
        <v>6.7057578951786288E-3</v>
      </c>
      <c r="I851" t="e">
        <f t="shared" si="137"/>
        <v>#N/A</v>
      </c>
      <c r="J851" t="e">
        <f t="shared" si="138"/>
        <v>#N/A</v>
      </c>
      <c r="K851">
        <f t="shared" si="139"/>
        <v>6.9057578951786285E-3</v>
      </c>
      <c r="L851" t="e">
        <f>IF(AND(ABS((ChartCalculations!A851-Calculations!$F$3)/Calculations!$F$4)&lt;5,OR(A851&lt;=Calculations!$F$7,A851&gt;=Calculations!$F$8)),0.2*_xlfn.NORM.DIST(100,100,15,FALSE)*_xlfn.NORM.DIST(A851,Calculations!$F$3,Calculations!$F$4,FALSE)/_xlfn.NORM.DIST(Calculations!$F$3,Calculations!$F$3,Calculations!$F$4,FALSE),NA())</f>
        <v>#N/A</v>
      </c>
      <c r="M851" t="e">
        <f>IF(AND(A851&gt;=Calculations!$F$7,A851&lt;=Calculations!$F$8),0.2*_xlfn.NORM.DIST(100,100,15,FALSE)*_xlfn.NORM.DIST(A851,Calculations!$F$3,Calculations!$F$4,FALSE)/_xlfn.NORM.DIST(Calculations!$F$3,Calculations!$F$3,Calculations!$F$4,FALSE),NA())</f>
        <v>#N/A</v>
      </c>
    </row>
    <row r="852" spans="1:13" x14ac:dyDescent="0.25">
      <c r="A852">
        <v>125.00000000000099</v>
      </c>
      <c r="B852" t="e">
        <f t="shared" si="130"/>
        <v>#N/A</v>
      </c>
      <c r="C852" t="e">
        <f t="shared" si="131"/>
        <v>#N/A</v>
      </c>
      <c r="D852" t="e">
        <f t="shared" si="132"/>
        <v>#N/A</v>
      </c>
      <c r="E852" t="e">
        <f t="shared" si="133"/>
        <v>#N/A</v>
      </c>
      <c r="F852" t="e">
        <f t="shared" si="134"/>
        <v>#N/A</v>
      </c>
      <c r="G852" t="e">
        <f t="shared" si="135"/>
        <v>#N/A</v>
      </c>
      <c r="H852">
        <f t="shared" si="136"/>
        <v>6.6318092528491815E-3</v>
      </c>
      <c r="I852" t="e">
        <f t="shared" si="137"/>
        <v>#N/A</v>
      </c>
      <c r="J852" t="e">
        <f t="shared" si="138"/>
        <v>#N/A</v>
      </c>
      <c r="K852">
        <f t="shared" si="139"/>
        <v>6.8318092528491811E-3</v>
      </c>
      <c r="L852" t="e">
        <f>IF(AND(ABS((ChartCalculations!A852-Calculations!$F$3)/Calculations!$F$4)&lt;5,OR(A852&lt;=Calculations!$F$7,A852&gt;=Calculations!$F$8)),0.2*_xlfn.NORM.DIST(100,100,15,FALSE)*_xlfn.NORM.DIST(A852,Calculations!$F$3,Calculations!$F$4,FALSE)/_xlfn.NORM.DIST(Calculations!$F$3,Calculations!$F$3,Calculations!$F$4,FALSE),NA())</f>
        <v>#N/A</v>
      </c>
      <c r="M852" t="e">
        <f>IF(AND(A852&gt;=Calculations!$F$7,A852&lt;=Calculations!$F$8),0.2*_xlfn.NORM.DIST(100,100,15,FALSE)*_xlfn.NORM.DIST(A852,Calculations!$F$3,Calculations!$F$4,FALSE)/_xlfn.NORM.DIST(Calculations!$F$3,Calculations!$F$3,Calculations!$F$4,FALSE),NA())</f>
        <v>#N/A</v>
      </c>
    </row>
    <row r="853" spans="1:13" x14ac:dyDescent="0.25">
      <c r="A853">
        <v>125.100000000001</v>
      </c>
      <c r="B853" t="e">
        <f t="shared" si="130"/>
        <v>#N/A</v>
      </c>
      <c r="C853" t="e">
        <f t="shared" si="131"/>
        <v>#N/A</v>
      </c>
      <c r="D853" t="e">
        <f t="shared" si="132"/>
        <v>#N/A</v>
      </c>
      <c r="E853" t="e">
        <f t="shared" si="133"/>
        <v>#N/A</v>
      </c>
      <c r="F853" t="e">
        <f t="shared" si="134"/>
        <v>#N/A</v>
      </c>
      <c r="G853" t="e">
        <f t="shared" si="135"/>
        <v>#N/A</v>
      </c>
      <c r="H853">
        <f t="shared" si="136"/>
        <v>6.5583845988288854E-3</v>
      </c>
      <c r="I853" t="e">
        <f t="shared" si="137"/>
        <v>#N/A</v>
      </c>
      <c r="J853" t="e">
        <f t="shared" si="138"/>
        <v>#N/A</v>
      </c>
      <c r="K853">
        <f t="shared" si="139"/>
        <v>6.758384598828885E-3</v>
      </c>
      <c r="L853" t="e">
        <f>IF(AND(ABS((ChartCalculations!A853-Calculations!$F$3)/Calculations!$F$4)&lt;5,OR(A853&lt;=Calculations!$F$7,A853&gt;=Calculations!$F$8)),0.2*_xlfn.NORM.DIST(100,100,15,FALSE)*_xlfn.NORM.DIST(A853,Calculations!$F$3,Calculations!$F$4,FALSE)/_xlfn.NORM.DIST(Calculations!$F$3,Calculations!$F$3,Calculations!$F$4,FALSE),NA())</f>
        <v>#N/A</v>
      </c>
      <c r="M853" t="e">
        <f>IF(AND(A853&gt;=Calculations!$F$7,A853&lt;=Calculations!$F$8),0.2*_xlfn.NORM.DIST(100,100,15,FALSE)*_xlfn.NORM.DIST(A853,Calculations!$F$3,Calculations!$F$4,FALSE)/_xlfn.NORM.DIST(Calculations!$F$3,Calculations!$F$3,Calculations!$F$4,FALSE),NA())</f>
        <v>#N/A</v>
      </c>
    </row>
    <row r="854" spans="1:13" x14ac:dyDescent="0.25">
      <c r="A854">
        <v>125.200000000001</v>
      </c>
      <c r="B854" t="e">
        <f t="shared" si="130"/>
        <v>#N/A</v>
      </c>
      <c r="C854" t="e">
        <f t="shared" si="131"/>
        <v>#N/A</v>
      </c>
      <c r="D854" t="e">
        <f t="shared" si="132"/>
        <v>#N/A</v>
      </c>
      <c r="E854" t="e">
        <f t="shared" si="133"/>
        <v>#N/A</v>
      </c>
      <c r="F854" t="e">
        <f t="shared" si="134"/>
        <v>#N/A</v>
      </c>
      <c r="G854" t="e">
        <f t="shared" si="135"/>
        <v>#N/A</v>
      </c>
      <c r="H854">
        <f t="shared" si="136"/>
        <v>6.4854846220971079E-3</v>
      </c>
      <c r="I854" t="e">
        <f t="shared" si="137"/>
        <v>#N/A</v>
      </c>
      <c r="J854" t="e">
        <f t="shared" si="138"/>
        <v>#N/A</v>
      </c>
      <c r="K854">
        <f t="shared" si="139"/>
        <v>6.6854846220971076E-3</v>
      </c>
      <c r="L854" t="e">
        <f>IF(AND(ABS((ChartCalculations!A854-Calculations!$F$3)/Calculations!$F$4)&lt;5,OR(A854&lt;=Calculations!$F$7,A854&gt;=Calculations!$F$8)),0.2*_xlfn.NORM.DIST(100,100,15,FALSE)*_xlfn.NORM.DIST(A854,Calculations!$F$3,Calculations!$F$4,FALSE)/_xlfn.NORM.DIST(Calculations!$F$3,Calculations!$F$3,Calculations!$F$4,FALSE),NA())</f>
        <v>#N/A</v>
      </c>
      <c r="M854" t="e">
        <f>IF(AND(A854&gt;=Calculations!$F$7,A854&lt;=Calculations!$F$8),0.2*_xlfn.NORM.DIST(100,100,15,FALSE)*_xlfn.NORM.DIST(A854,Calculations!$F$3,Calculations!$F$4,FALSE)/_xlfn.NORM.DIST(Calculations!$F$3,Calculations!$F$3,Calculations!$F$4,FALSE),NA())</f>
        <v>#N/A</v>
      </c>
    </row>
    <row r="855" spans="1:13" x14ac:dyDescent="0.25">
      <c r="A855">
        <v>125.30000000000101</v>
      </c>
      <c r="B855" t="e">
        <f t="shared" si="130"/>
        <v>#N/A</v>
      </c>
      <c r="C855" t="e">
        <f t="shared" si="131"/>
        <v>#N/A</v>
      </c>
      <c r="D855" t="e">
        <f t="shared" si="132"/>
        <v>#N/A</v>
      </c>
      <c r="E855" t="e">
        <f t="shared" si="133"/>
        <v>#N/A</v>
      </c>
      <c r="F855" t="e">
        <f t="shared" si="134"/>
        <v>#N/A</v>
      </c>
      <c r="G855" t="e">
        <f t="shared" si="135"/>
        <v>#N/A</v>
      </c>
      <c r="H855">
        <f t="shared" si="136"/>
        <v>6.4131099344236159E-3</v>
      </c>
      <c r="I855" t="e">
        <f t="shared" si="137"/>
        <v>#N/A</v>
      </c>
      <c r="J855" t="e">
        <f t="shared" si="138"/>
        <v>#N/A</v>
      </c>
      <c r="K855">
        <f t="shared" si="139"/>
        <v>6.6131099344236156E-3</v>
      </c>
      <c r="L855" t="e">
        <f>IF(AND(ABS((ChartCalculations!A855-Calculations!$F$3)/Calculations!$F$4)&lt;5,OR(A855&lt;=Calculations!$F$7,A855&gt;=Calculations!$F$8)),0.2*_xlfn.NORM.DIST(100,100,15,FALSE)*_xlfn.NORM.DIST(A855,Calculations!$F$3,Calculations!$F$4,FALSE)/_xlfn.NORM.DIST(Calculations!$F$3,Calculations!$F$3,Calculations!$F$4,FALSE),NA())</f>
        <v>#N/A</v>
      </c>
      <c r="M855" t="e">
        <f>IF(AND(A855&gt;=Calculations!$F$7,A855&lt;=Calculations!$F$8),0.2*_xlfn.NORM.DIST(100,100,15,FALSE)*_xlfn.NORM.DIST(A855,Calculations!$F$3,Calculations!$F$4,FALSE)/_xlfn.NORM.DIST(Calculations!$F$3,Calculations!$F$3,Calculations!$F$4,FALSE),NA())</f>
        <v>#N/A</v>
      </c>
    </row>
    <row r="856" spans="1:13" x14ac:dyDescent="0.25">
      <c r="A856">
        <v>125.400000000001</v>
      </c>
      <c r="B856" t="e">
        <f t="shared" si="130"/>
        <v>#N/A</v>
      </c>
      <c r="C856" t="e">
        <f t="shared" si="131"/>
        <v>#N/A</v>
      </c>
      <c r="D856" t="e">
        <f t="shared" si="132"/>
        <v>#N/A</v>
      </c>
      <c r="E856" t="e">
        <f t="shared" si="133"/>
        <v>#N/A</v>
      </c>
      <c r="F856" t="e">
        <f t="shared" si="134"/>
        <v>#N/A</v>
      </c>
      <c r="G856" t="e">
        <f t="shared" si="135"/>
        <v>#N/A</v>
      </c>
      <c r="H856">
        <f t="shared" si="136"/>
        <v>6.3412610711187081E-3</v>
      </c>
      <c r="I856" t="e">
        <f t="shared" si="137"/>
        <v>#N/A</v>
      </c>
      <c r="J856" t="e">
        <f t="shared" si="138"/>
        <v>#N/A</v>
      </c>
      <c r="K856">
        <f t="shared" si="139"/>
        <v>6.5412610711187077E-3</v>
      </c>
      <c r="L856" t="e">
        <f>IF(AND(ABS((ChartCalculations!A856-Calculations!$F$3)/Calculations!$F$4)&lt;5,OR(A856&lt;=Calculations!$F$7,A856&gt;=Calculations!$F$8)),0.2*_xlfn.NORM.DIST(100,100,15,FALSE)*_xlfn.NORM.DIST(A856,Calculations!$F$3,Calculations!$F$4,FALSE)/_xlfn.NORM.DIST(Calculations!$F$3,Calculations!$F$3,Calculations!$F$4,FALSE),NA())</f>
        <v>#N/A</v>
      </c>
      <c r="M856" t="e">
        <f>IF(AND(A856&gt;=Calculations!$F$7,A856&lt;=Calculations!$F$8),0.2*_xlfn.NORM.DIST(100,100,15,FALSE)*_xlfn.NORM.DIST(A856,Calculations!$F$3,Calculations!$F$4,FALSE)/_xlfn.NORM.DIST(Calculations!$F$3,Calculations!$F$3,Calculations!$F$4,FALSE),NA())</f>
        <v>#N/A</v>
      </c>
    </row>
    <row r="857" spans="1:13" x14ac:dyDescent="0.25">
      <c r="A857">
        <v>125.50000000000099</v>
      </c>
      <c r="B857" t="e">
        <f t="shared" si="130"/>
        <v>#N/A</v>
      </c>
      <c r="C857" t="e">
        <f t="shared" si="131"/>
        <v>#N/A</v>
      </c>
      <c r="D857" t="e">
        <f t="shared" si="132"/>
        <v>#N/A</v>
      </c>
      <c r="E857" t="e">
        <f t="shared" si="133"/>
        <v>#N/A</v>
      </c>
      <c r="F857" t="e">
        <f t="shared" si="134"/>
        <v>#N/A</v>
      </c>
      <c r="G857" t="e">
        <f t="shared" si="135"/>
        <v>#N/A</v>
      </c>
      <c r="H857">
        <f t="shared" si="136"/>
        <v>6.2699384917917541E-3</v>
      </c>
      <c r="I857" t="e">
        <f t="shared" si="137"/>
        <v>#N/A</v>
      </c>
      <c r="J857" t="e">
        <f t="shared" si="138"/>
        <v>#N/A</v>
      </c>
      <c r="K857">
        <f t="shared" si="139"/>
        <v>6.4699384917917538E-3</v>
      </c>
      <c r="L857" t="e">
        <f>IF(AND(ABS((ChartCalculations!A857-Calculations!$F$3)/Calculations!$F$4)&lt;5,OR(A857&lt;=Calculations!$F$7,A857&gt;=Calculations!$F$8)),0.2*_xlfn.NORM.DIST(100,100,15,FALSE)*_xlfn.NORM.DIST(A857,Calculations!$F$3,Calculations!$F$4,FALSE)/_xlfn.NORM.DIST(Calculations!$F$3,Calculations!$F$3,Calculations!$F$4,FALSE),NA())</f>
        <v>#N/A</v>
      </c>
      <c r="M857" t="e">
        <f>IF(AND(A857&gt;=Calculations!$F$7,A857&lt;=Calculations!$F$8),0.2*_xlfn.NORM.DIST(100,100,15,FALSE)*_xlfn.NORM.DIST(A857,Calculations!$F$3,Calculations!$F$4,FALSE)/_xlfn.NORM.DIST(Calculations!$F$3,Calculations!$F$3,Calculations!$F$4,FALSE),NA())</f>
        <v>#N/A</v>
      </c>
    </row>
    <row r="858" spans="1:13" x14ac:dyDescent="0.25">
      <c r="A858">
        <v>125.600000000001</v>
      </c>
      <c r="B858" t="e">
        <f t="shared" si="130"/>
        <v>#N/A</v>
      </c>
      <c r="C858" t="e">
        <f t="shared" si="131"/>
        <v>#N/A</v>
      </c>
      <c r="D858" t="e">
        <f t="shared" si="132"/>
        <v>#N/A</v>
      </c>
      <c r="E858" t="e">
        <f t="shared" si="133"/>
        <v>#N/A</v>
      </c>
      <c r="F858" t="e">
        <f t="shared" si="134"/>
        <v>#N/A</v>
      </c>
      <c r="G858" t="e">
        <f t="shared" si="135"/>
        <v>#N/A</v>
      </c>
      <c r="H858">
        <f t="shared" si="136"/>
        <v>6.1991425811180794E-3</v>
      </c>
      <c r="I858" t="e">
        <f t="shared" si="137"/>
        <v>#N/A</v>
      </c>
      <c r="J858" t="e">
        <f t="shared" si="138"/>
        <v>#N/A</v>
      </c>
      <c r="K858">
        <f t="shared" si="139"/>
        <v>6.399142581118079E-3</v>
      </c>
      <c r="L858" t="e">
        <f>IF(AND(ABS((ChartCalculations!A858-Calculations!$F$3)/Calculations!$F$4)&lt;5,OR(A858&lt;=Calculations!$F$7,A858&gt;=Calculations!$F$8)),0.2*_xlfn.NORM.DIST(100,100,15,FALSE)*_xlfn.NORM.DIST(A858,Calculations!$F$3,Calculations!$F$4,FALSE)/_xlfn.NORM.DIST(Calculations!$F$3,Calculations!$F$3,Calculations!$F$4,FALSE),NA())</f>
        <v>#N/A</v>
      </c>
      <c r="M858" t="e">
        <f>IF(AND(A858&gt;=Calculations!$F$7,A858&lt;=Calculations!$F$8),0.2*_xlfn.NORM.DIST(100,100,15,FALSE)*_xlfn.NORM.DIST(A858,Calculations!$F$3,Calculations!$F$4,FALSE)/_xlfn.NORM.DIST(Calculations!$F$3,Calculations!$F$3,Calculations!$F$4,FALSE),NA())</f>
        <v>#N/A</v>
      </c>
    </row>
    <row r="859" spans="1:13" x14ac:dyDescent="0.25">
      <c r="A859">
        <v>125.700000000001</v>
      </c>
      <c r="B859" t="e">
        <f t="shared" si="130"/>
        <v>#N/A</v>
      </c>
      <c r="C859" t="e">
        <f t="shared" si="131"/>
        <v>#N/A</v>
      </c>
      <c r="D859" t="e">
        <f t="shared" si="132"/>
        <v>#N/A</v>
      </c>
      <c r="E859" t="e">
        <f t="shared" si="133"/>
        <v>#N/A</v>
      </c>
      <c r="F859" t="e">
        <f t="shared" si="134"/>
        <v>#N/A</v>
      </c>
      <c r="G859" t="e">
        <f t="shared" si="135"/>
        <v>#N/A</v>
      </c>
      <c r="H859">
        <f t="shared" si="136"/>
        <v>6.1288736496137889E-3</v>
      </c>
      <c r="I859" t="e">
        <f t="shared" si="137"/>
        <v>#N/A</v>
      </c>
      <c r="J859" t="e">
        <f t="shared" si="138"/>
        <v>#N/A</v>
      </c>
      <c r="K859">
        <f t="shared" si="139"/>
        <v>6.3288736496137886E-3</v>
      </c>
      <c r="L859" t="e">
        <f>IF(AND(ABS((ChartCalculations!A859-Calculations!$F$3)/Calculations!$F$4)&lt;5,OR(A859&lt;=Calculations!$F$7,A859&gt;=Calculations!$F$8)),0.2*_xlfn.NORM.DIST(100,100,15,FALSE)*_xlfn.NORM.DIST(A859,Calculations!$F$3,Calculations!$F$4,FALSE)/_xlfn.NORM.DIST(Calculations!$F$3,Calculations!$F$3,Calculations!$F$4,FALSE),NA())</f>
        <v>#N/A</v>
      </c>
      <c r="M859" t="e">
        <f>IF(AND(A859&gt;=Calculations!$F$7,A859&lt;=Calculations!$F$8),0.2*_xlfn.NORM.DIST(100,100,15,FALSE)*_xlfn.NORM.DIST(A859,Calculations!$F$3,Calculations!$F$4,FALSE)/_xlfn.NORM.DIST(Calculations!$F$3,Calculations!$F$3,Calculations!$F$4,FALSE),NA())</f>
        <v>#N/A</v>
      </c>
    </row>
    <row r="860" spans="1:13" x14ac:dyDescent="0.25">
      <c r="A860">
        <v>125.80000000000101</v>
      </c>
      <c r="B860" t="e">
        <f t="shared" si="130"/>
        <v>#N/A</v>
      </c>
      <c r="C860" t="e">
        <f t="shared" si="131"/>
        <v>#N/A</v>
      </c>
      <c r="D860" t="e">
        <f t="shared" si="132"/>
        <v>#N/A</v>
      </c>
      <c r="E860" t="e">
        <f t="shared" si="133"/>
        <v>#N/A</v>
      </c>
      <c r="F860" t="e">
        <f t="shared" si="134"/>
        <v>#N/A</v>
      </c>
      <c r="G860" t="e">
        <f t="shared" si="135"/>
        <v>#N/A</v>
      </c>
      <c r="H860">
        <f t="shared" si="136"/>
        <v>6.0591319344181589E-3</v>
      </c>
      <c r="I860" t="e">
        <f t="shared" si="137"/>
        <v>#N/A</v>
      </c>
      <c r="J860" t="e">
        <f t="shared" si="138"/>
        <v>#N/A</v>
      </c>
      <c r="K860">
        <f t="shared" si="139"/>
        <v>6.2591319344181585E-3</v>
      </c>
      <c r="L860" t="e">
        <f>IF(AND(ABS((ChartCalculations!A860-Calculations!$F$3)/Calculations!$F$4)&lt;5,OR(A860&lt;=Calculations!$F$7,A860&gt;=Calculations!$F$8)),0.2*_xlfn.NORM.DIST(100,100,15,FALSE)*_xlfn.NORM.DIST(A860,Calculations!$F$3,Calculations!$F$4,FALSE)/_xlfn.NORM.DIST(Calculations!$F$3,Calculations!$F$3,Calculations!$F$4,FALSE),NA())</f>
        <v>#N/A</v>
      </c>
      <c r="M860" t="e">
        <f>IF(AND(A860&gt;=Calculations!$F$7,A860&lt;=Calculations!$F$8),0.2*_xlfn.NORM.DIST(100,100,15,FALSE)*_xlfn.NORM.DIST(A860,Calculations!$F$3,Calculations!$F$4,FALSE)/_xlfn.NORM.DIST(Calculations!$F$3,Calculations!$F$3,Calculations!$F$4,FALSE),NA())</f>
        <v>#N/A</v>
      </c>
    </row>
    <row r="861" spans="1:13" x14ac:dyDescent="0.25">
      <c r="A861">
        <v>125.900000000001</v>
      </c>
      <c r="B861" t="e">
        <f t="shared" si="130"/>
        <v>#N/A</v>
      </c>
      <c r="C861" t="e">
        <f t="shared" si="131"/>
        <v>#N/A</v>
      </c>
      <c r="D861" t="e">
        <f t="shared" si="132"/>
        <v>#N/A</v>
      </c>
      <c r="E861" t="e">
        <f t="shared" si="133"/>
        <v>#N/A</v>
      </c>
      <c r="F861" t="e">
        <f t="shared" si="134"/>
        <v>#N/A</v>
      </c>
      <c r="G861" t="e">
        <f t="shared" si="135"/>
        <v>#N/A</v>
      </c>
      <c r="H861">
        <f t="shared" si="136"/>
        <v>5.9899176000835263E-3</v>
      </c>
      <c r="I861" t="e">
        <f t="shared" si="137"/>
        <v>#N/A</v>
      </c>
      <c r="J861" t="e">
        <f t="shared" si="138"/>
        <v>#N/A</v>
      </c>
      <c r="K861">
        <f t="shared" si="139"/>
        <v>6.1899176000835259E-3</v>
      </c>
      <c r="L861" t="e">
        <f>IF(AND(ABS((ChartCalculations!A861-Calculations!$F$3)/Calculations!$F$4)&lt;5,OR(A861&lt;=Calculations!$F$7,A861&gt;=Calculations!$F$8)),0.2*_xlfn.NORM.DIST(100,100,15,FALSE)*_xlfn.NORM.DIST(A861,Calculations!$F$3,Calculations!$F$4,FALSE)/_xlfn.NORM.DIST(Calculations!$F$3,Calculations!$F$3,Calculations!$F$4,FALSE),NA())</f>
        <v>#N/A</v>
      </c>
      <c r="M861" t="e">
        <f>IF(AND(A861&gt;=Calculations!$F$7,A861&lt;=Calculations!$F$8),0.2*_xlfn.NORM.DIST(100,100,15,FALSE)*_xlfn.NORM.DIST(A861,Calculations!$F$3,Calculations!$F$4,FALSE)/_xlfn.NORM.DIST(Calculations!$F$3,Calculations!$F$3,Calculations!$F$4,FALSE),NA())</f>
        <v>#N/A</v>
      </c>
    </row>
    <row r="862" spans="1:13" x14ac:dyDescent="0.25">
      <c r="A862">
        <v>126.00000000000099</v>
      </c>
      <c r="B862" t="e">
        <f t="shared" si="130"/>
        <v>#N/A</v>
      </c>
      <c r="C862" t="e">
        <f t="shared" si="131"/>
        <v>#N/A</v>
      </c>
      <c r="D862" t="e">
        <f t="shared" si="132"/>
        <v>#N/A</v>
      </c>
      <c r="E862" t="e">
        <f t="shared" si="133"/>
        <v>#N/A</v>
      </c>
      <c r="F862" t="e">
        <f t="shared" si="134"/>
        <v>#N/A</v>
      </c>
      <c r="G862" t="e">
        <f t="shared" si="135"/>
        <v>#N/A</v>
      </c>
      <c r="H862">
        <f t="shared" si="136"/>
        <v>5.9212307393721117E-3</v>
      </c>
      <c r="I862" t="e">
        <f t="shared" si="137"/>
        <v>#N/A</v>
      </c>
      <c r="J862" t="e">
        <f t="shared" si="138"/>
        <v>#N/A</v>
      </c>
      <c r="K862">
        <f t="shared" si="139"/>
        <v>6.1212307393721114E-3</v>
      </c>
      <c r="L862" t="e">
        <f>IF(AND(ABS((ChartCalculations!A862-Calculations!$F$3)/Calculations!$F$4)&lt;5,OR(A862&lt;=Calculations!$F$7,A862&gt;=Calculations!$F$8)),0.2*_xlfn.NORM.DIST(100,100,15,FALSE)*_xlfn.NORM.DIST(A862,Calculations!$F$3,Calculations!$F$4,FALSE)/_xlfn.NORM.DIST(Calculations!$F$3,Calculations!$F$3,Calculations!$F$4,FALSE),NA())</f>
        <v>#N/A</v>
      </c>
      <c r="M862" t="e">
        <f>IF(AND(A862&gt;=Calculations!$F$7,A862&lt;=Calculations!$F$8),0.2*_xlfn.NORM.DIST(100,100,15,FALSE)*_xlfn.NORM.DIST(A862,Calculations!$F$3,Calculations!$F$4,FALSE)/_xlfn.NORM.DIST(Calculations!$F$3,Calculations!$F$3,Calculations!$F$4,FALSE),NA())</f>
        <v>#N/A</v>
      </c>
    </row>
    <row r="863" spans="1:13" x14ac:dyDescent="0.25">
      <c r="A863">
        <v>126.100000000001</v>
      </c>
      <c r="B863" t="e">
        <f t="shared" si="130"/>
        <v>#N/A</v>
      </c>
      <c r="C863" t="e">
        <f t="shared" si="131"/>
        <v>#N/A</v>
      </c>
      <c r="D863" t="e">
        <f t="shared" si="132"/>
        <v>#N/A</v>
      </c>
      <c r="E863" t="e">
        <f t="shared" si="133"/>
        <v>#N/A</v>
      </c>
      <c r="F863" t="e">
        <f t="shared" si="134"/>
        <v>#N/A</v>
      </c>
      <c r="G863" t="e">
        <f t="shared" si="135"/>
        <v>#N/A</v>
      </c>
      <c r="H863">
        <f t="shared" si="136"/>
        <v>5.8530713740596943E-3</v>
      </c>
      <c r="I863" t="e">
        <f t="shared" si="137"/>
        <v>#N/A</v>
      </c>
      <c r="J863" t="e">
        <f t="shared" si="138"/>
        <v>#N/A</v>
      </c>
      <c r="K863">
        <f t="shared" si="139"/>
        <v>6.053071374059694E-3</v>
      </c>
      <c r="L863" t="e">
        <f>IF(AND(ABS((ChartCalculations!A863-Calculations!$F$3)/Calculations!$F$4)&lt;5,OR(A863&lt;=Calculations!$F$7,A863&gt;=Calculations!$F$8)),0.2*_xlfn.NORM.DIST(100,100,15,FALSE)*_xlfn.NORM.DIST(A863,Calculations!$F$3,Calculations!$F$4,FALSE)/_xlfn.NORM.DIST(Calculations!$F$3,Calculations!$F$3,Calculations!$F$4,FALSE),NA())</f>
        <v>#N/A</v>
      </c>
      <c r="M863" t="e">
        <f>IF(AND(A863&gt;=Calculations!$F$7,A863&lt;=Calculations!$F$8),0.2*_xlfn.NORM.DIST(100,100,15,FALSE)*_xlfn.NORM.DIST(A863,Calculations!$F$3,Calculations!$F$4,FALSE)/_xlfn.NORM.DIST(Calculations!$F$3,Calculations!$F$3,Calculations!$F$4,FALSE),NA())</f>
        <v>#N/A</v>
      </c>
    </row>
    <row r="864" spans="1:13" x14ac:dyDescent="0.25">
      <c r="A864">
        <v>126.200000000001</v>
      </c>
      <c r="B864" t="e">
        <f t="shared" si="130"/>
        <v>#N/A</v>
      </c>
      <c r="C864" t="e">
        <f t="shared" si="131"/>
        <v>#N/A</v>
      </c>
      <c r="D864" t="e">
        <f t="shared" si="132"/>
        <v>#N/A</v>
      </c>
      <c r="E864" t="e">
        <f t="shared" si="133"/>
        <v>#N/A</v>
      </c>
      <c r="F864" t="e">
        <f t="shared" si="134"/>
        <v>#N/A</v>
      </c>
      <c r="G864" t="e">
        <f t="shared" si="135"/>
        <v>#N/A</v>
      </c>
      <c r="H864">
        <f t="shared" si="136"/>
        <v>5.7854394557458064E-3</v>
      </c>
      <c r="I864" t="e">
        <f t="shared" si="137"/>
        <v>#N/A</v>
      </c>
      <c r="J864" t="e">
        <f t="shared" si="138"/>
        <v>#N/A</v>
      </c>
      <c r="K864">
        <f t="shared" si="139"/>
        <v>5.9854394557458061E-3</v>
      </c>
      <c r="L864" t="e">
        <f>IF(AND(ABS((ChartCalculations!A864-Calculations!$F$3)/Calculations!$F$4)&lt;5,OR(A864&lt;=Calculations!$F$7,A864&gt;=Calculations!$F$8)),0.2*_xlfn.NORM.DIST(100,100,15,FALSE)*_xlfn.NORM.DIST(A864,Calculations!$F$3,Calculations!$F$4,FALSE)/_xlfn.NORM.DIST(Calculations!$F$3,Calculations!$F$3,Calculations!$F$4,FALSE),NA())</f>
        <v>#N/A</v>
      </c>
      <c r="M864" t="e">
        <f>IF(AND(A864&gt;=Calculations!$F$7,A864&lt;=Calculations!$F$8),0.2*_xlfn.NORM.DIST(100,100,15,FALSE)*_xlfn.NORM.DIST(A864,Calculations!$F$3,Calculations!$F$4,FALSE)/_xlfn.NORM.DIST(Calculations!$F$3,Calculations!$F$3,Calculations!$F$4,FALSE),NA())</f>
        <v>#N/A</v>
      </c>
    </row>
    <row r="865" spans="1:13" x14ac:dyDescent="0.25">
      <c r="A865">
        <v>126.30000000000101</v>
      </c>
      <c r="B865" t="e">
        <f t="shared" si="130"/>
        <v>#N/A</v>
      </c>
      <c r="C865" t="e">
        <f t="shared" si="131"/>
        <v>#N/A</v>
      </c>
      <c r="D865" t="e">
        <f t="shared" si="132"/>
        <v>#N/A</v>
      </c>
      <c r="E865" t="e">
        <f t="shared" si="133"/>
        <v>#N/A</v>
      </c>
      <c r="F865" t="e">
        <f t="shared" si="134"/>
        <v>#N/A</v>
      </c>
      <c r="G865" t="e">
        <f t="shared" si="135"/>
        <v>#N/A</v>
      </c>
      <c r="H865">
        <f t="shared" si="136"/>
        <v>5.7183348666699938E-3</v>
      </c>
      <c r="I865" t="e">
        <f t="shared" si="137"/>
        <v>#N/A</v>
      </c>
      <c r="J865" t="e">
        <f t="shared" si="138"/>
        <v>#N/A</v>
      </c>
      <c r="K865">
        <f t="shared" si="139"/>
        <v>5.9183348666699935E-3</v>
      </c>
      <c r="L865" t="e">
        <f>IF(AND(ABS((ChartCalculations!A865-Calculations!$F$3)/Calculations!$F$4)&lt;5,OR(A865&lt;=Calculations!$F$7,A865&gt;=Calculations!$F$8)),0.2*_xlfn.NORM.DIST(100,100,15,FALSE)*_xlfn.NORM.DIST(A865,Calculations!$F$3,Calculations!$F$4,FALSE)/_xlfn.NORM.DIST(Calculations!$F$3,Calculations!$F$3,Calculations!$F$4,FALSE),NA())</f>
        <v>#N/A</v>
      </c>
      <c r="M865" t="e">
        <f>IF(AND(A865&gt;=Calculations!$F$7,A865&lt;=Calculations!$F$8),0.2*_xlfn.NORM.DIST(100,100,15,FALSE)*_xlfn.NORM.DIST(A865,Calculations!$F$3,Calculations!$F$4,FALSE)/_xlfn.NORM.DIST(Calculations!$F$3,Calculations!$F$3,Calculations!$F$4,FALSE),NA())</f>
        <v>#N/A</v>
      </c>
    </row>
    <row r="866" spans="1:13" x14ac:dyDescent="0.25">
      <c r="A866">
        <v>126.400000000001</v>
      </c>
      <c r="B866" t="e">
        <f t="shared" si="130"/>
        <v>#N/A</v>
      </c>
      <c r="C866" t="e">
        <f t="shared" si="131"/>
        <v>#N/A</v>
      </c>
      <c r="D866" t="e">
        <f t="shared" si="132"/>
        <v>#N/A</v>
      </c>
      <c r="E866" t="e">
        <f t="shared" si="133"/>
        <v>#N/A</v>
      </c>
      <c r="F866" t="e">
        <f t="shared" si="134"/>
        <v>#N/A</v>
      </c>
      <c r="G866" t="e">
        <f t="shared" si="135"/>
        <v>#N/A</v>
      </c>
      <c r="H866">
        <f t="shared" si="136"/>
        <v>5.6517574205341529E-3</v>
      </c>
      <c r="I866" t="e">
        <f t="shared" si="137"/>
        <v>#N/A</v>
      </c>
      <c r="J866" t="e">
        <f t="shared" si="138"/>
        <v>#N/A</v>
      </c>
      <c r="K866">
        <f t="shared" si="139"/>
        <v>5.8517574205341526E-3</v>
      </c>
      <c r="L866" t="e">
        <f>IF(AND(ABS((ChartCalculations!A866-Calculations!$F$3)/Calculations!$F$4)&lt;5,OR(A866&lt;=Calculations!$F$7,A866&gt;=Calculations!$F$8)),0.2*_xlfn.NORM.DIST(100,100,15,FALSE)*_xlfn.NORM.DIST(A866,Calculations!$F$3,Calculations!$F$4,FALSE)/_xlfn.NORM.DIST(Calculations!$F$3,Calculations!$F$3,Calculations!$F$4,FALSE),NA())</f>
        <v>#N/A</v>
      </c>
      <c r="M866" t="e">
        <f>IF(AND(A866&gt;=Calculations!$F$7,A866&lt;=Calculations!$F$8),0.2*_xlfn.NORM.DIST(100,100,15,FALSE)*_xlfn.NORM.DIST(A866,Calculations!$F$3,Calculations!$F$4,FALSE)/_xlfn.NORM.DIST(Calculations!$F$3,Calculations!$F$3,Calculations!$F$4,FALSE),NA())</f>
        <v>#N/A</v>
      </c>
    </row>
    <row r="867" spans="1:13" x14ac:dyDescent="0.25">
      <c r="A867">
        <v>126.50000000000099</v>
      </c>
      <c r="B867" t="e">
        <f t="shared" si="130"/>
        <v>#N/A</v>
      </c>
      <c r="C867" t="e">
        <f t="shared" si="131"/>
        <v>#N/A</v>
      </c>
      <c r="D867" t="e">
        <f t="shared" si="132"/>
        <v>#N/A</v>
      </c>
      <c r="E867" t="e">
        <f t="shared" si="133"/>
        <v>#N/A</v>
      </c>
      <c r="F867" t="e">
        <f t="shared" si="134"/>
        <v>#N/A</v>
      </c>
      <c r="G867" t="e">
        <f t="shared" si="135"/>
        <v>#N/A</v>
      </c>
      <c r="H867">
        <f t="shared" si="136"/>
        <v>5.5857068633303275E-3</v>
      </c>
      <c r="I867" t="e">
        <f t="shared" si="137"/>
        <v>#N/A</v>
      </c>
      <c r="J867" t="e">
        <f t="shared" si="138"/>
        <v>#N/A</v>
      </c>
      <c r="K867">
        <f t="shared" si="139"/>
        <v>5.7857068633303272E-3</v>
      </c>
      <c r="L867" t="e">
        <f>IF(AND(ABS((ChartCalculations!A867-Calculations!$F$3)/Calculations!$F$4)&lt;5,OR(A867&lt;=Calculations!$F$7,A867&gt;=Calculations!$F$8)),0.2*_xlfn.NORM.DIST(100,100,15,FALSE)*_xlfn.NORM.DIST(A867,Calculations!$F$3,Calculations!$F$4,FALSE)/_xlfn.NORM.DIST(Calculations!$F$3,Calculations!$F$3,Calculations!$F$4,FALSE),NA())</f>
        <v>#N/A</v>
      </c>
      <c r="M867" t="e">
        <f>IF(AND(A867&gt;=Calculations!$F$7,A867&lt;=Calculations!$F$8),0.2*_xlfn.NORM.DIST(100,100,15,FALSE)*_xlfn.NORM.DIST(A867,Calculations!$F$3,Calculations!$F$4,FALSE)/_xlfn.NORM.DIST(Calculations!$F$3,Calculations!$F$3,Calculations!$F$4,FALSE),NA())</f>
        <v>#N/A</v>
      </c>
    </row>
    <row r="868" spans="1:13" x14ac:dyDescent="0.25">
      <c r="A868">
        <v>126.600000000001</v>
      </c>
      <c r="B868" t="e">
        <f t="shared" si="130"/>
        <v>#N/A</v>
      </c>
      <c r="C868" t="e">
        <f t="shared" si="131"/>
        <v>#N/A</v>
      </c>
      <c r="D868" t="e">
        <f t="shared" si="132"/>
        <v>#N/A</v>
      </c>
      <c r="E868" t="e">
        <f t="shared" si="133"/>
        <v>#N/A</v>
      </c>
      <c r="F868" t="e">
        <f t="shared" si="134"/>
        <v>#N/A</v>
      </c>
      <c r="G868" t="e">
        <f t="shared" si="135"/>
        <v>#N/A</v>
      </c>
      <c r="H868">
        <f t="shared" si="136"/>
        <v>5.5201828741739669E-3</v>
      </c>
      <c r="I868" t="e">
        <f t="shared" si="137"/>
        <v>#N/A</v>
      </c>
      <c r="J868" t="e">
        <f t="shared" si="138"/>
        <v>#N/A</v>
      </c>
      <c r="K868">
        <f t="shared" si="139"/>
        <v>5.7201828741739666E-3</v>
      </c>
      <c r="L868" t="e">
        <f>IF(AND(ABS((ChartCalculations!A868-Calculations!$F$3)/Calculations!$F$4)&lt;5,OR(A868&lt;=Calculations!$F$7,A868&gt;=Calculations!$F$8)),0.2*_xlfn.NORM.DIST(100,100,15,FALSE)*_xlfn.NORM.DIST(A868,Calculations!$F$3,Calculations!$F$4,FALSE)/_xlfn.NORM.DIST(Calculations!$F$3,Calculations!$F$3,Calculations!$F$4,FALSE),NA())</f>
        <v>#N/A</v>
      </c>
      <c r="M868" t="e">
        <f>IF(AND(A868&gt;=Calculations!$F$7,A868&lt;=Calculations!$F$8),0.2*_xlfn.NORM.DIST(100,100,15,FALSE)*_xlfn.NORM.DIST(A868,Calculations!$F$3,Calculations!$F$4,FALSE)/_xlfn.NORM.DIST(Calculations!$F$3,Calculations!$F$3,Calculations!$F$4,FALSE),NA())</f>
        <v>#N/A</v>
      </c>
    </row>
    <row r="869" spans="1:13" x14ac:dyDescent="0.25">
      <c r="A869">
        <v>126.700000000001</v>
      </c>
      <c r="B869" t="e">
        <f t="shared" si="130"/>
        <v>#N/A</v>
      </c>
      <c r="C869" t="e">
        <f t="shared" si="131"/>
        <v>#N/A</v>
      </c>
      <c r="D869" t="e">
        <f t="shared" si="132"/>
        <v>#N/A</v>
      </c>
      <c r="E869" t="e">
        <f t="shared" si="133"/>
        <v>#N/A</v>
      </c>
      <c r="F869" t="e">
        <f t="shared" si="134"/>
        <v>#N/A</v>
      </c>
      <c r="G869" t="e">
        <f t="shared" si="135"/>
        <v>#N/A</v>
      </c>
      <c r="H869">
        <f t="shared" si="136"/>
        <v>5.4551850661422093E-3</v>
      </c>
      <c r="I869" t="e">
        <f t="shared" si="137"/>
        <v>#N/A</v>
      </c>
      <c r="J869" t="e">
        <f t="shared" si="138"/>
        <v>#N/A</v>
      </c>
      <c r="K869">
        <f t="shared" si="139"/>
        <v>5.655185066142209E-3</v>
      </c>
      <c r="L869" t="e">
        <f>IF(AND(ABS((ChartCalculations!A869-Calculations!$F$3)/Calculations!$F$4)&lt;5,OR(A869&lt;=Calculations!$F$7,A869&gt;=Calculations!$F$8)),0.2*_xlfn.NORM.DIST(100,100,15,FALSE)*_xlfn.NORM.DIST(A869,Calculations!$F$3,Calculations!$F$4,FALSE)/_xlfn.NORM.DIST(Calculations!$F$3,Calculations!$F$3,Calculations!$F$4,FALSE),NA())</f>
        <v>#N/A</v>
      </c>
      <c r="M869" t="e">
        <f>IF(AND(A869&gt;=Calculations!$F$7,A869&lt;=Calculations!$F$8),0.2*_xlfn.NORM.DIST(100,100,15,FALSE)*_xlfn.NORM.DIST(A869,Calculations!$F$3,Calculations!$F$4,FALSE)/_xlfn.NORM.DIST(Calculations!$F$3,Calculations!$F$3,Calculations!$F$4,FALSE),NA())</f>
        <v>#N/A</v>
      </c>
    </row>
    <row r="870" spans="1:13" x14ac:dyDescent="0.25">
      <c r="A870">
        <v>126.80000000000101</v>
      </c>
      <c r="B870" t="e">
        <f t="shared" si="130"/>
        <v>#N/A</v>
      </c>
      <c r="C870" t="e">
        <f t="shared" si="131"/>
        <v>#N/A</v>
      </c>
      <c r="D870" t="e">
        <f t="shared" si="132"/>
        <v>#N/A</v>
      </c>
      <c r="E870" t="e">
        <f t="shared" si="133"/>
        <v>#N/A</v>
      </c>
      <c r="F870" t="e">
        <f t="shared" si="134"/>
        <v>#N/A</v>
      </c>
      <c r="G870" t="e">
        <f t="shared" si="135"/>
        <v>#N/A</v>
      </c>
      <c r="H870">
        <f t="shared" si="136"/>
        <v>5.3907129871168542E-3</v>
      </c>
      <c r="I870" t="e">
        <f t="shared" si="137"/>
        <v>#N/A</v>
      </c>
      <c r="J870" t="e">
        <f t="shared" si="138"/>
        <v>#N/A</v>
      </c>
      <c r="K870">
        <f t="shared" si="139"/>
        <v>5.5907129871168538E-3</v>
      </c>
      <c r="L870" t="e">
        <f>IF(AND(ABS((ChartCalculations!A870-Calculations!$F$3)/Calculations!$F$4)&lt;5,OR(A870&lt;=Calculations!$F$7,A870&gt;=Calculations!$F$8)),0.2*_xlfn.NORM.DIST(100,100,15,FALSE)*_xlfn.NORM.DIST(A870,Calculations!$F$3,Calculations!$F$4,FALSE)/_xlfn.NORM.DIST(Calculations!$F$3,Calculations!$F$3,Calculations!$F$4,FALSE),NA())</f>
        <v>#N/A</v>
      </c>
      <c r="M870" t="e">
        <f>IF(AND(A870&gt;=Calculations!$F$7,A870&lt;=Calculations!$F$8),0.2*_xlfn.NORM.DIST(100,100,15,FALSE)*_xlfn.NORM.DIST(A870,Calculations!$F$3,Calculations!$F$4,FALSE)/_xlfn.NORM.DIST(Calculations!$F$3,Calculations!$F$3,Calculations!$F$4,FALSE),NA())</f>
        <v>#N/A</v>
      </c>
    </row>
    <row r="871" spans="1:13" x14ac:dyDescent="0.25">
      <c r="A871">
        <v>126.900000000001</v>
      </c>
      <c r="B871" t="e">
        <f t="shared" si="130"/>
        <v>#N/A</v>
      </c>
      <c r="C871" t="e">
        <f t="shared" si="131"/>
        <v>#N/A</v>
      </c>
      <c r="D871" t="e">
        <f t="shared" si="132"/>
        <v>#N/A</v>
      </c>
      <c r="E871" t="e">
        <f t="shared" si="133"/>
        <v>#N/A</v>
      </c>
      <c r="F871" t="e">
        <f t="shared" si="134"/>
        <v>#N/A</v>
      </c>
      <c r="G871" t="e">
        <f t="shared" si="135"/>
        <v>#N/A</v>
      </c>
      <c r="H871">
        <f t="shared" si="136"/>
        <v>5.3267661206319846E-3</v>
      </c>
      <c r="I871" t="e">
        <f t="shared" si="137"/>
        <v>#N/A</v>
      </c>
      <c r="J871" t="e">
        <f t="shared" si="138"/>
        <v>#N/A</v>
      </c>
      <c r="K871">
        <f t="shared" si="139"/>
        <v>5.5267661206319842E-3</v>
      </c>
      <c r="L871" t="e">
        <f>IF(AND(ABS((ChartCalculations!A871-Calculations!$F$3)/Calculations!$F$4)&lt;5,OR(A871&lt;=Calculations!$F$7,A871&gt;=Calculations!$F$8)),0.2*_xlfn.NORM.DIST(100,100,15,FALSE)*_xlfn.NORM.DIST(A871,Calculations!$F$3,Calculations!$F$4,FALSE)/_xlfn.NORM.DIST(Calculations!$F$3,Calculations!$F$3,Calculations!$F$4,FALSE),NA())</f>
        <v>#N/A</v>
      </c>
      <c r="M871" t="e">
        <f>IF(AND(A871&gt;=Calculations!$F$7,A871&lt;=Calculations!$F$8),0.2*_xlfn.NORM.DIST(100,100,15,FALSE)*_xlfn.NORM.DIST(A871,Calculations!$F$3,Calculations!$F$4,FALSE)/_xlfn.NORM.DIST(Calculations!$F$3,Calculations!$F$3,Calculations!$F$4,FALSE),NA())</f>
        <v>#N/A</v>
      </c>
    </row>
    <row r="872" spans="1:13" x14ac:dyDescent="0.25">
      <c r="A872">
        <v>127.00000000000099</v>
      </c>
      <c r="B872" t="e">
        <f t="shared" si="130"/>
        <v>#N/A</v>
      </c>
      <c r="C872" t="e">
        <f t="shared" si="131"/>
        <v>#N/A</v>
      </c>
      <c r="D872" t="e">
        <f t="shared" si="132"/>
        <v>#N/A</v>
      </c>
      <c r="E872" t="e">
        <f t="shared" si="133"/>
        <v>#N/A</v>
      </c>
      <c r="F872" t="e">
        <f t="shared" si="134"/>
        <v>#N/A</v>
      </c>
      <c r="G872" t="e">
        <f t="shared" si="135"/>
        <v>#N/A</v>
      </c>
      <c r="H872">
        <f t="shared" si="136"/>
        <v>5.2633438867256506E-3</v>
      </c>
      <c r="I872" t="e">
        <f t="shared" si="137"/>
        <v>#N/A</v>
      </c>
      <c r="J872" t="e">
        <f t="shared" si="138"/>
        <v>#N/A</v>
      </c>
      <c r="K872">
        <f t="shared" si="139"/>
        <v>5.4633438867256502E-3</v>
      </c>
      <c r="L872" t="e">
        <f>IF(AND(ABS((ChartCalculations!A872-Calculations!$F$3)/Calculations!$F$4)&lt;5,OR(A872&lt;=Calculations!$F$7,A872&gt;=Calculations!$F$8)),0.2*_xlfn.NORM.DIST(100,100,15,FALSE)*_xlfn.NORM.DIST(A872,Calculations!$F$3,Calculations!$F$4,FALSE)/_xlfn.NORM.DIST(Calculations!$F$3,Calculations!$F$3,Calculations!$F$4,FALSE),NA())</f>
        <v>#N/A</v>
      </c>
      <c r="M872" t="e">
        <f>IF(AND(A872&gt;=Calculations!$F$7,A872&lt;=Calculations!$F$8),0.2*_xlfn.NORM.DIST(100,100,15,FALSE)*_xlfn.NORM.DIST(A872,Calculations!$F$3,Calculations!$F$4,FALSE)/_xlfn.NORM.DIST(Calculations!$F$3,Calculations!$F$3,Calculations!$F$4,FALSE),NA())</f>
        <v>#N/A</v>
      </c>
    </row>
    <row r="873" spans="1:13" x14ac:dyDescent="0.25">
      <c r="A873">
        <v>127.100000000001</v>
      </c>
      <c r="B873" t="e">
        <f t="shared" si="130"/>
        <v>#N/A</v>
      </c>
      <c r="C873" t="e">
        <f t="shared" si="131"/>
        <v>#N/A</v>
      </c>
      <c r="D873" t="e">
        <f t="shared" si="132"/>
        <v>#N/A</v>
      </c>
      <c r="E873" t="e">
        <f t="shared" si="133"/>
        <v>#N/A</v>
      </c>
      <c r="F873" t="e">
        <f t="shared" si="134"/>
        <v>#N/A</v>
      </c>
      <c r="G873" t="e">
        <f t="shared" si="135"/>
        <v>#N/A</v>
      </c>
      <c r="H873">
        <f t="shared" si="136"/>
        <v>5.2004456427955778E-3</v>
      </c>
      <c r="I873" t="e">
        <f t="shared" si="137"/>
        <v>#N/A</v>
      </c>
      <c r="J873" t="e">
        <f t="shared" si="138"/>
        <v>#N/A</v>
      </c>
      <c r="K873">
        <f t="shared" si="139"/>
        <v>5.4004456427955774E-3</v>
      </c>
      <c r="L873" t="e">
        <f>IF(AND(ABS((ChartCalculations!A873-Calculations!$F$3)/Calculations!$F$4)&lt;5,OR(A873&lt;=Calculations!$F$7,A873&gt;=Calculations!$F$8)),0.2*_xlfn.NORM.DIST(100,100,15,FALSE)*_xlfn.NORM.DIST(A873,Calculations!$F$3,Calculations!$F$4,FALSE)/_xlfn.NORM.DIST(Calculations!$F$3,Calculations!$F$3,Calculations!$F$4,FALSE),NA())</f>
        <v>#N/A</v>
      </c>
      <c r="M873" t="e">
        <f>IF(AND(A873&gt;=Calculations!$F$7,A873&lt;=Calculations!$F$8),0.2*_xlfn.NORM.DIST(100,100,15,FALSE)*_xlfn.NORM.DIST(A873,Calculations!$F$3,Calculations!$F$4,FALSE)/_xlfn.NORM.DIST(Calculations!$F$3,Calculations!$F$3,Calculations!$F$4,FALSE),NA())</f>
        <v>#N/A</v>
      </c>
    </row>
    <row r="874" spans="1:13" x14ac:dyDescent="0.25">
      <c r="A874">
        <v>127.200000000001</v>
      </c>
      <c r="B874" t="e">
        <f t="shared" si="130"/>
        <v>#N/A</v>
      </c>
      <c r="C874" t="e">
        <f t="shared" si="131"/>
        <v>#N/A</v>
      </c>
      <c r="D874" t="e">
        <f t="shared" si="132"/>
        <v>#N/A</v>
      </c>
      <c r="E874" t="e">
        <f t="shared" si="133"/>
        <v>#N/A</v>
      </c>
      <c r="F874" t="e">
        <f t="shared" si="134"/>
        <v>#N/A</v>
      </c>
      <c r="G874" t="e">
        <f t="shared" si="135"/>
        <v>#N/A</v>
      </c>
      <c r="H874">
        <f t="shared" si="136"/>
        <v>5.1380706844585712E-3</v>
      </c>
      <c r="I874" t="e">
        <f t="shared" si="137"/>
        <v>#N/A</v>
      </c>
      <c r="J874" t="e">
        <f t="shared" si="138"/>
        <v>#N/A</v>
      </c>
      <c r="K874">
        <f t="shared" si="139"/>
        <v>5.3380706844585709E-3</v>
      </c>
      <c r="L874" t="e">
        <f>IF(AND(ABS((ChartCalculations!A874-Calculations!$F$3)/Calculations!$F$4)&lt;5,OR(A874&lt;=Calculations!$F$7,A874&gt;=Calculations!$F$8)),0.2*_xlfn.NORM.DIST(100,100,15,FALSE)*_xlfn.NORM.DIST(A874,Calculations!$F$3,Calculations!$F$4,FALSE)/_xlfn.NORM.DIST(Calculations!$F$3,Calculations!$F$3,Calculations!$F$4,FALSE),NA())</f>
        <v>#N/A</v>
      </c>
      <c r="M874" t="e">
        <f>IF(AND(A874&gt;=Calculations!$F$7,A874&lt;=Calculations!$F$8),0.2*_xlfn.NORM.DIST(100,100,15,FALSE)*_xlfn.NORM.DIST(A874,Calculations!$F$3,Calculations!$F$4,FALSE)/_xlfn.NORM.DIST(Calculations!$F$3,Calculations!$F$3,Calculations!$F$4,FALSE),NA())</f>
        <v>#N/A</v>
      </c>
    </row>
    <row r="875" spans="1:13" x14ac:dyDescent="0.25">
      <c r="A875">
        <v>127.30000000000101</v>
      </c>
      <c r="B875" t="e">
        <f t="shared" si="130"/>
        <v>#N/A</v>
      </c>
      <c r="C875" t="e">
        <f t="shared" si="131"/>
        <v>#N/A</v>
      </c>
      <c r="D875" t="e">
        <f t="shared" si="132"/>
        <v>#N/A</v>
      </c>
      <c r="E875" t="e">
        <f t="shared" si="133"/>
        <v>#N/A</v>
      </c>
      <c r="F875" t="e">
        <f t="shared" si="134"/>
        <v>#N/A</v>
      </c>
      <c r="G875" t="e">
        <f t="shared" si="135"/>
        <v>#N/A</v>
      </c>
      <c r="H875">
        <f t="shared" si="136"/>
        <v>5.076218246413201E-3</v>
      </c>
      <c r="I875" t="e">
        <f t="shared" si="137"/>
        <v>#N/A</v>
      </c>
      <c r="J875" t="e">
        <f t="shared" si="138"/>
        <v>#N/A</v>
      </c>
      <c r="K875">
        <f t="shared" si="139"/>
        <v>5.2762182464132007E-3</v>
      </c>
      <c r="L875" t="e">
        <f>IF(AND(ABS((ChartCalculations!A875-Calculations!$F$3)/Calculations!$F$4)&lt;5,OR(A875&lt;=Calculations!$F$7,A875&gt;=Calculations!$F$8)),0.2*_xlfn.NORM.DIST(100,100,15,FALSE)*_xlfn.NORM.DIST(A875,Calculations!$F$3,Calculations!$F$4,FALSE)/_xlfn.NORM.DIST(Calculations!$F$3,Calculations!$F$3,Calculations!$F$4,FALSE),NA())</f>
        <v>#N/A</v>
      </c>
      <c r="M875" t="e">
        <f>IF(AND(A875&gt;=Calculations!$F$7,A875&lt;=Calculations!$F$8),0.2*_xlfn.NORM.DIST(100,100,15,FALSE)*_xlfn.NORM.DIST(A875,Calculations!$F$3,Calculations!$F$4,FALSE)/_xlfn.NORM.DIST(Calculations!$F$3,Calculations!$F$3,Calculations!$F$4,FALSE),NA())</f>
        <v>#N/A</v>
      </c>
    </row>
    <row r="876" spans="1:13" x14ac:dyDescent="0.25">
      <c r="A876">
        <v>127.400000000001</v>
      </c>
      <c r="B876" t="e">
        <f t="shared" si="130"/>
        <v>#N/A</v>
      </c>
      <c r="C876" t="e">
        <f t="shared" si="131"/>
        <v>#N/A</v>
      </c>
      <c r="D876" t="e">
        <f t="shared" si="132"/>
        <v>#N/A</v>
      </c>
      <c r="E876" t="e">
        <f t="shared" si="133"/>
        <v>#N/A</v>
      </c>
      <c r="F876" t="e">
        <f t="shared" si="134"/>
        <v>#N/A</v>
      </c>
      <c r="G876" t="e">
        <f t="shared" si="135"/>
        <v>#N/A</v>
      </c>
      <c r="H876">
        <f t="shared" si="136"/>
        <v>5.0148875033057608E-3</v>
      </c>
      <c r="I876" t="e">
        <f t="shared" si="137"/>
        <v>#N/A</v>
      </c>
      <c r="J876" t="e">
        <f t="shared" si="138"/>
        <v>#N/A</v>
      </c>
      <c r="K876">
        <f t="shared" si="139"/>
        <v>5.2148875033057604E-3</v>
      </c>
      <c r="L876" t="e">
        <f>IF(AND(ABS((ChartCalculations!A876-Calculations!$F$3)/Calculations!$F$4)&lt;5,OR(A876&lt;=Calculations!$F$7,A876&gt;=Calculations!$F$8)),0.2*_xlfn.NORM.DIST(100,100,15,FALSE)*_xlfn.NORM.DIST(A876,Calculations!$F$3,Calculations!$F$4,FALSE)/_xlfn.NORM.DIST(Calculations!$F$3,Calculations!$F$3,Calculations!$F$4,FALSE),NA())</f>
        <v>#N/A</v>
      </c>
      <c r="M876" t="e">
        <f>IF(AND(A876&gt;=Calculations!$F$7,A876&lt;=Calculations!$F$8),0.2*_xlfn.NORM.DIST(100,100,15,FALSE)*_xlfn.NORM.DIST(A876,Calculations!$F$3,Calculations!$F$4,FALSE)/_xlfn.NORM.DIST(Calculations!$F$3,Calculations!$F$3,Calculations!$F$4,FALSE),NA())</f>
        <v>#N/A</v>
      </c>
    </row>
    <row r="877" spans="1:13" x14ac:dyDescent="0.25">
      <c r="A877">
        <v>127.50000000000099</v>
      </c>
      <c r="B877" t="e">
        <f t="shared" si="130"/>
        <v>#N/A</v>
      </c>
      <c r="C877" t="e">
        <f t="shared" si="131"/>
        <v>#N/A</v>
      </c>
      <c r="D877" t="e">
        <f t="shared" si="132"/>
        <v>#N/A</v>
      </c>
      <c r="E877" t="e">
        <f t="shared" si="133"/>
        <v>#N/A</v>
      </c>
      <c r="F877" t="e">
        <f t="shared" si="134"/>
        <v>#N/A</v>
      </c>
      <c r="G877" t="e">
        <f t="shared" si="135"/>
        <v>#N/A</v>
      </c>
      <c r="H877">
        <f t="shared" si="136"/>
        <v>4.9540775705989373E-3</v>
      </c>
      <c r="I877" t="e">
        <f t="shared" si="137"/>
        <v>#N/A</v>
      </c>
      <c r="J877" t="e">
        <f t="shared" si="138"/>
        <v>#N/A</v>
      </c>
      <c r="K877">
        <f t="shared" si="139"/>
        <v>5.154077570598937E-3</v>
      </c>
      <c r="L877" t="e">
        <f>IF(AND(ABS((ChartCalculations!A877-Calculations!$F$3)/Calculations!$F$4)&lt;5,OR(A877&lt;=Calculations!$F$7,A877&gt;=Calculations!$F$8)),0.2*_xlfn.NORM.DIST(100,100,15,FALSE)*_xlfn.NORM.DIST(A877,Calculations!$F$3,Calculations!$F$4,FALSE)/_xlfn.NORM.DIST(Calculations!$F$3,Calculations!$F$3,Calculations!$F$4,FALSE),NA())</f>
        <v>#N/A</v>
      </c>
      <c r="M877" t="e">
        <f>IF(AND(A877&gt;=Calculations!$F$7,A877&lt;=Calculations!$F$8),0.2*_xlfn.NORM.DIST(100,100,15,FALSE)*_xlfn.NORM.DIST(A877,Calculations!$F$3,Calculations!$F$4,FALSE)/_xlfn.NORM.DIST(Calculations!$F$3,Calculations!$F$3,Calculations!$F$4,FALSE),NA())</f>
        <v>#N/A</v>
      </c>
    </row>
    <row r="878" spans="1:13" x14ac:dyDescent="0.25">
      <c r="A878">
        <v>127.600000000001</v>
      </c>
      <c r="B878" t="e">
        <f t="shared" si="130"/>
        <v>#N/A</v>
      </c>
      <c r="C878" t="e">
        <f t="shared" si="131"/>
        <v>#N/A</v>
      </c>
      <c r="D878" t="e">
        <f t="shared" si="132"/>
        <v>#N/A</v>
      </c>
      <c r="E878" t="e">
        <f t="shared" si="133"/>
        <v>#N/A</v>
      </c>
      <c r="F878" t="e">
        <f t="shared" si="134"/>
        <v>#N/A</v>
      </c>
      <c r="G878" t="e">
        <f t="shared" si="135"/>
        <v>#N/A</v>
      </c>
      <c r="H878">
        <f t="shared" si="136"/>
        <v>4.89378750544319E-3</v>
      </c>
      <c r="I878" t="e">
        <f t="shared" si="137"/>
        <v>#N/A</v>
      </c>
      <c r="J878" t="e">
        <f t="shared" si="138"/>
        <v>#N/A</v>
      </c>
      <c r="K878">
        <f t="shared" si="139"/>
        <v>5.0937875054431897E-3</v>
      </c>
      <c r="L878" t="e">
        <f>IF(AND(ABS((ChartCalculations!A878-Calculations!$F$3)/Calculations!$F$4)&lt;5,OR(A878&lt;=Calculations!$F$7,A878&gt;=Calculations!$F$8)),0.2*_xlfn.NORM.DIST(100,100,15,FALSE)*_xlfn.NORM.DIST(A878,Calculations!$F$3,Calculations!$F$4,FALSE)/_xlfn.NORM.DIST(Calculations!$F$3,Calculations!$F$3,Calculations!$F$4,FALSE),NA())</f>
        <v>#N/A</v>
      </c>
      <c r="M878" t="e">
        <f>IF(AND(A878&gt;=Calculations!$F$7,A878&lt;=Calculations!$F$8),0.2*_xlfn.NORM.DIST(100,100,15,FALSE)*_xlfn.NORM.DIST(A878,Calculations!$F$3,Calculations!$F$4,FALSE)/_xlfn.NORM.DIST(Calculations!$F$3,Calculations!$F$3,Calculations!$F$4,FALSE),NA())</f>
        <v>#N/A</v>
      </c>
    </row>
    <row r="879" spans="1:13" x14ac:dyDescent="0.25">
      <c r="A879">
        <v>127.700000000001</v>
      </c>
      <c r="B879" t="e">
        <f t="shared" si="130"/>
        <v>#N/A</v>
      </c>
      <c r="C879" t="e">
        <f t="shared" si="131"/>
        <v>#N/A</v>
      </c>
      <c r="D879" t="e">
        <f t="shared" si="132"/>
        <v>#N/A</v>
      </c>
      <c r="E879" t="e">
        <f t="shared" si="133"/>
        <v>#N/A</v>
      </c>
      <c r="F879" t="e">
        <f t="shared" si="134"/>
        <v>#N/A</v>
      </c>
      <c r="G879" t="e">
        <f t="shared" si="135"/>
        <v>#N/A</v>
      </c>
      <c r="H879">
        <f t="shared" si="136"/>
        <v>4.8340163075504435E-3</v>
      </c>
      <c r="I879" t="e">
        <f t="shared" si="137"/>
        <v>#N/A</v>
      </c>
      <c r="J879" t="e">
        <f t="shared" si="138"/>
        <v>#N/A</v>
      </c>
      <c r="K879">
        <f t="shared" si="139"/>
        <v>5.0340163075504431E-3</v>
      </c>
      <c r="L879" t="e">
        <f>IF(AND(ABS((ChartCalculations!A879-Calculations!$F$3)/Calculations!$F$4)&lt;5,OR(A879&lt;=Calculations!$F$7,A879&gt;=Calculations!$F$8)),0.2*_xlfn.NORM.DIST(100,100,15,FALSE)*_xlfn.NORM.DIST(A879,Calculations!$F$3,Calculations!$F$4,FALSE)/_xlfn.NORM.DIST(Calculations!$F$3,Calculations!$F$3,Calculations!$F$4,FALSE),NA())</f>
        <v>#N/A</v>
      </c>
      <c r="M879" t="e">
        <f>IF(AND(A879&gt;=Calculations!$F$7,A879&lt;=Calculations!$F$8),0.2*_xlfn.NORM.DIST(100,100,15,FALSE)*_xlfn.NORM.DIST(A879,Calculations!$F$3,Calculations!$F$4,FALSE)/_xlfn.NORM.DIST(Calculations!$F$3,Calculations!$F$3,Calculations!$F$4,FALSE),NA())</f>
        <v>#N/A</v>
      </c>
    </row>
    <row r="880" spans="1:13" x14ac:dyDescent="0.25">
      <c r="A880">
        <v>127.80000000000101</v>
      </c>
      <c r="B880" t="e">
        <f t="shared" si="130"/>
        <v>#N/A</v>
      </c>
      <c r="C880" t="e">
        <f t="shared" si="131"/>
        <v>#N/A</v>
      </c>
      <c r="D880" t="e">
        <f t="shared" si="132"/>
        <v>#N/A</v>
      </c>
      <c r="E880" t="e">
        <f t="shared" si="133"/>
        <v>#N/A</v>
      </c>
      <c r="F880" t="e">
        <f t="shared" si="134"/>
        <v>#N/A</v>
      </c>
      <c r="G880" t="e">
        <f t="shared" si="135"/>
        <v>#N/A</v>
      </c>
      <c r="H880">
        <f t="shared" si="136"/>
        <v>4.7747629200697575E-3</v>
      </c>
      <c r="I880" t="e">
        <f t="shared" si="137"/>
        <v>#N/A</v>
      </c>
      <c r="J880" t="e">
        <f t="shared" si="138"/>
        <v>#N/A</v>
      </c>
      <c r="K880">
        <f t="shared" si="139"/>
        <v>4.9747629200697571E-3</v>
      </c>
      <c r="L880" t="e">
        <f>IF(AND(ABS((ChartCalculations!A880-Calculations!$F$3)/Calculations!$F$4)&lt;5,OR(A880&lt;=Calculations!$F$7,A880&gt;=Calculations!$F$8)),0.2*_xlfn.NORM.DIST(100,100,15,FALSE)*_xlfn.NORM.DIST(A880,Calculations!$F$3,Calculations!$F$4,FALSE)/_xlfn.NORM.DIST(Calculations!$F$3,Calculations!$F$3,Calculations!$F$4,FALSE),NA())</f>
        <v>#N/A</v>
      </c>
      <c r="M880" t="e">
        <f>IF(AND(A880&gt;=Calculations!$F$7,A880&lt;=Calculations!$F$8),0.2*_xlfn.NORM.DIST(100,100,15,FALSE)*_xlfn.NORM.DIST(A880,Calculations!$F$3,Calculations!$F$4,FALSE)/_xlfn.NORM.DIST(Calculations!$F$3,Calculations!$F$3,Calculations!$F$4,FALSE),NA())</f>
        <v>#N/A</v>
      </c>
    </row>
    <row r="881" spans="1:13" x14ac:dyDescent="0.25">
      <c r="A881">
        <v>127.900000000001</v>
      </c>
      <c r="B881" t="e">
        <f t="shared" si="130"/>
        <v>#N/A</v>
      </c>
      <c r="C881" t="e">
        <f t="shared" si="131"/>
        <v>#N/A</v>
      </c>
      <c r="D881" t="e">
        <f t="shared" si="132"/>
        <v>#N/A</v>
      </c>
      <c r="E881" t="e">
        <f t="shared" si="133"/>
        <v>#N/A</v>
      </c>
      <c r="F881" t="e">
        <f t="shared" si="134"/>
        <v>#N/A</v>
      </c>
      <c r="G881" t="e">
        <f t="shared" si="135"/>
        <v>#N/A</v>
      </c>
      <c r="H881">
        <f t="shared" si="136"/>
        <v>4.7160262304649734E-3</v>
      </c>
      <c r="I881" t="e">
        <f t="shared" si="137"/>
        <v>#N/A</v>
      </c>
      <c r="J881" t="e">
        <f t="shared" si="138"/>
        <v>#N/A</v>
      </c>
      <c r="K881">
        <f t="shared" si="139"/>
        <v>4.916026230464973E-3</v>
      </c>
      <c r="L881" t="e">
        <f>IF(AND(ABS((ChartCalculations!A881-Calculations!$F$3)/Calculations!$F$4)&lt;5,OR(A881&lt;=Calculations!$F$7,A881&gt;=Calculations!$F$8)),0.2*_xlfn.NORM.DIST(100,100,15,FALSE)*_xlfn.NORM.DIST(A881,Calculations!$F$3,Calculations!$F$4,FALSE)/_xlfn.NORM.DIST(Calculations!$F$3,Calculations!$F$3,Calculations!$F$4,FALSE),NA())</f>
        <v>#N/A</v>
      </c>
      <c r="M881" t="e">
        <f>IF(AND(A881&gt;=Calculations!$F$7,A881&lt;=Calculations!$F$8),0.2*_xlfn.NORM.DIST(100,100,15,FALSE)*_xlfn.NORM.DIST(A881,Calculations!$F$3,Calculations!$F$4,FALSE)/_xlfn.NORM.DIST(Calculations!$F$3,Calculations!$F$3,Calculations!$F$4,FALSE),NA())</f>
        <v>#N/A</v>
      </c>
    </row>
    <row r="882" spans="1:13" x14ac:dyDescent="0.25">
      <c r="A882">
        <v>128.00000000000099</v>
      </c>
      <c r="B882" t="e">
        <f t="shared" si="130"/>
        <v>#N/A</v>
      </c>
      <c r="C882" t="e">
        <f t="shared" si="131"/>
        <v>#N/A</v>
      </c>
      <c r="D882" t="e">
        <f t="shared" si="132"/>
        <v>#N/A</v>
      </c>
      <c r="E882" t="e">
        <f t="shared" si="133"/>
        <v>#N/A</v>
      </c>
      <c r="F882" t="e">
        <f t="shared" si="134"/>
        <v>#N/A</v>
      </c>
      <c r="G882" t="e">
        <f t="shared" si="135"/>
        <v>#N/A</v>
      </c>
      <c r="H882">
        <f t="shared" si="136"/>
        <v>4.6578050713937677E-3</v>
      </c>
      <c r="I882" t="e">
        <f t="shared" si="137"/>
        <v>#N/A</v>
      </c>
      <c r="J882" t="e">
        <f t="shared" si="138"/>
        <v>#N/A</v>
      </c>
      <c r="K882">
        <f t="shared" si="139"/>
        <v>4.8578050713937674E-3</v>
      </c>
      <c r="L882" t="e">
        <f>IF(AND(ABS((ChartCalculations!A882-Calculations!$F$3)/Calculations!$F$4)&lt;5,OR(A882&lt;=Calculations!$F$7,A882&gt;=Calculations!$F$8)),0.2*_xlfn.NORM.DIST(100,100,15,FALSE)*_xlfn.NORM.DIST(A882,Calculations!$F$3,Calculations!$F$4,FALSE)/_xlfn.NORM.DIST(Calculations!$F$3,Calculations!$F$3,Calculations!$F$4,FALSE),NA())</f>
        <v>#N/A</v>
      </c>
      <c r="M882" t="e">
        <f>IF(AND(A882&gt;=Calculations!$F$7,A882&lt;=Calculations!$F$8),0.2*_xlfn.NORM.DIST(100,100,15,FALSE)*_xlfn.NORM.DIST(A882,Calculations!$F$3,Calculations!$F$4,FALSE)/_xlfn.NORM.DIST(Calculations!$F$3,Calculations!$F$3,Calculations!$F$4,FALSE),NA())</f>
        <v>#N/A</v>
      </c>
    </row>
    <row r="883" spans="1:13" x14ac:dyDescent="0.25">
      <c r="A883">
        <v>128.10000000000099</v>
      </c>
      <c r="B883" t="e">
        <f t="shared" si="130"/>
        <v>#N/A</v>
      </c>
      <c r="C883" t="e">
        <f t="shared" si="131"/>
        <v>#N/A</v>
      </c>
      <c r="D883" t="e">
        <f t="shared" si="132"/>
        <v>#N/A</v>
      </c>
      <c r="E883" t="e">
        <f t="shared" si="133"/>
        <v>#N/A</v>
      </c>
      <c r="F883" t="e">
        <f t="shared" si="134"/>
        <v>#N/A</v>
      </c>
      <c r="G883" t="e">
        <f t="shared" si="135"/>
        <v>#N/A</v>
      </c>
      <c r="H883">
        <f t="shared" si="136"/>
        <v>4.6000982215881102E-3</v>
      </c>
      <c r="I883" t="e">
        <f t="shared" si="137"/>
        <v>#N/A</v>
      </c>
      <c r="J883" t="e">
        <f t="shared" si="138"/>
        <v>#N/A</v>
      </c>
      <c r="K883">
        <f t="shared" si="139"/>
        <v>4.8000982215881099E-3</v>
      </c>
      <c r="L883" t="e">
        <f>IF(AND(ABS((ChartCalculations!A883-Calculations!$F$3)/Calculations!$F$4)&lt;5,OR(A883&lt;=Calculations!$F$7,A883&gt;=Calculations!$F$8)),0.2*_xlfn.NORM.DIST(100,100,15,FALSE)*_xlfn.NORM.DIST(A883,Calculations!$F$3,Calculations!$F$4,FALSE)/_xlfn.NORM.DIST(Calculations!$F$3,Calculations!$F$3,Calculations!$F$4,FALSE),NA())</f>
        <v>#N/A</v>
      </c>
      <c r="M883" t="e">
        <f>IF(AND(A883&gt;=Calculations!$F$7,A883&lt;=Calculations!$F$8),0.2*_xlfn.NORM.DIST(100,100,15,FALSE)*_xlfn.NORM.DIST(A883,Calculations!$F$3,Calculations!$F$4,FALSE)/_xlfn.NORM.DIST(Calculations!$F$3,Calculations!$F$3,Calculations!$F$4,FALSE),NA())</f>
        <v>#N/A</v>
      </c>
    </row>
    <row r="884" spans="1:13" x14ac:dyDescent="0.25">
      <c r="A884">
        <v>128.20000000000101</v>
      </c>
      <c r="B884" t="e">
        <f t="shared" si="130"/>
        <v>#N/A</v>
      </c>
      <c r="C884" t="e">
        <f t="shared" si="131"/>
        <v>#N/A</v>
      </c>
      <c r="D884" t="e">
        <f t="shared" si="132"/>
        <v>#N/A</v>
      </c>
      <c r="E884" t="e">
        <f t="shared" si="133"/>
        <v>#N/A</v>
      </c>
      <c r="F884" t="e">
        <f t="shared" si="134"/>
        <v>#N/A</v>
      </c>
      <c r="G884" t="e">
        <f t="shared" si="135"/>
        <v>#N/A</v>
      </c>
      <c r="H884">
        <f t="shared" si="136"/>
        <v>4.5429044067357288E-3</v>
      </c>
      <c r="I884" t="e">
        <f t="shared" si="137"/>
        <v>#N/A</v>
      </c>
      <c r="J884" t="e">
        <f t="shared" si="138"/>
        <v>#N/A</v>
      </c>
      <c r="K884">
        <f t="shared" si="139"/>
        <v>4.7429044067357285E-3</v>
      </c>
      <c r="L884" t="e">
        <f>IF(AND(ABS((ChartCalculations!A884-Calculations!$F$3)/Calculations!$F$4)&lt;5,OR(A884&lt;=Calculations!$F$7,A884&gt;=Calculations!$F$8)),0.2*_xlfn.NORM.DIST(100,100,15,FALSE)*_xlfn.NORM.DIST(A884,Calculations!$F$3,Calculations!$F$4,FALSE)/_xlfn.NORM.DIST(Calculations!$F$3,Calculations!$F$3,Calculations!$F$4,FALSE),NA())</f>
        <v>#N/A</v>
      </c>
      <c r="M884" t="e">
        <f>IF(AND(A884&gt;=Calculations!$F$7,A884&lt;=Calculations!$F$8),0.2*_xlfn.NORM.DIST(100,100,15,FALSE)*_xlfn.NORM.DIST(A884,Calculations!$F$3,Calculations!$F$4,FALSE)/_xlfn.NORM.DIST(Calculations!$F$3,Calculations!$F$3,Calculations!$F$4,FALSE),NA())</f>
        <v>#N/A</v>
      </c>
    </row>
    <row r="885" spans="1:13" x14ac:dyDescent="0.25">
      <c r="A885">
        <v>128.30000000000101</v>
      </c>
      <c r="B885" t="e">
        <f t="shared" si="130"/>
        <v>#N/A</v>
      </c>
      <c r="C885" t="e">
        <f t="shared" si="131"/>
        <v>#N/A</v>
      </c>
      <c r="D885" t="e">
        <f t="shared" si="132"/>
        <v>#N/A</v>
      </c>
      <c r="E885" t="e">
        <f t="shared" si="133"/>
        <v>#N/A</v>
      </c>
      <c r="F885" t="e">
        <f t="shared" si="134"/>
        <v>#N/A</v>
      </c>
      <c r="G885" t="e">
        <f t="shared" si="135"/>
        <v>#N/A</v>
      </c>
      <c r="H885">
        <f t="shared" si="136"/>
        <v>4.4862223003624803E-3</v>
      </c>
      <c r="I885" t="e">
        <f t="shared" si="137"/>
        <v>#N/A</v>
      </c>
      <c r="J885" t="e">
        <f t="shared" si="138"/>
        <v>#N/A</v>
      </c>
      <c r="K885">
        <f t="shared" si="139"/>
        <v>4.68622230036248E-3</v>
      </c>
      <c r="L885" t="e">
        <f>IF(AND(ABS((ChartCalculations!A885-Calculations!$F$3)/Calculations!$F$4)&lt;5,OR(A885&lt;=Calculations!$F$7,A885&gt;=Calculations!$F$8)),0.2*_xlfn.NORM.DIST(100,100,15,FALSE)*_xlfn.NORM.DIST(A885,Calculations!$F$3,Calculations!$F$4,FALSE)/_xlfn.NORM.DIST(Calculations!$F$3,Calculations!$F$3,Calculations!$F$4,FALSE),NA())</f>
        <v>#N/A</v>
      </c>
      <c r="M885" t="e">
        <f>IF(AND(A885&gt;=Calculations!$F$7,A885&lt;=Calculations!$F$8),0.2*_xlfn.NORM.DIST(100,100,15,FALSE)*_xlfn.NORM.DIST(A885,Calculations!$F$3,Calculations!$F$4,FALSE)/_xlfn.NORM.DIST(Calculations!$F$3,Calculations!$F$3,Calculations!$F$4,FALSE),NA())</f>
        <v>#N/A</v>
      </c>
    </row>
    <row r="886" spans="1:13" x14ac:dyDescent="0.25">
      <c r="A886">
        <v>128.400000000001</v>
      </c>
      <c r="B886" t="e">
        <f t="shared" si="130"/>
        <v>#N/A</v>
      </c>
      <c r="C886" t="e">
        <f t="shared" si="131"/>
        <v>#N/A</v>
      </c>
      <c r="D886" t="e">
        <f t="shared" si="132"/>
        <v>#N/A</v>
      </c>
      <c r="E886" t="e">
        <f t="shared" si="133"/>
        <v>#N/A</v>
      </c>
      <c r="F886" t="e">
        <f t="shared" si="134"/>
        <v>#N/A</v>
      </c>
      <c r="G886" t="e">
        <f t="shared" si="135"/>
        <v>#N/A</v>
      </c>
      <c r="H886">
        <f t="shared" si="136"/>
        <v>4.4300505247151199E-3</v>
      </c>
      <c r="I886" t="e">
        <f t="shared" si="137"/>
        <v>#N/A</v>
      </c>
      <c r="J886" t="e">
        <f t="shared" si="138"/>
        <v>#N/A</v>
      </c>
      <c r="K886">
        <f t="shared" si="139"/>
        <v>4.6300505247151196E-3</v>
      </c>
      <c r="L886" t="e">
        <f>IF(AND(ABS((ChartCalculations!A886-Calculations!$F$3)/Calculations!$F$4)&lt;5,OR(A886&lt;=Calculations!$F$7,A886&gt;=Calculations!$F$8)),0.2*_xlfn.NORM.DIST(100,100,15,FALSE)*_xlfn.NORM.DIST(A886,Calculations!$F$3,Calculations!$F$4,FALSE)/_xlfn.NORM.DIST(Calculations!$F$3,Calculations!$F$3,Calculations!$F$4,FALSE),NA())</f>
        <v>#N/A</v>
      </c>
      <c r="M886" t="e">
        <f>IF(AND(A886&gt;=Calculations!$F$7,A886&lt;=Calculations!$F$8),0.2*_xlfn.NORM.DIST(100,100,15,FALSE)*_xlfn.NORM.DIST(A886,Calculations!$F$3,Calculations!$F$4,FALSE)/_xlfn.NORM.DIST(Calculations!$F$3,Calculations!$F$3,Calculations!$F$4,FALSE),NA())</f>
        <v>#N/A</v>
      </c>
    </row>
    <row r="887" spans="1:13" x14ac:dyDescent="0.25">
      <c r="A887">
        <v>128.50000000000099</v>
      </c>
      <c r="B887" t="e">
        <f t="shared" si="130"/>
        <v>#N/A</v>
      </c>
      <c r="C887" t="e">
        <f t="shared" si="131"/>
        <v>#N/A</v>
      </c>
      <c r="D887" t="e">
        <f t="shared" si="132"/>
        <v>#N/A</v>
      </c>
      <c r="E887" t="e">
        <f t="shared" si="133"/>
        <v>#N/A</v>
      </c>
      <c r="F887" t="e">
        <f t="shared" si="134"/>
        <v>#N/A</v>
      </c>
      <c r="G887" t="e">
        <f t="shared" si="135"/>
        <v>#N/A</v>
      </c>
      <c r="H887">
        <f t="shared" si="136"/>
        <v>4.3743876516445547E-3</v>
      </c>
      <c r="I887" t="e">
        <f t="shared" si="137"/>
        <v>#N/A</v>
      </c>
      <c r="J887" t="e">
        <f t="shared" si="138"/>
        <v>#N/A</v>
      </c>
      <c r="K887">
        <f t="shared" si="139"/>
        <v>4.5743876516445544E-3</v>
      </c>
      <c r="L887" t="e">
        <f>IF(AND(ABS((ChartCalculations!A887-Calculations!$F$3)/Calculations!$F$4)&lt;5,OR(A887&lt;=Calculations!$F$7,A887&gt;=Calculations!$F$8)),0.2*_xlfn.NORM.DIST(100,100,15,FALSE)*_xlfn.NORM.DIST(A887,Calculations!$F$3,Calculations!$F$4,FALSE)/_xlfn.NORM.DIST(Calculations!$F$3,Calculations!$F$3,Calculations!$F$4,FALSE),NA())</f>
        <v>#N/A</v>
      </c>
      <c r="M887" t="e">
        <f>IF(AND(A887&gt;=Calculations!$F$7,A887&lt;=Calculations!$F$8),0.2*_xlfn.NORM.DIST(100,100,15,FALSE)*_xlfn.NORM.DIST(A887,Calculations!$F$3,Calculations!$F$4,FALSE)/_xlfn.NORM.DIST(Calculations!$F$3,Calculations!$F$3,Calculations!$F$4,FALSE),NA())</f>
        <v>#N/A</v>
      </c>
    </row>
    <row r="888" spans="1:13" x14ac:dyDescent="0.25">
      <c r="A888">
        <v>128.60000000000099</v>
      </c>
      <c r="B888" t="e">
        <f t="shared" si="130"/>
        <v>#N/A</v>
      </c>
      <c r="C888" t="e">
        <f t="shared" si="131"/>
        <v>#N/A</v>
      </c>
      <c r="D888" t="e">
        <f t="shared" si="132"/>
        <v>#N/A</v>
      </c>
      <c r="E888" t="e">
        <f t="shared" si="133"/>
        <v>#N/A</v>
      </c>
      <c r="F888" t="e">
        <f t="shared" si="134"/>
        <v>#N/A</v>
      </c>
      <c r="G888" t="e">
        <f t="shared" si="135"/>
        <v>#N/A</v>
      </c>
      <c r="H888">
        <f t="shared" si="136"/>
        <v>4.3192322034891345E-3</v>
      </c>
      <c r="I888" t="e">
        <f t="shared" si="137"/>
        <v>#N/A</v>
      </c>
      <c r="J888" t="e">
        <f t="shared" si="138"/>
        <v>#N/A</v>
      </c>
      <c r="K888">
        <f t="shared" si="139"/>
        <v>4.5192322034891342E-3</v>
      </c>
      <c r="L888" t="e">
        <f>IF(AND(ABS((ChartCalculations!A888-Calculations!$F$3)/Calculations!$F$4)&lt;5,OR(A888&lt;=Calculations!$F$7,A888&gt;=Calculations!$F$8)),0.2*_xlfn.NORM.DIST(100,100,15,FALSE)*_xlfn.NORM.DIST(A888,Calculations!$F$3,Calculations!$F$4,FALSE)/_xlfn.NORM.DIST(Calculations!$F$3,Calculations!$F$3,Calculations!$F$4,FALSE),NA())</f>
        <v>#N/A</v>
      </c>
      <c r="M888" t="e">
        <f>IF(AND(A888&gt;=Calculations!$F$7,A888&lt;=Calculations!$F$8),0.2*_xlfn.NORM.DIST(100,100,15,FALSE)*_xlfn.NORM.DIST(A888,Calculations!$F$3,Calculations!$F$4,FALSE)/_xlfn.NORM.DIST(Calculations!$F$3,Calculations!$F$3,Calculations!$F$4,FALSE),NA())</f>
        <v>#N/A</v>
      </c>
    </row>
    <row r="889" spans="1:13" x14ac:dyDescent="0.25">
      <c r="A889">
        <v>128.70000000000101</v>
      </c>
      <c r="B889" t="e">
        <f t="shared" si="130"/>
        <v>#N/A</v>
      </c>
      <c r="C889" t="e">
        <f t="shared" si="131"/>
        <v>#N/A</v>
      </c>
      <c r="D889" t="e">
        <f t="shared" si="132"/>
        <v>#N/A</v>
      </c>
      <c r="E889" t="e">
        <f t="shared" si="133"/>
        <v>#N/A</v>
      </c>
      <c r="F889" t="e">
        <f t="shared" si="134"/>
        <v>#N/A</v>
      </c>
      <c r="G889" t="e">
        <f t="shared" si="135"/>
        <v>#N/A</v>
      </c>
      <c r="H889">
        <f t="shared" si="136"/>
        <v>4.2645826539577554E-3</v>
      </c>
      <c r="I889" t="e">
        <f t="shared" si="137"/>
        <v>#N/A</v>
      </c>
      <c r="J889" t="e">
        <f t="shared" si="138"/>
        <v>#N/A</v>
      </c>
      <c r="K889">
        <f t="shared" si="139"/>
        <v>4.4645826539577551E-3</v>
      </c>
      <c r="L889" t="e">
        <f>IF(AND(ABS((ChartCalculations!A889-Calculations!$F$3)/Calculations!$F$4)&lt;5,OR(A889&lt;=Calculations!$F$7,A889&gt;=Calculations!$F$8)),0.2*_xlfn.NORM.DIST(100,100,15,FALSE)*_xlfn.NORM.DIST(A889,Calculations!$F$3,Calculations!$F$4,FALSE)/_xlfn.NORM.DIST(Calculations!$F$3,Calculations!$F$3,Calculations!$F$4,FALSE),NA())</f>
        <v>#N/A</v>
      </c>
      <c r="M889" t="e">
        <f>IF(AND(A889&gt;=Calculations!$F$7,A889&lt;=Calculations!$F$8),0.2*_xlfn.NORM.DIST(100,100,15,FALSE)*_xlfn.NORM.DIST(A889,Calculations!$F$3,Calculations!$F$4,FALSE)/_xlfn.NORM.DIST(Calculations!$F$3,Calculations!$F$3,Calculations!$F$4,FALSE),NA())</f>
        <v>#N/A</v>
      </c>
    </row>
    <row r="890" spans="1:13" x14ac:dyDescent="0.25">
      <c r="A890">
        <v>128.80000000000101</v>
      </c>
      <c r="B890" t="e">
        <f t="shared" si="130"/>
        <v>#N/A</v>
      </c>
      <c r="C890" t="e">
        <f t="shared" si="131"/>
        <v>#N/A</v>
      </c>
      <c r="D890" t="e">
        <f t="shared" si="132"/>
        <v>#N/A</v>
      </c>
      <c r="E890" t="e">
        <f t="shared" si="133"/>
        <v>#N/A</v>
      </c>
      <c r="F890" t="e">
        <f t="shared" si="134"/>
        <v>#N/A</v>
      </c>
      <c r="G890" t="e">
        <f t="shared" si="135"/>
        <v>#N/A</v>
      </c>
      <c r="H890">
        <f t="shared" si="136"/>
        <v>4.2104374290127013E-3</v>
      </c>
      <c r="I890" t="e">
        <f t="shared" si="137"/>
        <v>#N/A</v>
      </c>
      <c r="J890" t="e">
        <f t="shared" si="138"/>
        <v>#N/A</v>
      </c>
      <c r="K890">
        <f t="shared" si="139"/>
        <v>4.4104374290127009E-3</v>
      </c>
      <c r="L890" t="e">
        <f>IF(AND(ABS((ChartCalculations!A890-Calculations!$F$3)/Calculations!$F$4)&lt;5,OR(A890&lt;=Calculations!$F$7,A890&gt;=Calculations!$F$8)),0.2*_xlfn.NORM.DIST(100,100,15,FALSE)*_xlfn.NORM.DIST(A890,Calculations!$F$3,Calculations!$F$4,FALSE)/_xlfn.NORM.DIST(Calculations!$F$3,Calculations!$F$3,Calculations!$F$4,FALSE),NA())</f>
        <v>#N/A</v>
      </c>
      <c r="M890" t="e">
        <f>IF(AND(A890&gt;=Calculations!$F$7,A890&lt;=Calculations!$F$8),0.2*_xlfn.NORM.DIST(100,100,15,FALSE)*_xlfn.NORM.DIST(A890,Calculations!$F$3,Calculations!$F$4,FALSE)/_xlfn.NORM.DIST(Calculations!$F$3,Calculations!$F$3,Calculations!$F$4,FALSE),NA())</f>
        <v>#N/A</v>
      </c>
    </row>
    <row r="891" spans="1:13" x14ac:dyDescent="0.25">
      <c r="A891">
        <v>128.900000000001</v>
      </c>
      <c r="B891" t="e">
        <f t="shared" si="130"/>
        <v>#N/A</v>
      </c>
      <c r="C891" t="e">
        <f t="shared" si="131"/>
        <v>#N/A</v>
      </c>
      <c r="D891" t="e">
        <f t="shared" si="132"/>
        <v>#N/A</v>
      </c>
      <c r="E891" t="e">
        <f t="shared" si="133"/>
        <v>#N/A</v>
      </c>
      <c r="F891" t="e">
        <f t="shared" si="134"/>
        <v>#N/A</v>
      </c>
      <c r="G891" t="e">
        <f t="shared" si="135"/>
        <v>#N/A</v>
      </c>
      <c r="H891">
        <f t="shared" si="136"/>
        <v>4.1567949077516934E-3</v>
      </c>
      <c r="I891" t="e">
        <f t="shared" si="137"/>
        <v>#N/A</v>
      </c>
      <c r="J891" t="e">
        <f t="shared" si="138"/>
        <v>#N/A</v>
      </c>
      <c r="K891">
        <f t="shared" si="139"/>
        <v>4.356794907751693E-3</v>
      </c>
      <c r="L891" t="e">
        <f>IF(AND(ABS((ChartCalculations!A891-Calculations!$F$3)/Calculations!$F$4)&lt;5,OR(A891&lt;=Calculations!$F$7,A891&gt;=Calculations!$F$8)),0.2*_xlfn.NORM.DIST(100,100,15,FALSE)*_xlfn.NORM.DIST(A891,Calculations!$F$3,Calculations!$F$4,FALSE)/_xlfn.NORM.DIST(Calculations!$F$3,Calculations!$F$3,Calculations!$F$4,FALSE),NA())</f>
        <v>#N/A</v>
      </c>
      <c r="M891" t="e">
        <f>IF(AND(A891&gt;=Calculations!$F$7,A891&lt;=Calculations!$F$8),0.2*_xlfn.NORM.DIST(100,100,15,FALSE)*_xlfn.NORM.DIST(A891,Calculations!$F$3,Calculations!$F$4,FALSE)/_xlfn.NORM.DIST(Calculations!$F$3,Calculations!$F$3,Calculations!$F$4,FALSE),NA())</f>
        <v>#N/A</v>
      </c>
    </row>
    <row r="892" spans="1:13" x14ac:dyDescent="0.25">
      <c r="A892">
        <v>129.00000000000099</v>
      </c>
      <c r="B892" t="e">
        <f t="shared" si="130"/>
        <v>#N/A</v>
      </c>
      <c r="C892" t="e">
        <f t="shared" si="131"/>
        <v>#N/A</v>
      </c>
      <c r="D892" t="e">
        <f t="shared" si="132"/>
        <v>#N/A</v>
      </c>
      <c r="E892" t="e">
        <f t="shared" si="133"/>
        <v>#N/A</v>
      </c>
      <c r="F892" t="e">
        <f t="shared" si="134"/>
        <v>#N/A</v>
      </c>
      <c r="G892" t="e">
        <f t="shared" si="135"/>
        <v>#N/A</v>
      </c>
      <c r="H892">
        <f t="shared" si="136"/>
        <v>4.1036534232892913E-3</v>
      </c>
      <c r="I892" t="e">
        <f t="shared" si="137"/>
        <v>#N/A</v>
      </c>
      <c r="J892" t="e">
        <f t="shared" si="138"/>
        <v>#N/A</v>
      </c>
      <c r="K892">
        <f t="shared" si="139"/>
        <v>4.3036534232892909E-3</v>
      </c>
      <c r="L892" t="e">
        <f>IF(AND(ABS((ChartCalculations!A892-Calculations!$F$3)/Calculations!$F$4)&lt;5,OR(A892&lt;=Calculations!$F$7,A892&gt;=Calculations!$F$8)),0.2*_xlfn.NORM.DIST(100,100,15,FALSE)*_xlfn.NORM.DIST(A892,Calculations!$F$3,Calculations!$F$4,FALSE)/_xlfn.NORM.DIST(Calculations!$F$3,Calculations!$F$3,Calculations!$F$4,FALSE),NA())</f>
        <v>#N/A</v>
      </c>
      <c r="M892" t="e">
        <f>IF(AND(A892&gt;=Calculations!$F$7,A892&lt;=Calculations!$F$8),0.2*_xlfn.NORM.DIST(100,100,15,FALSE)*_xlfn.NORM.DIST(A892,Calculations!$F$3,Calculations!$F$4,FALSE)/_xlfn.NORM.DIST(Calculations!$F$3,Calculations!$F$3,Calculations!$F$4,FALSE),NA())</f>
        <v>#N/A</v>
      </c>
    </row>
    <row r="893" spans="1:13" x14ac:dyDescent="0.25">
      <c r="A893">
        <v>129.10000000000099</v>
      </c>
      <c r="B893" t="e">
        <f t="shared" si="130"/>
        <v>#N/A</v>
      </c>
      <c r="C893" t="e">
        <f t="shared" si="131"/>
        <v>#N/A</v>
      </c>
      <c r="D893" t="e">
        <f t="shared" si="132"/>
        <v>#N/A</v>
      </c>
      <c r="E893" t="e">
        <f t="shared" si="133"/>
        <v>#N/A</v>
      </c>
      <c r="F893" t="e">
        <f t="shared" si="134"/>
        <v>#N/A</v>
      </c>
      <c r="G893" t="e">
        <f t="shared" si="135"/>
        <v>#N/A</v>
      </c>
      <c r="H893">
        <f t="shared" si="136"/>
        <v>4.051011263637134E-3</v>
      </c>
      <c r="I893" t="e">
        <f t="shared" si="137"/>
        <v>#N/A</v>
      </c>
      <c r="J893" t="e">
        <f t="shared" si="138"/>
        <v>#N/A</v>
      </c>
      <c r="K893">
        <f t="shared" si="139"/>
        <v>4.2510112636371337E-3</v>
      </c>
      <c r="L893" t="e">
        <f>IF(AND(ABS((ChartCalculations!A893-Calculations!$F$3)/Calculations!$F$4)&lt;5,OR(A893&lt;=Calculations!$F$7,A893&gt;=Calculations!$F$8)),0.2*_xlfn.NORM.DIST(100,100,15,FALSE)*_xlfn.NORM.DIST(A893,Calculations!$F$3,Calculations!$F$4,FALSE)/_xlfn.NORM.DIST(Calculations!$F$3,Calculations!$F$3,Calculations!$F$4,FALSE),NA())</f>
        <v>#N/A</v>
      </c>
      <c r="M893" t="e">
        <f>IF(AND(A893&gt;=Calculations!$F$7,A893&lt;=Calculations!$F$8),0.2*_xlfn.NORM.DIST(100,100,15,FALSE)*_xlfn.NORM.DIST(A893,Calculations!$F$3,Calculations!$F$4,FALSE)/_xlfn.NORM.DIST(Calculations!$F$3,Calculations!$F$3,Calculations!$F$4,FALSE),NA())</f>
        <v>#N/A</v>
      </c>
    </row>
    <row r="894" spans="1:13" x14ac:dyDescent="0.25">
      <c r="A894">
        <v>129.20000000000101</v>
      </c>
      <c r="B894" t="e">
        <f t="shared" si="130"/>
        <v>#N/A</v>
      </c>
      <c r="C894" t="e">
        <f t="shared" si="131"/>
        <v>#N/A</v>
      </c>
      <c r="D894" t="e">
        <f t="shared" si="132"/>
        <v>#N/A</v>
      </c>
      <c r="E894" t="e">
        <f t="shared" si="133"/>
        <v>#N/A</v>
      </c>
      <c r="F894" t="e">
        <f t="shared" si="134"/>
        <v>#N/A</v>
      </c>
      <c r="G894" t="e">
        <f t="shared" si="135"/>
        <v>#N/A</v>
      </c>
      <c r="H894">
        <f t="shared" si="136"/>
        <v>3.9988666725829201E-3</v>
      </c>
      <c r="I894" t="e">
        <f t="shared" si="137"/>
        <v>#N/A</v>
      </c>
      <c r="J894" t="e">
        <f t="shared" si="138"/>
        <v>#N/A</v>
      </c>
      <c r="K894">
        <f t="shared" si="139"/>
        <v>4.1988666725829198E-3</v>
      </c>
      <c r="L894" t="e">
        <f>IF(AND(ABS((ChartCalculations!A894-Calculations!$F$3)/Calculations!$F$4)&lt;5,OR(A894&lt;=Calculations!$F$7,A894&gt;=Calculations!$F$8)),0.2*_xlfn.NORM.DIST(100,100,15,FALSE)*_xlfn.NORM.DIST(A894,Calculations!$F$3,Calculations!$F$4,FALSE)/_xlfn.NORM.DIST(Calculations!$F$3,Calculations!$F$3,Calculations!$F$4,FALSE),NA())</f>
        <v>#N/A</v>
      </c>
      <c r="M894" t="e">
        <f>IF(AND(A894&gt;=Calculations!$F$7,A894&lt;=Calculations!$F$8),0.2*_xlfn.NORM.DIST(100,100,15,FALSE)*_xlfn.NORM.DIST(A894,Calculations!$F$3,Calculations!$F$4,FALSE)/_xlfn.NORM.DIST(Calculations!$F$3,Calculations!$F$3,Calculations!$F$4,FALSE),NA())</f>
        <v>#N/A</v>
      </c>
    </row>
    <row r="895" spans="1:13" x14ac:dyDescent="0.25">
      <c r="A895">
        <v>129.30000000000101</v>
      </c>
      <c r="B895" t="e">
        <f t="shared" si="130"/>
        <v>#N/A</v>
      </c>
      <c r="C895" t="e">
        <f t="shared" si="131"/>
        <v>#N/A</v>
      </c>
      <c r="D895" t="e">
        <f t="shared" si="132"/>
        <v>#N/A</v>
      </c>
      <c r="E895" t="e">
        <f t="shared" si="133"/>
        <v>#N/A</v>
      </c>
      <c r="F895" t="e">
        <f t="shared" si="134"/>
        <v>#N/A</v>
      </c>
      <c r="G895" t="e">
        <f t="shared" si="135"/>
        <v>#N/A</v>
      </c>
      <c r="H895">
        <f t="shared" si="136"/>
        <v>3.9472178505679679E-3</v>
      </c>
      <c r="I895" t="e">
        <f t="shared" si="137"/>
        <v>#N/A</v>
      </c>
      <c r="J895" t="e">
        <f t="shared" si="138"/>
        <v>#N/A</v>
      </c>
      <c r="K895">
        <f t="shared" si="139"/>
        <v>4.1472178505679675E-3</v>
      </c>
      <c r="L895" t="e">
        <f>IF(AND(ABS((ChartCalculations!A895-Calculations!$F$3)/Calculations!$F$4)&lt;5,OR(A895&lt;=Calculations!$F$7,A895&gt;=Calculations!$F$8)),0.2*_xlfn.NORM.DIST(100,100,15,FALSE)*_xlfn.NORM.DIST(A895,Calculations!$F$3,Calculations!$F$4,FALSE)/_xlfn.NORM.DIST(Calculations!$F$3,Calculations!$F$3,Calculations!$F$4,FALSE),NA())</f>
        <v>#N/A</v>
      </c>
      <c r="M895" t="e">
        <f>IF(AND(A895&gt;=Calculations!$F$7,A895&lt;=Calculations!$F$8),0.2*_xlfn.NORM.DIST(100,100,15,FALSE)*_xlfn.NORM.DIST(A895,Calculations!$F$3,Calculations!$F$4,FALSE)/_xlfn.NORM.DIST(Calculations!$F$3,Calculations!$F$3,Calculations!$F$4,FALSE),NA())</f>
        <v>#N/A</v>
      </c>
    </row>
    <row r="896" spans="1:13" x14ac:dyDescent="0.25">
      <c r="A896">
        <v>129.400000000001</v>
      </c>
      <c r="B896" t="e">
        <f t="shared" si="130"/>
        <v>#N/A</v>
      </c>
      <c r="C896" t="e">
        <f t="shared" si="131"/>
        <v>#N/A</v>
      </c>
      <c r="D896" t="e">
        <f t="shared" si="132"/>
        <v>#N/A</v>
      </c>
      <c r="E896" t="e">
        <f t="shared" si="133"/>
        <v>#N/A</v>
      </c>
      <c r="F896" t="e">
        <f t="shared" si="134"/>
        <v>#N/A</v>
      </c>
      <c r="G896" t="e">
        <f t="shared" si="135"/>
        <v>#N/A</v>
      </c>
      <c r="H896">
        <f t="shared" si="136"/>
        <v>3.8960629555629218E-3</v>
      </c>
      <c r="I896" t="e">
        <f t="shared" si="137"/>
        <v>#N/A</v>
      </c>
      <c r="J896" t="e">
        <f t="shared" si="138"/>
        <v>#N/A</v>
      </c>
      <c r="K896">
        <f t="shared" si="139"/>
        <v>4.0960629555629215E-3</v>
      </c>
      <c r="L896" t="e">
        <f>IF(AND(ABS((ChartCalculations!A896-Calculations!$F$3)/Calculations!$F$4)&lt;5,OR(A896&lt;=Calculations!$F$7,A896&gt;=Calculations!$F$8)),0.2*_xlfn.NORM.DIST(100,100,15,FALSE)*_xlfn.NORM.DIST(A896,Calculations!$F$3,Calculations!$F$4,FALSE)/_xlfn.NORM.DIST(Calculations!$F$3,Calculations!$F$3,Calculations!$F$4,FALSE),NA())</f>
        <v>#N/A</v>
      </c>
      <c r="M896" t="e">
        <f>IF(AND(A896&gt;=Calculations!$F$7,A896&lt;=Calculations!$F$8),0.2*_xlfn.NORM.DIST(100,100,15,FALSE)*_xlfn.NORM.DIST(A896,Calculations!$F$3,Calculations!$F$4,FALSE)/_xlfn.NORM.DIST(Calculations!$F$3,Calculations!$F$3,Calculations!$F$4,FALSE),NA())</f>
        <v>#N/A</v>
      </c>
    </row>
    <row r="897" spans="1:13" x14ac:dyDescent="0.25">
      <c r="A897">
        <v>129.50000000000099</v>
      </c>
      <c r="B897" t="e">
        <f t="shared" si="130"/>
        <v>#N/A</v>
      </c>
      <c r="C897" t="e">
        <f t="shared" si="131"/>
        <v>#N/A</v>
      </c>
      <c r="D897" t="e">
        <f t="shared" si="132"/>
        <v>#N/A</v>
      </c>
      <c r="E897" t="e">
        <f t="shared" si="133"/>
        <v>#N/A</v>
      </c>
      <c r="F897" t="e">
        <f t="shared" si="134"/>
        <v>#N/A</v>
      </c>
      <c r="G897" t="e">
        <f t="shared" si="135"/>
        <v>#N/A</v>
      </c>
      <c r="H897">
        <f t="shared" si="136"/>
        <v>3.8454001039416857E-3</v>
      </c>
      <c r="I897" t="e">
        <f t="shared" si="137"/>
        <v>#N/A</v>
      </c>
      <c r="J897" t="e">
        <f t="shared" si="138"/>
        <v>#N/A</v>
      </c>
      <c r="K897">
        <f t="shared" si="139"/>
        <v>4.0454001039416853E-3</v>
      </c>
      <c r="L897" t="e">
        <f>IF(AND(ABS((ChartCalculations!A897-Calculations!$F$3)/Calculations!$F$4)&lt;5,OR(A897&lt;=Calculations!$F$7,A897&gt;=Calculations!$F$8)),0.2*_xlfn.NORM.DIST(100,100,15,FALSE)*_xlfn.NORM.DIST(A897,Calculations!$F$3,Calculations!$F$4,FALSE)/_xlfn.NORM.DIST(Calculations!$F$3,Calculations!$F$3,Calculations!$F$4,FALSE),NA())</f>
        <v>#N/A</v>
      </c>
      <c r="M897" t="e">
        <f>IF(AND(A897&gt;=Calculations!$F$7,A897&lt;=Calculations!$F$8),0.2*_xlfn.NORM.DIST(100,100,15,FALSE)*_xlfn.NORM.DIST(A897,Calculations!$F$3,Calculations!$F$4,FALSE)/_xlfn.NORM.DIST(Calculations!$F$3,Calculations!$F$3,Calculations!$F$4,FALSE),NA())</f>
        <v>#N/A</v>
      </c>
    </row>
    <row r="898" spans="1:13" x14ac:dyDescent="0.25">
      <c r="A898">
        <v>129.60000000000099</v>
      </c>
      <c r="B898" t="e">
        <f t="shared" si="130"/>
        <v>#N/A</v>
      </c>
      <c r="C898" t="e">
        <f t="shared" si="131"/>
        <v>#N/A</v>
      </c>
      <c r="D898" t="e">
        <f t="shared" si="132"/>
        <v>#N/A</v>
      </c>
      <c r="E898" t="e">
        <f t="shared" si="133"/>
        <v>#N/A</v>
      </c>
      <c r="F898" t="e">
        <f t="shared" si="134"/>
        <v>#N/A</v>
      </c>
      <c r="G898" t="e">
        <f t="shared" si="135"/>
        <v>#N/A</v>
      </c>
      <c r="H898">
        <f t="shared" si="136"/>
        <v>3.7952273713531691E-3</v>
      </c>
      <c r="I898" t="e">
        <f t="shared" si="137"/>
        <v>#N/A</v>
      </c>
      <c r="J898" t="e">
        <f t="shared" si="138"/>
        <v>#N/A</v>
      </c>
      <c r="K898">
        <f t="shared" si="139"/>
        <v>3.9952273713531692E-3</v>
      </c>
      <c r="L898" t="e">
        <f>IF(AND(ABS((ChartCalculations!A898-Calculations!$F$3)/Calculations!$F$4)&lt;5,OR(A898&lt;=Calculations!$F$7,A898&gt;=Calculations!$F$8)),0.2*_xlfn.NORM.DIST(100,100,15,FALSE)*_xlfn.NORM.DIST(A898,Calculations!$F$3,Calculations!$F$4,FALSE)/_xlfn.NORM.DIST(Calculations!$F$3,Calculations!$F$3,Calculations!$F$4,FALSE),NA())</f>
        <v>#N/A</v>
      </c>
      <c r="M898" t="e">
        <f>IF(AND(A898&gt;=Calculations!$F$7,A898&lt;=Calculations!$F$8),0.2*_xlfn.NORM.DIST(100,100,15,FALSE)*_xlfn.NORM.DIST(A898,Calculations!$F$3,Calculations!$F$4,FALSE)/_xlfn.NORM.DIST(Calculations!$F$3,Calculations!$F$3,Calculations!$F$4,FALSE),NA())</f>
        <v>#N/A</v>
      </c>
    </row>
    <row r="899" spans="1:13" x14ac:dyDescent="0.25">
      <c r="A899">
        <v>129.70000000000101</v>
      </c>
      <c r="B899" t="e">
        <f t="shared" ref="B899:B962" si="140">IF($A899&lt;=60,_xlfn.NORM.DIST($A899,100,15,FALSE),NA())</f>
        <v>#N/A</v>
      </c>
      <c r="C899" t="e">
        <f t="shared" ref="C899:C962" si="141">IF(AND($A899&gt;=60,$A899&lt;=70),_xlfn.NORM.DIST($A899,100,15,FALSE),NA())</f>
        <v>#N/A</v>
      </c>
      <c r="D899" t="e">
        <f t="shared" ref="D899:D962" si="142">IF(AND($A899&gt;=70,$A899&lt;=80),_xlfn.NORM.DIST($A899,100,15,FALSE),NA())</f>
        <v>#N/A</v>
      </c>
      <c r="E899" t="e">
        <f t="shared" ref="E899:E962" si="143">IF(AND($A899&gt;=80,$A899&lt;=90),_xlfn.NORM.DIST($A899,100,15,FALSE),NA())</f>
        <v>#N/A</v>
      </c>
      <c r="F899" t="e">
        <f t="shared" ref="F899:F962" si="144">IF(AND($A899&gt;=90,$A899&lt;=110),_xlfn.NORM.DIST($A899,100,15,FALSE),NA())</f>
        <v>#N/A</v>
      </c>
      <c r="G899" t="e">
        <f t="shared" ref="G899:G962" si="145">IF(AND($A899&gt;=110,$A899&lt;=120),_xlfn.NORM.DIST($A899,100,15,FALSE),NA())</f>
        <v>#N/A</v>
      </c>
      <c r="H899">
        <f t="shared" ref="H899:H962" si="146">IF(AND($A899&gt;=120,$A899&lt;=130),_xlfn.NORM.DIST($A899,100,15,FALSE),NA())</f>
        <v>3.745542793590702E-3</v>
      </c>
      <c r="I899" t="e">
        <f t="shared" ref="I899:I962" si="147">IF(AND($A899&gt;=130,$A899&lt;=140),_xlfn.NORM.DIST($A899,100,15,FALSE),NA())</f>
        <v>#N/A</v>
      </c>
      <c r="J899" t="e">
        <f t="shared" ref="J899:J962" si="148">IF($A899&gt;=140,_xlfn.NORM.DIST($A899,100,15,FALSE),NA())</f>
        <v>#N/A</v>
      </c>
      <c r="K899">
        <f t="shared" ref="K899:K962" si="149">_xlfn.NORM.DIST($A899,100,15,FALSE)+0.0002</f>
        <v>3.9455427935907016E-3</v>
      </c>
      <c r="L899" t="e">
        <f>IF(AND(ABS((ChartCalculations!A899-Calculations!$F$3)/Calculations!$F$4)&lt;5,OR(A899&lt;=Calculations!$F$7,A899&gt;=Calculations!$F$8)),0.2*_xlfn.NORM.DIST(100,100,15,FALSE)*_xlfn.NORM.DIST(A899,Calculations!$F$3,Calculations!$F$4,FALSE)/_xlfn.NORM.DIST(Calculations!$F$3,Calculations!$F$3,Calculations!$F$4,FALSE),NA())</f>
        <v>#N/A</v>
      </c>
      <c r="M899" t="e">
        <f>IF(AND(A899&gt;=Calculations!$F$7,A899&lt;=Calculations!$F$8),0.2*_xlfn.NORM.DIST(100,100,15,FALSE)*_xlfn.NORM.DIST(A899,Calculations!$F$3,Calculations!$F$4,FALSE)/_xlfn.NORM.DIST(Calculations!$F$3,Calculations!$F$3,Calculations!$F$4,FALSE),NA())</f>
        <v>#N/A</v>
      </c>
    </row>
    <row r="900" spans="1:13" x14ac:dyDescent="0.25">
      <c r="A900">
        <v>129.80000000000101</v>
      </c>
      <c r="B900" t="e">
        <f t="shared" si="140"/>
        <v>#N/A</v>
      </c>
      <c r="C900" t="e">
        <f t="shared" si="141"/>
        <v>#N/A</v>
      </c>
      <c r="D900" t="e">
        <f t="shared" si="142"/>
        <v>#N/A</v>
      </c>
      <c r="E900" t="e">
        <f t="shared" si="143"/>
        <v>#N/A</v>
      </c>
      <c r="F900" t="e">
        <f t="shared" si="144"/>
        <v>#N/A</v>
      </c>
      <c r="G900" t="e">
        <f t="shared" si="145"/>
        <v>#N/A</v>
      </c>
      <c r="H900">
        <f t="shared" si="146"/>
        <v>3.6963443674589941E-3</v>
      </c>
      <c r="I900" t="e">
        <f t="shared" si="147"/>
        <v>#N/A</v>
      </c>
      <c r="J900" t="e">
        <f t="shared" si="148"/>
        <v>#N/A</v>
      </c>
      <c r="K900">
        <f t="shared" si="149"/>
        <v>3.8963443674589942E-3</v>
      </c>
      <c r="L900" t="e">
        <f>IF(AND(ABS((ChartCalculations!A900-Calculations!$F$3)/Calculations!$F$4)&lt;5,OR(A900&lt;=Calculations!$F$7,A900&gt;=Calculations!$F$8)),0.2*_xlfn.NORM.DIST(100,100,15,FALSE)*_xlfn.NORM.DIST(A900,Calculations!$F$3,Calculations!$F$4,FALSE)/_xlfn.NORM.DIST(Calculations!$F$3,Calculations!$F$3,Calculations!$F$4,FALSE),NA())</f>
        <v>#N/A</v>
      </c>
      <c r="M900" t="e">
        <f>IF(AND(A900&gt;=Calculations!$F$7,A900&lt;=Calculations!$F$8),0.2*_xlfn.NORM.DIST(100,100,15,FALSE)*_xlfn.NORM.DIST(A900,Calculations!$F$3,Calculations!$F$4,FALSE)/_xlfn.NORM.DIST(Calculations!$F$3,Calculations!$F$3,Calculations!$F$4,FALSE),NA())</f>
        <v>#N/A</v>
      </c>
    </row>
    <row r="901" spans="1:13" x14ac:dyDescent="0.25">
      <c r="A901">
        <v>129.900000000001</v>
      </c>
      <c r="B901" t="e">
        <f t="shared" si="140"/>
        <v>#N/A</v>
      </c>
      <c r="C901" t="e">
        <f t="shared" si="141"/>
        <v>#N/A</v>
      </c>
      <c r="D901" t="e">
        <f t="shared" si="142"/>
        <v>#N/A</v>
      </c>
      <c r="E901" t="e">
        <f t="shared" si="143"/>
        <v>#N/A</v>
      </c>
      <c r="F901" t="e">
        <f t="shared" si="144"/>
        <v>#N/A</v>
      </c>
      <c r="G901" t="e">
        <f t="shared" si="145"/>
        <v>#N/A</v>
      </c>
      <c r="H901">
        <f t="shared" si="146"/>
        <v>3.6476300516382282E-3</v>
      </c>
      <c r="I901" t="e">
        <f t="shared" si="147"/>
        <v>#N/A</v>
      </c>
      <c r="J901" t="e">
        <f t="shared" si="148"/>
        <v>#N/A</v>
      </c>
      <c r="K901">
        <f t="shared" si="149"/>
        <v>3.8476300516382283E-3</v>
      </c>
      <c r="L901" t="e">
        <f>IF(AND(ABS((ChartCalculations!A901-Calculations!$F$3)/Calculations!$F$4)&lt;5,OR(A901&lt;=Calculations!$F$7,A901&gt;=Calculations!$F$8)),0.2*_xlfn.NORM.DIST(100,100,15,FALSE)*_xlfn.NORM.DIST(A901,Calculations!$F$3,Calculations!$F$4,FALSE)/_xlfn.NORM.DIST(Calculations!$F$3,Calculations!$F$3,Calculations!$F$4,FALSE),NA())</f>
        <v>#N/A</v>
      </c>
      <c r="M901" t="e">
        <f>IF(AND(A901&gt;=Calculations!$F$7,A901&lt;=Calculations!$F$8),0.2*_xlfn.NORM.DIST(100,100,15,FALSE)*_xlfn.NORM.DIST(A901,Calculations!$F$3,Calculations!$F$4,FALSE)/_xlfn.NORM.DIST(Calculations!$F$3,Calculations!$F$3,Calculations!$F$4,FALSE),NA())</f>
        <v>#N/A</v>
      </c>
    </row>
    <row r="902" spans="1:13" x14ac:dyDescent="0.25">
      <c r="A902">
        <v>130.00000000000099</v>
      </c>
      <c r="B902" t="e">
        <f t="shared" si="140"/>
        <v>#N/A</v>
      </c>
      <c r="C902" t="e">
        <f t="shared" si="141"/>
        <v>#N/A</v>
      </c>
      <c r="D902" t="e">
        <f t="shared" si="142"/>
        <v>#N/A</v>
      </c>
      <c r="E902" t="e">
        <f t="shared" si="143"/>
        <v>#N/A</v>
      </c>
      <c r="F902" t="e">
        <f t="shared" si="144"/>
        <v>#N/A</v>
      </c>
      <c r="G902" t="e">
        <f t="shared" si="145"/>
        <v>#N/A</v>
      </c>
      <c r="H902" t="e">
        <f t="shared" si="146"/>
        <v>#N/A</v>
      </c>
      <c r="I902">
        <f t="shared" si="147"/>
        <v>3.5993977675453938E-3</v>
      </c>
      <c r="J902" t="e">
        <f t="shared" si="148"/>
        <v>#N/A</v>
      </c>
      <c r="K902">
        <f t="shared" si="149"/>
        <v>3.7993977675453939E-3</v>
      </c>
      <c r="L902" t="e">
        <f>IF(AND(ABS((ChartCalculations!A902-Calculations!$F$3)/Calculations!$F$4)&lt;5,OR(A902&lt;=Calculations!$F$7,A902&gt;=Calculations!$F$8)),0.2*_xlfn.NORM.DIST(100,100,15,FALSE)*_xlfn.NORM.DIST(A902,Calculations!$F$3,Calculations!$F$4,FALSE)/_xlfn.NORM.DIST(Calculations!$F$3,Calculations!$F$3,Calculations!$F$4,FALSE),NA())</f>
        <v>#N/A</v>
      </c>
      <c r="M902" t="e">
        <f>IF(AND(A902&gt;=Calculations!$F$7,A902&lt;=Calculations!$F$8),0.2*_xlfn.NORM.DIST(100,100,15,FALSE)*_xlfn.NORM.DIST(A902,Calculations!$F$3,Calculations!$F$4,FALSE)/_xlfn.NORM.DIST(Calculations!$F$3,Calculations!$F$3,Calculations!$F$4,FALSE),NA())</f>
        <v>#N/A</v>
      </c>
    </row>
    <row r="903" spans="1:13" x14ac:dyDescent="0.25">
      <c r="A903">
        <v>130.10000000000099</v>
      </c>
      <c r="B903" t="e">
        <f t="shared" si="140"/>
        <v>#N/A</v>
      </c>
      <c r="C903" t="e">
        <f t="shared" si="141"/>
        <v>#N/A</v>
      </c>
      <c r="D903" t="e">
        <f t="shared" si="142"/>
        <v>#N/A</v>
      </c>
      <c r="E903" t="e">
        <f t="shared" si="143"/>
        <v>#N/A</v>
      </c>
      <c r="F903" t="e">
        <f t="shared" si="144"/>
        <v>#N/A</v>
      </c>
      <c r="G903" t="e">
        <f t="shared" si="145"/>
        <v>#N/A</v>
      </c>
      <c r="H903" t="e">
        <f t="shared" si="146"/>
        <v>#N/A</v>
      </c>
      <c r="I903">
        <f t="shared" si="147"/>
        <v>3.5516454001924204E-3</v>
      </c>
      <c r="J903" t="e">
        <f t="shared" si="148"/>
        <v>#N/A</v>
      </c>
      <c r="K903">
        <f t="shared" si="149"/>
        <v>3.7516454001924205E-3</v>
      </c>
      <c r="L903" t="e">
        <f>IF(AND(ABS((ChartCalculations!A903-Calculations!$F$3)/Calculations!$F$4)&lt;5,OR(A903&lt;=Calculations!$F$7,A903&gt;=Calculations!$F$8)),0.2*_xlfn.NORM.DIST(100,100,15,FALSE)*_xlfn.NORM.DIST(A903,Calculations!$F$3,Calculations!$F$4,FALSE)/_xlfn.NORM.DIST(Calculations!$F$3,Calculations!$F$3,Calculations!$F$4,FALSE),NA())</f>
        <v>#N/A</v>
      </c>
      <c r="M903" t="e">
        <f>IF(AND(A903&gt;=Calculations!$F$7,A903&lt;=Calculations!$F$8),0.2*_xlfn.NORM.DIST(100,100,15,FALSE)*_xlfn.NORM.DIST(A903,Calculations!$F$3,Calculations!$F$4,FALSE)/_xlfn.NORM.DIST(Calculations!$F$3,Calculations!$F$3,Calculations!$F$4,FALSE),NA())</f>
        <v>#N/A</v>
      </c>
    </row>
    <row r="904" spans="1:13" x14ac:dyDescent="0.25">
      <c r="A904">
        <v>130.20000000000101</v>
      </c>
      <c r="B904" t="e">
        <f t="shared" si="140"/>
        <v>#N/A</v>
      </c>
      <c r="C904" t="e">
        <f t="shared" si="141"/>
        <v>#N/A</v>
      </c>
      <c r="D904" t="e">
        <f t="shared" si="142"/>
        <v>#N/A</v>
      </c>
      <c r="E904" t="e">
        <f t="shared" si="143"/>
        <v>#N/A</v>
      </c>
      <c r="F904" t="e">
        <f t="shared" si="144"/>
        <v>#N/A</v>
      </c>
      <c r="G904" t="e">
        <f t="shared" si="145"/>
        <v>#N/A</v>
      </c>
      <c r="H904" t="e">
        <f t="shared" si="146"/>
        <v>#N/A</v>
      </c>
      <c r="I904">
        <f t="shared" si="147"/>
        <v>3.5043707990410427E-3</v>
      </c>
      <c r="J904" t="e">
        <f t="shared" si="148"/>
        <v>#N/A</v>
      </c>
      <c r="K904">
        <f t="shared" si="149"/>
        <v>3.7043707990410428E-3</v>
      </c>
      <c r="L904" t="e">
        <f>IF(AND(ABS((ChartCalculations!A904-Calculations!$F$3)/Calculations!$F$4)&lt;5,OR(A904&lt;=Calculations!$F$7,A904&gt;=Calculations!$F$8)),0.2*_xlfn.NORM.DIST(100,100,15,FALSE)*_xlfn.NORM.DIST(A904,Calculations!$F$3,Calculations!$F$4,FALSE)/_xlfn.NORM.DIST(Calculations!$F$3,Calculations!$F$3,Calculations!$F$4,FALSE),NA())</f>
        <v>#N/A</v>
      </c>
      <c r="M904" t="e">
        <f>IF(AND(A904&gt;=Calculations!$F$7,A904&lt;=Calculations!$F$8),0.2*_xlfn.NORM.DIST(100,100,15,FALSE)*_xlfn.NORM.DIST(A904,Calculations!$F$3,Calculations!$F$4,FALSE)/_xlfn.NORM.DIST(Calculations!$F$3,Calculations!$F$3,Calculations!$F$4,FALSE),NA())</f>
        <v>#N/A</v>
      </c>
    </row>
    <row r="905" spans="1:13" x14ac:dyDescent="0.25">
      <c r="A905">
        <v>130.30000000000101</v>
      </c>
      <c r="B905" t="e">
        <f t="shared" si="140"/>
        <v>#N/A</v>
      </c>
      <c r="C905" t="e">
        <f t="shared" si="141"/>
        <v>#N/A</v>
      </c>
      <c r="D905" t="e">
        <f t="shared" si="142"/>
        <v>#N/A</v>
      </c>
      <c r="E905" t="e">
        <f t="shared" si="143"/>
        <v>#N/A</v>
      </c>
      <c r="F905" t="e">
        <f t="shared" si="144"/>
        <v>#N/A</v>
      </c>
      <c r="G905" t="e">
        <f t="shared" si="145"/>
        <v>#N/A</v>
      </c>
      <c r="H905" t="e">
        <f t="shared" si="146"/>
        <v>#N/A</v>
      </c>
      <c r="I905">
        <f t="shared" si="147"/>
        <v>3.4575717788542359E-3</v>
      </c>
      <c r="J905" t="e">
        <f t="shared" si="148"/>
        <v>#N/A</v>
      </c>
      <c r="K905">
        <f t="shared" si="149"/>
        <v>3.657571778854236E-3</v>
      </c>
      <c r="L905" t="e">
        <f>IF(AND(ABS((ChartCalculations!A905-Calculations!$F$3)/Calculations!$F$4)&lt;5,OR(A905&lt;=Calculations!$F$7,A905&gt;=Calculations!$F$8)),0.2*_xlfn.NORM.DIST(100,100,15,FALSE)*_xlfn.NORM.DIST(A905,Calculations!$F$3,Calculations!$F$4,FALSE)/_xlfn.NORM.DIST(Calculations!$F$3,Calculations!$F$3,Calculations!$F$4,FALSE),NA())</f>
        <v>#N/A</v>
      </c>
      <c r="M905" t="e">
        <f>IF(AND(A905&gt;=Calculations!$F$7,A905&lt;=Calculations!$F$8),0.2*_xlfn.NORM.DIST(100,100,15,FALSE)*_xlfn.NORM.DIST(A905,Calculations!$F$3,Calculations!$F$4,FALSE)/_xlfn.NORM.DIST(Calculations!$F$3,Calculations!$F$3,Calculations!$F$4,FALSE),NA())</f>
        <v>#N/A</v>
      </c>
    </row>
    <row r="906" spans="1:13" x14ac:dyDescent="0.25">
      <c r="A906">
        <v>130.400000000001</v>
      </c>
      <c r="B906" t="e">
        <f t="shared" si="140"/>
        <v>#N/A</v>
      </c>
      <c r="C906" t="e">
        <f t="shared" si="141"/>
        <v>#N/A</v>
      </c>
      <c r="D906" t="e">
        <f t="shared" si="142"/>
        <v>#N/A</v>
      </c>
      <c r="E906" t="e">
        <f t="shared" si="143"/>
        <v>#N/A</v>
      </c>
      <c r="F906" t="e">
        <f t="shared" si="144"/>
        <v>#N/A</v>
      </c>
      <c r="G906" t="e">
        <f t="shared" si="145"/>
        <v>#N/A</v>
      </c>
      <c r="H906" t="e">
        <f t="shared" si="146"/>
        <v>#N/A</v>
      </c>
      <c r="I906">
        <f t="shared" si="147"/>
        <v>3.4112461205438802E-3</v>
      </c>
      <c r="J906" t="e">
        <f t="shared" si="148"/>
        <v>#N/A</v>
      </c>
      <c r="K906">
        <f t="shared" si="149"/>
        <v>3.6112461205438802E-3</v>
      </c>
      <c r="L906" t="e">
        <f>IF(AND(ABS((ChartCalculations!A906-Calculations!$F$3)/Calculations!$F$4)&lt;5,OR(A906&lt;=Calculations!$F$7,A906&gt;=Calculations!$F$8)),0.2*_xlfn.NORM.DIST(100,100,15,FALSE)*_xlfn.NORM.DIST(A906,Calculations!$F$3,Calculations!$F$4,FALSE)/_xlfn.NORM.DIST(Calculations!$F$3,Calculations!$F$3,Calculations!$F$4,FALSE),NA())</f>
        <v>#N/A</v>
      </c>
      <c r="M906" t="e">
        <f>IF(AND(A906&gt;=Calculations!$F$7,A906&lt;=Calculations!$F$8),0.2*_xlfn.NORM.DIST(100,100,15,FALSE)*_xlfn.NORM.DIST(A906,Calculations!$F$3,Calculations!$F$4,FALSE)/_xlfn.NORM.DIST(Calculations!$F$3,Calculations!$F$3,Calculations!$F$4,FALSE),NA())</f>
        <v>#N/A</v>
      </c>
    </row>
    <row r="907" spans="1:13" x14ac:dyDescent="0.25">
      <c r="A907">
        <v>130.50000000000099</v>
      </c>
      <c r="B907" t="e">
        <f t="shared" si="140"/>
        <v>#N/A</v>
      </c>
      <c r="C907" t="e">
        <f t="shared" si="141"/>
        <v>#N/A</v>
      </c>
      <c r="D907" t="e">
        <f t="shared" si="142"/>
        <v>#N/A</v>
      </c>
      <c r="E907" t="e">
        <f t="shared" si="143"/>
        <v>#N/A</v>
      </c>
      <c r="F907" t="e">
        <f t="shared" si="144"/>
        <v>#N/A</v>
      </c>
      <c r="G907" t="e">
        <f t="shared" si="145"/>
        <v>#N/A</v>
      </c>
      <c r="H907" t="e">
        <f t="shared" si="146"/>
        <v>#N/A</v>
      </c>
      <c r="I907">
        <f t="shared" si="147"/>
        <v>3.3653915720147239E-3</v>
      </c>
      <c r="J907" t="e">
        <f t="shared" si="148"/>
        <v>#N/A</v>
      </c>
      <c r="K907">
        <f t="shared" si="149"/>
        <v>3.565391572014724E-3</v>
      </c>
      <c r="L907" t="e">
        <f>IF(AND(ABS((ChartCalculations!A907-Calculations!$F$3)/Calculations!$F$4)&lt;5,OR(A907&lt;=Calculations!$F$7,A907&gt;=Calculations!$F$8)),0.2*_xlfn.NORM.DIST(100,100,15,FALSE)*_xlfn.NORM.DIST(A907,Calculations!$F$3,Calculations!$F$4,FALSE)/_xlfn.NORM.DIST(Calculations!$F$3,Calculations!$F$3,Calculations!$F$4,FALSE),NA())</f>
        <v>#N/A</v>
      </c>
      <c r="M907" t="e">
        <f>IF(AND(A907&gt;=Calculations!$F$7,A907&lt;=Calculations!$F$8),0.2*_xlfn.NORM.DIST(100,100,15,FALSE)*_xlfn.NORM.DIST(A907,Calculations!$F$3,Calculations!$F$4,FALSE)/_xlfn.NORM.DIST(Calculations!$F$3,Calculations!$F$3,Calculations!$F$4,FALSE),NA())</f>
        <v>#N/A</v>
      </c>
    </row>
    <row r="908" spans="1:13" x14ac:dyDescent="0.25">
      <c r="A908">
        <v>130.60000000000099</v>
      </c>
      <c r="B908" t="e">
        <f t="shared" si="140"/>
        <v>#N/A</v>
      </c>
      <c r="C908" t="e">
        <f t="shared" si="141"/>
        <v>#N/A</v>
      </c>
      <c r="D908" t="e">
        <f t="shared" si="142"/>
        <v>#N/A</v>
      </c>
      <c r="E908" t="e">
        <f t="shared" si="143"/>
        <v>#N/A</v>
      </c>
      <c r="F908" t="e">
        <f t="shared" si="144"/>
        <v>#N/A</v>
      </c>
      <c r="G908" t="e">
        <f t="shared" si="145"/>
        <v>#N/A</v>
      </c>
      <c r="H908" t="e">
        <f t="shared" si="146"/>
        <v>#N/A</v>
      </c>
      <c r="I908">
        <f t="shared" si="147"/>
        <v>3.3200058490042727E-3</v>
      </c>
      <c r="J908" t="e">
        <f t="shared" si="148"/>
        <v>#N/A</v>
      </c>
      <c r="K908">
        <f t="shared" si="149"/>
        <v>3.5200058490042728E-3</v>
      </c>
      <c r="L908" t="e">
        <f>IF(AND(ABS((ChartCalculations!A908-Calculations!$F$3)/Calculations!$F$4)&lt;5,OR(A908&lt;=Calculations!$F$7,A908&gt;=Calculations!$F$8)),0.2*_xlfn.NORM.DIST(100,100,15,FALSE)*_xlfn.NORM.DIST(A908,Calculations!$F$3,Calculations!$F$4,FALSE)/_xlfn.NORM.DIST(Calculations!$F$3,Calculations!$F$3,Calculations!$F$4,FALSE),NA())</f>
        <v>#N/A</v>
      </c>
      <c r="M908" t="e">
        <f>IF(AND(A908&gt;=Calculations!$F$7,A908&lt;=Calculations!$F$8),0.2*_xlfn.NORM.DIST(100,100,15,FALSE)*_xlfn.NORM.DIST(A908,Calculations!$F$3,Calculations!$F$4,FALSE)/_xlfn.NORM.DIST(Calculations!$F$3,Calculations!$F$3,Calculations!$F$4,FALSE),NA())</f>
        <v>#N/A</v>
      </c>
    </row>
    <row r="909" spans="1:13" x14ac:dyDescent="0.25">
      <c r="A909">
        <v>130.70000000000101</v>
      </c>
      <c r="B909" t="e">
        <f t="shared" si="140"/>
        <v>#N/A</v>
      </c>
      <c r="C909" t="e">
        <f t="shared" si="141"/>
        <v>#N/A</v>
      </c>
      <c r="D909" t="e">
        <f t="shared" si="142"/>
        <v>#N/A</v>
      </c>
      <c r="E909" t="e">
        <f t="shared" si="143"/>
        <v>#N/A</v>
      </c>
      <c r="F909" t="e">
        <f t="shared" si="144"/>
        <v>#N/A</v>
      </c>
      <c r="G909" t="e">
        <f t="shared" si="145"/>
        <v>#N/A</v>
      </c>
      <c r="H909" t="e">
        <f t="shared" si="146"/>
        <v>#N/A</v>
      </c>
      <c r="I909">
        <f t="shared" si="147"/>
        <v>3.2750866359185006E-3</v>
      </c>
      <c r="J909" t="e">
        <f t="shared" si="148"/>
        <v>#N/A</v>
      </c>
      <c r="K909">
        <f t="shared" si="149"/>
        <v>3.4750866359185006E-3</v>
      </c>
      <c r="L909" t="e">
        <f>IF(AND(ABS((ChartCalculations!A909-Calculations!$F$3)/Calculations!$F$4)&lt;5,OR(A909&lt;=Calculations!$F$7,A909&gt;=Calculations!$F$8)),0.2*_xlfn.NORM.DIST(100,100,15,FALSE)*_xlfn.NORM.DIST(A909,Calculations!$F$3,Calculations!$F$4,FALSE)/_xlfn.NORM.DIST(Calculations!$F$3,Calculations!$F$3,Calculations!$F$4,FALSE),NA())</f>
        <v>#N/A</v>
      </c>
      <c r="M909" t="e">
        <f>IF(AND(A909&gt;=Calculations!$F$7,A909&lt;=Calculations!$F$8),0.2*_xlfn.NORM.DIST(100,100,15,FALSE)*_xlfn.NORM.DIST(A909,Calculations!$F$3,Calculations!$F$4,FALSE)/_xlfn.NORM.DIST(Calculations!$F$3,Calculations!$F$3,Calculations!$F$4,FALSE),NA())</f>
        <v>#N/A</v>
      </c>
    </row>
    <row r="910" spans="1:13" x14ac:dyDescent="0.25">
      <c r="A910">
        <v>130.80000000000101</v>
      </c>
      <c r="B910" t="e">
        <f t="shared" si="140"/>
        <v>#N/A</v>
      </c>
      <c r="C910" t="e">
        <f t="shared" si="141"/>
        <v>#N/A</v>
      </c>
      <c r="D910" t="e">
        <f t="shared" si="142"/>
        <v>#N/A</v>
      </c>
      <c r="E910" t="e">
        <f t="shared" si="143"/>
        <v>#N/A</v>
      </c>
      <c r="F910" t="e">
        <f t="shared" si="144"/>
        <v>#N/A</v>
      </c>
      <c r="G910" t="e">
        <f t="shared" si="145"/>
        <v>#N/A</v>
      </c>
      <c r="H910" t="e">
        <f t="shared" si="146"/>
        <v>#N/A</v>
      </c>
      <c r="I910">
        <f t="shared" si="147"/>
        <v>3.2306315866633137E-3</v>
      </c>
      <c r="J910" t="e">
        <f t="shared" si="148"/>
        <v>#N/A</v>
      </c>
      <c r="K910">
        <f t="shared" si="149"/>
        <v>3.4306315866633138E-3</v>
      </c>
      <c r="L910" t="e">
        <f>IF(AND(ABS((ChartCalculations!A910-Calculations!$F$3)/Calculations!$F$4)&lt;5,OR(A910&lt;=Calculations!$F$7,A910&gt;=Calculations!$F$8)),0.2*_xlfn.NORM.DIST(100,100,15,FALSE)*_xlfn.NORM.DIST(A910,Calculations!$F$3,Calculations!$F$4,FALSE)/_xlfn.NORM.DIST(Calculations!$F$3,Calculations!$F$3,Calculations!$F$4,FALSE),NA())</f>
        <v>#N/A</v>
      </c>
      <c r="M910" t="e">
        <f>IF(AND(A910&gt;=Calculations!$F$7,A910&lt;=Calculations!$F$8),0.2*_xlfn.NORM.DIST(100,100,15,FALSE)*_xlfn.NORM.DIST(A910,Calculations!$F$3,Calculations!$F$4,FALSE)/_xlfn.NORM.DIST(Calculations!$F$3,Calculations!$F$3,Calculations!$F$4,FALSE),NA())</f>
        <v>#N/A</v>
      </c>
    </row>
    <row r="911" spans="1:13" x14ac:dyDescent="0.25">
      <c r="A911">
        <v>130.900000000001</v>
      </c>
      <c r="B911" t="e">
        <f t="shared" si="140"/>
        <v>#N/A</v>
      </c>
      <c r="C911" t="e">
        <f t="shared" si="141"/>
        <v>#N/A</v>
      </c>
      <c r="D911" t="e">
        <f t="shared" si="142"/>
        <v>#N/A</v>
      </c>
      <c r="E911" t="e">
        <f t="shared" si="143"/>
        <v>#N/A</v>
      </c>
      <c r="F911" t="e">
        <f t="shared" si="144"/>
        <v>#N/A</v>
      </c>
      <c r="G911" t="e">
        <f t="shared" si="145"/>
        <v>#N/A</v>
      </c>
      <c r="H911" t="e">
        <f t="shared" si="146"/>
        <v>#N/A</v>
      </c>
      <c r="I911">
        <f t="shared" si="147"/>
        <v>3.1866383254713646E-3</v>
      </c>
      <c r="J911" t="e">
        <f t="shared" si="148"/>
        <v>#N/A</v>
      </c>
      <c r="K911">
        <f t="shared" si="149"/>
        <v>3.3866383254713647E-3</v>
      </c>
      <c r="L911" t="e">
        <f>IF(AND(ABS((ChartCalculations!A911-Calculations!$F$3)/Calculations!$F$4)&lt;5,OR(A911&lt;=Calculations!$F$7,A911&gt;=Calculations!$F$8)),0.2*_xlfn.NORM.DIST(100,100,15,FALSE)*_xlfn.NORM.DIST(A911,Calculations!$F$3,Calculations!$F$4,FALSE)/_xlfn.NORM.DIST(Calculations!$F$3,Calculations!$F$3,Calculations!$F$4,FALSE),NA())</f>
        <v>#N/A</v>
      </c>
      <c r="M911" t="e">
        <f>IF(AND(A911&gt;=Calculations!$F$7,A911&lt;=Calculations!$F$8),0.2*_xlfn.NORM.DIST(100,100,15,FALSE)*_xlfn.NORM.DIST(A911,Calculations!$F$3,Calculations!$F$4,FALSE)/_xlfn.NORM.DIST(Calculations!$F$3,Calculations!$F$3,Calculations!$F$4,FALSE),NA())</f>
        <v>#N/A</v>
      </c>
    </row>
    <row r="912" spans="1:13" x14ac:dyDescent="0.25">
      <c r="A912">
        <v>131.00000000000099</v>
      </c>
      <c r="B912" t="e">
        <f t="shared" si="140"/>
        <v>#N/A</v>
      </c>
      <c r="C912" t="e">
        <f t="shared" si="141"/>
        <v>#N/A</v>
      </c>
      <c r="D912" t="e">
        <f t="shared" si="142"/>
        <v>#N/A</v>
      </c>
      <c r="E912" t="e">
        <f t="shared" si="143"/>
        <v>#N/A</v>
      </c>
      <c r="F912" t="e">
        <f t="shared" si="144"/>
        <v>#N/A</v>
      </c>
      <c r="G912" t="e">
        <f t="shared" si="145"/>
        <v>#N/A</v>
      </c>
      <c r="H912" t="e">
        <f t="shared" si="146"/>
        <v>#N/A</v>
      </c>
      <c r="I912">
        <f t="shared" si="147"/>
        <v>3.1431044477243414E-3</v>
      </c>
      <c r="J912" t="e">
        <f t="shared" si="148"/>
        <v>#N/A</v>
      </c>
      <c r="K912">
        <f t="shared" si="149"/>
        <v>3.3431044477243415E-3</v>
      </c>
      <c r="L912" t="e">
        <f>IF(AND(ABS((ChartCalculations!A912-Calculations!$F$3)/Calculations!$F$4)&lt;5,OR(A912&lt;=Calculations!$F$7,A912&gt;=Calculations!$F$8)),0.2*_xlfn.NORM.DIST(100,100,15,FALSE)*_xlfn.NORM.DIST(A912,Calculations!$F$3,Calculations!$F$4,FALSE)/_xlfn.NORM.DIST(Calculations!$F$3,Calculations!$F$3,Calculations!$F$4,FALSE),NA())</f>
        <v>#N/A</v>
      </c>
      <c r="M912" t="e">
        <f>IF(AND(A912&gt;=Calculations!$F$7,A912&lt;=Calculations!$F$8),0.2*_xlfn.NORM.DIST(100,100,15,FALSE)*_xlfn.NORM.DIST(A912,Calculations!$F$3,Calculations!$F$4,FALSE)/_xlfn.NORM.DIST(Calculations!$F$3,Calculations!$F$3,Calculations!$F$4,FALSE),NA())</f>
        <v>#N/A</v>
      </c>
    </row>
    <row r="913" spans="1:13" x14ac:dyDescent="0.25">
      <c r="A913">
        <v>131.10000000000099</v>
      </c>
      <c r="B913" t="e">
        <f t="shared" si="140"/>
        <v>#N/A</v>
      </c>
      <c r="C913" t="e">
        <f t="shared" si="141"/>
        <v>#N/A</v>
      </c>
      <c r="D913" t="e">
        <f t="shared" si="142"/>
        <v>#N/A</v>
      </c>
      <c r="E913" t="e">
        <f t="shared" si="143"/>
        <v>#N/A</v>
      </c>
      <c r="F913" t="e">
        <f t="shared" si="144"/>
        <v>#N/A</v>
      </c>
      <c r="G913" t="e">
        <f t="shared" si="145"/>
        <v>#N/A</v>
      </c>
      <c r="H913" t="e">
        <f t="shared" si="146"/>
        <v>#N/A</v>
      </c>
      <c r="I913">
        <f t="shared" si="147"/>
        <v>3.1000275207703895E-3</v>
      </c>
      <c r="J913" t="e">
        <f t="shared" si="148"/>
        <v>#N/A</v>
      </c>
      <c r="K913">
        <f t="shared" si="149"/>
        <v>3.3000275207703896E-3</v>
      </c>
      <c r="L913" t="e">
        <f>IF(AND(ABS((ChartCalculations!A913-Calculations!$F$3)/Calculations!$F$4)&lt;5,OR(A913&lt;=Calculations!$F$7,A913&gt;=Calculations!$F$8)),0.2*_xlfn.NORM.DIST(100,100,15,FALSE)*_xlfn.NORM.DIST(A913,Calculations!$F$3,Calculations!$F$4,FALSE)/_xlfn.NORM.DIST(Calculations!$F$3,Calculations!$F$3,Calculations!$F$4,FALSE),NA())</f>
        <v>#N/A</v>
      </c>
      <c r="M913" t="e">
        <f>IF(AND(A913&gt;=Calculations!$F$7,A913&lt;=Calculations!$F$8),0.2*_xlfn.NORM.DIST(100,100,15,FALSE)*_xlfn.NORM.DIST(A913,Calculations!$F$3,Calculations!$F$4,FALSE)/_xlfn.NORM.DIST(Calculations!$F$3,Calculations!$F$3,Calculations!$F$4,FALSE),NA())</f>
        <v>#N/A</v>
      </c>
    </row>
    <row r="914" spans="1:13" x14ac:dyDescent="0.25">
      <c r="A914">
        <v>131.20000000000101</v>
      </c>
      <c r="B914" t="e">
        <f t="shared" si="140"/>
        <v>#N/A</v>
      </c>
      <c r="C914" t="e">
        <f t="shared" si="141"/>
        <v>#N/A</v>
      </c>
      <c r="D914" t="e">
        <f t="shared" si="142"/>
        <v>#N/A</v>
      </c>
      <c r="E914" t="e">
        <f t="shared" si="143"/>
        <v>#N/A</v>
      </c>
      <c r="F914" t="e">
        <f t="shared" si="144"/>
        <v>#N/A</v>
      </c>
      <c r="G914" t="e">
        <f t="shared" si="145"/>
        <v>#N/A</v>
      </c>
      <c r="H914" t="e">
        <f t="shared" si="146"/>
        <v>#N/A</v>
      </c>
      <c r="I914">
        <f t="shared" si="147"/>
        <v>3.0574050847365633E-3</v>
      </c>
      <c r="J914" t="e">
        <f t="shared" si="148"/>
        <v>#N/A</v>
      </c>
      <c r="K914">
        <f t="shared" si="149"/>
        <v>3.2574050847365634E-3</v>
      </c>
      <c r="L914" t="e">
        <f>IF(AND(ABS((ChartCalculations!A914-Calculations!$F$3)/Calculations!$F$4)&lt;5,OR(A914&lt;=Calculations!$F$7,A914&gt;=Calculations!$F$8)),0.2*_xlfn.NORM.DIST(100,100,15,FALSE)*_xlfn.NORM.DIST(A914,Calculations!$F$3,Calculations!$F$4,FALSE)/_xlfn.NORM.DIST(Calculations!$F$3,Calculations!$F$3,Calculations!$F$4,FALSE),NA())</f>
        <v>#N/A</v>
      </c>
      <c r="M914" t="e">
        <f>IF(AND(A914&gt;=Calculations!$F$7,A914&lt;=Calculations!$F$8),0.2*_xlfn.NORM.DIST(100,100,15,FALSE)*_xlfn.NORM.DIST(A914,Calculations!$F$3,Calculations!$F$4,FALSE)/_xlfn.NORM.DIST(Calculations!$F$3,Calculations!$F$3,Calculations!$F$4,FALSE),NA())</f>
        <v>#N/A</v>
      </c>
    </row>
    <row r="915" spans="1:13" x14ac:dyDescent="0.25">
      <c r="A915">
        <v>131.30000000000101</v>
      </c>
      <c r="B915" t="e">
        <f t="shared" si="140"/>
        <v>#N/A</v>
      </c>
      <c r="C915" t="e">
        <f t="shared" si="141"/>
        <v>#N/A</v>
      </c>
      <c r="D915" t="e">
        <f t="shared" si="142"/>
        <v>#N/A</v>
      </c>
      <c r="E915" t="e">
        <f t="shared" si="143"/>
        <v>#N/A</v>
      </c>
      <c r="F915" t="e">
        <f t="shared" si="144"/>
        <v>#N/A</v>
      </c>
      <c r="G915" t="e">
        <f t="shared" si="145"/>
        <v>#N/A</v>
      </c>
      <c r="H915" t="e">
        <f t="shared" si="146"/>
        <v>#N/A</v>
      </c>
      <c r="I915">
        <f t="shared" si="147"/>
        <v>3.0152346533362353E-3</v>
      </c>
      <c r="J915" t="e">
        <f t="shared" si="148"/>
        <v>#N/A</v>
      </c>
      <c r="K915">
        <f t="shared" si="149"/>
        <v>3.2152346533362353E-3</v>
      </c>
      <c r="L915" t="e">
        <f>IF(AND(ABS((ChartCalculations!A915-Calculations!$F$3)/Calculations!$F$4)&lt;5,OR(A915&lt;=Calculations!$F$7,A915&gt;=Calculations!$F$8)),0.2*_xlfn.NORM.DIST(100,100,15,FALSE)*_xlfn.NORM.DIST(A915,Calculations!$F$3,Calculations!$F$4,FALSE)/_xlfn.NORM.DIST(Calculations!$F$3,Calculations!$F$3,Calculations!$F$4,FALSE),NA())</f>
        <v>#N/A</v>
      </c>
      <c r="M915" t="e">
        <f>IF(AND(A915&gt;=Calculations!$F$7,A915&lt;=Calculations!$F$8),0.2*_xlfn.NORM.DIST(100,100,15,FALSE)*_xlfn.NORM.DIST(A915,Calculations!$F$3,Calculations!$F$4,FALSE)/_xlfn.NORM.DIST(Calculations!$F$3,Calculations!$F$3,Calculations!$F$4,FALSE),NA())</f>
        <v>#N/A</v>
      </c>
    </row>
    <row r="916" spans="1:13" x14ac:dyDescent="0.25">
      <c r="A916">
        <v>131.400000000001</v>
      </c>
      <c r="B916" t="e">
        <f t="shared" si="140"/>
        <v>#N/A</v>
      </c>
      <c r="C916" t="e">
        <f t="shared" si="141"/>
        <v>#N/A</v>
      </c>
      <c r="D916" t="e">
        <f t="shared" si="142"/>
        <v>#N/A</v>
      </c>
      <c r="E916" t="e">
        <f t="shared" si="143"/>
        <v>#N/A</v>
      </c>
      <c r="F916" t="e">
        <f t="shared" si="144"/>
        <v>#N/A</v>
      </c>
      <c r="G916" t="e">
        <f t="shared" si="145"/>
        <v>#N/A</v>
      </c>
      <c r="H916" t="e">
        <f t="shared" si="146"/>
        <v>#N/A</v>
      </c>
      <c r="I916">
        <f t="shared" si="147"/>
        <v>2.9735137146711297E-3</v>
      </c>
      <c r="J916" t="e">
        <f t="shared" si="148"/>
        <v>#N/A</v>
      </c>
      <c r="K916">
        <f t="shared" si="149"/>
        <v>3.1735137146711298E-3</v>
      </c>
      <c r="L916" t="e">
        <f>IF(AND(ABS((ChartCalculations!A916-Calculations!$F$3)/Calculations!$F$4)&lt;5,OR(A916&lt;=Calculations!$F$7,A916&gt;=Calculations!$F$8)),0.2*_xlfn.NORM.DIST(100,100,15,FALSE)*_xlfn.NORM.DIST(A916,Calculations!$F$3,Calculations!$F$4,FALSE)/_xlfn.NORM.DIST(Calculations!$F$3,Calculations!$F$3,Calculations!$F$4,FALSE),NA())</f>
        <v>#N/A</v>
      </c>
      <c r="M916" t="e">
        <f>IF(AND(A916&gt;=Calculations!$F$7,A916&lt;=Calculations!$F$8),0.2*_xlfn.NORM.DIST(100,100,15,FALSE)*_xlfn.NORM.DIST(A916,Calculations!$F$3,Calculations!$F$4,FALSE)/_xlfn.NORM.DIST(Calculations!$F$3,Calculations!$F$3,Calculations!$F$4,FALSE),NA())</f>
        <v>#N/A</v>
      </c>
    </row>
    <row r="917" spans="1:13" x14ac:dyDescent="0.25">
      <c r="A917">
        <v>131.50000000000099</v>
      </c>
      <c r="B917" t="e">
        <f t="shared" si="140"/>
        <v>#N/A</v>
      </c>
      <c r="C917" t="e">
        <f t="shared" si="141"/>
        <v>#N/A</v>
      </c>
      <c r="D917" t="e">
        <f t="shared" si="142"/>
        <v>#N/A</v>
      </c>
      <c r="E917" t="e">
        <f t="shared" si="143"/>
        <v>#N/A</v>
      </c>
      <c r="F917" t="e">
        <f t="shared" si="144"/>
        <v>#N/A</v>
      </c>
      <c r="G917" t="e">
        <f t="shared" si="145"/>
        <v>#N/A</v>
      </c>
      <c r="H917" t="e">
        <f t="shared" si="146"/>
        <v>#N/A</v>
      </c>
      <c r="I917">
        <f t="shared" si="147"/>
        <v>2.932239732028072E-3</v>
      </c>
      <c r="J917" t="e">
        <f t="shared" si="148"/>
        <v>#N/A</v>
      </c>
      <c r="K917">
        <f t="shared" si="149"/>
        <v>3.132239732028072E-3</v>
      </c>
      <c r="L917" t="e">
        <f>IF(AND(ABS((ChartCalculations!A917-Calculations!$F$3)/Calculations!$F$4)&lt;5,OR(A917&lt;=Calculations!$F$7,A917&gt;=Calculations!$F$8)),0.2*_xlfn.NORM.DIST(100,100,15,FALSE)*_xlfn.NORM.DIST(A917,Calculations!$F$3,Calculations!$F$4,FALSE)/_xlfn.NORM.DIST(Calculations!$F$3,Calculations!$F$3,Calculations!$F$4,FALSE),NA())</f>
        <v>#N/A</v>
      </c>
      <c r="M917" t="e">
        <f>IF(AND(A917&gt;=Calculations!$F$7,A917&lt;=Calculations!$F$8),0.2*_xlfn.NORM.DIST(100,100,15,FALSE)*_xlfn.NORM.DIST(A917,Calculations!$F$3,Calculations!$F$4,FALSE)/_xlfn.NORM.DIST(Calculations!$F$3,Calculations!$F$3,Calculations!$F$4,FALSE),NA())</f>
        <v>#N/A</v>
      </c>
    </row>
    <row r="918" spans="1:13" x14ac:dyDescent="0.25">
      <c r="A918">
        <v>131.60000000000099</v>
      </c>
      <c r="B918" t="e">
        <f t="shared" si="140"/>
        <v>#N/A</v>
      </c>
      <c r="C918" t="e">
        <f t="shared" si="141"/>
        <v>#N/A</v>
      </c>
      <c r="D918" t="e">
        <f t="shared" si="142"/>
        <v>#N/A</v>
      </c>
      <c r="E918" t="e">
        <f t="shared" si="143"/>
        <v>#N/A</v>
      </c>
      <c r="F918" t="e">
        <f t="shared" si="144"/>
        <v>#N/A</v>
      </c>
      <c r="G918" t="e">
        <f t="shared" si="145"/>
        <v>#N/A</v>
      </c>
      <c r="H918" t="e">
        <f t="shared" si="146"/>
        <v>#N/A</v>
      </c>
      <c r="I918">
        <f t="shared" si="147"/>
        <v>2.89141014467017E-3</v>
      </c>
      <c r="J918" t="e">
        <f t="shared" si="148"/>
        <v>#N/A</v>
      </c>
      <c r="K918">
        <f t="shared" si="149"/>
        <v>3.0914101446701701E-3</v>
      </c>
      <c r="L918" t="e">
        <f>IF(AND(ABS((ChartCalculations!A918-Calculations!$F$3)/Calculations!$F$4)&lt;5,OR(A918&lt;=Calculations!$F$7,A918&gt;=Calculations!$F$8)),0.2*_xlfn.NORM.DIST(100,100,15,FALSE)*_xlfn.NORM.DIST(A918,Calculations!$F$3,Calculations!$F$4,FALSE)/_xlfn.NORM.DIST(Calculations!$F$3,Calculations!$F$3,Calculations!$F$4,FALSE),NA())</f>
        <v>#N/A</v>
      </c>
      <c r="M918" t="e">
        <f>IF(AND(A918&gt;=Calculations!$F$7,A918&lt;=Calculations!$F$8),0.2*_xlfn.NORM.DIST(100,100,15,FALSE)*_xlfn.NORM.DIST(A918,Calculations!$F$3,Calculations!$F$4,FALSE)/_xlfn.NORM.DIST(Calculations!$F$3,Calculations!$F$3,Calculations!$F$4,FALSE),NA())</f>
        <v>#N/A</v>
      </c>
    </row>
    <row r="919" spans="1:13" x14ac:dyDescent="0.25">
      <c r="A919">
        <v>131.70000000000101</v>
      </c>
      <c r="B919" t="e">
        <f t="shared" si="140"/>
        <v>#N/A</v>
      </c>
      <c r="C919" t="e">
        <f t="shared" si="141"/>
        <v>#N/A</v>
      </c>
      <c r="D919" t="e">
        <f t="shared" si="142"/>
        <v>#N/A</v>
      </c>
      <c r="E919" t="e">
        <f t="shared" si="143"/>
        <v>#N/A</v>
      </c>
      <c r="F919" t="e">
        <f t="shared" si="144"/>
        <v>#N/A</v>
      </c>
      <c r="G919" t="e">
        <f t="shared" si="145"/>
        <v>#N/A</v>
      </c>
      <c r="H919" t="e">
        <f t="shared" si="146"/>
        <v>#N/A</v>
      </c>
      <c r="I919">
        <f t="shared" si="147"/>
        <v>2.8510223686223175E-3</v>
      </c>
      <c r="J919" t="e">
        <f t="shared" si="148"/>
        <v>#N/A</v>
      </c>
      <c r="K919">
        <f t="shared" si="149"/>
        <v>3.0510223686223176E-3</v>
      </c>
      <c r="L919" t="e">
        <f>IF(AND(ABS((ChartCalculations!A919-Calculations!$F$3)/Calculations!$F$4)&lt;5,OR(A919&lt;=Calculations!$F$7,A919&gt;=Calculations!$F$8)),0.2*_xlfn.NORM.DIST(100,100,15,FALSE)*_xlfn.NORM.DIST(A919,Calculations!$F$3,Calculations!$F$4,FALSE)/_xlfn.NORM.DIST(Calculations!$F$3,Calculations!$F$3,Calculations!$F$4,FALSE),NA())</f>
        <v>#N/A</v>
      </c>
      <c r="M919" t="e">
        <f>IF(AND(A919&gt;=Calculations!$F$7,A919&lt;=Calculations!$F$8),0.2*_xlfn.NORM.DIST(100,100,15,FALSE)*_xlfn.NORM.DIST(A919,Calculations!$F$3,Calculations!$F$4,FALSE)/_xlfn.NORM.DIST(Calculations!$F$3,Calculations!$F$3,Calculations!$F$4,FALSE),NA())</f>
        <v>#N/A</v>
      </c>
    </row>
    <row r="920" spans="1:13" x14ac:dyDescent="0.25">
      <c r="A920">
        <v>131.80000000000101</v>
      </c>
      <c r="B920" t="e">
        <f t="shared" si="140"/>
        <v>#N/A</v>
      </c>
      <c r="C920" t="e">
        <f t="shared" si="141"/>
        <v>#N/A</v>
      </c>
      <c r="D920" t="e">
        <f t="shared" si="142"/>
        <v>#N/A</v>
      </c>
      <c r="E920" t="e">
        <f t="shared" si="143"/>
        <v>#N/A</v>
      </c>
      <c r="F920" t="e">
        <f t="shared" si="144"/>
        <v>#N/A</v>
      </c>
      <c r="G920" t="e">
        <f t="shared" si="145"/>
        <v>#N/A</v>
      </c>
      <c r="H920" t="e">
        <f t="shared" si="146"/>
        <v>#N/A</v>
      </c>
      <c r="I920">
        <f t="shared" si="147"/>
        <v>2.8110737974509545E-3</v>
      </c>
      <c r="J920" t="e">
        <f t="shared" si="148"/>
        <v>#N/A</v>
      </c>
      <c r="K920">
        <f t="shared" si="149"/>
        <v>3.0110737974509546E-3</v>
      </c>
      <c r="L920" t="e">
        <f>IF(AND(ABS((ChartCalculations!A920-Calculations!$F$3)/Calculations!$F$4)&lt;5,OR(A920&lt;=Calculations!$F$7,A920&gt;=Calculations!$F$8)),0.2*_xlfn.NORM.DIST(100,100,15,FALSE)*_xlfn.NORM.DIST(A920,Calculations!$F$3,Calculations!$F$4,FALSE)/_xlfn.NORM.DIST(Calculations!$F$3,Calculations!$F$3,Calculations!$F$4,FALSE),NA())</f>
        <v>#N/A</v>
      </c>
      <c r="M920" t="e">
        <f>IF(AND(A920&gt;=Calculations!$F$7,A920&lt;=Calculations!$F$8),0.2*_xlfn.NORM.DIST(100,100,15,FALSE)*_xlfn.NORM.DIST(A920,Calculations!$F$3,Calculations!$F$4,FALSE)/_xlfn.NORM.DIST(Calculations!$F$3,Calculations!$F$3,Calculations!$F$4,FALSE),NA())</f>
        <v>#N/A</v>
      </c>
    </row>
    <row r="921" spans="1:13" x14ac:dyDescent="0.25">
      <c r="A921">
        <v>131.900000000001</v>
      </c>
      <c r="B921" t="e">
        <f t="shared" si="140"/>
        <v>#N/A</v>
      </c>
      <c r="C921" t="e">
        <f t="shared" si="141"/>
        <v>#N/A</v>
      </c>
      <c r="D921" t="e">
        <f t="shared" si="142"/>
        <v>#N/A</v>
      </c>
      <c r="E921" t="e">
        <f t="shared" si="143"/>
        <v>#N/A</v>
      </c>
      <c r="F921" t="e">
        <f t="shared" si="144"/>
        <v>#N/A</v>
      </c>
      <c r="G921" t="e">
        <f t="shared" si="145"/>
        <v>#N/A</v>
      </c>
      <c r="H921" t="e">
        <f t="shared" si="146"/>
        <v>#N/A</v>
      </c>
      <c r="I921">
        <f t="shared" si="147"/>
        <v>2.7715618030378212E-3</v>
      </c>
      <c r="J921" t="e">
        <f t="shared" si="148"/>
        <v>#N/A</v>
      </c>
      <c r="K921">
        <f t="shared" si="149"/>
        <v>2.9715618030378213E-3</v>
      </c>
      <c r="L921" t="e">
        <f>IF(AND(ABS((ChartCalculations!A921-Calculations!$F$3)/Calculations!$F$4)&lt;5,OR(A921&lt;=Calculations!$F$7,A921&gt;=Calculations!$F$8)),0.2*_xlfn.NORM.DIST(100,100,15,FALSE)*_xlfn.NORM.DIST(A921,Calculations!$F$3,Calculations!$F$4,FALSE)/_xlfn.NORM.DIST(Calculations!$F$3,Calculations!$F$3,Calculations!$F$4,FALSE),NA())</f>
        <v>#N/A</v>
      </c>
      <c r="M921" t="e">
        <f>IF(AND(A921&gt;=Calculations!$F$7,A921&lt;=Calculations!$F$8),0.2*_xlfn.NORM.DIST(100,100,15,FALSE)*_xlfn.NORM.DIST(A921,Calculations!$F$3,Calculations!$F$4,FALSE)/_xlfn.NORM.DIST(Calculations!$F$3,Calculations!$F$3,Calculations!$F$4,FALSE),NA())</f>
        <v>#N/A</v>
      </c>
    </row>
    <row r="922" spans="1:13" x14ac:dyDescent="0.25">
      <c r="A922">
        <v>132.00000000000099</v>
      </c>
      <c r="B922" t="e">
        <f t="shared" si="140"/>
        <v>#N/A</v>
      </c>
      <c r="C922" t="e">
        <f t="shared" si="141"/>
        <v>#N/A</v>
      </c>
      <c r="D922" t="e">
        <f t="shared" si="142"/>
        <v>#N/A</v>
      </c>
      <c r="E922" t="e">
        <f t="shared" si="143"/>
        <v>#N/A</v>
      </c>
      <c r="F922" t="e">
        <f t="shared" si="144"/>
        <v>#N/A</v>
      </c>
      <c r="G922" t="e">
        <f t="shared" si="145"/>
        <v>#N/A</v>
      </c>
      <c r="H922" t="e">
        <f t="shared" si="146"/>
        <v>#N/A</v>
      </c>
      <c r="I922">
        <f t="shared" si="147"/>
        <v>2.7324837363477605E-3</v>
      </c>
      <c r="J922" t="e">
        <f t="shared" si="148"/>
        <v>#N/A</v>
      </c>
      <c r="K922">
        <f t="shared" si="149"/>
        <v>2.9324837363477606E-3</v>
      </c>
      <c r="L922" t="e">
        <f>IF(AND(ABS((ChartCalculations!A922-Calculations!$F$3)/Calculations!$F$4)&lt;5,OR(A922&lt;=Calculations!$F$7,A922&gt;=Calculations!$F$8)),0.2*_xlfn.NORM.DIST(100,100,15,FALSE)*_xlfn.NORM.DIST(A922,Calculations!$F$3,Calculations!$F$4,FALSE)/_xlfn.NORM.DIST(Calculations!$F$3,Calculations!$F$3,Calculations!$F$4,FALSE),NA())</f>
        <v>#N/A</v>
      </c>
      <c r="M922" t="e">
        <f>IF(AND(A922&gt;=Calculations!$F$7,A922&lt;=Calculations!$F$8),0.2*_xlfn.NORM.DIST(100,100,15,FALSE)*_xlfn.NORM.DIST(A922,Calculations!$F$3,Calculations!$F$4,FALSE)/_xlfn.NORM.DIST(Calculations!$F$3,Calculations!$F$3,Calculations!$F$4,FALSE),NA())</f>
        <v>#N/A</v>
      </c>
    </row>
    <row r="923" spans="1:13" x14ac:dyDescent="0.25">
      <c r="A923">
        <v>132.10000000000099</v>
      </c>
      <c r="B923" t="e">
        <f t="shared" si="140"/>
        <v>#N/A</v>
      </c>
      <c r="C923" t="e">
        <f t="shared" si="141"/>
        <v>#N/A</v>
      </c>
      <c r="D923" t="e">
        <f t="shared" si="142"/>
        <v>#N/A</v>
      </c>
      <c r="E923" t="e">
        <f t="shared" si="143"/>
        <v>#N/A</v>
      </c>
      <c r="F923" t="e">
        <f t="shared" si="144"/>
        <v>#N/A</v>
      </c>
      <c r="G923" t="e">
        <f t="shared" si="145"/>
        <v>#N/A</v>
      </c>
      <c r="H923" t="e">
        <f t="shared" si="146"/>
        <v>#N/A</v>
      </c>
      <c r="I923">
        <f t="shared" si="147"/>
        <v>2.6938369281903078E-3</v>
      </c>
      <c r="J923" t="e">
        <f t="shared" si="148"/>
        <v>#N/A</v>
      </c>
      <c r="K923">
        <f t="shared" si="149"/>
        <v>2.8938369281903079E-3</v>
      </c>
      <c r="L923" t="e">
        <f>IF(AND(ABS((ChartCalculations!A923-Calculations!$F$3)/Calculations!$F$4)&lt;5,OR(A923&lt;=Calculations!$F$7,A923&gt;=Calculations!$F$8)),0.2*_xlfn.NORM.DIST(100,100,15,FALSE)*_xlfn.NORM.DIST(A923,Calculations!$F$3,Calculations!$F$4,FALSE)/_xlfn.NORM.DIST(Calculations!$F$3,Calculations!$F$3,Calculations!$F$4,FALSE),NA())</f>
        <v>#N/A</v>
      </c>
      <c r="M923" t="e">
        <f>IF(AND(A923&gt;=Calculations!$F$7,A923&lt;=Calculations!$F$8),0.2*_xlfn.NORM.DIST(100,100,15,FALSE)*_xlfn.NORM.DIST(A923,Calculations!$F$3,Calculations!$F$4,FALSE)/_xlfn.NORM.DIST(Calculations!$F$3,Calculations!$F$3,Calculations!$F$4,FALSE),NA())</f>
        <v>#N/A</v>
      </c>
    </row>
    <row r="924" spans="1:13" x14ac:dyDescent="0.25">
      <c r="A924">
        <v>132.20000000000101</v>
      </c>
      <c r="B924" t="e">
        <f t="shared" si="140"/>
        <v>#N/A</v>
      </c>
      <c r="C924" t="e">
        <f t="shared" si="141"/>
        <v>#N/A</v>
      </c>
      <c r="D924" t="e">
        <f t="shared" si="142"/>
        <v>#N/A</v>
      </c>
      <c r="E924" t="e">
        <f t="shared" si="143"/>
        <v>#N/A</v>
      </c>
      <c r="F924" t="e">
        <f t="shared" si="144"/>
        <v>#N/A</v>
      </c>
      <c r="G924" t="e">
        <f t="shared" si="145"/>
        <v>#N/A</v>
      </c>
      <c r="H924" t="e">
        <f t="shared" si="146"/>
        <v>#N/A</v>
      </c>
      <c r="I924">
        <f t="shared" si="147"/>
        <v>2.6556186899750265E-3</v>
      </c>
      <c r="J924" t="e">
        <f t="shared" si="148"/>
        <v>#N/A</v>
      </c>
      <c r="K924">
        <f t="shared" si="149"/>
        <v>2.8556186899750266E-3</v>
      </c>
      <c r="L924" t="e">
        <f>IF(AND(ABS((ChartCalculations!A924-Calculations!$F$3)/Calculations!$F$4)&lt;5,OR(A924&lt;=Calculations!$F$7,A924&gt;=Calculations!$F$8)),0.2*_xlfn.NORM.DIST(100,100,15,FALSE)*_xlfn.NORM.DIST(A924,Calculations!$F$3,Calculations!$F$4,FALSE)/_xlfn.NORM.DIST(Calculations!$F$3,Calculations!$F$3,Calculations!$F$4,FALSE),NA())</f>
        <v>#N/A</v>
      </c>
      <c r="M924" t="e">
        <f>IF(AND(A924&gt;=Calculations!$F$7,A924&lt;=Calculations!$F$8),0.2*_xlfn.NORM.DIST(100,100,15,FALSE)*_xlfn.NORM.DIST(A924,Calculations!$F$3,Calculations!$F$4,FALSE)/_xlfn.NORM.DIST(Calculations!$F$3,Calculations!$F$3,Calculations!$F$4,FALSE),NA())</f>
        <v>#N/A</v>
      </c>
    </row>
    <row r="925" spans="1:13" x14ac:dyDescent="0.25">
      <c r="A925">
        <v>132.30000000000101</v>
      </c>
      <c r="B925" t="e">
        <f t="shared" si="140"/>
        <v>#N/A</v>
      </c>
      <c r="C925" t="e">
        <f t="shared" si="141"/>
        <v>#N/A</v>
      </c>
      <c r="D925" t="e">
        <f t="shared" si="142"/>
        <v>#N/A</v>
      </c>
      <c r="E925" t="e">
        <f t="shared" si="143"/>
        <v>#N/A</v>
      </c>
      <c r="F925" t="e">
        <f t="shared" si="144"/>
        <v>#N/A</v>
      </c>
      <c r="G925" t="e">
        <f t="shared" si="145"/>
        <v>#N/A</v>
      </c>
      <c r="H925" t="e">
        <f t="shared" si="146"/>
        <v>#N/A</v>
      </c>
      <c r="I925">
        <f t="shared" si="147"/>
        <v>2.6178263144604899E-3</v>
      </c>
      <c r="J925" t="e">
        <f t="shared" si="148"/>
        <v>#N/A</v>
      </c>
      <c r="K925">
        <f t="shared" si="149"/>
        <v>2.81782631446049E-3</v>
      </c>
      <c r="L925" t="e">
        <f>IF(AND(ABS((ChartCalculations!A925-Calculations!$F$3)/Calculations!$F$4)&lt;5,OR(A925&lt;=Calculations!$F$7,A925&gt;=Calculations!$F$8)),0.2*_xlfn.NORM.DIST(100,100,15,FALSE)*_xlfn.NORM.DIST(A925,Calculations!$F$3,Calculations!$F$4,FALSE)/_xlfn.NORM.DIST(Calculations!$F$3,Calculations!$F$3,Calculations!$F$4,FALSE),NA())</f>
        <v>#N/A</v>
      </c>
      <c r="M925" t="e">
        <f>IF(AND(A925&gt;=Calculations!$F$7,A925&lt;=Calculations!$F$8),0.2*_xlfn.NORM.DIST(100,100,15,FALSE)*_xlfn.NORM.DIST(A925,Calculations!$F$3,Calculations!$F$4,FALSE)/_xlfn.NORM.DIST(Calculations!$F$3,Calculations!$F$3,Calculations!$F$4,FALSE),NA())</f>
        <v>#N/A</v>
      </c>
    </row>
    <row r="926" spans="1:13" x14ac:dyDescent="0.25">
      <c r="A926">
        <v>132.400000000001</v>
      </c>
      <c r="B926" t="e">
        <f t="shared" si="140"/>
        <v>#N/A</v>
      </c>
      <c r="C926" t="e">
        <f t="shared" si="141"/>
        <v>#N/A</v>
      </c>
      <c r="D926" t="e">
        <f t="shared" si="142"/>
        <v>#N/A</v>
      </c>
      <c r="E926" t="e">
        <f t="shared" si="143"/>
        <v>#N/A</v>
      </c>
      <c r="F926" t="e">
        <f t="shared" si="144"/>
        <v>#N/A</v>
      </c>
      <c r="G926" t="e">
        <f t="shared" si="145"/>
        <v>#N/A</v>
      </c>
      <c r="H926" t="e">
        <f t="shared" si="146"/>
        <v>#N/A</v>
      </c>
      <c r="I926">
        <f t="shared" si="147"/>
        <v>2.5804570764966692E-3</v>
      </c>
      <c r="J926" t="e">
        <f t="shared" si="148"/>
        <v>#N/A</v>
      </c>
      <c r="K926">
        <f t="shared" si="149"/>
        <v>2.7804570764966693E-3</v>
      </c>
      <c r="L926" t="e">
        <f>IF(AND(ABS((ChartCalculations!A926-Calculations!$F$3)/Calculations!$F$4)&lt;5,OR(A926&lt;=Calculations!$F$7,A926&gt;=Calculations!$F$8)),0.2*_xlfn.NORM.DIST(100,100,15,FALSE)*_xlfn.NORM.DIST(A926,Calculations!$F$3,Calculations!$F$4,FALSE)/_xlfn.NORM.DIST(Calculations!$F$3,Calculations!$F$3,Calculations!$F$4,FALSE),NA())</f>
        <v>#N/A</v>
      </c>
      <c r="M926" t="e">
        <f>IF(AND(A926&gt;=Calculations!$F$7,A926&lt;=Calculations!$F$8),0.2*_xlfn.NORM.DIST(100,100,15,FALSE)*_xlfn.NORM.DIST(A926,Calculations!$F$3,Calculations!$F$4,FALSE)/_xlfn.NORM.DIST(Calculations!$F$3,Calculations!$F$3,Calculations!$F$4,FALSE),NA())</f>
        <v>#N/A</v>
      </c>
    </row>
    <row r="927" spans="1:13" x14ac:dyDescent="0.25">
      <c r="A927">
        <v>132.50000000000099</v>
      </c>
      <c r="B927" t="e">
        <f t="shared" si="140"/>
        <v>#N/A</v>
      </c>
      <c r="C927" t="e">
        <f t="shared" si="141"/>
        <v>#N/A</v>
      </c>
      <c r="D927" t="e">
        <f t="shared" si="142"/>
        <v>#N/A</v>
      </c>
      <c r="E927" t="e">
        <f t="shared" si="143"/>
        <v>#N/A</v>
      </c>
      <c r="F927" t="e">
        <f t="shared" si="144"/>
        <v>#N/A</v>
      </c>
      <c r="G927" t="e">
        <f t="shared" si="145"/>
        <v>#N/A</v>
      </c>
      <c r="H927" t="e">
        <f t="shared" si="146"/>
        <v>#N/A</v>
      </c>
      <c r="I927">
        <f t="shared" si="147"/>
        <v>2.5435082337608318E-3</v>
      </c>
      <c r="J927" t="e">
        <f t="shared" si="148"/>
        <v>#N/A</v>
      </c>
      <c r="K927">
        <f t="shared" si="149"/>
        <v>2.7435082337608318E-3</v>
      </c>
      <c r="L927" t="e">
        <f>IF(AND(ABS((ChartCalculations!A927-Calculations!$F$3)/Calculations!$F$4)&lt;5,OR(A927&lt;=Calculations!$F$7,A927&gt;=Calculations!$F$8)),0.2*_xlfn.NORM.DIST(100,100,15,FALSE)*_xlfn.NORM.DIST(A927,Calculations!$F$3,Calculations!$F$4,FALSE)/_xlfn.NORM.DIST(Calculations!$F$3,Calculations!$F$3,Calculations!$F$4,FALSE),NA())</f>
        <v>#N/A</v>
      </c>
      <c r="M927" t="e">
        <f>IF(AND(A927&gt;=Calculations!$F$7,A927&lt;=Calculations!$F$8),0.2*_xlfn.NORM.DIST(100,100,15,FALSE)*_xlfn.NORM.DIST(A927,Calculations!$F$3,Calculations!$F$4,FALSE)/_xlfn.NORM.DIST(Calculations!$F$3,Calculations!$F$3,Calculations!$F$4,FALSE),NA())</f>
        <v>#N/A</v>
      </c>
    </row>
    <row r="928" spans="1:13" x14ac:dyDescent="0.25">
      <c r="A928">
        <v>132.60000000000099</v>
      </c>
      <c r="B928" t="e">
        <f t="shared" si="140"/>
        <v>#N/A</v>
      </c>
      <c r="C928" t="e">
        <f t="shared" si="141"/>
        <v>#N/A</v>
      </c>
      <c r="D928" t="e">
        <f t="shared" si="142"/>
        <v>#N/A</v>
      </c>
      <c r="E928" t="e">
        <f t="shared" si="143"/>
        <v>#N/A</v>
      </c>
      <c r="F928" t="e">
        <f t="shared" si="144"/>
        <v>#N/A</v>
      </c>
      <c r="G928" t="e">
        <f t="shared" si="145"/>
        <v>#N/A</v>
      </c>
      <c r="H928" t="e">
        <f t="shared" si="146"/>
        <v>#N/A</v>
      </c>
      <c r="I928">
        <f t="shared" si="147"/>
        <v>2.5069770274866897E-3</v>
      </c>
      <c r="J928" t="e">
        <f t="shared" si="148"/>
        <v>#N/A</v>
      </c>
      <c r="K928">
        <f t="shared" si="149"/>
        <v>2.7069770274866897E-3</v>
      </c>
      <c r="L928" t="e">
        <f>IF(AND(ABS((ChartCalculations!A928-Calculations!$F$3)/Calculations!$F$4)&lt;5,OR(A928&lt;=Calculations!$F$7,A928&gt;=Calculations!$F$8)),0.2*_xlfn.NORM.DIST(100,100,15,FALSE)*_xlfn.NORM.DIST(A928,Calculations!$F$3,Calculations!$F$4,FALSE)/_xlfn.NORM.DIST(Calculations!$F$3,Calculations!$F$3,Calculations!$F$4,FALSE),NA())</f>
        <v>#N/A</v>
      </c>
      <c r="M928" t="e">
        <f>IF(AND(A928&gt;=Calculations!$F$7,A928&lt;=Calculations!$F$8),0.2*_xlfn.NORM.DIST(100,100,15,FALSE)*_xlfn.NORM.DIST(A928,Calculations!$F$3,Calculations!$F$4,FALSE)/_xlfn.NORM.DIST(Calculations!$F$3,Calculations!$F$3,Calculations!$F$4,FALSE),NA())</f>
        <v>#N/A</v>
      </c>
    </row>
    <row r="929" spans="1:13" x14ac:dyDescent="0.25">
      <c r="A929">
        <v>132.70000000000101</v>
      </c>
      <c r="B929" t="e">
        <f t="shared" si="140"/>
        <v>#N/A</v>
      </c>
      <c r="C929" t="e">
        <f t="shared" si="141"/>
        <v>#N/A</v>
      </c>
      <c r="D929" t="e">
        <f t="shared" si="142"/>
        <v>#N/A</v>
      </c>
      <c r="E929" t="e">
        <f t="shared" si="143"/>
        <v>#N/A</v>
      </c>
      <c r="F929" t="e">
        <f t="shared" si="144"/>
        <v>#N/A</v>
      </c>
      <c r="G929" t="e">
        <f t="shared" si="145"/>
        <v>#N/A</v>
      </c>
      <c r="H929" t="e">
        <f t="shared" si="146"/>
        <v>#N/A</v>
      </c>
      <c r="I929">
        <f t="shared" si="147"/>
        <v>2.4708606831867347E-3</v>
      </c>
      <c r="J929" t="e">
        <f t="shared" si="148"/>
        <v>#N/A</v>
      </c>
      <c r="K929">
        <f t="shared" si="149"/>
        <v>2.6708606831867348E-3</v>
      </c>
      <c r="L929" t="e">
        <f>IF(AND(ABS((ChartCalculations!A929-Calculations!$F$3)/Calculations!$F$4)&lt;5,OR(A929&lt;=Calculations!$F$7,A929&gt;=Calculations!$F$8)),0.2*_xlfn.NORM.DIST(100,100,15,FALSE)*_xlfn.NORM.DIST(A929,Calculations!$F$3,Calculations!$F$4,FALSE)/_xlfn.NORM.DIST(Calculations!$F$3,Calculations!$F$3,Calculations!$F$4,FALSE),NA())</f>
        <v>#N/A</v>
      </c>
      <c r="M929" t="e">
        <f>IF(AND(A929&gt;=Calculations!$F$7,A929&lt;=Calculations!$F$8),0.2*_xlfn.NORM.DIST(100,100,15,FALSE)*_xlfn.NORM.DIST(A929,Calculations!$F$3,Calculations!$F$4,FALSE)/_xlfn.NORM.DIST(Calculations!$F$3,Calculations!$F$3,Calculations!$F$4,FALSE),NA())</f>
        <v>#N/A</v>
      </c>
    </row>
    <row r="930" spans="1:13" x14ac:dyDescent="0.25">
      <c r="A930">
        <v>132.80000000000101</v>
      </c>
      <c r="B930" t="e">
        <f t="shared" si="140"/>
        <v>#N/A</v>
      </c>
      <c r="C930" t="e">
        <f t="shared" si="141"/>
        <v>#N/A</v>
      </c>
      <c r="D930" t="e">
        <f t="shared" si="142"/>
        <v>#N/A</v>
      </c>
      <c r="E930" t="e">
        <f t="shared" si="143"/>
        <v>#N/A</v>
      </c>
      <c r="F930" t="e">
        <f t="shared" si="144"/>
        <v>#N/A</v>
      </c>
      <c r="G930" t="e">
        <f t="shared" si="145"/>
        <v>#N/A</v>
      </c>
      <c r="H930" t="e">
        <f t="shared" si="146"/>
        <v>#N/A</v>
      </c>
      <c r="I930">
        <f t="shared" si="147"/>
        <v>2.4351564113677731E-3</v>
      </c>
      <c r="J930" t="e">
        <f t="shared" si="148"/>
        <v>#N/A</v>
      </c>
      <c r="K930">
        <f t="shared" si="149"/>
        <v>2.6351564113677732E-3</v>
      </c>
      <c r="L930" t="e">
        <f>IF(AND(ABS((ChartCalculations!A930-Calculations!$F$3)/Calculations!$F$4)&lt;5,OR(A930&lt;=Calculations!$F$7,A930&gt;=Calculations!$F$8)),0.2*_xlfn.NORM.DIST(100,100,15,FALSE)*_xlfn.NORM.DIST(A930,Calculations!$F$3,Calculations!$F$4,FALSE)/_xlfn.NORM.DIST(Calculations!$F$3,Calculations!$F$3,Calculations!$F$4,FALSE),NA())</f>
        <v>#N/A</v>
      </c>
      <c r="M930" t="e">
        <f>IF(AND(A930&gt;=Calculations!$F$7,A930&lt;=Calculations!$F$8),0.2*_xlfn.NORM.DIST(100,100,15,FALSE)*_xlfn.NORM.DIST(A930,Calculations!$F$3,Calculations!$F$4,FALSE)/_xlfn.NORM.DIST(Calculations!$F$3,Calculations!$F$3,Calculations!$F$4,FALSE),NA())</f>
        <v>#N/A</v>
      </c>
    </row>
    <row r="931" spans="1:13" x14ac:dyDescent="0.25">
      <c r="A931">
        <v>132.900000000001</v>
      </c>
      <c r="B931" t="e">
        <f t="shared" si="140"/>
        <v>#N/A</v>
      </c>
      <c r="C931" t="e">
        <f t="shared" si="141"/>
        <v>#N/A</v>
      </c>
      <c r="D931" t="e">
        <f t="shared" si="142"/>
        <v>#N/A</v>
      </c>
      <c r="E931" t="e">
        <f t="shared" si="143"/>
        <v>#N/A</v>
      </c>
      <c r="F931" t="e">
        <f t="shared" si="144"/>
        <v>#N/A</v>
      </c>
      <c r="G931" t="e">
        <f t="shared" si="145"/>
        <v>#N/A</v>
      </c>
      <c r="H931" t="e">
        <f t="shared" si="146"/>
        <v>#N/A</v>
      </c>
      <c r="I931">
        <f t="shared" si="147"/>
        <v>2.39986140823932E-3</v>
      </c>
      <c r="J931" t="e">
        <f t="shared" si="148"/>
        <v>#N/A</v>
      </c>
      <c r="K931">
        <f t="shared" si="149"/>
        <v>2.5998614082393201E-3</v>
      </c>
      <c r="L931" t="e">
        <f>IF(AND(ABS((ChartCalculations!A931-Calculations!$F$3)/Calculations!$F$4)&lt;5,OR(A931&lt;=Calculations!$F$7,A931&gt;=Calculations!$F$8)),0.2*_xlfn.NORM.DIST(100,100,15,FALSE)*_xlfn.NORM.DIST(A931,Calculations!$F$3,Calculations!$F$4,FALSE)/_xlfn.NORM.DIST(Calculations!$F$3,Calculations!$F$3,Calculations!$F$4,FALSE),NA())</f>
        <v>#N/A</v>
      </c>
      <c r="M931" t="e">
        <f>IF(AND(A931&gt;=Calculations!$F$7,A931&lt;=Calculations!$F$8),0.2*_xlfn.NORM.DIST(100,100,15,FALSE)*_xlfn.NORM.DIST(A931,Calculations!$F$3,Calculations!$F$4,FALSE)/_xlfn.NORM.DIST(Calculations!$F$3,Calculations!$F$3,Calculations!$F$4,FALSE),NA())</f>
        <v>#N/A</v>
      </c>
    </row>
    <row r="932" spans="1:13" x14ac:dyDescent="0.25">
      <c r="A932">
        <v>133.00000000000099</v>
      </c>
      <c r="B932" t="e">
        <f t="shared" si="140"/>
        <v>#N/A</v>
      </c>
      <c r="C932" t="e">
        <f t="shared" si="141"/>
        <v>#N/A</v>
      </c>
      <c r="D932" t="e">
        <f t="shared" si="142"/>
        <v>#N/A</v>
      </c>
      <c r="E932" t="e">
        <f t="shared" si="143"/>
        <v>#N/A</v>
      </c>
      <c r="F932" t="e">
        <f t="shared" si="144"/>
        <v>#N/A</v>
      </c>
      <c r="G932" t="e">
        <f t="shared" si="145"/>
        <v>#N/A</v>
      </c>
      <c r="H932" t="e">
        <f t="shared" si="146"/>
        <v>#N/A</v>
      </c>
      <c r="I932">
        <f t="shared" si="147"/>
        <v>2.3649728564150837E-3</v>
      </c>
      <c r="J932" t="e">
        <f t="shared" si="148"/>
        <v>#N/A</v>
      </c>
      <c r="K932">
        <f t="shared" si="149"/>
        <v>2.5649728564150838E-3</v>
      </c>
      <c r="L932" t="e">
        <f>IF(AND(ABS((ChartCalculations!A932-Calculations!$F$3)/Calculations!$F$4)&lt;5,OR(A932&lt;=Calculations!$F$7,A932&gt;=Calculations!$F$8)),0.2*_xlfn.NORM.DIST(100,100,15,FALSE)*_xlfn.NORM.DIST(A932,Calculations!$F$3,Calculations!$F$4,FALSE)/_xlfn.NORM.DIST(Calculations!$F$3,Calculations!$F$3,Calculations!$F$4,FALSE),NA())</f>
        <v>#N/A</v>
      </c>
      <c r="M932" t="e">
        <f>IF(AND(A932&gt;=Calculations!$F$7,A932&lt;=Calculations!$F$8),0.2*_xlfn.NORM.DIST(100,100,15,FALSE)*_xlfn.NORM.DIST(A932,Calculations!$F$3,Calculations!$F$4,FALSE)/_xlfn.NORM.DIST(Calculations!$F$3,Calculations!$F$3,Calculations!$F$4,FALSE),NA())</f>
        <v>#N/A</v>
      </c>
    </row>
    <row r="933" spans="1:13" x14ac:dyDescent="0.25">
      <c r="A933">
        <v>133.10000000000099</v>
      </c>
      <c r="B933" t="e">
        <f t="shared" si="140"/>
        <v>#N/A</v>
      </c>
      <c r="C933" t="e">
        <f t="shared" si="141"/>
        <v>#N/A</v>
      </c>
      <c r="D933" t="e">
        <f t="shared" si="142"/>
        <v>#N/A</v>
      </c>
      <c r="E933" t="e">
        <f t="shared" si="143"/>
        <v>#N/A</v>
      </c>
      <c r="F933" t="e">
        <f t="shared" si="144"/>
        <v>#N/A</v>
      </c>
      <c r="G933" t="e">
        <f t="shared" si="145"/>
        <v>#N/A</v>
      </c>
      <c r="H933" t="e">
        <f t="shared" si="146"/>
        <v>#N/A</v>
      </c>
      <c r="I933">
        <f t="shared" si="147"/>
        <v>2.3304879256072137E-3</v>
      </c>
      <c r="J933" t="e">
        <f t="shared" si="148"/>
        <v>#N/A</v>
      </c>
      <c r="K933">
        <f t="shared" si="149"/>
        <v>2.5304879256072138E-3</v>
      </c>
      <c r="L933" t="e">
        <f>IF(AND(ABS((ChartCalculations!A933-Calculations!$F$3)/Calculations!$F$4)&lt;5,OR(A933&lt;=Calculations!$F$7,A933&gt;=Calculations!$F$8)),0.2*_xlfn.NORM.DIST(100,100,15,FALSE)*_xlfn.NORM.DIST(A933,Calculations!$F$3,Calculations!$F$4,FALSE)/_xlfn.NORM.DIST(Calculations!$F$3,Calculations!$F$3,Calculations!$F$4,FALSE),NA())</f>
        <v>#N/A</v>
      </c>
      <c r="M933" t="e">
        <f>IF(AND(A933&gt;=Calculations!$F$7,A933&lt;=Calculations!$F$8),0.2*_xlfn.NORM.DIST(100,100,15,FALSE)*_xlfn.NORM.DIST(A933,Calculations!$F$3,Calculations!$F$4,FALSE)/_xlfn.NORM.DIST(Calculations!$F$3,Calculations!$F$3,Calculations!$F$4,FALSE),NA())</f>
        <v>#N/A</v>
      </c>
    </row>
    <row r="934" spans="1:13" x14ac:dyDescent="0.25">
      <c r="A934">
        <v>133.20000000000101</v>
      </c>
      <c r="B934" t="e">
        <f t="shared" si="140"/>
        <v>#N/A</v>
      </c>
      <c r="C934" t="e">
        <f t="shared" si="141"/>
        <v>#N/A</v>
      </c>
      <c r="D934" t="e">
        <f t="shared" si="142"/>
        <v>#N/A</v>
      </c>
      <c r="E934" t="e">
        <f t="shared" si="143"/>
        <v>#N/A</v>
      </c>
      <c r="F934" t="e">
        <f t="shared" si="144"/>
        <v>#N/A</v>
      </c>
      <c r="G934" t="e">
        <f t="shared" si="145"/>
        <v>#N/A</v>
      </c>
      <c r="H934" t="e">
        <f t="shared" si="146"/>
        <v>#N/A</v>
      </c>
      <c r="I934">
        <f t="shared" si="147"/>
        <v>2.2964037733133272E-3</v>
      </c>
      <c r="J934" t="e">
        <f t="shared" si="148"/>
        <v>#N/A</v>
      </c>
      <c r="K934">
        <f t="shared" si="149"/>
        <v>2.4964037733133273E-3</v>
      </c>
      <c r="L934" t="e">
        <f>IF(AND(ABS((ChartCalculations!A934-Calculations!$F$3)/Calculations!$F$4)&lt;5,OR(A934&lt;=Calculations!$F$7,A934&gt;=Calculations!$F$8)),0.2*_xlfn.NORM.DIST(100,100,15,FALSE)*_xlfn.NORM.DIST(A934,Calculations!$F$3,Calculations!$F$4,FALSE)/_xlfn.NORM.DIST(Calculations!$F$3,Calculations!$F$3,Calculations!$F$4,FALSE),NA())</f>
        <v>#N/A</v>
      </c>
      <c r="M934" t="e">
        <f>IF(AND(A934&gt;=Calculations!$F$7,A934&lt;=Calculations!$F$8),0.2*_xlfn.NORM.DIST(100,100,15,FALSE)*_xlfn.NORM.DIST(A934,Calculations!$F$3,Calculations!$F$4,FALSE)/_xlfn.NORM.DIST(Calculations!$F$3,Calculations!$F$3,Calculations!$F$4,FALSE),NA())</f>
        <v>#N/A</v>
      </c>
    </row>
    <row r="935" spans="1:13" x14ac:dyDescent="0.25">
      <c r="A935">
        <v>133.30000000000101</v>
      </c>
      <c r="B935" t="e">
        <f t="shared" si="140"/>
        <v>#N/A</v>
      </c>
      <c r="C935" t="e">
        <f t="shared" si="141"/>
        <v>#N/A</v>
      </c>
      <c r="D935" t="e">
        <f t="shared" si="142"/>
        <v>#N/A</v>
      </c>
      <c r="E935" t="e">
        <f t="shared" si="143"/>
        <v>#N/A</v>
      </c>
      <c r="F935" t="e">
        <f t="shared" si="144"/>
        <v>#N/A</v>
      </c>
      <c r="G935" t="e">
        <f t="shared" si="145"/>
        <v>#N/A</v>
      </c>
      <c r="H935" t="e">
        <f t="shared" si="146"/>
        <v>#N/A</v>
      </c>
      <c r="I935">
        <f t="shared" si="147"/>
        <v>2.2627175454962753E-3</v>
      </c>
      <c r="J935" t="e">
        <f t="shared" si="148"/>
        <v>#N/A</v>
      </c>
      <c r="K935">
        <f t="shared" si="149"/>
        <v>2.4627175454962754E-3</v>
      </c>
      <c r="L935" t="e">
        <f>IF(AND(ABS((ChartCalculations!A935-Calculations!$F$3)/Calculations!$F$4)&lt;5,OR(A935&lt;=Calculations!$F$7,A935&gt;=Calculations!$F$8)),0.2*_xlfn.NORM.DIST(100,100,15,FALSE)*_xlfn.NORM.DIST(A935,Calculations!$F$3,Calculations!$F$4,FALSE)/_xlfn.NORM.DIST(Calculations!$F$3,Calculations!$F$3,Calculations!$F$4,FALSE),NA())</f>
        <v>#N/A</v>
      </c>
      <c r="M935" t="e">
        <f>IF(AND(A935&gt;=Calculations!$F$7,A935&lt;=Calculations!$F$8),0.2*_xlfn.NORM.DIST(100,100,15,FALSE)*_xlfn.NORM.DIST(A935,Calculations!$F$3,Calculations!$F$4,FALSE)/_xlfn.NORM.DIST(Calculations!$F$3,Calculations!$F$3,Calculations!$F$4,FALSE),NA())</f>
        <v>#N/A</v>
      </c>
    </row>
    <row r="936" spans="1:13" x14ac:dyDescent="0.25">
      <c r="A936">
        <v>133.400000000001</v>
      </c>
      <c r="B936" t="e">
        <f t="shared" si="140"/>
        <v>#N/A</v>
      </c>
      <c r="C936" t="e">
        <f t="shared" si="141"/>
        <v>#N/A</v>
      </c>
      <c r="D936" t="e">
        <f t="shared" si="142"/>
        <v>#N/A</v>
      </c>
      <c r="E936" t="e">
        <f t="shared" si="143"/>
        <v>#N/A</v>
      </c>
      <c r="F936" t="e">
        <f t="shared" si="144"/>
        <v>#N/A</v>
      </c>
      <c r="G936" t="e">
        <f t="shared" si="145"/>
        <v>#N/A</v>
      </c>
      <c r="H936" t="e">
        <f t="shared" si="146"/>
        <v>#N/A</v>
      </c>
      <c r="I936">
        <f t="shared" si="147"/>
        <v>2.2294263772564332E-3</v>
      </c>
      <c r="J936" t="e">
        <f t="shared" si="148"/>
        <v>#N/A</v>
      </c>
      <c r="K936">
        <f t="shared" si="149"/>
        <v>2.4294263772564333E-3</v>
      </c>
      <c r="L936" t="e">
        <f>IF(AND(ABS((ChartCalculations!A936-Calculations!$F$3)/Calculations!$F$4)&lt;5,OR(A936&lt;=Calculations!$F$7,A936&gt;=Calculations!$F$8)),0.2*_xlfn.NORM.DIST(100,100,15,FALSE)*_xlfn.NORM.DIST(A936,Calculations!$F$3,Calculations!$F$4,FALSE)/_xlfn.NORM.DIST(Calculations!$F$3,Calculations!$F$3,Calculations!$F$4,FALSE),NA())</f>
        <v>#N/A</v>
      </c>
      <c r="M936" t="e">
        <f>IF(AND(A936&gt;=Calculations!$F$7,A936&lt;=Calculations!$F$8),0.2*_xlfn.NORM.DIST(100,100,15,FALSE)*_xlfn.NORM.DIST(A936,Calculations!$F$3,Calculations!$F$4,FALSE)/_xlfn.NORM.DIST(Calculations!$F$3,Calculations!$F$3,Calculations!$F$4,FALSE),NA())</f>
        <v>#N/A</v>
      </c>
    </row>
    <row r="937" spans="1:13" x14ac:dyDescent="0.25">
      <c r="A937">
        <v>133.50000000000099</v>
      </c>
      <c r="B937" t="e">
        <f t="shared" si="140"/>
        <v>#N/A</v>
      </c>
      <c r="C937" t="e">
        <f t="shared" si="141"/>
        <v>#N/A</v>
      </c>
      <c r="D937" t="e">
        <f t="shared" si="142"/>
        <v>#N/A</v>
      </c>
      <c r="E937" t="e">
        <f t="shared" si="143"/>
        <v>#N/A</v>
      </c>
      <c r="F937" t="e">
        <f t="shared" si="144"/>
        <v>#N/A</v>
      </c>
      <c r="G937" t="e">
        <f t="shared" si="145"/>
        <v>#N/A</v>
      </c>
      <c r="H937" t="e">
        <f t="shared" si="146"/>
        <v>#N/A</v>
      </c>
      <c r="I937">
        <f t="shared" si="147"/>
        <v>2.1965273934966278E-3</v>
      </c>
      <c r="J937" t="e">
        <f t="shared" si="148"/>
        <v>#N/A</v>
      </c>
      <c r="K937">
        <f t="shared" si="149"/>
        <v>2.3965273934966279E-3</v>
      </c>
      <c r="L937" t="e">
        <f>IF(AND(ABS((ChartCalculations!A937-Calculations!$F$3)/Calculations!$F$4)&lt;5,OR(A937&lt;=Calculations!$F$7,A937&gt;=Calculations!$F$8)),0.2*_xlfn.NORM.DIST(100,100,15,FALSE)*_xlfn.NORM.DIST(A937,Calculations!$F$3,Calculations!$F$4,FALSE)/_xlfn.NORM.DIST(Calculations!$F$3,Calculations!$F$3,Calculations!$F$4,FALSE),NA())</f>
        <v>#N/A</v>
      </c>
      <c r="M937" t="e">
        <f>IF(AND(A937&gt;=Calculations!$F$7,A937&lt;=Calculations!$F$8),0.2*_xlfn.NORM.DIST(100,100,15,FALSE)*_xlfn.NORM.DIST(A937,Calculations!$F$3,Calculations!$F$4,FALSE)/_xlfn.NORM.DIST(Calculations!$F$3,Calculations!$F$3,Calculations!$F$4,FALSE),NA())</f>
        <v>#N/A</v>
      </c>
    </row>
    <row r="938" spans="1:13" x14ac:dyDescent="0.25">
      <c r="A938">
        <v>133.60000000000099</v>
      </c>
      <c r="B938" t="e">
        <f t="shared" si="140"/>
        <v>#N/A</v>
      </c>
      <c r="C938" t="e">
        <f t="shared" si="141"/>
        <v>#N/A</v>
      </c>
      <c r="D938" t="e">
        <f t="shared" si="142"/>
        <v>#N/A</v>
      </c>
      <c r="E938" t="e">
        <f t="shared" si="143"/>
        <v>#N/A</v>
      </c>
      <c r="F938" t="e">
        <f t="shared" si="144"/>
        <v>#N/A</v>
      </c>
      <c r="G938" t="e">
        <f t="shared" si="145"/>
        <v>#N/A</v>
      </c>
      <c r="H938" t="e">
        <f t="shared" si="146"/>
        <v>#N/A</v>
      </c>
      <c r="I938">
        <f t="shared" si="147"/>
        <v>2.1640177095795105E-3</v>
      </c>
      <c r="J938" t="e">
        <f t="shared" si="148"/>
        <v>#N/A</v>
      </c>
      <c r="K938">
        <f t="shared" si="149"/>
        <v>2.3640177095795105E-3</v>
      </c>
      <c r="L938" t="e">
        <f>IF(AND(ABS((ChartCalculations!A938-Calculations!$F$3)/Calculations!$F$4)&lt;5,OR(A938&lt;=Calculations!$F$7,A938&gt;=Calculations!$F$8)),0.2*_xlfn.NORM.DIST(100,100,15,FALSE)*_xlfn.NORM.DIST(A938,Calculations!$F$3,Calculations!$F$4,FALSE)/_xlfn.NORM.DIST(Calculations!$F$3,Calculations!$F$3,Calculations!$F$4,FALSE),NA())</f>
        <v>#N/A</v>
      </c>
      <c r="M938" t="e">
        <f>IF(AND(A938&gt;=Calculations!$F$7,A938&lt;=Calculations!$F$8),0.2*_xlfn.NORM.DIST(100,100,15,FALSE)*_xlfn.NORM.DIST(A938,Calculations!$F$3,Calculations!$F$4,FALSE)/_xlfn.NORM.DIST(Calculations!$F$3,Calculations!$F$3,Calculations!$F$4,FALSE),NA())</f>
        <v>#N/A</v>
      </c>
    </row>
    <row r="939" spans="1:13" x14ac:dyDescent="0.25">
      <c r="A939">
        <v>133.70000000000101</v>
      </c>
      <c r="B939" t="e">
        <f t="shared" si="140"/>
        <v>#N/A</v>
      </c>
      <c r="C939" t="e">
        <f t="shared" si="141"/>
        <v>#N/A</v>
      </c>
      <c r="D939" t="e">
        <f t="shared" si="142"/>
        <v>#N/A</v>
      </c>
      <c r="E939" t="e">
        <f t="shared" si="143"/>
        <v>#N/A</v>
      </c>
      <c r="F939" t="e">
        <f t="shared" si="144"/>
        <v>#N/A</v>
      </c>
      <c r="G939" t="e">
        <f t="shared" si="145"/>
        <v>#N/A</v>
      </c>
      <c r="H939" t="e">
        <f t="shared" si="146"/>
        <v>#N/A</v>
      </c>
      <c r="I939">
        <f t="shared" si="147"/>
        <v>2.1318944319773402E-3</v>
      </c>
      <c r="J939" t="e">
        <f t="shared" si="148"/>
        <v>#N/A</v>
      </c>
      <c r="K939">
        <f t="shared" si="149"/>
        <v>2.3318944319773403E-3</v>
      </c>
      <c r="L939" t="e">
        <f>IF(AND(ABS((ChartCalculations!A939-Calculations!$F$3)/Calculations!$F$4)&lt;5,OR(A939&lt;=Calculations!$F$7,A939&gt;=Calculations!$F$8)),0.2*_xlfn.NORM.DIST(100,100,15,FALSE)*_xlfn.NORM.DIST(A939,Calculations!$F$3,Calculations!$F$4,FALSE)/_xlfn.NORM.DIST(Calculations!$F$3,Calculations!$F$3,Calculations!$F$4,FALSE),NA())</f>
        <v>#N/A</v>
      </c>
      <c r="M939" t="e">
        <f>IF(AND(A939&gt;=Calculations!$F$7,A939&lt;=Calculations!$F$8),0.2*_xlfn.NORM.DIST(100,100,15,FALSE)*_xlfn.NORM.DIST(A939,Calculations!$F$3,Calculations!$F$4,FALSE)/_xlfn.NORM.DIST(Calculations!$F$3,Calculations!$F$3,Calculations!$F$4,FALSE),NA())</f>
        <v>#N/A</v>
      </c>
    </row>
    <row r="940" spans="1:13" x14ac:dyDescent="0.25">
      <c r="A940">
        <v>133.80000000000101</v>
      </c>
      <c r="B940" t="e">
        <f t="shared" si="140"/>
        <v>#N/A</v>
      </c>
      <c r="C940" t="e">
        <f t="shared" si="141"/>
        <v>#N/A</v>
      </c>
      <c r="D940" t="e">
        <f t="shared" si="142"/>
        <v>#N/A</v>
      </c>
      <c r="E940" t="e">
        <f t="shared" si="143"/>
        <v>#N/A</v>
      </c>
      <c r="F940" t="e">
        <f t="shared" si="144"/>
        <v>#N/A</v>
      </c>
      <c r="G940" t="e">
        <f t="shared" si="145"/>
        <v>#N/A</v>
      </c>
      <c r="H940" t="e">
        <f t="shared" si="146"/>
        <v>#N/A</v>
      </c>
      <c r="I940">
        <f t="shared" si="147"/>
        <v>2.1001546589141679E-3</v>
      </c>
      <c r="J940" t="e">
        <f t="shared" si="148"/>
        <v>#N/A</v>
      </c>
      <c r="K940">
        <f t="shared" si="149"/>
        <v>2.300154658914168E-3</v>
      </c>
      <c r="L940" t="e">
        <f>IF(AND(ABS((ChartCalculations!A940-Calculations!$F$3)/Calculations!$F$4)&lt;5,OR(A940&lt;=Calculations!$F$7,A940&gt;=Calculations!$F$8)),0.2*_xlfn.NORM.DIST(100,100,15,FALSE)*_xlfn.NORM.DIST(A940,Calculations!$F$3,Calculations!$F$4,FALSE)/_xlfn.NORM.DIST(Calculations!$F$3,Calculations!$F$3,Calculations!$F$4,FALSE),NA())</f>
        <v>#N/A</v>
      </c>
      <c r="M940" t="e">
        <f>IF(AND(A940&gt;=Calculations!$F$7,A940&lt;=Calculations!$F$8),0.2*_xlfn.NORM.DIST(100,100,15,FALSE)*_xlfn.NORM.DIST(A940,Calculations!$F$3,Calculations!$F$4,FALSE)/_xlfn.NORM.DIST(Calculations!$F$3,Calculations!$F$3,Calculations!$F$4,FALSE),NA())</f>
        <v>#N/A</v>
      </c>
    </row>
    <row r="941" spans="1:13" x14ac:dyDescent="0.25">
      <c r="A941">
        <v>133.900000000001</v>
      </c>
      <c r="B941" t="e">
        <f t="shared" si="140"/>
        <v>#N/A</v>
      </c>
      <c r="C941" t="e">
        <f t="shared" si="141"/>
        <v>#N/A</v>
      </c>
      <c r="D941" t="e">
        <f t="shared" si="142"/>
        <v>#N/A</v>
      </c>
      <c r="E941" t="e">
        <f t="shared" si="143"/>
        <v>#N/A</v>
      </c>
      <c r="F941" t="e">
        <f t="shared" si="144"/>
        <v>#N/A</v>
      </c>
      <c r="G941" t="e">
        <f t="shared" si="145"/>
        <v>#N/A</v>
      </c>
      <c r="H941" t="e">
        <f t="shared" si="146"/>
        <v>#N/A</v>
      </c>
      <c r="I941">
        <f t="shared" si="147"/>
        <v>2.068795481000237E-3</v>
      </c>
      <c r="J941" t="e">
        <f t="shared" si="148"/>
        <v>#N/A</v>
      </c>
      <c r="K941">
        <f t="shared" si="149"/>
        <v>2.2687954810002371E-3</v>
      </c>
      <c r="L941" t="e">
        <f>IF(AND(ABS((ChartCalculations!A941-Calculations!$F$3)/Calculations!$F$4)&lt;5,OR(A941&lt;=Calculations!$F$7,A941&gt;=Calculations!$F$8)),0.2*_xlfn.NORM.DIST(100,100,15,FALSE)*_xlfn.NORM.DIST(A941,Calculations!$F$3,Calculations!$F$4,FALSE)/_xlfn.NORM.DIST(Calculations!$F$3,Calculations!$F$3,Calculations!$F$4,FALSE),NA())</f>
        <v>#N/A</v>
      </c>
      <c r="M941" t="e">
        <f>IF(AND(A941&gt;=Calculations!$F$7,A941&lt;=Calculations!$F$8),0.2*_xlfn.NORM.DIST(100,100,15,FALSE)*_xlfn.NORM.DIST(A941,Calculations!$F$3,Calculations!$F$4,FALSE)/_xlfn.NORM.DIST(Calculations!$F$3,Calculations!$F$3,Calculations!$F$4,FALSE),NA())</f>
        <v>#N/A</v>
      </c>
    </row>
    <row r="942" spans="1:13" x14ac:dyDescent="0.25">
      <c r="A942">
        <v>134.00000000000099</v>
      </c>
      <c r="B942" t="e">
        <f t="shared" si="140"/>
        <v>#N/A</v>
      </c>
      <c r="C942" t="e">
        <f t="shared" si="141"/>
        <v>#N/A</v>
      </c>
      <c r="D942" t="e">
        <f t="shared" si="142"/>
        <v>#N/A</v>
      </c>
      <c r="E942" t="e">
        <f t="shared" si="143"/>
        <v>#N/A</v>
      </c>
      <c r="F942" t="e">
        <f t="shared" si="144"/>
        <v>#N/A</v>
      </c>
      <c r="G942" t="e">
        <f t="shared" si="145"/>
        <v>#N/A</v>
      </c>
      <c r="H942" t="e">
        <f t="shared" si="146"/>
        <v>#N/A</v>
      </c>
      <c r="I942">
        <f t="shared" si="147"/>
        <v>2.0378139818587266E-3</v>
      </c>
      <c r="J942" t="e">
        <f t="shared" si="148"/>
        <v>#N/A</v>
      </c>
      <c r="K942">
        <f t="shared" si="149"/>
        <v>2.2378139818587267E-3</v>
      </c>
      <c r="L942" t="e">
        <f>IF(AND(ABS((ChartCalculations!A942-Calculations!$F$3)/Calculations!$F$4)&lt;5,OR(A942&lt;=Calculations!$F$7,A942&gt;=Calculations!$F$8)),0.2*_xlfn.NORM.DIST(100,100,15,FALSE)*_xlfn.NORM.DIST(A942,Calculations!$F$3,Calculations!$F$4,FALSE)/_xlfn.NORM.DIST(Calculations!$F$3,Calculations!$F$3,Calculations!$F$4,FALSE),NA())</f>
        <v>#N/A</v>
      </c>
      <c r="M942" t="e">
        <f>IF(AND(A942&gt;=Calculations!$F$7,A942&lt;=Calculations!$F$8),0.2*_xlfn.NORM.DIST(100,100,15,FALSE)*_xlfn.NORM.DIST(A942,Calculations!$F$3,Calculations!$F$4,FALSE)/_xlfn.NORM.DIST(Calculations!$F$3,Calculations!$F$3,Calculations!$F$4,FALSE),NA())</f>
        <v>#N/A</v>
      </c>
    </row>
    <row r="943" spans="1:13" x14ac:dyDescent="0.25">
      <c r="A943">
        <v>134.10000000000099</v>
      </c>
      <c r="B943" t="e">
        <f t="shared" si="140"/>
        <v>#N/A</v>
      </c>
      <c r="C943" t="e">
        <f t="shared" si="141"/>
        <v>#N/A</v>
      </c>
      <c r="D943" t="e">
        <f t="shared" si="142"/>
        <v>#N/A</v>
      </c>
      <c r="E943" t="e">
        <f t="shared" si="143"/>
        <v>#N/A</v>
      </c>
      <c r="F943" t="e">
        <f t="shared" si="144"/>
        <v>#N/A</v>
      </c>
      <c r="G943" t="e">
        <f t="shared" si="145"/>
        <v>#N/A</v>
      </c>
      <c r="H943" t="e">
        <f t="shared" si="146"/>
        <v>#N/A</v>
      </c>
      <c r="I943">
        <f t="shared" si="147"/>
        <v>2.007207238744623E-3</v>
      </c>
      <c r="J943" t="e">
        <f t="shared" si="148"/>
        <v>#N/A</v>
      </c>
      <c r="K943">
        <f t="shared" si="149"/>
        <v>2.2072072387446231E-3</v>
      </c>
      <c r="L943" t="e">
        <f>IF(AND(ABS((ChartCalculations!A943-Calculations!$F$3)/Calculations!$F$4)&lt;5,OR(A943&lt;=Calculations!$F$7,A943&gt;=Calculations!$F$8)),0.2*_xlfn.NORM.DIST(100,100,15,FALSE)*_xlfn.NORM.DIST(A943,Calculations!$F$3,Calculations!$F$4,FALSE)/_xlfn.NORM.DIST(Calculations!$F$3,Calculations!$F$3,Calculations!$F$4,FALSE),NA())</f>
        <v>#N/A</v>
      </c>
      <c r="M943" t="e">
        <f>IF(AND(A943&gt;=Calculations!$F$7,A943&lt;=Calculations!$F$8),0.2*_xlfn.NORM.DIST(100,100,15,FALSE)*_xlfn.NORM.DIST(A943,Calculations!$F$3,Calculations!$F$4,FALSE)/_xlfn.NORM.DIST(Calculations!$F$3,Calculations!$F$3,Calculations!$F$4,FALSE),NA())</f>
        <v>#N/A</v>
      </c>
    </row>
    <row r="944" spans="1:13" x14ac:dyDescent="0.25">
      <c r="A944">
        <v>134.20000000000101</v>
      </c>
      <c r="B944" t="e">
        <f t="shared" si="140"/>
        <v>#N/A</v>
      </c>
      <c r="C944" t="e">
        <f t="shared" si="141"/>
        <v>#N/A</v>
      </c>
      <c r="D944" t="e">
        <f t="shared" si="142"/>
        <v>#N/A</v>
      </c>
      <c r="E944" t="e">
        <f t="shared" si="143"/>
        <v>#N/A</v>
      </c>
      <c r="F944" t="e">
        <f t="shared" si="144"/>
        <v>#N/A</v>
      </c>
      <c r="G944" t="e">
        <f t="shared" si="145"/>
        <v>#N/A</v>
      </c>
      <c r="H944" t="e">
        <f t="shared" si="146"/>
        <v>#N/A</v>
      </c>
      <c r="I944">
        <f t="shared" si="147"/>
        <v>1.9769723231557812E-3</v>
      </c>
      <c r="J944" t="e">
        <f t="shared" si="148"/>
        <v>#N/A</v>
      </c>
      <c r="K944">
        <f t="shared" si="149"/>
        <v>2.1769723231557813E-3</v>
      </c>
      <c r="L944" t="e">
        <f>IF(AND(ABS((ChartCalculations!A944-Calculations!$F$3)/Calculations!$F$4)&lt;5,OR(A944&lt;=Calculations!$F$7,A944&gt;=Calculations!$F$8)),0.2*_xlfn.NORM.DIST(100,100,15,FALSE)*_xlfn.NORM.DIST(A944,Calculations!$F$3,Calculations!$F$4,FALSE)/_xlfn.NORM.DIST(Calculations!$F$3,Calculations!$F$3,Calculations!$F$4,FALSE),NA())</f>
        <v>#N/A</v>
      </c>
      <c r="M944" t="e">
        <f>IF(AND(A944&gt;=Calculations!$F$7,A944&lt;=Calculations!$F$8),0.2*_xlfn.NORM.DIST(100,100,15,FALSE)*_xlfn.NORM.DIST(A944,Calculations!$F$3,Calculations!$F$4,FALSE)/_xlfn.NORM.DIST(Calculations!$F$3,Calculations!$F$3,Calculations!$F$4,FALSE),NA())</f>
        <v>#N/A</v>
      </c>
    </row>
    <row r="945" spans="1:13" x14ac:dyDescent="0.25">
      <c r="A945">
        <v>134.30000000000101</v>
      </c>
      <c r="B945" t="e">
        <f t="shared" si="140"/>
        <v>#N/A</v>
      </c>
      <c r="C945" t="e">
        <f t="shared" si="141"/>
        <v>#N/A</v>
      </c>
      <c r="D945" t="e">
        <f t="shared" si="142"/>
        <v>#N/A</v>
      </c>
      <c r="E945" t="e">
        <f t="shared" si="143"/>
        <v>#N/A</v>
      </c>
      <c r="F945" t="e">
        <f t="shared" si="144"/>
        <v>#N/A</v>
      </c>
      <c r="G945" t="e">
        <f t="shared" si="145"/>
        <v>#N/A</v>
      </c>
      <c r="H945" t="e">
        <f t="shared" si="146"/>
        <v>#N/A</v>
      </c>
      <c r="I945">
        <f t="shared" si="147"/>
        <v>1.9471063014360969E-3</v>
      </c>
      <c r="J945" t="e">
        <f t="shared" si="148"/>
        <v>#N/A</v>
      </c>
      <c r="K945">
        <f t="shared" si="149"/>
        <v>2.1471063014360968E-3</v>
      </c>
      <c r="L945" t="e">
        <f>IF(AND(ABS((ChartCalculations!A945-Calculations!$F$3)/Calculations!$F$4)&lt;5,OR(A945&lt;=Calculations!$F$7,A945&gt;=Calculations!$F$8)),0.2*_xlfn.NORM.DIST(100,100,15,FALSE)*_xlfn.NORM.DIST(A945,Calculations!$F$3,Calculations!$F$4,FALSE)/_xlfn.NORM.DIST(Calculations!$F$3,Calculations!$F$3,Calculations!$F$4,FALSE),NA())</f>
        <v>#N/A</v>
      </c>
      <c r="M945" t="e">
        <f>IF(AND(A945&gt;=Calculations!$F$7,A945&lt;=Calculations!$F$8),0.2*_xlfn.NORM.DIST(100,100,15,FALSE)*_xlfn.NORM.DIST(A945,Calculations!$F$3,Calculations!$F$4,FALSE)/_xlfn.NORM.DIST(Calculations!$F$3,Calculations!$F$3,Calculations!$F$4,FALSE),NA())</f>
        <v>#N/A</v>
      </c>
    </row>
    <row r="946" spans="1:13" x14ac:dyDescent="0.25">
      <c r="A946">
        <v>134.400000000001</v>
      </c>
      <c r="B946" t="e">
        <f t="shared" si="140"/>
        <v>#N/A</v>
      </c>
      <c r="C946" t="e">
        <f t="shared" si="141"/>
        <v>#N/A</v>
      </c>
      <c r="D946" t="e">
        <f t="shared" si="142"/>
        <v>#N/A</v>
      </c>
      <c r="E946" t="e">
        <f t="shared" si="143"/>
        <v>#N/A</v>
      </c>
      <c r="F946" t="e">
        <f t="shared" si="144"/>
        <v>#N/A</v>
      </c>
      <c r="G946" t="e">
        <f t="shared" si="145"/>
        <v>#N/A</v>
      </c>
      <c r="H946" t="e">
        <f t="shared" si="146"/>
        <v>#N/A</v>
      </c>
      <c r="I946">
        <f t="shared" si="147"/>
        <v>1.9176062353706781E-3</v>
      </c>
      <c r="J946" t="e">
        <f t="shared" si="148"/>
        <v>#N/A</v>
      </c>
      <c r="K946">
        <f t="shared" si="149"/>
        <v>2.117606235370678E-3</v>
      </c>
      <c r="L946" t="e">
        <f>IF(AND(ABS((ChartCalculations!A946-Calculations!$F$3)/Calculations!$F$4)&lt;5,OR(A946&lt;=Calculations!$F$7,A946&gt;=Calculations!$F$8)),0.2*_xlfn.NORM.DIST(100,100,15,FALSE)*_xlfn.NORM.DIST(A946,Calculations!$F$3,Calculations!$F$4,FALSE)/_xlfn.NORM.DIST(Calculations!$F$3,Calculations!$F$3,Calculations!$F$4,FALSE),NA())</f>
        <v>#N/A</v>
      </c>
      <c r="M946" t="e">
        <f>IF(AND(A946&gt;=Calculations!$F$7,A946&lt;=Calculations!$F$8),0.2*_xlfn.NORM.DIST(100,100,15,FALSE)*_xlfn.NORM.DIST(A946,Calculations!$F$3,Calculations!$F$4,FALSE)/_xlfn.NORM.DIST(Calculations!$F$3,Calculations!$F$3,Calculations!$F$4,FALSE),NA())</f>
        <v>#N/A</v>
      </c>
    </row>
    <row r="947" spans="1:13" x14ac:dyDescent="0.25">
      <c r="A947">
        <v>134.50000000000099</v>
      </c>
      <c r="B947" t="e">
        <f t="shared" si="140"/>
        <v>#N/A</v>
      </c>
      <c r="C947" t="e">
        <f t="shared" si="141"/>
        <v>#N/A</v>
      </c>
      <c r="D947" t="e">
        <f t="shared" si="142"/>
        <v>#N/A</v>
      </c>
      <c r="E947" t="e">
        <f t="shared" si="143"/>
        <v>#N/A</v>
      </c>
      <c r="F947" t="e">
        <f t="shared" si="144"/>
        <v>#N/A</v>
      </c>
      <c r="G947" t="e">
        <f t="shared" si="145"/>
        <v>#N/A</v>
      </c>
      <c r="H947" t="e">
        <f t="shared" si="146"/>
        <v>#N/A</v>
      </c>
      <c r="I947">
        <f t="shared" si="147"/>
        <v>1.8884691827731231E-3</v>
      </c>
      <c r="J947" t="e">
        <f t="shared" si="148"/>
        <v>#N/A</v>
      </c>
      <c r="K947">
        <f t="shared" si="149"/>
        <v>2.0884691827731229E-3</v>
      </c>
      <c r="L947" t="e">
        <f>IF(AND(ABS((ChartCalculations!A947-Calculations!$F$3)/Calculations!$F$4)&lt;5,OR(A947&lt;=Calculations!$F$7,A947&gt;=Calculations!$F$8)),0.2*_xlfn.NORM.DIST(100,100,15,FALSE)*_xlfn.NORM.DIST(A947,Calculations!$F$3,Calculations!$F$4,FALSE)/_xlfn.NORM.DIST(Calculations!$F$3,Calculations!$F$3,Calculations!$F$4,FALSE),NA())</f>
        <v>#N/A</v>
      </c>
      <c r="M947" t="e">
        <f>IF(AND(A947&gt;=Calculations!$F$7,A947&lt;=Calculations!$F$8),0.2*_xlfn.NORM.DIST(100,100,15,FALSE)*_xlfn.NORM.DIST(A947,Calculations!$F$3,Calculations!$F$4,FALSE)/_xlfn.NORM.DIST(Calculations!$F$3,Calculations!$F$3,Calculations!$F$4,FALSE),NA())</f>
        <v>#N/A</v>
      </c>
    </row>
    <row r="948" spans="1:13" x14ac:dyDescent="0.25">
      <c r="A948">
        <v>134.60000000000099</v>
      </c>
      <c r="B948" t="e">
        <f t="shared" si="140"/>
        <v>#N/A</v>
      </c>
      <c r="C948" t="e">
        <f t="shared" si="141"/>
        <v>#N/A</v>
      </c>
      <c r="D948" t="e">
        <f t="shared" si="142"/>
        <v>#N/A</v>
      </c>
      <c r="E948" t="e">
        <f t="shared" si="143"/>
        <v>#N/A</v>
      </c>
      <c r="F948" t="e">
        <f t="shared" si="144"/>
        <v>#N/A</v>
      </c>
      <c r="G948" t="e">
        <f t="shared" si="145"/>
        <v>#N/A</v>
      </c>
      <c r="H948" t="e">
        <f t="shared" si="146"/>
        <v>#N/A</v>
      </c>
      <c r="I948">
        <f t="shared" si="147"/>
        <v>1.8596921980647497E-3</v>
      </c>
      <c r="J948" t="e">
        <f t="shared" si="148"/>
        <v>#N/A</v>
      </c>
      <c r="K948">
        <f t="shared" si="149"/>
        <v>2.0596921980647496E-3</v>
      </c>
      <c r="L948" t="e">
        <f>IF(AND(ABS((ChartCalculations!A948-Calculations!$F$3)/Calculations!$F$4)&lt;5,OR(A948&lt;=Calculations!$F$7,A948&gt;=Calculations!$F$8)),0.2*_xlfn.NORM.DIST(100,100,15,FALSE)*_xlfn.NORM.DIST(A948,Calculations!$F$3,Calculations!$F$4,FALSE)/_xlfn.NORM.DIST(Calculations!$F$3,Calculations!$F$3,Calculations!$F$4,FALSE),NA())</f>
        <v>#N/A</v>
      </c>
      <c r="M948" t="e">
        <f>IF(AND(A948&gt;=Calculations!$F$7,A948&lt;=Calculations!$F$8),0.2*_xlfn.NORM.DIST(100,100,15,FALSE)*_xlfn.NORM.DIST(A948,Calculations!$F$3,Calculations!$F$4,FALSE)/_xlfn.NORM.DIST(Calculations!$F$3,Calculations!$F$3,Calculations!$F$4,FALSE),NA())</f>
        <v>#N/A</v>
      </c>
    </row>
    <row r="949" spans="1:13" x14ac:dyDescent="0.25">
      <c r="A949">
        <v>134.70000000000101</v>
      </c>
      <c r="B949" t="e">
        <f t="shared" si="140"/>
        <v>#N/A</v>
      </c>
      <c r="C949" t="e">
        <f t="shared" si="141"/>
        <v>#N/A</v>
      </c>
      <c r="D949" t="e">
        <f t="shared" si="142"/>
        <v>#N/A</v>
      </c>
      <c r="E949" t="e">
        <f t="shared" si="143"/>
        <v>#N/A</v>
      </c>
      <c r="F949" t="e">
        <f t="shared" si="144"/>
        <v>#N/A</v>
      </c>
      <c r="G949" t="e">
        <f t="shared" si="145"/>
        <v>#N/A</v>
      </c>
      <c r="H949" t="e">
        <f t="shared" si="146"/>
        <v>#N/A</v>
      </c>
      <c r="I949">
        <f t="shared" si="147"/>
        <v>1.8312723328457803E-3</v>
      </c>
      <c r="J949" t="e">
        <f t="shared" si="148"/>
        <v>#N/A</v>
      </c>
      <c r="K949">
        <f t="shared" si="149"/>
        <v>2.0312723328457802E-3</v>
      </c>
      <c r="L949" t="e">
        <f>IF(AND(ABS((ChartCalculations!A949-Calculations!$F$3)/Calculations!$F$4)&lt;5,OR(A949&lt;=Calculations!$F$7,A949&gt;=Calculations!$F$8)),0.2*_xlfn.NORM.DIST(100,100,15,FALSE)*_xlfn.NORM.DIST(A949,Calculations!$F$3,Calculations!$F$4,FALSE)/_xlfn.NORM.DIST(Calculations!$F$3,Calculations!$F$3,Calculations!$F$4,FALSE),NA())</f>
        <v>#N/A</v>
      </c>
      <c r="M949" t="e">
        <f>IF(AND(A949&gt;=Calculations!$F$7,A949&lt;=Calculations!$F$8),0.2*_xlfn.NORM.DIST(100,100,15,FALSE)*_xlfn.NORM.DIST(A949,Calculations!$F$3,Calculations!$F$4,FALSE)/_xlfn.NORM.DIST(Calculations!$F$3,Calculations!$F$3,Calculations!$F$4,FALSE),NA())</f>
        <v>#N/A</v>
      </c>
    </row>
    <row r="950" spans="1:13" x14ac:dyDescent="0.25">
      <c r="A950">
        <v>134.80000000000101</v>
      </c>
      <c r="B950" t="e">
        <f t="shared" si="140"/>
        <v>#N/A</v>
      </c>
      <c r="C950" t="e">
        <f t="shared" si="141"/>
        <v>#N/A</v>
      </c>
      <c r="D950" t="e">
        <f t="shared" si="142"/>
        <v>#N/A</v>
      </c>
      <c r="E950" t="e">
        <f t="shared" si="143"/>
        <v>#N/A</v>
      </c>
      <c r="F950" t="e">
        <f t="shared" si="144"/>
        <v>#N/A</v>
      </c>
      <c r="G950" t="e">
        <f t="shared" si="145"/>
        <v>#N/A</v>
      </c>
      <c r="H950" t="e">
        <f t="shared" si="146"/>
        <v>#N/A</v>
      </c>
      <c r="I950">
        <f t="shared" si="147"/>
        <v>1.8032066364585056E-3</v>
      </c>
      <c r="J950" t="e">
        <f t="shared" si="148"/>
        <v>#N/A</v>
      </c>
      <c r="K950">
        <f t="shared" si="149"/>
        <v>2.0032066364585057E-3</v>
      </c>
      <c r="L950" t="e">
        <f>IF(AND(ABS((ChartCalculations!A950-Calculations!$F$3)/Calculations!$F$4)&lt;5,OR(A950&lt;=Calculations!$F$7,A950&gt;=Calculations!$F$8)),0.2*_xlfn.NORM.DIST(100,100,15,FALSE)*_xlfn.NORM.DIST(A950,Calculations!$F$3,Calculations!$F$4,FALSE)/_xlfn.NORM.DIST(Calculations!$F$3,Calculations!$F$3,Calculations!$F$4,FALSE),NA())</f>
        <v>#N/A</v>
      </c>
      <c r="M950" t="e">
        <f>IF(AND(A950&gt;=Calculations!$F$7,A950&lt;=Calculations!$F$8),0.2*_xlfn.NORM.DIST(100,100,15,FALSE)*_xlfn.NORM.DIST(A950,Calculations!$F$3,Calculations!$F$4,FALSE)/_xlfn.NORM.DIST(Calculations!$F$3,Calculations!$F$3,Calculations!$F$4,FALSE),NA())</f>
        <v>#N/A</v>
      </c>
    </row>
    <row r="951" spans="1:13" x14ac:dyDescent="0.25">
      <c r="A951">
        <v>134.900000000001</v>
      </c>
      <c r="B951" t="e">
        <f t="shared" si="140"/>
        <v>#N/A</v>
      </c>
      <c r="C951" t="e">
        <f t="shared" si="141"/>
        <v>#N/A</v>
      </c>
      <c r="D951" t="e">
        <f t="shared" si="142"/>
        <v>#N/A</v>
      </c>
      <c r="E951" t="e">
        <f t="shared" si="143"/>
        <v>#N/A</v>
      </c>
      <c r="F951" t="e">
        <f t="shared" si="144"/>
        <v>#N/A</v>
      </c>
      <c r="G951" t="e">
        <f t="shared" si="145"/>
        <v>#N/A</v>
      </c>
      <c r="H951" t="e">
        <f t="shared" si="146"/>
        <v>#N/A</v>
      </c>
      <c r="I951">
        <f t="shared" si="147"/>
        <v>1.775492156542256E-3</v>
      </c>
      <c r="J951" t="e">
        <f t="shared" si="148"/>
        <v>#N/A</v>
      </c>
      <c r="K951">
        <f t="shared" si="149"/>
        <v>1.9754921565422559E-3</v>
      </c>
      <c r="L951" t="e">
        <f>IF(AND(ABS((ChartCalculations!A951-Calculations!$F$3)/Calculations!$F$4)&lt;5,OR(A951&lt;=Calculations!$F$7,A951&gt;=Calculations!$F$8)),0.2*_xlfn.NORM.DIST(100,100,15,FALSE)*_xlfn.NORM.DIST(A951,Calculations!$F$3,Calculations!$F$4,FALSE)/_xlfn.NORM.DIST(Calculations!$F$3,Calculations!$F$3,Calculations!$F$4,FALSE),NA())</f>
        <v>#N/A</v>
      </c>
      <c r="M951" t="e">
        <f>IF(AND(A951&gt;=Calculations!$F$7,A951&lt;=Calculations!$F$8),0.2*_xlfn.NORM.DIST(100,100,15,FALSE)*_xlfn.NORM.DIST(A951,Calculations!$F$3,Calculations!$F$4,FALSE)/_xlfn.NORM.DIST(Calculations!$F$3,Calculations!$F$3,Calculations!$F$4,FALSE),NA())</f>
        <v>#N/A</v>
      </c>
    </row>
    <row r="952" spans="1:13" x14ac:dyDescent="0.25">
      <c r="A952">
        <v>135.00000000000099</v>
      </c>
      <c r="B952" t="e">
        <f t="shared" si="140"/>
        <v>#N/A</v>
      </c>
      <c r="C952" t="e">
        <f t="shared" si="141"/>
        <v>#N/A</v>
      </c>
      <c r="D952" t="e">
        <f t="shared" si="142"/>
        <v>#N/A</v>
      </c>
      <c r="E952" t="e">
        <f t="shared" si="143"/>
        <v>#N/A</v>
      </c>
      <c r="F952" t="e">
        <f t="shared" si="144"/>
        <v>#N/A</v>
      </c>
      <c r="G952" t="e">
        <f t="shared" si="145"/>
        <v>#N/A</v>
      </c>
      <c r="H952" t="e">
        <f t="shared" si="146"/>
        <v>#N/A</v>
      </c>
      <c r="I952">
        <f t="shared" si="147"/>
        <v>1.7481259395803628E-3</v>
      </c>
      <c r="J952" t="e">
        <f t="shared" si="148"/>
        <v>#N/A</v>
      </c>
      <c r="K952">
        <f t="shared" si="149"/>
        <v>1.9481259395803629E-3</v>
      </c>
      <c r="L952" t="e">
        <f>IF(AND(ABS((ChartCalculations!A952-Calculations!$F$3)/Calculations!$F$4)&lt;5,OR(A952&lt;=Calculations!$F$7,A952&gt;=Calculations!$F$8)),0.2*_xlfn.NORM.DIST(100,100,15,FALSE)*_xlfn.NORM.DIST(A952,Calculations!$F$3,Calculations!$F$4,FALSE)/_xlfn.NORM.DIST(Calculations!$F$3,Calculations!$F$3,Calculations!$F$4,FALSE),NA())</f>
        <v>#N/A</v>
      </c>
      <c r="M952" t="e">
        <f>IF(AND(A952&gt;=Calculations!$F$7,A952&lt;=Calculations!$F$8),0.2*_xlfn.NORM.DIST(100,100,15,FALSE)*_xlfn.NORM.DIST(A952,Calculations!$F$3,Calculations!$F$4,FALSE)/_xlfn.NORM.DIST(Calculations!$F$3,Calculations!$F$3,Calculations!$F$4,FALSE),NA())</f>
        <v>#N/A</v>
      </c>
    </row>
    <row r="953" spans="1:13" x14ac:dyDescent="0.25">
      <c r="A953">
        <v>135.10000000000099</v>
      </c>
      <c r="B953" t="e">
        <f t="shared" si="140"/>
        <v>#N/A</v>
      </c>
      <c r="C953" t="e">
        <f t="shared" si="141"/>
        <v>#N/A</v>
      </c>
      <c r="D953" t="e">
        <f t="shared" si="142"/>
        <v>#N/A</v>
      </c>
      <c r="E953" t="e">
        <f t="shared" si="143"/>
        <v>#N/A</v>
      </c>
      <c r="F953" t="e">
        <f t="shared" si="144"/>
        <v>#N/A</v>
      </c>
      <c r="G953" t="e">
        <f t="shared" si="145"/>
        <v>#N/A</v>
      </c>
      <c r="H953" t="e">
        <f t="shared" si="146"/>
        <v>#N/A</v>
      </c>
      <c r="I953">
        <f t="shared" si="147"/>
        <v>1.7211050314389128E-3</v>
      </c>
      <c r="J953" t="e">
        <f t="shared" si="148"/>
        <v>#N/A</v>
      </c>
      <c r="K953">
        <f t="shared" si="149"/>
        <v>1.9211050314389129E-3</v>
      </c>
      <c r="L953" t="e">
        <f>IF(AND(ABS((ChartCalculations!A953-Calculations!$F$3)/Calculations!$F$4)&lt;5,OR(A953&lt;=Calculations!$F$7,A953&gt;=Calculations!$F$8)),0.2*_xlfn.NORM.DIST(100,100,15,FALSE)*_xlfn.NORM.DIST(A953,Calculations!$F$3,Calculations!$F$4,FALSE)/_xlfn.NORM.DIST(Calculations!$F$3,Calculations!$F$3,Calculations!$F$4,FALSE),NA())</f>
        <v>#N/A</v>
      </c>
      <c r="M953" t="e">
        <f>IF(AND(A953&gt;=Calculations!$F$7,A953&lt;=Calculations!$F$8),0.2*_xlfn.NORM.DIST(100,100,15,FALSE)*_xlfn.NORM.DIST(A953,Calculations!$F$3,Calculations!$F$4,FALSE)/_xlfn.NORM.DIST(Calculations!$F$3,Calculations!$F$3,Calculations!$F$4,FALSE),NA())</f>
        <v>#N/A</v>
      </c>
    </row>
    <row r="954" spans="1:13" x14ac:dyDescent="0.25">
      <c r="A954">
        <v>135.20000000000101</v>
      </c>
      <c r="B954" t="e">
        <f t="shared" si="140"/>
        <v>#N/A</v>
      </c>
      <c r="C954" t="e">
        <f t="shared" si="141"/>
        <v>#N/A</v>
      </c>
      <c r="D954" t="e">
        <f t="shared" si="142"/>
        <v>#N/A</v>
      </c>
      <c r="E954" t="e">
        <f t="shared" si="143"/>
        <v>#N/A</v>
      </c>
      <c r="F954" t="e">
        <f t="shared" si="144"/>
        <v>#N/A</v>
      </c>
      <c r="G954" t="e">
        <f t="shared" si="145"/>
        <v>#N/A</v>
      </c>
      <c r="H954" t="e">
        <f t="shared" si="146"/>
        <v>#N/A</v>
      </c>
      <c r="I954">
        <f t="shared" si="147"/>
        <v>1.6944264778973642E-3</v>
      </c>
      <c r="J954" t="e">
        <f t="shared" si="148"/>
        <v>#N/A</v>
      </c>
      <c r="K954">
        <f t="shared" si="149"/>
        <v>1.8944264778973643E-3</v>
      </c>
      <c r="L954" t="e">
        <f>IF(AND(ABS((ChartCalculations!A954-Calculations!$F$3)/Calculations!$F$4)&lt;5,OR(A954&lt;=Calculations!$F$7,A954&gt;=Calculations!$F$8)),0.2*_xlfn.NORM.DIST(100,100,15,FALSE)*_xlfn.NORM.DIST(A954,Calculations!$F$3,Calculations!$F$4,FALSE)/_xlfn.NORM.DIST(Calculations!$F$3,Calculations!$F$3,Calculations!$F$4,FALSE),NA())</f>
        <v>#N/A</v>
      </c>
      <c r="M954" t="e">
        <f>IF(AND(A954&gt;=Calculations!$F$7,A954&lt;=Calculations!$F$8),0.2*_xlfn.NORM.DIST(100,100,15,FALSE)*_xlfn.NORM.DIST(A954,Calculations!$F$3,Calculations!$F$4,FALSE)/_xlfn.NORM.DIST(Calculations!$F$3,Calculations!$F$3,Calculations!$F$4,FALSE),NA())</f>
        <v>#N/A</v>
      </c>
    </row>
    <row r="955" spans="1:13" x14ac:dyDescent="0.25">
      <c r="A955">
        <v>135.30000000000101</v>
      </c>
      <c r="B955" t="e">
        <f t="shared" si="140"/>
        <v>#N/A</v>
      </c>
      <c r="C955" t="e">
        <f t="shared" si="141"/>
        <v>#N/A</v>
      </c>
      <c r="D955" t="e">
        <f t="shared" si="142"/>
        <v>#N/A</v>
      </c>
      <c r="E955" t="e">
        <f t="shared" si="143"/>
        <v>#N/A</v>
      </c>
      <c r="F955" t="e">
        <f t="shared" si="144"/>
        <v>#N/A</v>
      </c>
      <c r="G955" t="e">
        <f t="shared" si="145"/>
        <v>#N/A</v>
      </c>
      <c r="H955" t="e">
        <f t="shared" si="146"/>
        <v>#N/A</v>
      </c>
      <c r="I955">
        <f t="shared" si="147"/>
        <v>1.6680873251710168E-3</v>
      </c>
      <c r="J955" t="e">
        <f t="shared" si="148"/>
        <v>#N/A</v>
      </c>
      <c r="K955">
        <f t="shared" si="149"/>
        <v>1.8680873251710169E-3</v>
      </c>
      <c r="L955" t="e">
        <f>IF(AND(ABS((ChartCalculations!A955-Calculations!$F$3)/Calculations!$F$4)&lt;5,OR(A955&lt;=Calculations!$F$7,A955&gt;=Calculations!$F$8)),0.2*_xlfn.NORM.DIST(100,100,15,FALSE)*_xlfn.NORM.DIST(A955,Calculations!$F$3,Calculations!$F$4,FALSE)/_xlfn.NORM.DIST(Calculations!$F$3,Calculations!$F$3,Calculations!$F$4,FALSE),NA())</f>
        <v>#N/A</v>
      </c>
      <c r="M955" t="e">
        <f>IF(AND(A955&gt;=Calculations!$F$7,A955&lt;=Calculations!$F$8),0.2*_xlfn.NORM.DIST(100,100,15,FALSE)*_xlfn.NORM.DIST(A955,Calculations!$F$3,Calculations!$F$4,FALSE)/_xlfn.NORM.DIST(Calculations!$F$3,Calculations!$F$3,Calculations!$F$4,FALSE),NA())</f>
        <v>#N/A</v>
      </c>
    </row>
    <row r="956" spans="1:13" x14ac:dyDescent="0.25">
      <c r="A956">
        <v>135.400000000001</v>
      </c>
      <c r="B956" t="e">
        <f t="shared" si="140"/>
        <v>#N/A</v>
      </c>
      <c r="C956" t="e">
        <f t="shared" si="141"/>
        <v>#N/A</v>
      </c>
      <c r="D956" t="e">
        <f t="shared" si="142"/>
        <v>#N/A</v>
      </c>
      <c r="E956" t="e">
        <f t="shared" si="143"/>
        <v>#N/A</v>
      </c>
      <c r="F956" t="e">
        <f t="shared" si="144"/>
        <v>#N/A</v>
      </c>
      <c r="G956" t="e">
        <f t="shared" si="145"/>
        <v>#N/A</v>
      </c>
      <c r="H956" t="e">
        <f t="shared" si="146"/>
        <v>#N/A</v>
      </c>
      <c r="I956">
        <f t="shared" si="147"/>
        <v>1.6420846204252422E-3</v>
      </c>
      <c r="J956" t="e">
        <f t="shared" si="148"/>
        <v>#N/A</v>
      </c>
      <c r="K956">
        <f t="shared" si="149"/>
        <v>1.8420846204252423E-3</v>
      </c>
      <c r="L956" t="e">
        <f>IF(AND(ABS((ChartCalculations!A956-Calculations!$F$3)/Calculations!$F$4)&lt;5,OR(A956&lt;=Calculations!$F$7,A956&gt;=Calculations!$F$8)),0.2*_xlfn.NORM.DIST(100,100,15,FALSE)*_xlfn.NORM.DIST(A956,Calculations!$F$3,Calculations!$F$4,FALSE)/_xlfn.NORM.DIST(Calculations!$F$3,Calculations!$F$3,Calculations!$F$4,FALSE),NA())</f>
        <v>#N/A</v>
      </c>
      <c r="M956" t="e">
        <f>IF(AND(A956&gt;=Calculations!$F$7,A956&lt;=Calculations!$F$8),0.2*_xlfn.NORM.DIST(100,100,15,FALSE)*_xlfn.NORM.DIST(A956,Calculations!$F$3,Calculations!$F$4,FALSE)/_xlfn.NORM.DIST(Calculations!$F$3,Calculations!$F$3,Calculations!$F$4,FALSE),NA())</f>
        <v>#N/A</v>
      </c>
    </row>
    <row r="957" spans="1:13" x14ac:dyDescent="0.25">
      <c r="A957">
        <v>135.50000000000099</v>
      </c>
      <c r="B957" t="e">
        <f t="shared" si="140"/>
        <v>#N/A</v>
      </c>
      <c r="C957" t="e">
        <f t="shared" si="141"/>
        <v>#N/A</v>
      </c>
      <c r="D957" t="e">
        <f t="shared" si="142"/>
        <v>#N/A</v>
      </c>
      <c r="E957" t="e">
        <f t="shared" si="143"/>
        <v>#N/A</v>
      </c>
      <c r="F957" t="e">
        <f t="shared" si="144"/>
        <v>#N/A</v>
      </c>
      <c r="G957" t="e">
        <f t="shared" si="145"/>
        <v>#N/A</v>
      </c>
      <c r="H957" t="e">
        <f t="shared" si="146"/>
        <v>#N/A</v>
      </c>
      <c r="I957">
        <f t="shared" si="147"/>
        <v>1.6164154122815706E-3</v>
      </c>
      <c r="J957" t="e">
        <f t="shared" si="148"/>
        <v>#N/A</v>
      </c>
      <c r="K957">
        <f t="shared" si="149"/>
        <v>1.8164154122815707E-3</v>
      </c>
      <c r="L957" t="e">
        <f>IF(AND(ABS((ChartCalculations!A957-Calculations!$F$3)/Calculations!$F$4)&lt;5,OR(A957&lt;=Calculations!$F$7,A957&gt;=Calculations!$F$8)),0.2*_xlfn.NORM.DIST(100,100,15,FALSE)*_xlfn.NORM.DIST(A957,Calculations!$F$3,Calculations!$F$4,FALSE)/_xlfn.NORM.DIST(Calculations!$F$3,Calculations!$F$3,Calculations!$F$4,FALSE),NA())</f>
        <v>#N/A</v>
      </c>
      <c r="M957" t="e">
        <f>IF(AND(A957&gt;=Calculations!$F$7,A957&lt;=Calculations!$F$8),0.2*_xlfn.NORM.DIST(100,100,15,FALSE)*_xlfn.NORM.DIST(A957,Calculations!$F$3,Calculations!$F$4,FALSE)/_xlfn.NORM.DIST(Calculations!$F$3,Calculations!$F$3,Calculations!$F$4,FALSE),NA())</f>
        <v>#N/A</v>
      </c>
    </row>
    <row r="958" spans="1:13" x14ac:dyDescent="0.25">
      <c r="A958">
        <v>135.60000000000099</v>
      </c>
      <c r="B958" t="e">
        <f t="shared" si="140"/>
        <v>#N/A</v>
      </c>
      <c r="C958" t="e">
        <f t="shared" si="141"/>
        <v>#N/A</v>
      </c>
      <c r="D958" t="e">
        <f t="shared" si="142"/>
        <v>#N/A</v>
      </c>
      <c r="E958" t="e">
        <f t="shared" si="143"/>
        <v>#N/A</v>
      </c>
      <c r="F958" t="e">
        <f t="shared" si="144"/>
        <v>#N/A</v>
      </c>
      <c r="G958" t="e">
        <f t="shared" si="145"/>
        <v>#N/A</v>
      </c>
      <c r="H958" t="e">
        <f t="shared" si="146"/>
        <v>#N/A</v>
      </c>
      <c r="I958">
        <f t="shared" si="147"/>
        <v>1.5910767513155713E-3</v>
      </c>
      <c r="J958" t="e">
        <f t="shared" si="148"/>
        <v>#N/A</v>
      </c>
      <c r="K958">
        <f t="shared" si="149"/>
        <v>1.7910767513155713E-3</v>
      </c>
      <c r="L958" t="e">
        <f>IF(AND(ABS((ChartCalculations!A958-Calculations!$F$3)/Calculations!$F$4)&lt;5,OR(A958&lt;=Calculations!$F$7,A958&gt;=Calculations!$F$8)),0.2*_xlfn.NORM.DIST(100,100,15,FALSE)*_xlfn.NORM.DIST(A958,Calculations!$F$3,Calculations!$F$4,FALSE)/_xlfn.NORM.DIST(Calculations!$F$3,Calculations!$F$3,Calculations!$F$4,FALSE),NA())</f>
        <v>#N/A</v>
      </c>
      <c r="M958" t="e">
        <f>IF(AND(A958&gt;=Calculations!$F$7,A958&lt;=Calculations!$F$8),0.2*_xlfn.NORM.DIST(100,100,15,FALSE)*_xlfn.NORM.DIST(A958,Calculations!$F$3,Calculations!$F$4,FALSE)/_xlfn.NORM.DIST(Calculations!$F$3,Calculations!$F$3,Calculations!$F$4,FALSE),NA())</f>
        <v>#N/A</v>
      </c>
    </row>
    <row r="959" spans="1:13" x14ac:dyDescent="0.25">
      <c r="A959">
        <v>135.70000000000101</v>
      </c>
      <c r="B959" t="e">
        <f t="shared" si="140"/>
        <v>#N/A</v>
      </c>
      <c r="C959" t="e">
        <f t="shared" si="141"/>
        <v>#N/A</v>
      </c>
      <c r="D959" t="e">
        <f t="shared" si="142"/>
        <v>#N/A</v>
      </c>
      <c r="E959" t="e">
        <f t="shared" si="143"/>
        <v>#N/A</v>
      </c>
      <c r="F959" t="e">
        <f t="shared" si="144"/>
        <v>#N/A</v>
      </c>
      <c r="G959" t="e">
        <f t="shared" si="145"/>
        <v>#N/A</v>
      </c>
      <c r="H959" t="e">
        <f t="shared" si="146"/>
        <v>#N/A</v>
      </c>
      <c r="I959">
        <f t="shared" si="147"/>
        <v>1.566065690546506E-3</v>
      </c>
      <c r="J959" t="e">
        <f t="shared" si="148"/>
        <v>#N/A</v>
      </c>
      <c r="K959">
        <f t="shared" si="149"/>
        <v>1.7660656905465061E-3</v>
      </c>
      <c r="L959" t="e">
        <f>IF(AND(ABS((ChartCalculations!A959-Calculations!$F$3)/Calculations!$F$4)&lt;5,OR(A959&lt;=Calculations!$F$7,A959&gt;=Calculations!$F$8)),0.2*_xlfn.NORM.DIST(100,100,15,FALSE)*_xlfn.NORM.DIST(A959,Calculations!$F$3,Calculations!$F$4,FALSE)/_xlfn.NORM.DIST(Calculations!$F$3,Calculations!$F$3,Calculations!$F$4,FALSE),NA())</f>
        <v>#N/A</v>
      </c>
      <c r="M959" t="e">
        <f>IF(AND(A959&gt;=Calculations!$F$7,A959&lt;=Calculations!$F$8),0.2*_xlfn.NORM.DIST(100,100,15,FALSE)*_xlfn.NORM.DIST(A959,Calculations!$F$3,Calculations!$F$4,FALSE)/_xlfn.NORM.DIST(Calculations!$F$3,Calculations!$F$3,Calculations!$F$4,FALSE),NA())</f>
        <v>#N/A</v>
      </c>
    </row>
    <row r="960" spans="1:13" x14ac:dyDescent="0.25">
      <c r="A960">
        <v>135.80000000000101</v>
      </c>
      <c r="B960" t="e">
        <f t="shared" si="140"/>
        <v>#N/A</v>
      </c>
      <c r="C960" t="e">
        <f t="shared" si="141"/>
        <v>#N/A</v>
      </c>
      <c r="D960" t="e">
        <f t="shared" si="142"/>
        <v>#N/A</v>
      </c>
      <c r="E960" t="e">
        <f t="shared" si="143"/>
        <v>#N/A</v>
      </c>
      <c r="F960" t="e">
        <f t="shared" si="144"/>
        <v>#N/A</v>
      </c>
      <c r="G960" t="e">
        <f t="shared" si="145"/>
        <v>#N/A</v>
      </c>
      <c r="H960" t="e">
        <f t="shared" si="146"/>
        <v>#N/A</v>
      </c>
      <c r="I960">
        <f t="shared" si="147"/>
        <v>1.5413792859188303E-3</v>
      </c>
      <c r="J960" t="e">
        <f t="shared" si="148"/>
        <v>#N/A</v>
      </c>
      <c r="K960">
        <f t="shared" si="149"/>
        <v>1.7413792859188304E-3</v>
      </c>
      <c r="L960" t="e">
        <f>IF(AND(ABS((ChartCalculations!A960-Calculations!$F$3)/Calculations!$F$4)&lt;5,OR(A960&lt;=Calculations!$F$7,A960&gt;=Calculations!$F$8)),0.2*_xlfn.NORM.DIST(100,100,15,FALSE)*_xlfn.NORM.DIST(A960,Calculations!$F$3,Calculations!$F$4,FALSE)/_xlfn.NORM.DIST(Calculations!$F$3,Calculations!$F$3,Calculations!$F$4,FALSE),NA())</f>
        <v>#N/A</v>
      </c>
      <c r="M960" t="e">
        <f>IF(AND(A960&gt;=Calculations!$F$7,A960&lt;=Calculations!$F$8),0.2*_xlfn.NORM.DIST(100,100,15,FALSE)*_xlfn.NORM.DIST(A960,Calculations!$F$3,Calculations!$F$4,FALSE)/_xlfn.NORM.DIST(Calculations!$F$3,Calculations!$F$3,Calculations!$F$4,FALSE),NA())</f>
        <v>#N/A</v>
      </c>
    </row>
    <row r="961" spans="1:13" x14ac:dyDescent="0.25">
      <c r="A961">
        <v>135.900000000001</v>
      </c>
      <c r="B961" t="e">
        <f t="shared" si="140"/>
        <v>#N/A</v>
      </c>
      <c r="C961" t="e">
        <f t="shared" si="141"/>
        <v>#N/A</v>
      </c>
      <c r="D961" t="e">
        <f t="shared" si="142"/>
        <v>#N/A</v>
      </c>
      <c r="E961" t="e">
        <f t="shared" si="143"/>
        <v>#N/A</v>
      </c>
      <c r="F961" t="e">
        <f t="shared" si="144"/>
        <v>#N/A</v>
      </c>
      <c r="G961" t="e">
        <f t="shared" si="145"/>
        <v>#N/A</v>
      </c>
      <c r="H961" t="e">
        <f t="shared" si="146"/>
        <v>#N/A</v>
      </c>
      <c r="I961">
        <f t="shared" si="147"/>
        <v>1.5170145967754111E-3</v>
      </c>
      <c r="J961" t="e">
        <f t="shared" si="148"/>
        <v>#N/A</v>
      </c>
      <c r="K961">
        <f t="shared" si="149"/>
        <v>1.7170145967754112E-3</v>
      </c>
      <c r="L961" t="e">
        <f>IF(AND(ABS((ChartCalculations!A961-Calculations!$F$3)/Calculations!$F$4)&lt;5,OR(A961&lt;=Calculations!$F$7,A961&gt;=Calculations!$F$8)),0.2*_xlfn.NORM.DIST(100,100,15,FALSE)*_xlfn.NORM.DIST(A961,Calculations!$F$3,Calculations!$F$4,FALSE)/_xlfn.NORM.DIST(Calculations!$F$3,Calculations!$F$3,Calculations!$F$4,FALSE),NA())</f>
        <v>#N/A</v>
      </c>
      <c r="M961" t="e">
        <f>IF(AND(A961&gt;=Calculations!$F$7,A961&lt;=Calculations!$F$8),0.2*_xlfn.NORM.DIST(100,100,15,FALSE)*_xlfn.NORM.DIST(A961,Calculations!$F$3,Calculations!$F$4,FALSE)/_xlfn.NORM.DIST(Calculations!$F$3,Calculations!$F$3,Calculations!$F$4,FALSE),NA())</f>
        <v>#N/A</v>
      </c>
    </row>
    <row r="962" spans="1:13" x14ac:dyDescent="0.25">
      <c r="A962">
        <v>136.00000000000099</v>
      </c>
      <c r="B962" t="e">
        <f t="shared" si="140"/>
        <v>#N/A</v>
      </c>
      <c r="C962" t="e">
        <f t="shared" si="141"/>
        <v>#N/A</v>
      </c>
      <c r="D962" t="e">
        <f t="shared" si="142"/>
        <v>#N/A</v>
      </c>
      <c r="E962" t="e">
        <f t="shared" si="143"/>
        <v>#N/A</v>
      </c>
      <c r="F962" t="e">
        <f t="shared" si="144"/>
        <v>#N/A</v>
      </c>
      <c r="G962" t="e">
        <f t="shared" si="145"/>
        <v>#N/A</v>
      </c>
      <c r="H962" t="e">
        <f t="shared" si="146"/>
        <v>#N/A</v>
      </c>
      <c r="I962">
        <f t="shared" si="147"/>
        <v>1.4929686863226212E-3</v>
      </c>
      <c r="J962" t="e">
        <f t="shared" si="148"/>
        <v>#N/A</v>
      </c>
      <c r="K962">
        <f t="shared" si="149"/>
        <v>1.6929686863226213E-3</v>
      </c>
      <c r="L962" t="e">
        <f>IF(AND(ABS((ChartCalculations!A962-Calculations!$F$3)/Calculations!$F$4)&lt;5,OR(A962&lt;=Calculations!$F$7,A962&gt;=Calculations!$F$8)),0.2*_xlfn.NORM.DIST(100,100,15,FALSE)*_xlfn.NORM.DIST(A962,Calculations!$F$3,Calculations!$F$4,FALSE)/_xlfn.NORM.DIST(Calculations!$F$3,Calculations!$F$3,Calculations!$F$4,FALSE),NA())</f>
        <v>#N/A</v>
      </c>
      <c r="M962" t="e">
        <f>IF(AND(A962&gt;=Calculations!$F$7,A962&lt;=Calculations!$F$8),0.2*_xlfn.NORM.DIST(100,100,15,FALSE)*_xlfn.NORM.DIST(A962,Calculations!$F$3,Calculations!$F$4,FALSE)/_xlfn.NORM.DIST(Calculations!$F$3,Calculations!$F$3,Calculations!$F$4,FALSE),NA())</f>
        <v>#N/A</v>
      </c>
    </row>
    <row r="963" spans="1:13" x14ac:dyDescent="0.25">
      <c r="A963">
        <v>136.10000000000099</v>
      </c>
      <c r="B963" t="e">
        <f t="shared" ref="B963:B1026" si="150">IF($A963&lt;=60,_xlfn.NORM.DIST($A963,100,15,FALSE),NA())</f>
        <v>#N/A</v>
      </c>
      <c r="C963" t="e">
        <f t="shared" ref="C963:C1026" si="151">IF(AND($A963&gt;=60,$A963&lt;=70),_xlfn.NORM.DIST($A963,100,15,FALSE),NA())</f>
        <v>#N/A</v>
      </c>
      <c r="D963" t="e">
        <f t="shared" ref="D963:D1026" si="152">IF(AND($A963&gt;=70,$A963&lt;=80),_xlfn.NORM.DIST($A963,100,15,FALSE),NA())</f>
        <v>#N/A</v>
      </c>
      <c r="E963" t="e">
        <f t="shared" ref="E963:E1026" si="153">IF(AND($A963&gt;=80,$A963&lt;=90),_xlfn.NORM.DIST($A963,100,15,FALSE),NA())</f>
        <v>#N/A</v>
      </c>
      <c r="F963" t="e">
        <f t="shared" ref="F963:F1026" si="154">IF(AND($A963&gt;=90,$A963&lt;=110),_xlfn.NORM.DIST($A963,100,15,FALSE),NA())</f>
        <v>#N/A</v>
      </c>
      <c r="G963" t="e">
        <f t="shared" ref="G963:G1026" si="155">IF(AND($A963&gt;=110,$A963&lt;=120),_xlfn.NORM.DIST($A963,100,15,FALSE),NA())</f>
        <v>#N/A</v>
      </c>
      <c r="H963" t="e">
        <f t="shared" ref="H963:H1026" si="156">IF(AND($A963&gt;=120,$A963&lt;=130),_xlfn.NORM.DIST($A963,100,15,FALSE),NA())</f>
        <v>#N/A</v>
      </c>
      <c r="I963">
        <f t="shared" ref="I963:I1026" si="157">IF(AND($A963&gt;=130,$A963&lt;=140),_xlfn.NORM.DIST($A963,100,15,FALSE),NA())</f>
        <v>1.4692386220872082E-3</v>
      </c>
      <c r="J963" t="e">
        <f t="shared" ref="J963:J1026" si="158">IF($A963&gt;=140,_xlfn.NORM.DIST($A963,100,15,FALSE),NA())</f>
        <v>#N/A</v>
      </c>
      <c r="K963">
        <f t="shared" ref="K963:K1026" si="159">_xlfn.NORM.DIST($A963,100,15,FALSE)+0.0002</f>
        <v>1.6692386220872083E-3</v>
      </c>
      <c r="L963" t="e">
        <f>IF(AND(ABS((ChartCalculations!A963-Calculations!$F$3)/Calculations!$F$4)&lt;5,OR(A963&lt;=Calculations!$F$7,A963&gt;=Calculations!$F$8)),0.2*_xlfn.NORM.DIST(100,100,15,FALSE)*_xlfn.NORM.DIST(A963,Calculations!$F$3,Calculations!$F$4,FALSE)/_xlfn.NORM.DIST(Calculations!$F$3,Calculations!$F$3,Calculations!$F$4,FALSE),NA())</f>
        <v>#N/A</v>
      </c>
      <c r="M963" t="e">
        <f>IF(AND(A963&gt;=Calculations!$F$7,A963&lt;=Calculations!$F$8),0.2*_xlfn.NORM.DIST(100,100,15,FALSE)*_xlfn.NORM.DIST(A963,Calculations!$F$3,Calculations!$F$4,FALSE)/_xlfn.NORM.DIST(Calculations!$F$3,Calculations!$F$3,Calculations!$F$4,FALSE),NA())</f>
        <v>#N/A</v>
      </c>
    </row>
    <row r="964" spans="1:13" x14ac:dyDescent="0.25">
      <c r="A964">
        <v>136.20000000000101</v>
      </c>
      <c r="B964" t="e">
        <f t="shared" si="150"/>
        <v>#N/A</v>
      </c>
      <c r="C964" t="e">
        <f t="shared" si="151"/>
        <v>#N/A</v>
      </c>
      <c r="D964" t="e">
        <f t="shared" si="152"/>
        <v>#N/A</v>
      </c>
      <c r="E964" t="e">
        <f t="shared" si="153"/>
        <v>#N/A</v>
      </c>
      <c r="F964" t="e">
        <f t="shared" si="154"/>
        <v>#N/A</v>
      </c>
      <c r="G964" t="e">
        <f t="shared" si="155"/>
        <v>#N/A</v>
      </c>
      <c r="H964" t="e">
        <f t="shared" si="156"/>
        <v>#N/A</v>
      </c>
      <c r="I964">
        <f t="shared" si="157"/>
        <v>1.4458214763649658E-3</v>
      </c>
      <c r="J964" t="e">
        <f t="shared" si="158"/>
        <v>#N/A</v>
      </c>
      <c r="K964">
        <f t="shared" si="159"/>
        <v>1.6458214763649659E-3</v>
      </c>
      <c r="L964" t="e">
        <f>IF(AND(ABS((ChartCalculations!A964-Calculations!$F$3)/Calculations!$F$4)&lt;5,OR(A964&lt;=Calculations!$F$7,A964&gt;=Calculations!$F$8)),0.2*_xlfn.NORM.DIST(100,100,15,FALSE)*_xlfn.NORM.DIST(A964,Calculations!$F$3,Calculations!$F$4,FALSE)/_xlfn.NORM.DIST(Calculations!$F$3,Calculations!$F$3,Calculations!$F$4,FALSE),NA())</f>
        <v>#N/A</v>
      </c>
      <c r="M964" t="e">
        <f>IF(AND(A964&gt;=Calculations!$F$7,A964&lt;=Calculations!$F$8),0.2*_xlfn.NORM.DIST(100,100,15,FALSE)*_xlfn.NORM.DIST(A964,Calculations!$F$3,Calculations!$F$4,FALSE)/_xlfn.NORM.DIST(Calculations!$F$3,Calculations!$F$3,Calculations!$F$4,FALSE),NA())</f>
        <v>#N/A</v>
      </c>
    </row>
    <row r="965" spans="1:13" x14ac:dyDescent="0.25">
      <c r="A965">
        <v>136.30000000000101</v>
      </c>
      <c r="B965" t="e">
        <f t="shared" si="150"/>
        <v>#N/A</v>
      </c>
      <c r="C965" t="e">
        <f t="shared" si="151"/>
        <v>#N/A</v>
      </c>
      <c r="D965" t="e">
        <f t="shared" si="152"/>
        <v>#N/A</v>
      </c>
      <c r="E965" t="e">
        <f t="shared" si="153"/>
        <v>#N/A</v>
      </c>
      <c r="F965" t="e">
        <f t="shared" si="154"/>
        <v>#N/A</v>
      </c>
      <c r="G965" t="e">
        <f t="shared" si="155"/>
        <v>#N/A</v>
      </c>
      <c r="H965" t="e">
        <f t="shared" si="156"/>
        <v>#N/A</v>
      </c>
      <c r="I965">
        <f t="shared" si="157"/>
        <v>1.4227143266612886E-3</v>
      </c>
      <c r="J965" t="e">
        <f t="shared" si="158"/>
        <v>#N/A</v>
      </c>
      <c r="K965">
        <f t="shared" si="159"/>
        <v>1.6227143266612887E-3</v>
      </c>
      <c r="L965" t="e">
        <f>IF(AND(ABS((ChartCalculations!A965-Calculations!$F$3)/Calculations!$F$4)&lt;5,OR(A965&lt;=Calculations!$F$7,A965&gt;=Calculations!$F$8)),0.2*_xlfn.NORM.DIST(100,100,15,FALSE)*_xlfn.NORM.DIST(A965,Calculations!$F$3,Calculations!$F$4,FALSE)/_xlfn.NORM.DIST(Calculations!$F$3,Calculations!$F$3,Calculations!$F$4,FALSE),NA())</f>
        <v>#N/A</v>
      </c>
      <c r="M965" t="e">
        <f>IF(AND(A965&gt;=Calculations!$F$7,A965&lt;=Calculations!$F$8),0.2*_xlfn.NORM.DIST(100,100,15,FALSE)*_xlfn.NORM.DIST(A965,Calculations!$F$3,Calculations!$F$4,FALSE)/_xlfn.NORM.DIST(Calculations!$F$3,Calculations!$F$3,Calculations!$F$4,FALSE),NA())</f>
        <v>#N/A</v>
      </c>
    </row>
    <row r="966" spans="1:13" x14ac:dyDescent="0.25">
      <c r="A966">
        <v>136.400000000001</v>
      </c>
      <c r="B966" t="e">
        <f t="shared" si="150"/>
        <v>#N/A</v>
      </c>
      <c r="C966" t="e">
        <f t="shared" si="151"/>
        <v>#N/A</v>
      </c>
      <c r="D966" t="e">
        <f t="shared" si="152"/>
        <v>#N/A</v>
      </c>
      <c r="E966" t="e">
        <f t="shared" si="153"/>
        <v>#N/A</v>
      </c>
      <c r="F966" t="e">
        <f t="shared" si="154"/>
        <v>#N/A</v>
      </c>
      <c r="G966" t="e">
        <f t="shared" si="155"/>
        <v>#N/A</v>
      </c>
      <c r="H966" t="e">
        <f t="shared" si="156"/>
        <v>#N/A</v>
      </c>
      <c r="I966">
        <f t="shared" si="157"/>
        <v>1.3999142561234796E-3</v>
      </c>
      <c r="J966" t="e">
        <f t="shared" si="158"/>
        <v>#N/A</v>
      </c>
      <c r="K966">
        <f t="shared" si="159"/>
        <v>1.5999142561234797E-3</v>
      </c>
      <c r="L966" t="e">
        <f>IF(AND(ABS((ChartCalculations!A966-Calculations!$F$3)/Calculations!$F$4)&lt;5,OR(A966&lt;=Calculations!$F$7,A966&gt;=Calculations!$F$8)),0.2*_xlfn.NORM.DIST(100,100,15,FALSE)*_xlfn.NORM.DIST(A966,Calculations!$F$3,Calculations!$F$4,FALSE)/_xlfn.NORM.DIST(Calculations!$F$3,Calculations!$F$3,Calculations!$F$4,FALSE),NA())</f>
        <v>#N/A</v>
      </c>
      <c r="M966" t="e">
        <f>IF(AND(A966&gt;=Calculations!$F$7,A966&lt;=Calculations!$F$8),0.2*_xlfn.NORM.DIST(100,100,15,FALSE)*_xlfn.NORM.DIST(A966,Calculations!$F$3,Calculations!$F$4,FALSE)/_xlfn.NORM.DIST(Calculations!$F$3,Calculations!$F$3,Calculations!$F$4,FALSE),NA())</f>
        <v>#N/A</v>
      </c>
    </row>
    <row r="967" spans="1:13" x14ac:dyDescent="0.25">
      <c r="A967">
        <v>136.50000000000099</v>
      </c>
      <c r="B967" t="e">
        <f t="shared" si="150"/>
        <v>#N/A</v>
      </c>
      <c r="C967" t="e">
        <f t="shared" si="151"/>
        <v>#N/A</v>
      </c>
      <c r="D967" t="e">
        <f t="shared" si="152"/>
        <v>#N/A</v>
      </c>
      <c r="E967" t="e">
        <f t="shared" si="153"/>
        <v>#N/A</v>
      </c>
      <c r="F967" t="e">
        <f t="shared" si="154"/>
        <v>#N/A</v>
      </c>
      <c r="G967" t="e">
        <f t="shared" si="155"/>
        <v>#N/A</v>
      </c>
      <c r="H967" t="e">
        <f t="shared" si="156"/>
        <v>#N/A</v>
      </c>
      <c r="I967">
        <f t="shared" si="157"/>
        <v>1.3774183539649915E-3</v>
      </c>
      <c r="J967" t="e">
        <f t="shared" si="158"/>
        <v>#N/A</v>
      </c>
      <c r="K967">
        <f t="shared" si="159"/>
        <v>1.5774183539649916E-3</v>
      </c>
      <c r="L967" t="e">
        <f>IF(AND(ABS((ChartCalculations!A967-Calculations!$F$3)/Calculations!$F$4)&lt;5,OR(A967&lt;=Calculations!$F$7,A967&gt;=Calculations!$F$8)),0.2*_xlfn.NORM.DIST(100,100,15,FALSE)*_xlfn.NORM.DIST(A967,Calculations!$F$3,Calculations!$F$4,FALSE)/_xlfn.NORM.DIST(Calculations!$F$3,Calculations!$F$3,Calculations!$F$4,FALSE),NA())</f>
        <v>#N/A</v>
      </c>
      <c r="M967" t="e">
        <f>IF(AND(A967&gt;=Calculations!$F$7,A967&lt;=Calculations!$F$8),0.2*_xlfn.NORM.DIST(100,100,15,FALSE)*_xlfn.NORM.DIST(A967,Calculations!$F$3,Calculations!$F$4,FALSE)/_xlfn.NORM.DIST(Calculations!$F$3,Calculations!$F$3,Calculations!$F$4,FALSE),NA())</f>
        <v>#N/A</v>
      </c>
    </row>
    <row r="968" spans="1:13" x14ac:dyDescent="0.25">
      <c r="A968">
        <v>136.60000000000099</v>
      </c>
      <c r="B968" t="e">
        <f t="shared" si="150"/>
        <v>#N/A</v>
      </c>
      <c r="C968" t="e">
        <f t="shared" si="151"/>
        <v>#N/A</v>
      </c>
      <c r="D968" t="e">
        <f t="shared" si="152"/>
        <v>#N/A</v>
      </c>
      <c r="E968" t="e">
        <f t="shared" si="153"/>
        <v>#N/A</v>
      </c>
      <c r="F968" t="e">
        <f t="shared" si="154"/>
        <v>#N/A</v>
      </c>
      <c r="G968" t="e">
        <f t="shared" si="155"/>
        <v>#N/A</v>
      </c>
      <c r="H968" t="e">
        <f t="shared" si="156"/>
        <v>#N/A</v>
      </c>
      <c r="I968">
        <f t="shared" si="157"/>
        <v>1.3552237158815034E-3</v>
      </c>
      <c r="J968" t="e">
        <f t="shared" si="158"/>
        <v>#N/A</v>
      </c>
      <c r="K968">
        <f t="shared" si="159"/>
        <v>1.5552237158815035E-3</v>
      </c>
      <c r="L968" t="e">
        <f>IF(AND(ABS((ChartCalculations!A968-Calculations!$F$3)/Calculations!$F$4)&lt;5,OR(A968&lt;=Calculations!$F$7,A968&gt;=Calculations!$F$8)),0.2*_xlfn.NORM.DIST(100,100,15,FALSE)*_xlfn.NORM.DIST(A968,Calculations!$F$3,Calculations!$F$4,FALSE)/_xlfn.NORM.DIST(Calculations!$F$3,Calculations!$F$3,Calculations!$F$4,FALSE),NA())</f>
        <v>#N/A</v>
      </c>
      <c r="M968" t="e">
        <f>IF(AND(A968&gt;=Calculations!$F$7,A968&lt;=Calculations!$F$8),0.2*_xlfn.NORM.DIST(100,100,15,FALSE)*_xlfn.NORM.DIST(A968,Calculations!$F$3,Calculations!$F$4,FALSE)/_xlfn.NORM.DIST(Calculations!$F$3,Calculations!$F$3,Calculations!$F$4,FALSE),NA())</f>
        <v>#N/A</v>
      </c>
    </row>
    <row r="969" spans="1:13" x14ac:dyDescent="0.25">
      <c r="A969">
        <v>136.70000000000101</v>
      </c>
      <c r="B969" t="e">
        <f t="shared" si="150"/>
        <v>#N/A</v>
      </c>
      <c r="C969" t="e">
        <f t="shared" si="151"/>
        <v>#N/A</v>
      </c>
      <c r="D969" t="e">
        <f t="shared" si="152"/>
        <v>#N/A</v>
      </c>
      <c r="E969" t="e">
        <f t="shared" si="153"/>
        <v>#N/A</v>
      </c>
      <c r="F969" t="e">
        <f t="shared" si="154"/>
        <v>#N/A</v>
      </c>
      <c r="G969" t="e">
        <f t="shared" si="155"/>
        <v>#N/A</v>
      </c>
      <c r="H969" t="e">
        <f t="shared" si="156"/>
        <v>#N/A</v>
      </c>
      <c r="I969">
        <f t="shared" si="157"/>
        <v>1.333327444458897E-3</v>
      </c>
      <c r="J969" t="e">
        <f t="shared" si="158"/>
        <v>#N/A</v>
      </c>
      <c r="K969">
        <f t="shared" si="159"/>
        <v>1.5333274444588971E-3</v>
      </c>
      <c r="L969" t="e">
        <f>IF(AND(ABS((ChartCalculations!A969-Calculations!$F$3)/Calculations!$F$4)&lt;5,OR(A969&lt;=Calculations!$F$7,A969&gt;=Calculations!$F$8)),0.2*_xlfn.NORM.DIST(100,100,15,FALSE)*_xlfn.NORM.DIST(A969,Calculations!$F$3,Calculations!$F$4,FALSE)/_xlfn.NORM.DIST(Calculations!$F$3,Calculations!$F$3,Calculations!$F$4,FALSE),NA())</f>
        <v>#N/A</v>
      </c>
      <c r="M969" t="e">
        <f>IF(AND(A969&gt;=Calculations!$F$7,A969&lt;=Calculations!$F$8),0.2*_xlfn.NORM.DIST(100,100,15,FALSE)*_xlfn.NORM.DIST(A969,Calculations!$F$3,Calculations!$F$4,FALSE)/_xlfn.NORM.DIST(Calculations!$F$3,Calculations!$F$3,Calculations!$F$4,FALSE),NA())</f>
        <v>#N/A</v>
      </c>
    </row>
    <row r="970" spans="1:13" x14ac:dyDescent="0.25">
      <c r="A970">
        <v>136.80000000000101</v>
      </c>
      <c r="B970" t="e">
        <f t="shared" si="150"/>
        <v>#N/A</v>
      </c>
      <c r="C970" t="e">
        <f t="shared" si="151"/>
        <v>#N/A</v>
      </c>
      <c r="D970" t="e">
        <f t="shared" si="152"/>
        <v>#N/A</v>
      </c>
      <c r="E970" t="e">
        <f t="shared" si="153"/>
        <v>#N/A</v>
      </c>
      <c r="F970" t="e">
        <f t="shared" si="154"/>
        <v>#N/A</v>
      </c>
      <c r="G970" t="e">
        <f t="shared" si="155"/>
        <v>#N/A</v>
      </c>
      <c r="H970" t="e">
        <f t="shared" si="156"/>
        <v>#N/A</v>
      </c>
      <c r="I970">
        <f t="shared" si="157"/>
        <v>1.3117266495731731E-3</v>
      </c>
      <c r="J970" t="e">
        <f t="shared" si="158"/>
        <v>#N/A</v>
      </c>
      <c r="K970">
        <f t="shared" si="159"/>
        <v>1.5117266495731732E-3</v>
      </c>
      <c r="L970" t="e">
        <f>IF(AND(ABS((ChartCalculations!A970-Calculations!$F$3)/Calculations!$F$4)&lt;5,OR(A970&lt;=Calculations!$F$7,A970&gt;=Calculations!$F$8)),0.2*_xlfn.NORM.DIST(100,100,15,FALSE)*_xlfn.NORM.DIST(A970,Calculations!$F$3,Calculations!$F$4,FALSE)/_xlfn.NORM.DIST(Calculations!$F$3,Calculations!$F$3,Calculations!$F$4,FALSE),NA())</f>
        <v>#N/A</v>
      </c>
      <c r="M970" t="e">
        <f>IF(AND(A970&gt;=Calculations!$F$7,A970&lt;=Calculations!$F$8),0.2*_xlfn.NORM.DIST(100,100,15,FALSE)*_xlfn.NORM.DIST(A970,Calculations!$F$3,Calculations!$F$4,FALSE)/_xlfn.NORM.DIST(Calculations!$F$3,Calculations!$F$3,Calculations!$F$4,FALSE),NA())</f>
        <v>#N/A</v>
      </c>
    </row>
    <row r="971" spans="1:13" x14ac:dyDescent="0.25">
      <c r="A971">
        <v>136.900000000001</v>
      </c>
      <c r="B971" t="e">
        <f t="shared" si="150"/>
        <v>#N/A</v>
      </c>
      <c r="C971" t="e">
        <f t="shared" si="151"/>
        <v>#N/A</v>
      </c>
      <c r="D971" t="e">
        <f t="shared" si="152"/>
        <v>#N/A</v>
      </c>
      <c r="E971" t="e">
        <f t="shared" si="153"/>
        <v>#N/A</v>
      </c>
      <c r="F971" t="e">
        <f t="shared" si="154"/>
        <v>#N/A</v>
      </c>
      <c r="G971" t="e">
        <f t="shared" si="155"/>
        <v>#N/A</v>
      </c>
      <c r="H971" t="e">
        <f t="shared" si="156"/>
        <v>#N/A</v>
      </c>
      <c r="I971">
        <f t="shared" si="157"/>
        <v>1.2904184487822527E-3</v>
      </c>
      <c r="J971" t="e">
        <f t="shared" si="158"/>
        <v>#N/A</v>
      </c>
      <c r="K971">
        <f t="shared" si="159"/>
        <v>1.4904184487822528E-3</v>
      </c>
      <c r="L971" t="e">
        <f>IF(AND(ABS((ChartCalculations!A971-Calculations!$F$3)/Calculations!$F$4)&lt;5,OR(A971&lt;=Calculations!$F$7,A971&gt;=Calculations!$F$8)),0.2*_xlfn.NORM.DIST(100,100,15,FALSE)*_xlfn.NORM.DIST(A971,Calculations!$F$3,Calculations!$F$4,FALSE)/_xlfn.NORM.DIST(Calculations!$F$3,Calculations!$F$3,Calculations!$F$4,FALSE),NA())</f>
        <v>#N/A</v>
      </c>
      <c r="M971" t="e">
        <f>IF(AND(A971&gt;=Calculations!$F$7,A971&lt;=Calculations!$F$8),0.2*_xlfn.NORM.DIST(100,100,15,FALSE)*_xlfn.NORM.DIST(A971,Calculations!$F$3,Calculations!$F$4,FALSE)/_xlfn.NORM.DIST(Calculations!$F$3,Calculations!$F$3,Calculations!$F$4,FALSE),NA())</f>
        <v>#N/A</v>
      </c>
    </row>
    <row r="972" spans="1:13" x14ac:dyDescent="0.25">
      <c r="A972">
        <v>137.00000000000099</v>
      </c>
      <c r="B972" t="e">
        <f t="shared" si="150"/>
        <v>#N/A</v>
      </c>
      <c r="C972" t="e">
        <f t="shared" si="151"/>
        <v>#N/A</v>
      </c>
      <c r="D972" t="e">
        <f t="shared" si="152"/>
        <v>#N/A</v>
      </c>
      <c r="E972" t="e">
        <f t="shared" si="153"/>
        <v>#N/A</v>
      </c>
      <c r="F972" t="e">
        <f t="shared" si="154"/>
        <v>#N/A</v>
      </c>
      <c r="G972" t="e">
        <f t="shared" si="155"/>
        <v>#N/A</v>
      </c>
      <c r="H972" t="e">
        <f t="shared" si="156"/>
        <v>#N/A</v>
      </c>
      <c r="I972">
        <f t="shared" si="157"/>
        <v>1.2693999677098108E-3</v>
      </c>
      <c r="J972" t="e">
        <f t="shared" si="158"/>
        <v>#N/A</v>
      </c>
      <c r="K972">
        <f t="shared" si="159"/>
        <v>1.4693999677098109E-3</v>
      </c>
      <c r="L972" t="e">
        <f>IF(AND(ABS((ChartCalculations!A972-Calculations!$F$3)/Calculations!$F$4)&lt;5,OR(A972&lt;=Calculations!$F$7,A972&gt;=Calculations!$F$8)),0.2*_xlfn.NORM.DIST(100,100,15,FALSE)*_xlfn.NORM.DIST(A972,Calculations!$F$3,Calculations!$F$4,FALSE)/_xlfn.NORM.DIST(Calculations!$F$3,Calculations!$F$3,Calculations!$F$4,FALSE),NA())</f>
        <v>#N/A</v>
      </c>
      <c r="M972" t="e">
        <f>IF(AND(A972&gt;=Calculations!$F$7,A972&lt;=Calculations!$F$8),0.2*_xlfn.NORM.DIST(100,100,15,FALSE)*_xlfn.NORM.DIST(A972,Calculations!$F$3,Calculations!$F$4,FALSE)/_xlfn.NORM.DIST(Calculations!$F$3,Calculations!$F$3,Calculations!$F$4,FALSE),NA())</f>
        <v>#N/A</v>
      </c>
    </row>
    <row r="973" spans="1:13" x14ac:dyDescent="0.25">
      <c r="A973">
        <v>137.10000000000099</v>
      </c>
      <c r="B973" t="e">
        <f t="shared" si="150"/>
        <v>#N/A</v>
      </c>
      <c r="C973" t="e">
        <f t="shared" si="151"/>
        <v>#N/A</v>
      </c>
      <c r="D973" t="e">
        <f t="shared" si="152"/>
        <v>#N/A</v>
      </c>
      <c r="E973" t="e">
        <f t="shared" si="153"/>
        <v>#N/A</v>
      </c>
      <c r="F973" t="e">
        <f t="shared" si="154"/>
        <v>#N/A</v>
      </c>
      <c r="G973" t="e">
        <f t="shared" si="155"/>
        <v>#N/A</v>
      </c>
      <c r="H973" t="e">
        <f t="shared" si="156"/>
        <v>#N/A</v>
      </c>
      <c r="I973">
        <f t="shared" si="157"/>
        <v>1.248668340421064E-3</v>
      </c>
      <c r="J973" t="e">
        <f t="shared" si="158"/>
        <v>#N/A</v>
      </c>
      <c r="K973">
        <f t="shared" si="159"/>
        <v>1.4486683404210641E-3</v>
      </c>
      <c r="L973" t="e">
        <f>IF(AND(ABS((ChartCalculations!A973-Calculations!$F$3)/Calculations!$F$4)&lt;5,OR(A973&lt;=Calculations!$F$7,A973&gt;=Calculations!$F$8)),0.2*_xlfn.NORM.DIST(100,100,15,FALSE)*_xlfn.NORM.DIST(A973,Calculations!$F$3,Calculations!$F$4,FALSE)/_xlfn.NORM.DIST(Calculations!$F$3,Calculations!$F$3,Calculations!$F$4,FALSE),NA())</f>
        <v>#N/A</v>
      </c>
      <c r="M973" t="e">
        <f>IF(AND(A973&gt;=Calculations!$F$7,A973&lt;=Calculations!$F$8),0.2*_xlfn.NORM.DIST(100,100,15,FALSE)*_xlfn.NORM.DIST(A973,Calculations!$F$3,Calculations!$F$4,FALSE)/_xlfn.NORM.DIST(Calculations!$F$3,Calculations!$F$3,Calculations!$F$4,FALSE),NA())</f>
        <v>#N/A</v>
      </c>
    </row>
    <row r="974" spans="1:13" x14ac:dyDescent="0.25">
      <c r="A974">
        <v>137.20000000000101</v>
      </c>
      <c r="B974" t="e">
        <f t="shared" si="150"/>
        <v>#N/A</v>
      </c>
      <c r="C974" t="e">
        <f t="shared" si="151"/>
        <v>#N/A</v>
      </c>
      <c r="D974" t="e">
        <f t="shared" si="152"/>
        <v>#N/A</v>
      </c>
      <c r="E974" t="e">
        <f t="shared" si="153"/>
        <v>#N/A</v>
      </c>
      <c r="F974" t="e">
        <f t="shared" si="154"/>
        <v>#N/A</v>
      </c>
      <c r="G974" t="e">
        <f t="shared" si="155"/>
        <v>#N/A</v>
      </c>
      <c r="H974" t="e">
        <f t="shared" si="156"/>
        <v>#N/A</v>
      </c>
      <c r="I974">
        <f t="shared" si="157"/>
        <v>1.2282207097905975E-3</v>
      </c>
      <c r="J974" t="e">
        <f t="shared" si="158"/>
        <v>#N/A</v>
      </c>
      <c r="K974">
        <f t="shared" si="159"/>
        <v>1.4282207097905976E-3</v>
      </c>
      <c r="L974" t="e">
        <f>IF(AND(ABS((ChartCalculations!A974-Calculations!$F$3)/Calculations!$F$4)&lt;5,OR(A974&lt;=Calculations!$F$7,A974&gt;=Calculations!$F$8)),0.2*_xlfn.NORM.DIST(100,100,15,FALSE)*_xlfn.NORM.DIST(A974,Calculations!$F$3,Calculations!$F$4,FALSE)/_xlfn.NORM.DIST(Calculations!$F$3,Calculations!$F$3,Calculations!$F$4,FALSE),NA())</f>
        <v>#N/A</v>
      </c>
      <c r="M974" t="e">
        <f>IF(AND(A974&gt;=Calculations!$F$7,A974&lt;=Calculations!$F$8),0.2*_xlfn.NORM.DIST(100,100,15,FALSE)*_xlfn.NORM.DIST(A974,Calculations!$F$3,Calculations!$F$4,FALSE)/_xlfn.NORM.DIST(Calculations!$F$3,Calculations!$F$3,Calculations!$F$4,FALSE),NA())</f>
        <v>#N/A</v>
      </c>
    </row>
    <row r="975" spans="1:13" x14ac:dyDescent="0.25">
      <c r="A975">
        <v>137.30000000000101</v>
      </c>
      <c r="B975" t="e">
        <f t="shared" si="150"/>
        <v>#N/A</v>
      </c>
      <c r="C975" t="e">
        <f t="shared" si="151"/>
        <v>#N/A</v>
      </c>
      <c r="D975" t="e">
        <f t="shared" si="152"/>
        <v>#N/A</v>
      </c>
      <c r="E975" t="e">
        <f t="shared" si="153"/>
        <v>#N/A</v>
      </c>
      <c r="F975" t="e">
        <f t="shared" si="154"/>
        <v>#N/A</v>
      </c>
      <c r="G975" t="e">
        <f t="shared" si="155"/>
        <v>#N/A</v>
      </c>
      <c r="H975" t="e">
        <f t="shared" si="156"/>
        <v>#N/A</v>
      </c>
      <c r="I975">
        <f t="shared" si="157"/>
        <v>1.2080542278622699E-3</v>
      </c>
      <c r="J975" t="e">
        <f t="shared" si="158"/>
        <v>#N/A</v>
      </c>
      <c r="K975">
        <f t="shared" si="159"/>
        <v>1.40805422786227E-3</v>
      </c>
      <c r="L975" t="e">
        <f>IF(AND(ABS((ChartCalculations!A975-Calculations!$F$3)/Calculations!$F$4)&lt;5,OR(A975&lt;=Calculations!$F$7,A975&gt;=Calculations!$F$8)),0.2*_xlfn.NORM.DIST(100,100,15,FALSE)*_xlfn.NORM.DIST(A975,Calculations!$F$3,Calculations!$F$4,FALSE)/_xlfn.NORM.DIST(Calculations!$F$3,Calculations!$F$3,Calculations!$F$4,FALSE),NA())</f>
        <v>#N/A</v>
      </c>
      <c r="M975" t="e">
        <f>IF(AND(A975&gt;=Calculations!$F$7,A975&lt;=Calculations!$F$8),0.2*_xlfn.NORM.DIST(100,100,15,FALSE)*_xlfn.NORM.DIST(A975,Calculations!$F$3,Calculations!$F$4,FALSE)/_xlfn.NORM.DIST(Calculations!$F$3,Calculations!$F$3,Calculations!$F$4,FALSE),NA())</f>
        <v>#N/A</v>
      </c>
    </row>
    <row r="976" spans="1:13" x14ac:dyDescent="0.25">
      <c r="A976">
        <v>137.400000000001</v>
      </c>
      <c r="B976" t="e">
        <f t="shared" si="150"/>
        <v>#N/A</v>
      </c>
      <c r="C976" t="e">
        <f t="shared" si="151"/>
        <v>#N/A</v>
      </c>
      <c r="D976" t="e">
        <f t="shared" si="152"/>
        <v>#N/A</v>
      </c>
      <c r="E976" t="e">
        <f t="shared" si="153"/>
        <v>#N/A</v>
      </c>
      <c r="F976" t="e">
        <f t="shared" si="154"/>
        <v>#N/A</v>
      </c>
      <c r="G976" t="e">
        <f t="shared" si="155"/>
        <v>#N/A</v>
      </c>
      <c r="H976" t="e">
        <f t="shared" si="156"/>
        <v>#N/A</v>
      </c>
      <c r="I976">
        <f t="shared" si="157"/>
        <v>1.1881660562011618E-3</v>
      </c>
      <c r="J976" t="e">
        <f t="shared" si="158"/>
        <v>#N/A</v>
      </c>
      <c r="K976">
        <f t="shared" si="159"/>
        <v>1.3881660562011619E-3</v>
      </c>
      <c r="L976" t="e">
        <f>IF(AND(ABS((ChartCalculations!A976-Calculations!$F$3)/Calculations!$F$4)&lt;5,OR(A976&lt;=Calculations!$F$7,A976&gt;=Calculations!$F$8)),0.2*_xlfn.NORM.DIST(100,100,15,FALSE)*_xlfn.NORM.DIST(A976,Calculations!$F$3,Calculations!$F$4,FALSE)/_xlfn.NORM.DIST(Calculations!$F$3,Calculations!$F$3,Calculations!$F$4,FALSE),NA())</f>
        <v>#N/A</v>
      </c>
      <c r="M976" t="e">
        <f>IF(AND(A976&gt;=Calculations!$F$7,A976&lt;=Calculations!$F$8),0.2*_xlfn.NORM.DIST(100,100,15,FALSE)*_xlfn.NORM.DIST(A976,Calculations!$F$3,Calculations!$F$4,FALSE)/_xlfn.NORM.DIST(Calculations!$F$3,Calculations!$F$3,Calculations!$F$4,FALSE),NA())</f>
        <v>#N/A</v>
      </c>
    </row>
    <row r="977" spans="1:13" x14ac:dyDescent="0.25">
      <c r="A977">
        <v>137.50000000000099</v>
      </c>
      <c r="B977" t="e">
        <f t="shared" si="150"/>
        <v>#N/A</v>
      </c>
      <c r="C977" t="e">
        <f t="shared" si="151"/>
        <v>#N/A</v>
      </c>
      <c r="D977" t="e">
        <f t="shared" si="152"/>
        <v>#N/A</v>
      </c>
      <c r="E977" t="e">
        <f t="shared" si="153"/>
        <v>#N/A</v>
      </c>
      <c r="F977" t="e">
        <f t="shared" si="154"/>
        <v>#N/A</v>
      </c>
      <c r="G977" t="e">
        <f t="shared" si="155"/>
        <v>#N/A</v>
      </c>
      <c r="H977" t="e">
        <f t="shared" si="156"/>
        <v>#N/A</v>
      </c>
      <c r="I977">
        <f t="shared" si="157"/>
        <v>1.1685533662377096E-3</v>
      </c>
      <c r="J977" t="e">
        <f t="shared" si="158"/>
        <v>#N/A</v>
      </c>
      <c r="K977">
        <f t="shared" si="159"/>
        <v>1.3685533662377096E-3</v>
      </c>
      <c r="L977" t="e">
        <f>IF(AND(ABS((ChartCalculations!A977-Calculations!$F$3)/Calculations!$F$4)&lt;5,OR(A977&lt;=Calculations!$F$7,A977&gt;=Calculations!$F$8)),0.2*_xlfn.NORM.DIST(100,100,15,FALSE)*_xlfn.NORM.DIST(A977,Calculations!$F$3,Calculations!$F$4,FALSE)/_xlfn.NORM.DIST(Calculations!$F$3,Calculations!$F$3,Calculations!$F$4,FALSE),NA())</f>
        <v>#N/A</v>
      </c>
      <c r="M977" t="e">
        <f>IF(AND(A977&gt;=Calculations!$F$7,A977&lt;=Calculations!$F$8),0.2*_xlfn.NORM.DIST(100,100,15,FALSE)*_xlfn.NORM.DIST(A977,Calculations!$F$3,Calculations!$F$4,FALSE)/_xlfn.NORM.DIST(Calculations!$F$3,Calculations!$F$3,Calculations!$F$4,FALSE),NA())</f>
        <v>#N/A</v>
      </c>
    </row>
    <row r="978" spans="1:13" x14ac:dyDescent="0.25">
      <c r="A978">
        <v>137.60000000000099</v>
      </c>
      <c r="B978" t="e">
        <f t="shared" si="150"/>
        <v>#N/A</v>
      </c>
      <c r="C978" t="e">
        <f t="shared" si="151"/>
        <v>#N/A</v>
      </c>
      <c r="D978" t="e">
        <f t="shared" si="152"/>
        <v>#N/A</v>
      </c>
      <c r="E978" t="e">
        <f t="shared" si="153"/>
        <v>#N/A</v>
      </c>
      <c r="F978" t="e">
        <f t="shared" si="154"/>
        <v>#N/A</v>
      </c>
      <c r="G978" t="e">
        <f t="shared" si="155"/>
        <v>#N/A</v>
      </c>
      <c r="H978" t="e">
        <f t="shared" si="156"/>
        <v>#N/A</v>
      </c>
      <c r="I978">
        <f t="shared" si="157"/>
        <v>1.1492133396039733E-3</v>
      </c>
      <c r="J978" t="e">
        <f t="shared" si="158"/>
        <v>#N/A</v>
      </c>
      <c r="K978">
        <f t="shared" si="159"/>
        <v>1.3492133396039733E-3</v>
      </c>
      <c r="L978" t="e">
        <f>IF(AND(ABS((ChartCalculations!A978-Calculations!$F$3)/Calculations!$F$4)&lt;5,OR(A978&lt;=Calculations!$F$7,A978&gt;=Calculations!$F$8)),0.2*_xlfn.NORM.DIST(100,100,15,FALSE)*_xlfn.NORM.DIST(A978,Calculations!$F$3,Calculations!$F$4,FALSE)/_xlfn.NORM.DIST(Calculations!$F$3,Calculations!$F$3,Calculations!$F$4,FALSE),NA())</f>
        <v>#N/A</v>
      </c>
      <c r="M978" t="e">
        <f>IF(AND(A978&gt;=Calculations!$F$7,A978&lt;=Calculations!$F$8),0.2*_xlfn.NORM.DIST(100,100,15,FALSE)*_xlfn.NORM.DIST(A978,Calculations!$F$3,Calculations!$F$4,FALSE)/_xlfn.NORM.DIST(Calculations!$F$3,Calculations!$F$3,Calculations!$F$4,FALSE),NA())</f>
        <v>#N/A</v>
      </c>
    </row>
    <row r="979" spans="1:13" x14ac:dyDescent="0.25">
      <c r="A979">
        <v>137.70000000000101</v>
      </c>
      <c r="B979" t="e">
        <f t="shared" si="150"/>
        <v>#N/A</v>
      </c>
      <c r="C979" t="e">
        <f t="shared" si="151"/>
        <v>#N/A</v>
      </c>
      <c r="D979" t="e">
        <f t="shared" si="152"/>
        <v>#N/A</v>
      </c>
      <c r="E979" t="e">
        <f t="shared" si="153"/>
        <v>#N/A</v>
      </c>
      <c r="F979" t="e">
        <f t="shared" si="154"/>
        <v>#N/A</v>
      </c>
      <c r="G979" t="e">
        <f t="shared" si="155"/>
        <v>#N/A</v>
      </c>
      <c r="H979" t="e">
        <f t="shared" si="156"/>
        <v>#N/A</v>
      </c>
      <c r="I979">
        <f t="shared" si="157"/>
        <v>1.1301431684621287E-3</v>
      </c>
      <c r="J979" t="e">
        <f t="shared" si="158"/>
        <v>#N/A</v>
      </c>
      <c r="K979">
        <f t="shared" si="159"/>
        <v>1.3301431684621288E-3</v>
      </c>
      <c r="L979" t="e">
        <f>IF(AND(ABS((ChartCalculations!A979-Calculations!$F$3)/Calculations!$F$4)&lt;5,OR(A979&lt;=Calculations!$F$7,A979&gt;=Calculations!$F$8)),0.2*_xlfn.NORM.DIST(100,100,15,FALSE)*_xlfn.NORM.DIST(A979,Calculations!$F$3,Calculations!$F$4,FALSE)/_xlfn.NORM.DIST(Calculations!$F$3,Calculations!$F$3,Calculations!$F$4,FALSE),NA())</f>
        <v>#N/A</v>
      </c>
      <c r="M979" t="e">
        <f>IF(AND(A979&gt;=Calculations!$F$7,A979&lt;=Calculations!$F$8),0.2*_xlfn.NORM.DIST(100,100,15,FALSE)*_xlfn.NORM.DIST(A979,Calculations!$F$3,Calculations!$F$4,FALSE)/_xlfn.NORM.DIST(Calculations!$F$3,Calculations!$F$3,Calculations!$F$4,FALSE),NA())</f>
        <v>#N/A</v>
      </c>
    </row>
    <row r="980" spans="1:13" x14ac:dyDescent="0.25">
      <c r="A980">
        <v>137.80000000000101</v>
      </c>
      <c r="B980" t="e">
        <f t="shared" si="150"/>
        <v>#N/A</v>
      </c>
      <c r="C980" t="e">
        <f t="shared" si="151"/>
        <v>#N/A</v>
      </c>
      <c r="D980" t="e">
        <f t="shared" si="152"/>
        <v>#N/A</v>
      </c>
      <c r="E980" t="e">
        <f t="shared" si="153"/>
        <v>#N/A</v>
      </c>
      <c r="F980" t="e">
        <f t="shared" si="154"/>
        <v>#N/A</v>
      </c>
      <c r="G980" t="e">
        <f t="shared" si="155"/>
        <v>#N/A</v>
      </c>
      <c r="H980" t="e">
        <f t="shared" si="156"/>
        <v>#N/A</v>
      </c>
      <c r="I980">
        <f t="shared" si="157"/>
        <v>1.1113400558252164E-3</v>
      </c>
      <c r="J980" t="e">
        <f t="shared" si="158"/>
        <v>#N/A</v>
      </c>
      <c r="K980">
        <f t="shared" si="159"/>
        <v>1.3113400558252164E-3</v>
      </c>
      <c r="L980" t="e">
        <f>IF(AND(ABS((ChartCalculations!A980-Calculations!$F$3)/Calculations!$F$4)&lt;5,OR(A980&lt;=Calculations!$F$7,A980&gt;=Calculations!$F$8)),0.2*_xlfn.NORM.DIST(100,100,15,FALSE)*_xlfn.NORM.DIST(A980,Calculations!$F$3,Calculations!$F$4,FALSE)/_xlfn.NORM.DIST(Calculations!$F$3,Calculations!$F$3,Calculations!$F$4,FALSE),NA())</f>
        <v>#N/A</v>
      </c>
      <c r="M980" t="e">
        <f>IF(AND(A980&gt;=Calculations!$F$7,A980&lt;=Calculations!$F$8),0.2*_xlfn.NORM.DIST(100,100,15,FALSE)*_xlfn.NORM.DIST(A980,Calculations!$F$3,Calculations!$F$4,FALSE)/_xlfn.NORM.DIST(Calculations!$F$3,Calculations!$F$3,Calculations!$F$4,FALSE),NA())</f>
        <v>#N/A</v>
      </c>
    </row>
    <row r="981" spans="1:13" x14ac:dyDescent="0.25">
      <c r="A981">
        <v>137.900000000001</v>
      </c>
      <c r="B981" t="e">
        <f t="shared" si="150"/>
        <v>#N/A</v>
      </c>
      <c r="C981" t="e">
        <f t="shared" si="151"/>
        <v>#N/A</v>
      </c>
      <c r="D981" t="e">
        <f t="shared" si="152"/>
        <v>#N/A</v>
      </c>
      <c r="E981" t="e">
        <f t="shared" si="153"/>
        <v>#N/A</v>
      </c>
      <c r="F981" t="e">
        <f t="shared" si="154"/>
        <v>#N/A</v>
      </c>
      <c r="G981" t="e">
        <f t="shared" si="155"/>
        <v>#N/A</v>
      </c>
      <c r="H981" t="e">
        <f t="shared" si="156"/>
        <v>#N/A</v>
      </c>
      <c r="I981">
        <f t="shared" si="157"/>
        <v>1.0928012158701458E-3</v>
      </c>
      <c r="J981" t="e">
        <f t="shared" si="158"/>
        <v>#N/A</v>
      </c>
      <c r="K981">
        <f t="shared" si="159"/>
        <v>1.2928012158701459E-3</v>
      </c>
      <c r="L981" t="e">
        <f>IF(AND(ABS((ChartCalculations!A981-Calculations!$F$3)/Calculations!$F$4)&lt;5,OR(A981&lt;=Calculations!$F$7,A981&gt;=Calculations!$F$8)),0.2*_xlfn.NORM.DIST(100,100,15,FALSE)*_xlfn.NORM.DIST(A981,Calculations!$F$3,Calculations!$F$4,FALSE)/_xlfn.NORM.DIST(Calculations!$F$3,Calculations!$F$3,Calculations!$F$4,FALSE),NA())</f>
        <v>#N/A</v>
      </c>
      <c r="M981" t="e">
        <f>IF(AND(A981&gt;=Calculations!$F$7,A981&lt;=Calculations!$F$8),0.2*_xlfn.NORM.DIST(100,100,15,FALSE)*_xlfn.NORM.DIST(A981,Calculations!$F$3,Calculations!$F$4,FALSE)/_xlfn.NORM.DIST(Calculations!$F$3,Calculations!$F$3,Calculations!$F$4,FALSE),NA())</f>
        <v>#N/A</v>
      </c>
    </row>
    <row r="982" spans="1:13" x14ac:dyDescent="0.25">
      <c r="A982">
        <v>138.00000000000099</v>
      </c>
      <c r="B982" t="e">
        <f t="shared" si="150"/>
        <v>#N/A</v>
      </c>
      <c r="C982" t="e">
        <f t="shared" si="151"/>
        <v>#N/A</v>
      </c>
      <c r="D982" t="e">
        <f t="shared" si="152"/>
        <v>#N/A</v>
      </c>
      <c r="E982" t="e">
        <f t="shared" si="153"/>
        <v>#N/A</v>
      </c>
      <c r="F982" t="e">
        <f t="shared" si="154"/>
        <v>#N/A</v>
      </c>
      <c r="G982" t="e">
        <f t="shared" si="155"/>
        <v>#N/A</v>
      </c>
      <c r="H982" t="e">
        <f t="shared" si="156"/>
        <v>#N/A</v>
      </c>
      <c r="I982">
        <f t="shared" si="157"/>
        <v>1.0745238742430848E-3</v>
      </c>
      <c r="J982" t="e">
        <f t="shared" si="158"/>
        <v>#N/A</v>
      </c>
      <c r="K982">
        <f t="shared" si="159"/>
        <v>1.2745238742430849E-3</v>
      </c>
      <c r="L982" t="e">
        <f>IF(AND(ABS((ChartCalculations!A982-Calculations!$F$3)/Calculations!$F$4)&lt;5,OR(A982&lt;=Calculations!$F$7,A982&gt;=Calculations!$F$8)),0.2*_xlfn.NORM.DIST(100,100,15,FALSE)*_xlfn.NORM.DIST(A982,Calculations!$F$3,Calculations!$F$4,FALSE)/_xlfn.NORM.DIST(Calculations!$F$3,Calculations!$F$3,Calculations!$F$4,FALSE),NA())</f>
        <v>#N/A</v>
      </c>
      <c r="M982" t="e">
        <f>IF(AND(A982&gt;=Calculations!$F$7,A982&lt;=Calculations!$F$8),0.2*_xlfn.NORM.DIST(100,100,15,FALSE)*_xlfn.NORM.DIST(A982,Calculations!$F$3,Calculations!$F$4,FALSE)/_xlfn.NORM.DIST(Calculations!$F$3,Calculations!$F$3,Calculations!$F$4,FALSE),NA())</f>
        <v>#N/A</v>
      </c>
    </row>
    <row r="983" spans="1:13" x14ac:dyDescent="0.25">
      <c r="A983">
        <v>138.10000000000099</v>
      </c>
      <c r="B983" t="e">
        <f t="shared" si="150"/>
        <v>#N/A</v>
      </c>
      <c r="C983" t="e">
        <f t="shared" si="151"/>
        <v>#N/A</v>
      </c>
      <c r="D983" t="e">
        <f t="shared" si="152"/>
        <v>#N/A</v>
      </c>
      <c r="E983" t="e">
        <f t="shared" si="153"/>
        <v>#N/A</v>
      </c>
      <c r="F983" t="e">
        <f t="shared" si="154"/>
        <v>#N/A</v>
      </c>
      <c r="G983" t="e">
        <f t="shared" si="155"/>
        <v>#N/A</v>
      </c>
      <c r="H983" t="e">
        <f t="shared" si="156"/>
        <v>#N/A</v>
      </c>
      <c r="I983">
        <f t="shared" si="157"/>
        <v>1.0565052683572116E-3</v>
      </c>
      <c r="J983" t="e">
        <f t="shared" si="158"/>
        <v>#N/A</v>
      </c>
      <c r="K983">
        <f t="shared" si="159"/>
        <v>1.2565052683572117E-3</v>
      </c>
      <c r="L983" t="e">
        <f>IF(AND(ABS((ChartCalculations!A983-Calculations!$F$3)/Calculations!$F$4)&lt;5,OR(A983&lt;=Calculations!$F$7,A983&gt;=Calculations!$F$8)),0.2*_xlfn.NORM.DIST(100,100,15,FALSE)*_xlfn.NORM.DIST(A983,Calculations!$F$3,Calculations!$F$4,FALSE)/_xlfn.NORM.DIST(Calculations!$F$3,Calculations!$F$3,Calculations!$F$4,FALSE),NA())</f>
        <v>#N/A</v>
      </c>
      <c r="M983" t="e">
        <f>IF(AND(A983&gt;=Calculations!$F$7,A983&lt;=Calculations!$F$8),0.2*_xlfn.NORM.DIST(100,100,15,FALSE)*_xlfn.NORM.DIST(A983,Calculations!$F$3,Calculations!$F$4,FALSE)/_xlfn.NORM.DIST(Calculations!$F$3,Calculations!$F$3,Calculations!$F$4,FALSE),NA())</f>
        <v>#N/A</v>
      </c>
    </row>
    <row r="984" spans="1:13" x14ac:dyDescent="0.25">
      <c r="A984">
        <v>138.20000000000101</v>
      </c>
      <c r="B984" t="e">
        <f t="shared" si="150"/>
        <v>#N/A</v>
      </c>
      <c r="C984" t="e">
        <f t="shared" si="151"/>
        <v>#N/A</v>
      </c>
      <c r="D984" t="e">
        <f t="shared" si="152"/>
        <v>#N/A</v>
      </c>
      <c r="E984" t="e">
        <f t="shared" si="153"/>
        <v>#N/A</v>
      </c>
      <c r="F984" t="e">
        <f t="shared" si="154"/>
        <v>#N/A</v>
      </c>
      <c r="G984" t="e">
        <f t="shared" si="155"/>
        <v>#N/A</v>
      </c>
      <c r="H984" t="e">
        <f t="shared" si="156"/>
        <v>#N/A</v>
      </c>
      <c r="I984">
        <f t="shared" si="157"/>
        <v>1.0387426476828917E-3</v>
      </c>
      <c r="J984" t="e">
        <f t="shared" si="158"/>
        <v>#N/A</v>
      </c>
      <c r="K984">
        <f t="shared" si="159"/>
        <v>1.2387426476828918E-3</v>
      </c>
      <c r="L984" t="e">
        <f>IF(AND(ABS((ChartCalculations!A984-Calculations!$F$3)/Calculations!$F$4)&lt;5,OR(A984&lt;=Calculations!$F$7,A984&gt;=Calculations!$F$8)),0.2*_xlfn.NORM.DIST(100,100,15,FALSE)*_xlfn.NORM.DIST(A984,Calculations!$F$3,Calculations!$F$4,FALSE)/_xlfn.NORM.DIST(Calculations!$F$3,Calculations!$F$3,Calculations!$F$4,FALSE),NA())</f>
        <v>#N/A</v>
      </c>
      <c r="M984" t="e">
        <f>IF(AND(A984&gt;=Calculations!$F$7,A984&lt;=Calculations!$F$8),0.2*_xlfn.NORM.DIST(100,100,15,FALSE)*_xlfn.NORM.DIST(A984,Calculations!$F$3,Calculations!$F$4,FALSE)/_xlfn.NORM.DIST(Calculations!$F$3,Calculations!$F$3,Calculations!$F$4,FALSE),NA())</f>
        <v>#N/A</v>
      </c>
    </row>
    <row r="985" spans="1:13" x14ac:dyDescent="0.25">
      <c r="A985">
        <v>138.30000000000101</v>
      </c>
      <c r="B985" t="e">
        <f t="shared" si="150"/>
        <v>#N/A</v>
      </c>
      <c r="C985" t="e">
        <f t="shared" si="151"/>
        <v>#N/A</v>
      </c>
      <c r="D985" t="e">
        <f t="shared" si="152"/>
        <v>#N/A</v>
      </c>
      <c r="E985" t="e">
        <f t="shared" si="153"/>
        <v>#N/A</v>
      </c>
      <c r="F985" t="e">
        <f t="shared" si="154"/>
        <v>#N/A</v>
      </c>
      <c r="G985" t="e">
        <f t="shared" si="155"/>
        <v>#N/A</v>
      </c>
      <c r="H985" t="e">
        <f t="shared" si="156"/>
        <v>#N/A</v>
      </c>
      <c r="I985">
        <f t="shared" si="157"/>
        <v>1.0212332740303805E-3</v>
      </c>
      <c r="J985" t="e">
        <f t="shared" si="158"/>
        <v>#N/A</v>
      </c>
      <c r="K985">
        <f t="shared" si="159"/>
        <v>1.2212332740303806E-3</v>
      </c>
      <c r="L985" t="e">
        <f>IF(AND(ABS((ChartCalculations!A985-Calculations!$F$3)/Calculations!$F$4)&lt;5,OR(A985&lt;=Calculations!$F$7,A985&gt;=Calculations!$F$8)),0.2*_xlfn.NORM.DIST(100,100,15,FALSE)*_xlfn.NORM.DIST(A985,Calculations!$F$3,Calculations!$F$4,FALSE)/_xlfn.NORM.DIST(Calculations!$F$3,Calculations!$F$3,Calculations!$F$4,FALSE),NA())</f>
        <v>#N/A</v>
      </c>
      <c r="M985" t="e">
        <f>IF(AND(A985&gt;=Calculations!$F$7,A985&lt;=Calculations!$F$8),0.2*_xlfn.NORM.DIST(100,100,15,FALSE)*_xlfn.NORM.DIST(A985,Calculations!$F$3,Calculations!$F$4,FALSE)/_xlfn.NORM.DIST(Calculations!$F$3,Calculations!$F$3,Calculations!$F$4,FALSE),NA())</f>
        <v>#N/A</v>
      </c>
    </row>
    <row r="986" spans="1:13" x14ac:dyDescent="0.25">
      <c r="A986">
        <v>138.400000000001</v>
      </c>
      <c r="B986" t="e">
        <f t="shared" si="150"/>
        <v>#N/A</v>
      </c>
      <c r="C986" t="e">
        <f t="shared" si="151"/>
        <v>#N/A</v>
      </c>
      <c r="D986" t="e">
        <f t="shared" si="152"/>
        <v>#N/A</v>
      </c>
      <c r="E986" t="e">
        <f t="shared" si="153"/>
        <v>#N/A</v>
      </c>
      <c r="F986" t="e">
        <f t="shared" si="154"/>
        <v>#N/A</v>
      </c>
      <c r="G986" t="e">
        <f t="shared" si="155"/>
        <v>#N/A</v>
      </c>
      <c r="H986" t="e">
        <f t="shared" si="156"/>
        <v>#N/A</v>
      </c>
      <c r="I986">
        <f t="shared" si="157"/>
        <v>1.0039744218249922E-3</v>
      </c>
      <c r="J986" t="e">
        <f t="shared" si="158"/>
        <v>#N/A</v>
      </c>
      <c r="K986">
        <f t="shared" si="159"/>
        <v>1.2039744218249923E-3</v>
      </c>
      <c r="L986" t="e">
        <f>IF(AND(ABS((ChartCalculations!A986-Calculations!$F$3)/Calculations!$F$4)&lt;5,OR(A986&lt;=Calculations!$F$7,A986&gt;=Calculations!$F$8)),0.2*_xlfn.NORM.DIST(100,100,15,FALSE)*_xlfn.NORM.DIST(A986,Calculations!$F$3,Calculations!$F$4,FALSE)/_xlfn.NORM.DIST(Calculations!$F$3,Calculations!$F$3,Calculations!$F$4,FALSE),NA())</f>
        <v>#N/A</v>
      </c>
      <c r="M986" t="e">
        <f>IF(AND(A986&gt;=Calculations!$F$7,A986&lt;=Calculations!$F$8),0.2*_xlfn.NORM.DIST(100,100,15,FALSE)*_xlfn.NORM.DIST(A986,Calculations!$F$3,Calculations!$F$4,FALSE)/_xlfn.NORM.DIST(Calculations!$F$3,Calculations!$F$3,Calculations!$F$4,FALSE),NA())</f>
        <v>#N/A</v>
      </c>
    </row>
    <row r="987" spans="1:13" x14ac:dyDescent="0.25">
      <c r="A987">
        <v>138.50000000000099</v>
      </c>
      <c r="B987" t="e">
        <f t="shared" si="150"/>
        <v>#N/A</v>
      </c>
      <c r="C987" t="e">
        <f t="shared" si="151"/>
        <v>#N/A</v>
      </c>
      <c r="D987" t="e">
        <f t="shared" si="152"/>
        <v>#N/A</v>
      </c>
      <c r="E987" t="e">
        <f t="shared" si="153"/>
        <v>#N/A</v>
      </c>
      <c r="F987" t="e">
        <f t="shared" si="154"/>
        <v>#N/A</v>
      </c>
      <c r="G987" t="e">
        <f t="shared" si="155"/>
        <v>#N/A</v>
      </c>
      <c r="H987" t="e">
        <f t="shared" si="156"/>
        <v>#N/A</v>
      </c>
      <c r="I987">
        <f t="shared" si="157"/>
        <v>9.8696337837491819E-4</v>
      </c>
      <c r="J987" t="e">
        <f t="shared" si="158"/>
        <v>#N/A</v>
      </c>
      <c r="K987">
        <f t="shared" si="159"/>
        <v>1.1869633783749183E-3</v>
      </c>
      <c r="L987" t="e">
        <f>IF(AND(ABS((ChartCalculations!A987-Calculations!$F$3)/Calculations!$F$4)&lt;5,OR(A987&lt;=Calculations!$F$7,A987&gt;=Calculations!$F$8)),0.2*_xlfn.NORM.DIST(100,100,15,FALSE)*_xlfn.NORM.DIST(A987,Calculations!$F$3,Calculations!$F$4,FALSE)/_xlfn.NORM.DIST(Calculations!$F$3,Calculations!$F$3,Calculations!$F$4,FALSE),NA())</f>
        <v>#N/A</v>
      </c>
      <c r="M987" t="e">
        <f>IF(AND(A987&gt;=Calculations!$F$7,A987&lt;=Calculations!$F$8),0.2*_xlfn.NORM.DIST(100,100,15,FALSE)*_xlfn.NORM.DIST(A987,Calculations!$F$3,Calculations!$F$4,FALSE)/_xlfn.NORM.DIST(Calculations!$F$3,Calculations!$F$3,Calculations!$F$4,FALSE),NA())</f>
        <v>#N/A</v>
      </c>
    </row>
    <row r="988" spans="1:13" x14ac:dyDescent="0.25">
      <c r="A988">
        <v>138.60000000000099</v>
      </c>
      <c r="B988" t="e">
        <f t="shared" si="150"/>
        <v>#N/A</v>
      </c>
      <c r="C988" t="e">
        <f t="shared" si="151"/>
        <v>#N/A</v>
      </c>
      <c r="D988" t="e">
        <f t="shared" si="152"/>
        <v>#N/A</v>
      </c>
      <c r="E988" t="e">
        <f t="shared" si="153"/>
        <v>#N/A</v>
      </c>
      <c r="F988" t="e">
        <f t="shared" si="154"/>
        <v>#N/A</v>
      </c>
      <c r="G988" t="e">
        <f t="shared" si="155"/>
        <v>#N/A</v>
      </c>
      <c r="H988" t="e">
        <f t="shared" si="156"/>
        <v>#N/A</v>
      </c>
      <c r="I988">
        <f t="shared" si="157"/>
        <v>9.7019744413165767E-4</v>
      </c>
      <c r="J988" t="e">
        <f t="shared" si="158"/>
        <v>#N/A</v>
      </c>
      <c r="K988">
        <f t="shared" si="159"/>
        <v>1.1701974441316577E-3</v>
      </c>
      <c r="L988" t="e">
        <f>IF(AND(ABS((ChartCalculations!A988-Calculations!$F$3)/Calculations!$F$4)&lt;5,OR(A988&lt;=Calculations!$F$7,A988&gt;=Calculations!$F$8)),0.2*_xlfn.NORM.DIST(100,100,15,FALSE)*_xlfn.NORM.DIST(A988,Calculations!$F$3,Calculations!$F$4,FALSE)/_xlfn.NORM.DIST(Calculations!$F$3,Calculations!$F$3,Calculations!$F$4,FALSE),NA())</f>
        <v>#N/A</v>
      </c>
      <c r="M988" t="e">
        <f>IF(AND(A988&gt;=Calculations!$F$7,A988&lt;=Calculations!$F$8),0.2*_xlfn.NORM.DIST(100,100,15,FALSE)*_xlfn.NORM.DIST(A988,Calculations!$F$3,Calculations!$F$4,FALSE)/_xlfn.NORM.DIST(Calculations!$F$3,Calculations!$F$3,Calculations!$F$4,FALSE),NA())</f>
        <v>#N/A</v>
      </c>
    </row>
    <row r="989" spans="1:13" x14ac:dyDescent="0.25">
      <c r="A989">
        <v>138.70000000000101</v>
      </c>
      <c r="B989" t="e">
        <f t="shared" si="150"/>
        <v>#N/A</v>
      </c>
      <c r="C989" t="e">
        <f t="shared" si="151"/>
        <v>#N/A</v>
      </c>
      <c r="D989" t="e">
        <f t="shared" si="152"/>
        <v>#N/A</v>
      </c>
      <c r="E989" t="e">
        <f t="shared" si="153"/>
        <v>#N/A</v>
      </c>
      <c r="F989" t="e">
        <f t="shared" si="154"/>
        <v>#N/A</v>
      </c>
      <c r="G989" t="e">
        <f t="shared" si="155"/>
        <v>#N/A</v>
      </c>
      <c r="H989" t="e">
        <f t="shared" si="156"/>
        <v>#N/A</v>
      </c>
      <c r="I989">
        <f t="shared" si="157"/>
        <v>9.5367393294314661E-4</v>
      </c>
      <c r="J989" t="e">
        <f t="shared" si="158"/>
        <v>#N/A</v>
      </c>
      <c r="K989">
        <f t="shared" si="159"/>
        <v>1.1536739329431466E-3</v>
      </c>
      <c r="L989" t="e">
        <f>IF(AND(ABS((ChartCalculations!A989-Calculations!$F$3)/Calculations!$F$4)&lt;5,OR(A989&lt;=Calculations!$F$7,A989&gt;=Calculations!$F$8)),0.2*_xlfn.NORM.DIST(100,100,15,FALSE)*_xlfn.NORM.DIST(A989,Calculations!$F$3,Calculations!$F$4,FALSE)/_xlfn.NORM.DIST(Calculations!$F$3,Calculations!$F$3,Calculations!$F$4,FALSE),NA())</f>
        <v>#N/A</v>
      </c>
      <c r="M989" t="e">
        <f>IF(AND(A989&gt;=Calculations!$F$7,A989&lt;=Calculations!$F$8),0.2*_xlfn.NORM.DIST(100,100,15,FALSE)*_xlfn.NORM.DIST(A989,Calculations!$F$3,Calculations!$F$4,FALSE)/_xlfn.NORM.DIST(Calculations!$F$3,Calculations!$F$3,Calculations!$F$4,FALSE),NA())</f>
        <v>#N/A</v>
      </c>
    </row>
    <row r="990" spans="1:13" x14ac:dyDescent="0.25">
      <c r="A990">
        <v>138.80000000000101</v>
      </c>
      <c r="B990" t="e">
        <f t="shared" si="150"/>
        <v>#N/A</v>
      </c>
      <c r="C990" t="e">
        <f t="shared" si="151"/>
        <v>#N/A</v>
      </c>
      <c r="D990" t="e">
        <f t="shared" si="152"/>
        <v>#N/A</v>
      </c>
      <c r="E990" t="e">
        <f t="shared" si="153"/>
        <v>#N/A</v>
      </c>
      <c r="F990" t="e">
        <f t="shared" si="154"/>
        <v>#N/A</v>
      </c>
      <c r="G990" t="e">
        <f t="shared" si="155"/>
        <v>#N/A</v>
      </c>
      <c r="H990" t="e">
        <f t="shared" si="156"/>
        <v>#N/A</v>
      </c>
      <c r="I990">
        <f t="shared" si="157"/>
        <v>9.3739017229966268E-4</v>
      </c>
      <c r="J990" t="e">
        <f t="shared" si="158"/>
        <v>#N/A</v>
      </c>
      <c r="K990">
        <f t="shared" si="159"/>
        <v>1.1373901722996627E-3</v>
      </c>
      <c r="L990" t="e">
        <f>IF(AND(ABS((ChartCalculations!A990-Calculations!$F$3)/Calculations!$F$4)&lt;5,OR(A990&lt;=Calculations!$F$7,A990&gt;=Calculations!$F$8)),0.2*_xlfn.NORM.DIST(100,100,15,FALSE)*_xlfn.NORM.DIST(A990,Calculations!$F$3,Calculations!$F$4,FALSE)/_xlfn.NORM.DIST(Calculations!$F$3,Calculations!$F$3,Calculations!$F$4,FALSE),NA())</f>
        <v>#N/A</v>
      </c>
      <c r="M990" t="e">
        <f>IF(AND(A990&gt;=Calculations!$F$7,A990&lt;=Calculations!$F$8),0.2*_xlfn.NORM.DIST(100,100,15,FALSE)*_xlfn.NORM.DIST(A990,Calculations!$F$3,Calculations!$F$4,FALSE)/_xlfn.NORM.DIST(Calculations!$F$3,Calculations!$F$3,Calculations!$F$4,FALSE),NA())</f>
        <v>#N/A</v>
      </c>
    </row>
    <row r="991" spans="1:13" x14ac:dyDescent="0.25">
      <c r="A991">
        <v>138.900000000001</v>
      </c>
      <c r="B991" t="e">
        <f t="shared" si="150"/>
        <v>#N/A</v>
      </c>
      <c r="C991" t="e">
        <f t="shared" si="151"/>
        <v>#N/A</v>
      </c>
      <c r="D991" t="e">
        <f t="shared" si="152"/>
        <v>#N/A</v>
      </c>
      <c r="E991" t="e">
        <f t="shared" si="153"/>
        <v>#N/A</v>
      </c>
      <c r="F991" t="e">
        <f t="shared" si="154"/>
        <v>#N/A</v>
      </c>
      <c r="G991" t="e">
        <f t="shared" si="155"/>
        <v>#N/A</v>
      </c>
      <c r="H991" t="e">
        <f t="shared" si="156"/>
        <v>#N/A</v>
      </c>
      <c r="I991">
        <f t="shared" si="157"/>
        <v>9.2134350357249938E-4</v>
      </c>
      <c r="J991" t="e">
        <f t="shared" si="158"/>
        <v>#N/A</v>
      </c>
      <c r="K991">
        <f t="shared" si="159"/>
        <v>1.1213435035724994E-3</v>
      </c>
      <c r="L991" t="e">
        <f>IF(AND(ABS((ChartCalculations!A991-Calculations!$F$3)/Calculations!$F$4)&lt;5,OR(A991&lt;=Calculations!$F$7,A991&gt;=Calculations!$F$8)),0.2*_xlfn.NORM.DIST(100,100,15,FALSE)*_xlfn.NORM.DIST(A991,Calculations!$F$3,Calculations!$F$4,FALSE)/_xlfn.NORM.DIST(Calculations!$F$3,Calculations!$F$3,Calculations!$F$4,FALSE),NA())</f>
        <v>#N/A</v>
      </c>
      <c r="M991" t="e">
        <f>IF(AND(A991&gt;=Calculations!$F$7,A991&lt;=Calculations!$F$8),0.2*_xlfn.NORM.DIST(100,100,15,FALSE)*_xlfn.NORM.DIST(A991,Calculations!$F$3,Calculations!$F$4,FALSE)/_xlfn.NORM.DIST(Calculations!$F$3,Calculations!$F$3,Calculations!$F$4,FALSE),NA())</f>
        <v>#N/A</v>
      </c>
    </row>
    <row r="992" spans="1:13" x14ac:dyDescent="0.25">
      <c r="A992">
        <v>139.00000000000099</v>
      </c>
      <c r="B992" t="e">
        <f t="shared" si="150"/>
        <v>#N/A</v>
      </c>
      <c r="C992" t="e">
        <f t="shared" si="151"/>
        <v>#N/A</v>
      </c>
      <c r="D992" t="e">
        <f t="shared" si="152"/>
        <v>#N/A</v>
      </c>
      <c r="E992" t="e">
        <f t="shared" si="153"/>
        <v>#N/A</v>
      </c>
      <c r="F992" t="e">
        <f t="shared" si="154"/>
        <v>#N/A</v>
      </c>
      <c r="G992" t="e">
        <f t="shared" si="155"/>
        <v>#N/A</v>
      </c>
      <c r="H992" t="e">
        <f t="shared" si="156"/>
        <v>#N/A</v>
      </c>
      <c r="I992">
        <f t="shared" si="157"/>
        <v>9.0553128224555191E-4</v>
      </c>
      <c r="J992" t="e">
        <f t="shared" si="158"/>
        <v>#N/A</v>
      </c>
      <c r="K992">
        <f t="shared" si="159"/>
        <v>1.1055312822455519E-3</v>
      </c>
      <c r="L992" t="e">
        <f>IF(AND(ABS((ChartCalculations!A992-Calculations!$F$3)/Calculations!$F$4)&lt;5,OR(A992&lt;=Calculations!$F$7,A992&gt;=Calculations!$F$8)),0.2*_xlfn.NORM.DIST(100,100,15,FALSE)*_xlfn.NORM.DIST(A992,Calculations!$F$3,Calculations!$F$4,FALSE)/_xlfn.NORM.DIST(Calculations!$F$3,Calculations!$F$3,Calculations!$F$4,FALSE),NA())</f>
        <v>#N/A</v>
      </c>
      <c r="M992" t="e">
        <f>IF(AND(A992&gt;=Calculations!$F$7,A992&lt;=Calculations!$F$8),0.2*_xlfn.NORM.DIST(100,100,15,FALSE)*_xlfn.NORM.DIST(A992,Calculations!$F$3,Calculations!$F$4,FALSE)/_xlfn.NORM.DIST(Calculations!$F$3,Calculations!$F$3,Calculations!$F$4,FALSE),NA())</f>
        <v>#N/A</v>
      </c>
    </row>
    <row r="993" spans="1:13" x14ac:dyDescent="0.25">
      <c r="A993">
        <v>139.10000000000099</v>
      </c>
      <c r="B993" t="e">
        <f t="shared" si="150"/>
        <v>#N/A</v>
      </c>
      <c r="C993" t="e">
        <f t="shared" si="151"/>
        <v>#N/A</v>
      </c>
      <c r="D993" t="e">
        <f t="shared" si="152"/>
        <v>#N/A</v>
      </c>
      <c r="E993" t="e">
        <f t="shared" si="153"/>
        <v>#N/A</v>
      </c>
      <c r="F993" t="e">
        <f t="shared" si="154"/>
        <v>#N/A</v>
      </c>
      <c r="G993" t="e">
        <f t="shared" si="155"/>
        <v>#N/A</v>
      </c>
      <c r="H993" t="e">
        <f t="shared" si="156"/>
        <v>#N/A</v>
      </c>
      <c r="I993">
        <f t="shared" si="157"/>
        <v>8.8995087813981968E-4</v>
      </c>
      <c r="J993" t="e">
        <f t="shared" si="158"/>
        <v>#N/A</v>
      </c>
      <c r="K993">
        <f t="shared" si="159"/>
        <v>1.0899508781398197E-3</v>
      </c>
      <c r="L993" t="e">
        <f>IF(AND(ABS((ChartCalculations!A993-Calculations!$F$3)/Calculations!$F$4)&lt;5,OR(A993&lt;=Calculations!$F$7,A993&gt;=Calculations!$F$8)),0.2*_xlfn.NORM.DIST(100,100,15,FALSE)*_xlfn.NORM.DIST(A993,Calculations!$F$3,Calculations!$F$4,FALSE)/_xlfn.NORM.DIST(Calculations!$F$3,Calculations!$F$3,Calculations!$F$4,FALSE),NA())</f>
        <v>#N/A</v>
      </c>
      <c r="M993" t="e">
        <f>IF(AND(A993&gt;=Calculations!$F$7,A993&lt;=Calculations!$F$8),0.2*_xlfn.NORM.DIST(100,100,15,FALSE)*_xlfn.NORM.DIST(A993,Calculations!$F$3,Calculations!$F$4,FALSE)/_xlfn.NORM.DIST(Calculations!$F$3,Calculations!$F$3,Calculations!$F$4,FALSE),NA())</f>
        <v>#N/A</v>
      </c>
    </row>
    <row r="994" spans="1:13" x14ac:dyDescent="0.25">
      <c r="A994">
        <v>139.20000000000101</v>
      </c>
      <c r="B994" t="e">
        <f t="shared" si="150"/>
        <v>#N/A</v>
      </c>
      <c r="C994" t="e">
        <f t="shared" si="151"/>
        <v>#N/A</v>
      </c>
      <c r="D994" t="e">
        <f t="shared" si="152"/>
        <v>#N/A</v>
      </c>
      <c r="E994" t="e">
        <f t="shared" si="153"/>
        <v>#N/A</v>
      </c>
      <c r="F994" t="e">
        <f t="shared" si="154"/>
        <v>#N/A</v>
      </c>
      <c r="G994" t="e">
        <f t="shared" si="155"/>
        <v>#N/A</v>
      </c>
      <c r="H994" t="e">
        <f t="shared" si="156"/>
        <v>#N/A</v>
      </c>
      <c r="I994">
        <f t="shared" si="157"/>
        <v>8.7459967563089562E-4</v>
      </c>
      <c r="J994" t="e">
        <f t="shared" si="158"/>
        <v>#N/A</v>
      </c>
      <c r="K994">
        <f t="shared" si="159"/>
        <v>1.0745996756308957E-3</v>
      </c>
      <c r="L994" t="e">
        <f>IF(AND(ABS((ChartCalculations!A994-Calculations!$F$3)/Calculations!$F$4)&lt;5,OR(A994&lt;=Calculations!$F$7,A994&gt;=Calculations!$F$8)),0.2*_xlfn.NORM.DIST(100,100,15,FALSE)*_xlfn.NORM.DIST(A994,Calculations!$F$3,Calculations!$F$4,FALSE)/_xlfn.NORM.DIST(Calculations!$F$3,Calculations!$F$3,Calculations!$F$4,FALSE),NA())</f>
        <v>#N/A</v>
      </c>
      <c r="M994" t="e">
        <f>IF(AND(A994&gt;=Calculations!$F$7,A994&lt;=Calculations!$F$8),0.2*_xlfn.NORM.DIST(100,100,15,FALSE)*_xlfn.NORM.DIST(A994,Calculations!$F$3,Calculations!$F$4,FALSE)/_xlfn.NORM.DIST(Calculations!$F$3,Calculations!$F$3,Calculations!$F$4,FALSE),NA())</f>
        <v>#N/A</v>
      </c>
    </row>
    <row r="995" spans="1:13" x14ac:dyDescent="0.25">
      <c r="A995">
        <v>139.30000000000101</v>
      </c>
      <c r="B995" t="e">
        <f t="shared" si="150"/>
        <v>#N/A</v>
      </c>
      <c r="C995" t="e">
        <f t="shared" si="151"/>
        <v>#N/A</v>
      </c>
      <c r="D995" t="e">
        <f t="shared" si="152"/>
        <v>#N/A</v>
      </c>
      <c r="E995" t="e">
        <f t="shared" si="153"/>
        <v>#N/A</v>
      </c>
      <c r="F995" t="e">
        <f t="shared" si="154"/>
        <v>#N/A</v>
      </c>
      <c r="G995" t="e">
        <f t="shared" si="155"/>
        <v>#N/A</v>
      </c>
      <c r="H995" t="e">
        <f t="shared" si="156"/>
        <v>#N/A</v>
      </c>
      <c r="I995">
        <f t="shared" si="157"/>
        <v>8.5947507385953606E-4</v>
      </c>
      <c r="J995" t="e">
        <f t="shared" si="158"/>
        <v>#N/A</v>
      </c>
      <c r="K995">
        <f t="shared" si="159"/>
        <v>1.0594750738595362E-3</v>
      </c>
      <c r="L995" t="e">
        <f>IF(AND(ABS((ChartCalculations!A995-Calculations!$F$3)/Calculations!$F$4)&lt;5,OR(A995&lt;=Calculations!$F$7,A995&gt;=Calculations!$F$8)),0.2*_xlfn.NORM.DIST(100,100,15,FALSE)*_xlfn.NORM.DIST(A995,Calculations!$F$3,Calculations!$F$4,FALSE)/_xlfn.NORM.DIST(Calculations!$F$3,Calculations!$F$3,Calculations!$F$4,FALSE),NA())</f>
        <v>#N/A</v>
      </c>
      <c r="M995" t="e">
        <f>IF(AND(A995&gt;=Calculations!$F$7,A995&lt;=Calculations!$F$8),0.2*_xlfn.NORM.DIST(100,100,15,FALSE)*_xlfn.NORM.DIST(A995,Calculations!$F$3,Calculations!$F$4,FALSE)/_xlfn.NORM.DIST(Calculations!$F$3,Calculations!$F$3,Calculations!$F$4,FALSE),NA())</f>
        <v>#N/A</v>
      </c>
    </row>
    <row r="996" spans="1:13" x14ac:dyDescent="0.25">
      <c r="A996">
        <v>139.400000000001</v>
      </c>
      <c r="B996" t="e">
        <f t="shared" si="150"/>
        <v>#N/A</v>
      </c>
      <c r="C996" t="e">
        <f t="shared" si="151"/>
        <v>#N/A</v>
      </c>
      <c r="D996" t="e">
        <f t="shared" si="152"/>
        <v>#N/A</v>
      </c>
      <c r="E996" t="e">
        <f t="shared" si="153"/>
        <v>#N/A</v>
      </c>
      <c r="F996" t="e">
        <f t="shared" si="154"/>
        <v>#N/A</v>
      </c>
      <c r="G996" t="e">
        <f t="shared" si="155"/>
        <v>#N/A</v>
      </c>
      <c r="H996" t="e">
        <f t="shared" si="156"/>
        <v>#N/A</v>
      </c>
      <c r="I996">
        <f t="shared" si="157"/>
        <v>8.4457448693530898E-4</v>
      </c>
      <c r="J996" t="e">
        <f t="shared" si="158"/>
        <v>#N/A</v>
      </c>
      <c r="K996">
        <f t="shared" si="159"/>
        <v>1.0445744869353091E-3</v>
      </c>
      <c r="L996" t="e">
        <f>IF(AND(ABS((ChartCalculations!A996-Calculations!$F$3)/Calculations!$F$4)&lt;5,OR(A996&lt;=Calculations!$F$7,A996&gt;=Calculations!$F$8)),0.2*_xlfn.NORM.DIST(100,100,15,FALSE)*_xlfn.NORM.DIST(A996,Calculations!$F$3,Calculations!$F$4,FALSE)/_xlfn.NORM.DIST(Calculations!$F$3,Calculations!$F$3,Calculations!$F$4,FALSE),NA())</f>
        <v>#N/A</v>
      </c>
      <c r="M996" t="e">
        <f>IF(AND(A996&gt;=Calculations!$F$7,A996&lt;=Calculations!$F$8),0.2*_xlfn.NORM.DIST(100,100,15,FALSE)*_xlfn.NORM.DIST(A996,Calculations!$F$3,Calculations!$F$4,FALSE)/_xlfn.NORM.DIST(Calculations!$F$3,Calculations!$F$3,Calculations!$F$4,FALSE),NA())</f>
        <v>#N/A</v>
      </c>
    </row>
    <row r="997" spans="1:13" x14ac:dyDescent="0.25">
      <c r="A997">
        <v>139.50000000000099</v>
      </c>
      <c r="B997" t="e">
        <f t="shared" si="150"/>
        <v>#N/A</v>
      </c>
      <c r="C997" t="e">
        <f t="shared" si="151"/>
        <v>#N/A</v>
      </c>
      <c r="D997" t="e">
        <f t="shared" si="152"/>
        <v>#N/A</v>
      </c>
      <c r="E997" t="e">
        <f t="shared" si="153"/>
        <v>#N/A</v>
      </c>
      <c r="F997" t="e">
        <f t="shared" si="154"/>
        <v>#N/A</v>
      </c>
      <c r="G997" t="e">
        <f t="shared" si="155"/>
        <v>#N/A</v>
      </c>
      <c r="H997" t="e">
        <f t="shared" si="156"/>
        <v>#N/A</v>
      </c>
      <c r="I997">
        <f t="shared" si="157"/>
        <v>8.2989534413346899E-4</v>
      </c>
      <c r="J997" t="e">
        <f t="shared" si="158"/>
        <v>#N/A</v>
      </c>
      <c r="K997">
        <f t="shared" si="159"/>
        <v>1.029895344133469E-3</v>
      </c>
      <c r="L997" t="e">
        <f>IF(AND(ABS((ChartCalculations!A997-Calculations!$F$3)/Calculations!$F$4)&lt;5,OR(A997&lt;=Calculations!$F$7,A997&gt;=Calculations!$F$8)),0.2*_xlfn.NORM.DIST(100,100,15,FALSE)*_xlfn.NORM.DIST(A997,Calculations!$F$3,Calculations!$F$4,FALSE)/_xlfn.NORM.DIST(Calculations!$F$3,Calculations!$F$3,Calculations!$F$4,FALSE),NA())</f>
        <v>#N/A</v>
      </c>
      <c r="M997" t="e">
        <f>IF(AND(A997&gt;=Calculations!$F$7,A997&lt;=Calculations!$F$8),0.2*_xlfn.NORM.DIST(100,100,15,FALSE)*_xlfn.NORM.DIST(A997,Calculations!$F$3,Calculations!$F$4,FALSE)/_xlfn.NORM.DIST(Calculations!$F$3,Calculations!$F$3,Calculations!$F$4,FALSE),NA())</f>
        <v>#N/A</v>
      </c>
    </row>
    <row r="998" spans="1:13" x14ac:dyDescent="0.25">
      <c r="A998">
        <v>139.60000000000099</v>
      </c>
      <c r="B998" t="e">
        <f t="shared" si="150"/>
        <v>#N/A</v>
      </c>
      <c r="C998" t="e">
        <f t="shared" si="151"/>
        <v>#N/A</v>
      </c>
      <c r="D998" t="e">
        <f t="shared" si="152"/>
        <v>#N/A</v>
      </c>
      <c r="E998" t="e">
        <f t="shared" si="153"/>
        <v>#N/A</v>
      </c>
      <c r="F998" t="e">
        <f t="shared" si="154"/>
        <v>#N/A</v>
      </c>
      <c r="G998" t="e">
        <f t="shared" si="155"/>
        <v>#N/A</v>
      </c>
      <c r="H998" t="e">
        <f t="shared" si="156"/>
        <v>#N/A</v>
      </c>
      <c r="I998">
        <f t="shared" si="157"/>
        <v>8.1543509008505637E-4</v>
      </c>
      <c r="J998" t="e">
        <f t="shared" si="158"/>
        <v>#N/A</v>
      </c>
      <c r="K998">
        <f t="shared" si="159"/>
        <v>1.0154350900850565E-3</v>
      </c>
      <c r="L998" t="e">
        <f>IF(AND(ABS((ChartCalculations!A998-Calculations!$F$3)/Calculations!$F$4)&lt;5,OR(A998&lt;=Calculations!$F$7,A998&gt;=Calculations!$F$8)),0.2*_xlfn.NORM.DIST(100,100,15,FALSE)*_xlfn.NORM.DIST(A998,Calculations!$F$3,Calculations!$F$4,FALSE)/_xlfn.NORM.DIST(Calculations!$F$3,Calculations!$F$3,Calculations!$F$4,FALSE),NA())</f>
        <v>#N/A</v>
      </c>
      <c r="M998" t="e">
        <f>IF(AND(A998&gt;=Calculations!$F$7,A998&lt;=Calculations!$F$8),0.2*_xlfn.NORM.DIST(100,100,15,FALSE)*_xlfn.NORM.DIST(A998,Calculations!$F$3,Calculations!$F$4,FALSE)/_xlfn.NORM.DIST(Calculations!$F$3,Calculations!$F$3,Calculations!$F$4,FALSE),NA())</f>
        <v>#N/A</v>
      </c>
    </row>
    <row r="999" spans="1:13" x14ac:dyDescent="0.25">
      <c r="A999">
        <v>139.70000000000101</v>
      </c>
      <c r="B999" t="e">
        <f t="shared" si="150"/>
        <v>#N/A</v>
      </c>
      <c r="C999" t="e">
        <f t="shared" si="151"/>
        <v>#N/A</v>
      </c>
      <c r="D999" t="e">
        <f t="shared" si="152"/>
        <v>#N/A</v>
      </c>
      <c r="E999" t="e">
        <f t="shared" si="153"/>
        <v>#N/A</v>
      </c>
      <c r="F999" t="e">
        <f t="shared" si="154"/>
        <v>#N/A</v>
      </c>
      <c r="G999" t="e">
        <f t="shared" si="155"/>
        <v>#N/A</v>
      </c>
      <c r="H999" t="e">
        <f t="shared" si="156"/>
        <v>#N/A</v>
      </c>
      <c r="I999">
        <f t="shared" si="157"/>
        <v>8.0119118496032725E-4</v>
      </c>
      <c r="J999" t="e">
        <f t="shared" si="158"/>
        <v>#N/A</v>
      </c>
      <c r="K999">
        <f t="shared" si="159"/>
        <v>1.0011911849603272E-3</v>
      </c>
      <c r="L999" t="e">
        <f>IF(AND(ABS((ChartCalculations!A999-Calculations!$F$3)/Calculations!$F$4)&lt;5,OR(A999&lt;=Calculations!$F$7,A999&gt;=Calculations!$F$8)),0.2*_xlfn.NORM.DIST(100,100,15,FALSE)*_xlfn.NORM.DIST(A999,Calculations!$F$3,Calculations!$F$4,FALSE)/_xlfn.NORM.DIST(Calculations!$F$3,Calculations!$F$3,Calculations!$F$4,FALSE),NA())</f>
        <v>#N/A</v>
      </c>
      <c r="M999" t="e">
        <f>IF(AND(A999&gt;=Calculations!$F$7,A999&lt;=Calculations!$F$8),0.2*_xlfn.NORM.DIST(100,100,15,FALSE)*_xlfn.NORM.DIST(A999,Calculations!$F$3,Calculations!$F$4,FALSE)/_xlfn.NORM.DIST(Calculations!$F$3,Calculations!$F$3,Calculations!$F$4,FALSE),NA())</f>
        <v>#N/A</v>
      </c>
    </row>
    <row r="1000" spans="1:13" x14ac:dyDescent="0.25">
      <c r="A1000">
        <v>139.80000000000101</v>
      </c>
      <c r="B1000" t="e">
        <f t="shared" si="150"/>
        <v>#N/A</v>
      </c>
      <c r="C1000" t="e">
        <f t="shared" si="151"/>
        <v>#N/A</v>
      </c>
      <c r="D1000" t="e">
        <f t="shared" si="152"/>
        <v>#N/A</v>
      </c>
      <c r="E1000" t="e">
        <f t="shared" si="153"/>
        <v>#N/A</v>
      </c>
      <c r="F1000" t="e">
        <f t="shared" si="154"/>
        <v>#N/A</v>
      </c>
      <c r="G1000" t="e">
        <f t="shared" si="155"/>
        <v>#N/A</v>
      </c>
      <c r="H1000" t="e">
        <f t="shared" si="156"/>
        <v>#N/A</v>
      </c>
      <c r="I1000">
        <f t="shared" si="157"/>
        <v>7.8716110464557376E-4</v>
      </c>
      <c r="J1000" t="e">
        <f t="shared" si="158"/>
        <v>#N/A</v>
      </c>
      <c r="K1000">
        <f t="shared" si="159"/>
        <v>9.8716110464557374E-4</v>
      </c>
      <c r="L1000" t="e">
        <f>IF(AND(ABS((ChartCalculations!A1000-Calculations!$F$3)/Calculations!$F$4)&lt;5,OR(A1000&lt;=Calculations!$F$7,A1000&gt;=Calculations!$F$8)),0.2*_xlfn.NORM.DIST(100,100,15,FALSE)*_xlfn.NORM.DIST(A1000,Calculations!$F$3,Calculations!$F$4,FALSE)/_xlfn.NORM.DIST(Calculations!$F$3,Calculations!$F$3,Calculations!$F$4,FALSE),NA())</f>
        <v>#N/A</v>
      </c>
      <c r="M1000" t="e">
        <f>IF(AND(A1000&gt;=Calculations!$F$7,A1000&lt;=Calculations!$F$8),0.2*_xlfn.NORM.DIST(100,100,15,FALSE)*_xlfn.NORM.DIST(A1000,Calculations!$F$3,Calculations!$F$4,FALSE)/_xlfn.NORM.DIST(Calculations!$F$3,Calculations!$F$3,Calculations!$F$4,FALSE),NA())</f>
        <v>#N/A</v>
      </c>
    </row>
    <row r="1001" spans="1:13" x14ac:dyDescent="0.25">
      <c r="A1001">
        <v>139.900000000001</v>
      </c>
      <c r="B1001" t="e">
        <f t="shared" si="150"/>
        <v>#N/A</v>
      </c>
      <c r="C1001" t="e">
        <f t="shared" si="151"/>
        <v>#N/A</v>
      </c>
      <c r="D1001" t="e">
        <f t="shared" si="152"/>
        <v>#N/A</v>
      </c>
      <c r="E1001" t="e">
        <f t="shared" si="153"/>
        <v>#N/A</v>
      </c>
      <c r="F1001" t="e">
        <f t="shared" si="154"/>
        <v>#N/A</v>
      </c>
      <c r="G1001" t="e">
        <f t="shared" si="155"/>
        <v>#N/A</v>
      </c>
      <c r="H1001" t="e">
        <f t="shared" si="156"/>
        <v>#N/A</v>
      </c>
      <c r="I1001">
        <f t="shared" si="157"/>
        <v>7.7334234091336709E-4</v>
      </c>
      <c r="J1001" t="e">
        <f t="shared" si="158"/>
        <v>#N/A</v>
      </c>
      <c r="K1001">
        <f t="shared" si="159"/>
        <v>9.7334234091336707E-4</v>
      </c>
      <c r="L1001" t="e">
        <f>IF(AND(ABS((ChartCalculations!A1001-Calculations!$F$3)/Calculations!$F$4)&lt;5,OR(A1001&lt;=Calculations!$F$7,A1001&gt;=Calculations!$F$8)),0.2*_xlfn.NORM.DIST(100,100,15,FALSE)*_xlfn.NORM.DIST(A1001,Calculations!$F$3,Calculations!$F$4,FALSE)/_xlfn.NORM.DIST(Calculations!$F$3,Calculations!$F$3,Calculations!$F$4,FALSE),NA())</f>
        <v>#N/A</v>
      </c>
      <c r="M1001" t="e">
        <f>IF(AND(A1001&gt;=Calculations!$F$7,A1001&lt;=Calculations!$F$8),0.2*_xlfn.NORM.DIST(100,100,15,FALSE)*_xlfn.NORM.DIST(A1001,Calculations!$F$3,Calculations!$F$4,FALSE)/_xlfn.NORM.DIST(Calculations!$F$3,Calculations!$F$3,Calculations!$F$4,FALSE),NA())</f>
        <v>#N/A</v>
      </c>
    </row>
    <row r="1002" spans="1:13" x14ac:dyDescent="0.25">
      <c r="A1002">
        <v>140.00000000000099</v>
      </c>
      <c r="B1002" t="e">
        <f t="shared" si="150"/>
        <v>#N/A</v>
      </c>
      <c r="C1002" t="e">
        <f t="shared" si="151"/>
        <v>#N/A</v>
      </c>
      <c r="D1002" t="e">
        <f t="shared" si="152"/>
        <v>#N/A</v>
      </c>
      <c r="E1002" t="e">
        <f t="shared" si="153"/>
        <v>#N/A</v>
      </c>
      <c r="F1002" t="e">
        <f t="shared" si="154"/>
        <v>#N/A</v>
      </c>
      <c r="G1002" t="e">
        <f t="shared" si="155"/>
        <v>#N/A</v>
      </c>
      <c r="H1002" t="e">
        <f t="shared" si="156"/>
        <v>#N/A</v>
      </c>
      <c r="I1002" t="e">
        <f t="shared" si="157"/>
        <v>#N/A</v>
      </c>
      <c r="J1002">
        <f t="shared" si="158"/>
        <v>7.5973240158636122E-4</v>
      </c>
      <c r="K1002">
        <f t="shared" si="159"/>
        <v>9.597324015863612E-4</v>
      </c>
      <c r="L1002" t="e">
        <f>IF(AND(ABS((ChartCalculations!A1002-Calculations!$F$3)/Calculations!$F$4)&lt;5,OR(A1002&lt;=Calculations!$F$7,A1002&gt;=Calculations!$F$8)),0.2*_xlfn.NORM.DIST(100,100,15,FALSE)*_xlfn.NORM.DIST(A1002,Calculations!$F$3,Calculations!$F$4,FALSE)/_xlfn.NORM.DIST(Calculations!$F$3,Calculations!$F$3,Calculations!$F$4,FALSE),NA())</f>
        <v>#N/A</v>
      </c>
      <c r="M1002" t="e">
        <f>IF(AND(A1002&gt;=Calculations!$F$7,A1002&lt;=Calculations!$F$8),0.2*_xlfn.NORM.DIST(100,100,15,FALSE)*_xlfn.NORM.DIST(A1002,Calculations!$F$3,Calculations!$F$4,FALSE)/_xlfn.NORM.DIST(Calculations!$F$3,Calculations!$F$3,Calculations!$F$4,FALSE),NA())</f>
        <v>#N/A</v>
      </c>
    </row>
    <row r="1003" spans="1:13" x14ac:dyDescent="0.25">
      <c r="A1003">
        <v>140.10000000000099</v>
      </c>
      <c r="B1003" t="e">
        <f t="shared" si="150"/>
        <v>#N/A</v>
      </c>
      <c r="C1003" t="e">
        <f t="shared" si="151"/>
        <v>#N/A</v>
      </c>
      <c r="D1003" t="e">
        <f t="shared" si="152"/>
        <v>#N/A</v>
      </c>
      <c r="E1003" t="e">
        <f t="shared" si="153"/>
        <v>#N/A</v>
      </c>
      <c r="F1003" t="e">
        <f t="shared" si="154"/>
        <v>#N/A</v>
      </c>
      <c r="G1003" t="e">
        <f t="shared" si="155"/>
        <v>#N/A</v>
      </c>
      <c r="H1003" t="e">
        <f t="shared" si="156"/>
        <v>#N/A</v>
      </c>
      <c r="I1003" t="e">
        <f t="shared" si="157"/>
        <v>#N/A</v>
      </c>
      <c r="J1003">
        <f t="shared" si="158"/>
        <v>7.4632881069467056E-4</v>
      </c>
      <c r="K1003">
        <f t="shared" si="159"/>
        <v>9.4632881069467054E-4</v>
      </c>
      <c r="L1003" t="e">
        <f>IF(AND(ABS((ChartCalculations!A1003-Calculations!$F$3)/Calculations!$F$4)&lt;5,OR(A1003&lt;=Calculations!$F$7,A1003&gt;=Calculations!$F$8)),0.2*_xlfn.NORM.DIST(100,100,15,FALSE)*_xlfn.NORM.DIST(A1003,Calculations!$F$3,Calculations!$F$4,FALSE)/_xlfn.NORM.DIST(Calculations!$F$3,Calculations!$F$3,Calculations!$F$4,FALSE),NA())</f>
        <v>#N/A</v>
      </c>
      <c r="M1003" t="e">
        <f>IF(AND(A1003&gt;=Calculations!$F$7,A1003&lt;=Calculations!$F$8),0.2*_xlfn.NORM.DIST(100,100,15,FALSE)*_xlfn.NORM.DIST(A1003,Calculations!$F$3,Calculations!$F$4,FALSE)/_xlfn.NORM.DIST(Calculations!$F$3,Calculations!$F$3,Calculations!$F$4,FALSE),NA())</f>
        <v>#N/A</v>
      </c>
    </row>
    <row r="1004" spans="1:13" x14ac:dyDescent="0.25">
      <c r="A1004">
        <v>140.20000000000101</v>
      </c>
      <c r="B1004" t="e">
        <f t="shared" si="150"/>
        <v>#N/A</v>
      </c>
      <c r="C1004" t="e">
        <f t="shared" si="151"/>
        <v>#N/A</v>
      </c>
      <c r="D1004" t="e">
        <f t="shared" si="152"/>
        <v>#N/A</v>
      </c>
      <c r="E1004" t="e">
        <f t="shared" si="153"/>
        <v>#N/A</v>
      </c>
      <c r="F1004" t="e">
        <f t="shared" si="154"/>
        <v>#N/A</v>
      </c>
      <c r="G1004" t="e">
        <f t="shared" si="155"/>
        <v>#N/A</v>
      </c>
      <c r="H1004" t="e">
        <f t="shared" si="156"/>
        <v>#N/A</v>
      </c>
      <c r="I1004" t="e">
        <f t="shared" si="157"/>
        <v>#N/A</v>
      </c>
      <c r="J1004">
        <f t="shared" si="158"/>
        <v>7.3312910862690565E-4</v>
      </c>
      <c r="K1004">
        <f t="shared" si="159"/>
        <v>9.3312910862690564E-4</v>
      </c>
      <c r="L1004" t="e">
        <f>IF(AND(ABS((ChartCalculations!A1004-Calculations!$F$3)/Calculations!$F$4)&lt;5,OR(A1004&lt;=Calculations!$F$7,A1004&gt;=Calculations!$F$8)),0.2*_xlfn.NORM.DIST(100,100,15,FALSE)*_xlfn.NORM.DIST(A1004,Calculations!$F$3,Calculations!$F$4,FALSE)/_xlfn.NORM.DIST(Calculations!$F$3,Calculations!$F$3,Calculations!$F$4,FALSE),NA())</f>
        <v>#N/A</v>
      </c>
      <c r="M1004" t="e">
        <f>IF(AND(A1004&gt;=Calculations!$F$7,A1004&lt;=Calculations!$F$8),0.2*_xlfn.NORM.DIST(100,100,15,FALSE)*_xlfn.NORM.DIST(A1004,Calculations!$F$3,Calculations!$F$4,FALSE)/_xlfn.NORM.DIST(Calculations!$F$3,Calculations!$F$3,Calculations!$F$4,FALSE),NA())</f>
        <v>#N/A</v>
      </c>
    </row>
    <row r="1005" spans="1:13" x14ac:dyDescent="0.25">
      <c r="A1005">
        <v>140.30000000000101</v>
      </c>
      <c r="B1005" t="e">
        <f t="shared" si="150"/>
        <v>#N/A</v>
      </c>
      <c r="C1005" t="e">
        <f t="shared" si="151"/>
        <v>#N/A</v>
      </c>
      <c r="D1005" t="e">
        <f t="shared" si="152"/>
        <v>#N/A</v>
      </c>
      <c r="E1005" t="e">
        <f t="shared" si="153"/>
        <v>#N/A</v>
      </c>
      <c r="F1005" t="e">
        <f t="shared" si="154"/>
        <v>#N/A</v>
      </c>
      <c r="G1005" t="e">
        <f t="shared" si="155"/>
        <v>#N/A</v>
      </c>
      <c r="H1005" t="e">
        <f t="shared" si="156"/>
        <v>#N/A</v>
      </c>
      <c r="I1005" t="e">
        <f t="shared" si="157"/>
        <v>#N/A</v>
      </c>
      <c r="J1005">
        <f t="shared" si="158"/>
        <v>7.2013085227497751E-4</v>
      </c>
      <c r="K1005">
        <f t="shared" si="159"/>
        <v>9.2013085227497749E-4</v>
      </c>
      <c r="L1005" t="e">
        <f>IF(AND(ABS((ChartCalculations!A1005-Calculations!$F$3)/Calculations!$F$4)&lt;5,OR(A1005&lt;=Calculations!$F$7,A1005&gt;=Calculations!$F$8)),0.2*_xlfn.NORM.DIST(100,100,15,FALSE)*_xlfn.NORM.DIST(A1005,Calculations!$F$3,Calculations!$F$4,FALSE)/_xlfn.NORM.DIST(Calculations!$F$3,Calculations!$F$3,Calculations!$F$4,FALSE),NA())</f>
        <v>#N/A</v>
      </c>
      <c r="M1005" t="e">
        <f>IF(AND(A1005&gt;=Calculations!$F$7,A1005&lt;=Calculations!$F$8),0.2*_xlfn.NORM.DIST(100,100,15,FALSE)*_xlfn.NORM.DIST(A1005,Calculations!$F$3,Calculations!$F$4,FALSE)/_xlfn.NORM.DIST(Calculations!$F$3,Calculations!$F$3,Calculations!$F$4,FALSE),NA())</f>
        <v>#N/A</v>
      </c>
    </row>
    <row r="1006" spans="1:13" x14ac:dyDescent="0.25">
      <c r="A1006">
        <v>140.400000000001</v>
      </c>
      <c r="B1006" t="e">
        <f t="shared" si="150"/>
        <v>#N/A</v>
      </c>
      <c r="C1006" t="e">
        <f t="shared" si="151"/>
        <v>#N/A</v>
      </c>
      <c r="D1006" t="e">
        <f t="shared" si="152"/>
        <v>#N/A</v>
      </c>
      <c r="E1006" t="e">
        <f t="shared" si="153"/>
        <v>#N/A</v>
      </c>
      <c r="F1006" t="e">
        <f t="shared" si="154"/>
        <v>#N/A</v>
      </c>
      <c r="G1006" t="e">
        <f t="shared" si="155"/>
        <v>#N/A</v>
      </c>
      <c r="H1006" t="e">
        <f t="shared" si="156"/>
        <v>#N/A</v>
      </c>
      <c r="I1006" t="e">
        <f t="shared" si="157"/>
        <v>#N/A</v>
      </c>
      <c r="J1006">
        <f t="shared" si="158"/>
        <v>7.0733161517265376E-4</v>
      </c>
      <c r="K1006">
        <f t="shared" si="159"/>
        <v>9.0733161517265375E-4</v>
      </c>
      <c r="L1006" t="e">
        <f>IF(AND(ABS((ChartCalculations!A1006-Calculations!$F$3)/Calculations!$F$4)&lt;5,OR(A1006&lt;=Calculations!$F$7,A1006&gt;=Calculations!$F$8)),0.2*_xlfn.NORM.DIST(100,100,15,FALSE)*_xlfn.NORM.DIST(A1006,Calculations!$F$3,Calculations!$F$4,FALSE)/_xlfn.NORM.DIST(Calculations!$F$3,Calculations!$F$3,Calculations!$F$4,FALSE),NA())</f>
        <v>#N/A</v>
      </c>
      <c r="M1006" t="e">
        <f>IF(AND(A1006&gt;=Calculations!$F$7,A1006&lt;=Calculations!$F$8),0.2*_xlfn.NORM.DIST(100,100,15,FALSE)*_xlfn.NORM.DIST(A1006,Calculations!$F$3,Calculations!$F$4,FALSE)/_xlfn.NORM.DIST(Calculations!$F$3,Calculations!$F$3,Calculations!$F$4,FALSE),NA())</f>
        <v>#N/A</v>
      </c>
    </row>
    <row r="1007" spans="1:13" x14ac:dyDescent="0.25">
      <c r="A1007">
        <v>140.50000000000099</v>
      </c>
      <c r="B1007" t="e">
        <f t="shared" si="150"/>
        <v>#N/A</v>
      </c>
      <c r="C1007" t="e">
        <f t="shared" si="151"/>
        <v>#N/A</v>
      </c>
      <c r="D1007" t="e">
        <f t="shared" si="152"/>
        <v>#N/A</v>
      </c>
      <c r="E1007" t="e">
        <f t="shared" si="153"/>
        <v>#N/A</v>
      </c>
      <c r="F1007" t="e">
        <f t="shared" si="154"/>
        <v>#N/A</v>
      </c>
      <c r="G1007" t="e">
        <f t="shared" si="155"/>
        <v>#N/A</v>
      </c>
      <c r="H1007" t="e">
        <f t="shared" si="156"/>
        <v>#N/A</v>
      </c>
      <c r="I1007" t="e">
        <f t="shared" si="157"/>
        <v>#N/A</v>
      </c>
      <c r="J1007">
        <f t="shared" si="158"/>
        <v>6.9472898762804871E-4</v>
      </c>
      <c r="K1007">
        <f t="shared" si="159"/>
        <v>8.947289876280487E-4</v>
      </c>
      <c r="L1007" t="e">
        <f>IF(AND(ABS((ChartCalculations!A1007-Calculations!$F$3)/Calculations!$F$4)&lt;5,OR(A1007&lt;=Calculations!$F$7,A1007&gt;=Calculations!$F$8)),0.2*_xlfn.NORM.DIST(100,100,15,FALSE)*_xlfn.NORM.DIST(A1007,Calculations!$F$3,Calculations!$F$4,FALSE)/_xlfn.NORM.DIST(Calculations!$F$3,Calculations!$F$3,Calculations!$F$4,FALSE),NA())</f>
        <v>#N/A</v>
      </c>
      <c r="M1007" t="e">
        <f>IF(AND(A1007&gt;=Calculations!$F$7,A1007&lt;=Calculations!$F$8),0.2*_xlfn.NORM.DIST(100,100,15,FALSE)*_xlfn.NORM.DIST(A1007,Calculations!$F$3,Calculations!$F$4,FALSE)/_xlfn.NORM.DIST(Calculations!$F$3,Calculations!$F$3,Calculations!$F$4,FALSE),NA())</f>
        <v>#N/A</v>
      </c>
    </row>
    <row r="1008" spans="1:13" x14ac:dyDescent="0.25">
      <c r="A1008">
        <v>140.60000000000099</v>
      </c>
      <c r="B1008" t="e">
        <f t="shared" si="150"/>
        <v>#N/A</v>
      </c>
      <c r="C1008" t="e">
        <f t="shared" si="151"/>
        <v>#N/A</v>
      </c>
      <c r="D1008" t="e">
        <f t="shared" si="152"/>
        <v>#N/A</v>
      </c>
      <c r="E1008" t="e">
        <f t="shared" si="153"/>
        <v>#N/A</v>
      </c>
      <c r="F1008" t="e">
        <f t="shared" si="154"/>
        <v>#N/A</v>
      </c>
      <c r="G1008" t="e">
        <f t="shared" si="155"/>
        <v>#N/A</v>
      </c>
      <c r="H1008" t="e">
        <f t="shared" si="156"/>
        <v>#N/A</v>
      </c>
      <c r="I1008" t="e">
        <f t="shared" si="157"/>
        <v>#N/A</v>
      </c>
      <c r="J1008">
        <f t="shared" si="158"/>
        <v>6.8232057685004043E-4</v>
      </c>
      <c r="K1008">
        <f t="shared" si="159"/>
        <v>8.8232057685004041E-4</v>
      </c>
      <c r="L1008" t="e">
        <f>IF(AND(ABS((ChartCalculations!A1008-Calculations!$F$3)/Calculations!$F$4)&lt;5,OR(A1008&lt;=Calculations!$F$7,A1008&gt;=Calculations!$F$8)),0.2*_xlfn.NORM.DIST(100,100,15,FALSE)*_xlfn.NORM.DIST(A1008,Calculations!$F$3,Calculations!$F$4,FALSE)/_xlfn.NORM.DIST(Calculations!$F$3,Calculations!$F$3,Calculations!$F$4,FALSE),NA())</f>
        <v>#N/A</v>
      </c>
      <c r="M1008" t="e">
        <f>IF(AND(A1008&gt;=Calculations!$F$7,A1008&lt;=Calculations!$F$8),0.2*_xlfn.NORM.DIST(100,100,15,FALSE)*_xlfn.NORM.DIST(A1008,Calculations!$F$3,Calculations!$F$4,FALSE)/_xlfn.NORM.DIST(Calculations!$F$3,Calculations!$F$3,Calculations!$F$4,FALSE),NA())</f>
        <v>#N/A</v>
      </c>
    </row>
    <row r="1009" spans="1:13" x14ac:dyDescent="0.25">
      <c r="A1009">
        <v>140.70000000000101</v>
      </c>
      <c r="B1009" t="e">
        <f t="shared" si="150"/>
        <v>#N/A</v>
      </c>
      <c r="C1009" t="e">
        <f t="shared" si="151"/>
        <v>#N/A</v>
      </c>
      <c r="D1009" t="e">
        <f t="shared" si="152"/>
        <v>#N/A</v>
      </c>
      <c r="E1009" t="e">
        <f t="shared" si="153"/>
        <v>#N/A</v>
      </c>
      <c r="F1009" t="e">
        <f t="shared" si="154"/>
        <v>#N/A</v>
      </c>
      <c r="G1009" t="e">
        <f t="shared" si="155"/>
        <v>#N/A</v>
      </c>
      <c r="H1009" t="e">
        <f t="shared" si="156"/>
        <v>#N/A</v>
      </c>
      <c r="I1009" t="e">
        <f t="shared" si="157"/>
        <v>#N/A</v>
      </c>
      <c r="J1009">
        <f t="shared" si="158"/>
        <v>6.7010400706871978E-4</v>
      </c>
      <c r="K1009">
        <f t="shared" si="159"/>
        <v>8.7010400706871976E-4</v>
      </c>
      <c r="L1009" t="e">
        <f>IF(AND(ABS((ChartCalculations!A1009-Calculations!$F$3)/Calculations!$F$4)&lt;5,OR(A1009&lt;=Calculations!$F$7,A1009&gt;=Calculations!$F$8)),0.2*_xlfn.NORM.DIST(100,100,15,FALSE)*_xlfn.NORM.DIST(A1009,Calculations!$F$3,Calculations!$F$4,FALSE)/_xlfn.NORM.DIST(Calculations!$F$3,Calculations!$F$3,Calculations!$F$4,FALSE),NA())</f>
        <v>#N/A</v>
      </c>
      <c r="M1009" t="e">
        <f>IF(AND(A1009&gt;=Calculations!$F$7,A1009&lt;=Calculations!$F$8),0.2*_xlfn.NORM.DIST(100,100,15,FALSE)*_xlfn.NORM.DIST(A1009,Calculations!$F$3,Calculations!$F$4,FALSE)/_xlfn.NORM.DIST(Calculations!$F$3,Calculations!$F$3,Calculations!$F$4,FALSE),NA())</f>
        <v>#N/A</v>
      </c>
    </row>
    <row r="1010" spans="1:13" x14ac:dyDescent="0.25">
      <c r="A1010">
        <v>140.80000000000101</v>
      </c>
      <c r="B1010" t="e">
        <f t="shared" si="150"/>
        <v>#N/A</v>
      </c>
      <c r="C1010" t="e">
        <f t="shared" si="151"/>
        <v>#N/A</v>
      </c>
      <c r="D1010" t="e">
        <f t="shared" si="152"/>
        <v>#N/A</v>
      </c>
      <c r="E1010" t="e">
        <f t="shared" si="153"/>
        <v>#N/A</v>
      </c>
      <c r="F1010" t="e">
        <f t="shared" si="154"/>
        <v>#N/A</v>
      </c>
      <c r="G1010" t="e">
        <f t="shared" si="155"/>
        <v>#N/A</v>
      </c>
      <c r="H1010" t="e">
        <f t="shared" si="156"/>
        <v>#N/A</v>
      </c>
      <c r="I1010" t="e">
        <f t="shared" si="157"/>
        <v>#N/A</v>
      </c>
      <c r="J1010">
        <f t="shared" si="158"/>
        <v>6.5807691964995553E-4</v>
      </c>
      <c r="K1010">
        <f t="shared" si="159"/>
        <v>8.5807691964995552E-4</v>
      </c>
      <c r="L1010" t="e">
        <f>IF(AND(ABS((ChartCalculations!A1010-Calculations!$F$3)/Calculations!$F$4)&lt;5,OR(A1010&lt;=Calculations!$F$7,A1010&gt;=Calculations!$F$8)),0.2*_xlfn.NORM.DIST(100,100,15,FALSE)*_xlfn.NORM.DIST(A1010,Calculations!$F$3,Calculations!$F$4,FALSE)/_xlfn.NORM.DIST(Calculations!$F$3,Calculations!$F$3,Calculations!$F$4,FALSE),NA())</f>
        <v>#N/A</v>
      </c>
      <c r="M1010" t="e">
        <f>IF(AND(A1010&gt;=Calculations!$F$7,A1010&lt;=Calculations!$F$8),0.2*_xlfn.NORM.DIST(100,100,15,FALSE)*_xlfn.NORM.DIST(A1010,Calculations!$F$3,Calculations!$F$4,FALSE)/_xlfn.NORM.DIST(Calculations!$F$3,Calculations!$F$3,Calculations!$F$4,FALSE),NA())</f>
        <v>#N/A</v>
      </c>
    </row>
    <row r="1011" spans="1:13" x14ac:dyDescent="0.25">
      <c r="A1011">
        <v>140.900000000001</v>
      </c>
      <c r="B1011" t="e">
        <f t="shared" si="150"/>
        <v>#N/A</v>
      </c>
      <c r="C1011" t="e">
        <f t="shared" si="151"/>
        <v>#N/A</v>
      </c>
      <c r="D1011" t="e">
        <f t="shared" si="152"/>
        <v>#N/A</v>
      </c>
      <c r="E1011" t="e">
        <f t="shared" si="153"/>
        <v>#N/A</v>
      </c>
      <c r="F1011" t="e">
        <f t="shared" si="154"/>
        <v>#N/A</v>
      </c>
      <c r="G1011" t="e">
        <f t="shared" si="155"/>
        <v>#N/A</v>
      </c>
      <c r="H1011" t="e">
        <f t="shared" si="156"/>
        <v>#N/A</v>
      </c>
      <c r="I1011" t="e">
        <f t="shared" si="157"/>
        <v>#N/A</v>
      </c>
      <c r="J1011">
        <f t="shared" si="158"/>
        <v>6.4623697320410954E-4</v>
      </c>
      <c r="K1011">
        <f t="shared" si="159"/>
        <v>8.4623697320410952E-4</v>
      </c>
      <c r="L1011" t="e">
        <f>IF(AND(ABS((ChartCalculations!A1011-Calculations!$F$3)/Calculations!$F$4)&lt;5,OR(A1011&lt;=Calculations!$F$7,A1011&gt;=Calculations!$F$8)),0.2*_xlfn.NORM.DIST(100,100,15,FALSE)*_xlfn.NORM.DIST(A1011,Calculations!$F$3,Calculations!$F$4,FALSE)/_xlfn.NORM.DIST(Calculations!$F$3,Calculations!$F$3,Calculations!$F$4,FALSE),NA())</f>
        <v>#N/A</v>
      </c>
      <c r="M1011" t="e">
        <f>IF(AND(A1011&gt;=Calculations!$F$7,A1011&lt;=Calculations!$F$8),0.2*_xlfn.NORM.DIST(100,100,15,FALSE)*_xlfn.NORM.DIST(A1011,Calculations!$F$3,Calculations!$F$4,FALSE)/_xlfn.NORM.DIST(Calculations!$F$3,Calculations!$F$3,Calculations!$F$4,FALSE),NA())</f>
        <v>#N/A</v>
      </c>
    </row>
    <row r="1012" spans="1:13" x14ac:dyDescent="0.25">
      <c r="A1012">
        <v>141.00000000000099</v>
      </c>
      <c r="B1012" t="e">
        <f t="shared" si="150"/>
        <v>#N/A</v>
      </c>
      <c r="C1012" t="e">
        <f t="shared" si="151"/>
        <v>#N/A</v>
      </c>
      <c r="D1012" t="e">
        <f t="shared" si="152"/>
        <v>#N/A</v>
      </c>
      <c r="E1012" t="e">
        <f t="shared" si="153"/>
        <v>#N/A</v>
      </c>
      <c r="F1012" t="e">
        <f t="shared" si="154"/>
        <v>#N/A</v>
      </c>
      <c r="G1012" t="e">
        <f t="shared" si="155"/>
        <v>#N/A</v>
      </c>
      <c r="H1012" t="e">
        <f t="shared" si="156"/>
        <v>#N/A</v>
      </c>
      <c r="I1012" t="e">
        <f t="shared" si="157"/>
        <v>#N/A</v>
      </c>
      <c r="J1012">
        <f t="shared" si="158"/>
        <v>6.3458184368903102E-4</v>
      </c>
      <c r="K1012">
        <f t="shared" si="159"/>
        <v>8.34581843689031E-4</v>
      </c>
      <c r="L1012" t="e">
        <f>IF(AND(ABS((ChartCalculations!A1012-Calculations!$F$3)/Calculations!$F$4)&lt;5,OR(A1012&lt;=Calculations!$F$7,A1012&gt;=Calculations!$F$8)),0.2*_xlfn.NORM.DIST(100,100,15,FALSE)*_xlfn.NORM.DIST(A1012,Calculations!$F$3,Calculations!$F$4,FALSE)/_xlfn.NORM.DIST(Calculations!$F$3,Calculations!$F$3,Calculations!$F$4,FALSE),NA())</f>
        <v>#N/A</v>
      </c>
      <c r="M1012" t="e">
        <f>IF(AND(A1012&gt;=Calculations!$F$7,A1012&lt;=Calculations!$F$8),0.2*_xlfn.NORM.DIST(100,100,15,FALSE)*_xlfn.NORM.DIST(A1012,Calculations!$F$3,Calculations!$F$4,FALSE)/_xlfn.NORM.DIST(Calculations!$F$3,Calculations!$F$3,Calculations!$F$4,FALSE),NA())</f>
        <v>#N/A</v>
      </c>
    </row>
    <row r="1013" spans="1:13" x14ac:dyDescent="0.25">
      <c r="A1013">
        <v>141.10000000000099</v>
      </c>
      <c r="B1013" t="e">
        <f t="shared" si="150"/>
        <v>#N/A</v>
      </c>
      <c r="C1013" t="e">
        <f t="shared" si="151"/>
        <v>#N/A</v>
      </c>
      <c r="D1013" t="e">
        <f t="shared" si="152"/>
        <v>#N/A</v>
      </c>
      <c r="E1013" t="e">
        <f t="shared" si="153"/>
        <v>#N/A</v>
      </c>
      <c r="F1013" t="e">
        <f t="shared" si="154"/>
        <v>#N/A</v>
      </c>
      <c r="G1013" t="e">
        <f t="shared" si="155"/>
        <v>#N/A</v>
      </c>
      <c r="H1013" t="e">
        <f t="shared" si="156"/>
        <v>#N/A</v>
      </c>
      <c r="I1013" t="e">
        <f t="shared" si="157"/>
        <v>#N/A</v>
      </c>
      <c r="J1013">
        <f t="shared" si="158"/>
        <v>6.2310922450737314E-4</v>
      </c>
      <c r="K1013">
        <f t="shared" si="159"/>
        <v>8.2310922450737312E-4</v>
      </c>
      <c r="L1013" t="e">
        <f>IF(AND(ABS((ChartCalculations!A1013-Calculations!$F$3)/Calculations!$F$4)&lt;5,OR(A1013&lt;=Calculations!$F$7,A1013&gt;=Calculations!$F$8)),0.2*_xlfn.NORM.DIST(100,100,15,FALSE)*_xlfn.NORM.DIST(A1013,Calculations!$F$3,Calculations!$F$4,FALSE)/_xlfn.NORM.DIST(Calculations!$F$3,Calculations!$F$3,Calculations!$F$4,FALSE),NA())</f>
        <v>#N/A</v>
      </c>
      <c r="M1013" t="e">
        <f>IF(AND(A1013&gt;=Calculations!$F$7,A1013&lt;=Calculations!$F$8),0.2*_xlfn.NORM.DIST(100,100,15,FALSE)*_xlfn.NORM.DIST(A1013,Calculations!$F$3,Calculations!$F$4,FALSE)/_xlfn.NORM.DIST(Calculations!$F$3,Calculations!$F$3,Calculations!$F$4,FALSE),NA())</f>
        <v>#N/A</v>
      </c>
    </row>
    <row r="1014" spans="1:13" x14ac:dyDescent="0.25">
      <c r="A1014">
        <v>141.20000000000101</v>
      </c>
      <c r="B1014" t="e">
        <f t="shared" si="150"/>
        <v>#N/A</v>
      </c>
      <c r="C1014" t="e">
        <f t="shared" si="151"/>
        <v>#N/A</v>
      </c>
      <c r="D1014" t="e">
        <f t="shared" si="152"/>
        <v>#N/A</v>
      </c>
      <c r="E1014" t="e">
        <f t="shared" si="153"/>
        <v>#N/A</v>
      </c>
      <c r="F1014" t="e">
        <f t="shared" si="154"/>
        <v>#N/A</v>
      </c>
      <c r="G1014" t="e">
        <f t="shared" si="155"/>
        <v>#N/A</v>
      </c>
      <c r="H1014" t="e">
        <f t="shared" si="156"/>
        <v>#N/A</v>
      </c>
      <c r="I1014" t="e">
        <f t="shared" si="157"/>
        <v>#N/A</v>
      </c>
      <c r="J1014">
        <f t="shared" si="158"/>
        <v>6.1181682659830678E-4</v>
      </c>
      <c r="K1014">
        <f t="shared" si="159"/>
        <v>8.1181682659830676E-4</v>
      </c>
      <c r="L1014" t="e">
        <f>IF(AND(ABS((ChartCalculations!A1014-Calculations!$F$3)/Calculations!$F$4)&lt;5,OR(A1014&lt;=Calculations!$F$7,A1014&gt;=Calculations!$F$8)),0.2*_xlfn.NORM.DIST(100,100,15,FALSE)*_xlfn.NORM.DIST(A1014,Calculations!$F$3,Calculations!$F$4,FALSE)/_xlfn.NORM.DIST(Calculations!$F$3,Calculations!$F$3,Calculations!$F$4,FALSE),NA())</f>
        <v>#N/A</v>
      </c>
      <c r="M1014" t="e">
        <f>IF(AND(A1014&gt;=Calculations!$F$7,A1014&lt;=Calculations!$F$8),0.2*_xlfn.NORM.DIST(100,100,15,FALSE)*_xlfn.NORM.DIST(A1014,Calculations!$F$3,Calculations!$F$4,FALSE)/_xlfn.NORM.DIST(Calculations!$F$3,Calculations!$F$3,Calculations!$F$4,FALSE),NA())</f>
        <v>#N/A</v>
      </c>
    </row>
    <row r="1015" spans="1:13" x14ac:dyDescent="0.25">
      <c r="A1015">
        <v>141.30000000000101</v>
      </c>
      <c r="B1015" t="e">
        <f t="shared" si="150"/>
        <v>#N/A</v>
      </c>
      <c r="C1015" t="e">
        <f t="shared" si="151"/>
        <v>#N/A</v>
      </c>
      <c r="D1015" t="e">
        <f t="shared" si="152"/>
        <v>#N/A</v>
      </c>
      <c r="E1015" t="e">
        <f t="shared" si="153"/>
        <v>#N/A</v>
      </c>
      <c r="F1015" t="e">
        <f t="shared" si="154"/>
        <v>#N/A</v>
      </c>
      <c r="G1015" t="e">
        <f t="shared" si="155"/>
        <v>#N/A</v>
      </c>
      <c r="H1015" t="e">
        <f t="shared" si="156"/>
        <v>#N/A</v>
      </c>
      <c r="I1015" t="e">
        <f t="shared" si="157"/>
        <v>#N/A</v>
      </c>
      <c r="J1015">
        <f t="shared" si="158"/>
        <v>6.007023785237353E-4</v>
      </c>
      <c r="K1015">
        <f t="shared" si="159"/>
        <v>8.0070237852373528E-4</v>
      </c>
      <c r="L1015" t="e">
        <f>IF(AND(ABS((ChartCalculations!A1015-Calculations!$F$3)/Calculations!$F$4)&lt;5,OR(A1015&lt;=Calculations!$F$7,A1015&gt;=Calculations!$F$8)),0.2*_xlfn.NORM.DIST(100,100,15,FALSE)*_xlfn.NORM.DIST(A1015,Calculations!$F$3,Calculations!$F$4,FALSE)/_xlfn.NORM.DIST(Calculations!$F$3,Calculations!$F$3,Calculations!$F$4,FALSE),NA())</f>
        <v>#N/A</v>
      </c>
      <c r="M1015" t="e">
        <f>IF(AND(A1015&gt;=Calculations!$F$7,A1015&lt;=Calculations!$F$8),0.2*_xlfn.NORM.DIST(100,100,15,FALSE)*_xlfn.NORM.DIST(A1015,Calculations!$F$3,Calculations!$F$4,FALSE)/_xlfn.NORM.DIST(Calculations!$F$3,Calculations!$F$3,Calculations!$F$4,FALSE),NA())</f>
        <v>#N/A</v>
      </c>
    </row>
    <row r="1016" spans="1:13" x14ac:dyDescent="0.25">
      <c r="A1016">
        <v>141.400000000001</v>
      </c>
      <c r="B1016" t="e">
        <f t="shared" si="150"/>
        <v>#N/A</v>
      </c>
      <c r="C1016" t="e">
        <f t="shared" si="151"/>
        <v>#N/A</v>
      </c>
      <c r="D1016" t="e">
        <f t="shared" si="152"/>
        <v>#N/A</v>
      </c>
      <c r="E1016" t="e">
        <f t="shared" si="153"/>
        <v>#N/A</v>
      </c>
      <c r="F1016" t="e">
        <f t="shared" si="154"/>
        <v>#N/A</v>
      </c>
      <c r="G1016" t="e">
        <f t="shared" si="155"/>
        <v>#N/A</v>
      </c>
      <c r="H1016" t="e">
        <f t="shared" si="156"/>
        <v>#N/A</v>
      </c>
      <c r="I1016" t="e">
        <f t="shared" si="157"/>
        <v>#N/A</v>
      </c>
      <c r="J1016">
        <f t="shared" si="158"/>
        <v>5.8976362654903952E-4</v>
      </c>
      <c r="K1016">
        <f t="shared" si="159"/>
        <v>7.8976362654903951E-4</v>
      </c>
      <c r="L1016" t="e">
        <f>IF(AND(ABS((ChartCalculations!A1016-Calculations!$F$3)/Calculations!$F$4)&lt;5,OR(A1016&lt;=Calculations!$F$7,A1016&gt;=Calculations!$F$8)),0.2*_xlfn.NORM.DIST(100,100,15,FALSE)*_xlfn.NORM.DIST(A1016,Calculations!$F$3,Calculations!$F$4,FALSE)/_xlfn.NORM.DIST(Calculations!$F$3,Calculations!$F$3,Calculations!$F$4,FALSE),NA())</f>
        <v>#N/A</v>
      </c>
      <c r="M1016" t="e">
        <f>IF(AND(A1016&gt;=Calculations!$F$7,A1016&lt;=Calculations!$F$8),0.2*_xlfn.NORM.DIST(100,100,15,FALSE)*_xlfn.NORM.DIST(A1016,Calculations!$F$3,Calculations!$F$4,FALSE)/_xlfn.NORM.DIST(Calculations!$F$3,Calculations!$F$3,Calculations!$F$4,FALSE),NA())</f>
        <v>#N/A</v>
      </c>
    </row>
    <row r="1017" spans="1:13" x14ac:dyDescent="0.25">
      <c r="A1017">
        <v>141.50000000000099</v>
      </c>
      <c r="B1017" t="e">
        <f t="shared" si="150"/>
        <v>#N/A</v>
      </c>
      <c r="C1017" t="e">
        <f t="shared" si="151"/>
        <v>#N/A</v>
      </c>
      <c r="D1017" t="e">
        <f t="shared" si="152"/>
        <v>#N/A</v>
      </c>
      <c r="E1017" t="e">
        <f t="shared" si="153"/>
        <v>#N/A</v>
      </c>
      <c r="F1017" t="e">
        <f t="shared" si="154"/>
        <v>#N/A</v>
      </c>
      <c r="G1017" t="e">
        <f t="shared" si="155"/>
        <v>#N/A</v>
      </c>
      <c r="H1017" t="e">
        <f t="shared" si="156"/>
        <v>#N/A</v>
      </c>
      <c r="I1017" t="e">
        <f t="shared" si="157"/>
        <v>#N/A</v>
      </c>
      <c r="J1017">
        <f t="shared" si="158"/>
        <v>5.7899833471848747E-4</v>
      </c>
      <c r="K1017">
        <f t="shared" si="159"/>
        <v>7.7899833471848745E-4</v>
      </c>
      <c r="L1017" t="e">
        <f>IF(AND(ABS((ChartCalculations!A1017-Calculations!$F$3)/Calculations!$F$4)&lt;5,OR(A1017&lt;=Calculations!$F$7,A1017&gt;=Calculations!$F$8)),0.2*_xlfn.NORM.DIST(100,100,15,FALSE)*_xlfn.NORM.DIST(A1017,Calculations!$F$3,Calculations!$F$4,FALSE)/_xlfn.NORM.DIST(Calculations!$F$3,Calculations!$F$3,Calculations!$F$4,FALSE),NA())</f>
        <v>#N/A</v>
      </c>
      <c r="M1017" t="e">
        <f>IF(AND(A1017&gt;=Calculations!$F$7,A1017&lt;=Calculations!$F$8),0.2*_xlfn.NORM.DIST(100,100,15,FALSE)*_xlfn.NORM.DIST(A1017,Calculations!$F$3,Calculations!$F$4,FALSE)/_xlfn.NORM.DIST(Calculations!$F$3,Calculations!$F$3,Calculations!$F$4,FALSE),NA())</f>
        <v>#N/A</v>
      </c>
    </row>
    <row r="1018" spans="1:13" x14ac:dyDescent="0.25">
      <c r="A1018">
        <v>141.60000000000099</v>
      </c>
      <c r="B1018" t="e">
        <f t="shared" si="150"/>
        <v>#N/A</v>
      </c>
      <c r="C1018" t="e">
        <f t="shared" si="151"/>
        <v>#N/A</v>
      </c>
      <c r="D1018" t="e">
        <f t="shared" si="152"/>
        <v>#N/A</v>
      </c>
      <c r="E1018" t="e">
        <f t="shared" si="153"/>
        <v>#N/A</v>
      </c>
      <c r="F1018" t="e">
        <f t="shared" si="154"/>
        <v>#N/A</v>
      </c>
      <c r="G1018" t="e">
        <f t="shared" si="155"/>
        <v>#N/A</v>
      </c>
      <c r="H1018" t="e">
        <f t="shared" si="156"/>
        <v>#N/A</v>
      </c>
      <c r="I1018" t="e">
        <f t="shared" si="157"/>
        <v>#N/A</v>
      </c>
      <c r="J1018">
        <f t="shared" si="158"/>
        <v>5.6840428492534189E-4</v>
      </c>
      <c r="K1018">
        <f t="shared" si="159"/>
        <v>7.6840428492534188E-4</v>
      </c>
      <c r="L1018" t="e">
        <f>IF(AND(ABS((ChartCalculations!A1018-Calculations!$F$3)/Calculations!$F$4)&lt;5,OR(A1018&lt;=Calculations!$F$7,A1018&gt;=Calculations!$F$8)),0.2*_xlfn.NORM.DIST(100,100,15,FALSE)*_xlfn.NORM.DIST(A1018,Calculations!$F$3,Calculations!$F$4,FALSE)/_xlfn.NORM.DIST(Calculations!$F$3,Calculations!$F$3,Calculations!$F$4,FALSE),NA())</f>
        <v>#N/A</v>
      </c>
      <c r="M1018" t="e">
        <f>IF(AND(A1018&gt;=Calculations!$F$7,A1018&lt;=Calculations!$F$8),0.2*_xlfn.NORM.DIST(100,100,15,FALSE)*_xlfn.NORM.DIST(A1018,Calculations!$F$3,Calculations!$F$4,FALSE)/_xlfn.NORM.DIST(Calculations!$F$3,Calculations!$F$3,Calculations!$F$4,FALSE),NA())</f>
        <v>#N/A</v>
      </c>
    </row>
    <row r="1019" spans="1:13" x14ac:dyDescent="0.25">
      <c r="A1019">
        <v>141.70000000000101</v>
      </c>
      <c r="B1019" t="e">
        <f t="shared" si="150"/>
        <v>#N/A</v>
      </c>
      <c r="C1019" t="e">
        <f t="shared" si="151"/>
        <v>#N/A</v>
      </c>
      <c r="D1019" t="e">
        <f t="shared" si="152"/>
        <v>#N/A</v>
      </c>
      <c r="E1019" t="e">
        <f t="shared" si="153"/>
        <v>#N/A</v>
      </c>
      <c r="F1019" t="e">
        <f t="shared" si="154"/>
        <v>#N/A</v>
      </c>
      <c r="G1019" t="e">
        <f t="shared" si="155"/>
        <v>#N/A</v>
      </c>
      <c r="H1019" t="e">
        <f t="shared" si="156"/>
        <v>#N/A</v>
      </c>
      <c r="I1019" t="e">
        <f t="shared" si="157"/>
        <v>#N/A</v>
      </c>
      <c r="J1019">
        <f t="shared" si="158"/>
        <v>5.5797927697676412E-4</v>
      </c>
      <c r="K1019">
        <f t="shared" si="159"/>
        <v>7.579792769767641E-4</v>
      </c>
      <c r="L1019" t="e">
        <f>IF(AND(ABS((ChartCalculations!A1019-Calculations!$F$3)/Calculations!$F$4)&lt;5,OR(A1019&lt;=Calculations!$F$7,A1019&gt;=Calculations!$F$8)),0.2*_xlfn.NORM.DIST(100,100,15,FALSE)*_xlfn.NORM.DIST(A1019,Calculations!$F$3,Calculations!$F$4,FALSE)/_xlfn.NORM.DIST(Calculations!$F$3,Calculations!$F$3,Calculations!$F$4,FALSE),NA())</f>
        <v>#N/A</v>
      </c>
      <c r="M1019" t="e">
        <f>IF(AND(A1019&gt;=Calculations!$F$7,A1019&lt;=Calculations!$F$8),0.2*_xlfn.NORM.DIST(100,100,15,FALSE)*_xlfn.NORM.DIST(A1019,Calculations!$F$3,Calculations!$F$4,FALSE)/_xlfn.NORM.DIST(Calculations!$F$3,Calculations!$F$3,Calculations!$F$4,FALSE),NA())</f>
        <v>#N/A</v>
      </c>
    </row>
    <row r="1020" spans="1:13" x14ac:dyDescent="0.25">
      <c r="A1020">
        <v>141.80000000000101</v>
      </c>
      <c r="B1020" t="e">
        <f t="shared" si="150"/>
        <v>#N/A</v>
      </c>
      <c r="C1020" t="e">
        <f t="shared" si="151"/>
        <v>#N/A</v>
      </c>
      <c r="D1020" t="e">
        <f t="shared" si="152"/>
        <v>#N/A</v>
      </c>
      <c r="E1020" t="e">
        <f t="shared" si="153"/>
        <v>#N/A</v>
      </c>
      <c r="F1020" t="e">
        <f t="shared" si="154"/>
        <v>#N/A</v>
      </c>
      <c r="G1020" t="e">
        <f t="shared" si="155"/>
        <v>#N/A</v>
      </c>
      <c r="H1020" t="e">
        <f t="shared" si="156"/>
        <v>#N/A</v>
      </c>
      <c r="I1020" t="e">
        <f t="shared" si="157"/>
        <v>#N/A</v>
      </c>
      <c r="J1020">
        <f t="shared" si="158"/>
        <v>5.4772112865359801E-4</v>
      </c>
      <c r="K1020">
        <f t="shared" si="159"/>
        <v>7.4772112865359799E-4</v>
      </c>
      <c r="L1020" t="e">
        <f>IF(AND(ABS((ChartCalculations!A1020-Calculations!$F$3)/Calculations!$F$4)&lt;5,OR(A1020&lt;=Calculations!$F$7,A1020&gt;=Calculations!$F$8)),0.2*_xlfn.NORM.DIST(100,100,15,FALSE)*_xlfn.NORM.DIST(A1020,Calculations!$F$3,Calculations!$F$4,FALSE)/_xlfn.NORM.DIST(Calculations!$F$3,Calculations!$F$3,Calculations!$F$4,FALSE),NA())</f>
        <v>#N/A</v>
      </c>
      <c r="M1020" t="e">
        <f>IF(AND(A1020&gt;=Calculations!$F$7,A1020&lt;=Calculations!$F$8),0.2*_xlfn.NORM.DIST(100,100,15,FALSE)*_xlfn.NORM.DIST(A1020,Calculations!$F$3,Calculations!$F$4,FALSE)/_xlfn.NORM.DIST(Calculations!$F$3,Calculations!$F$3,Calculations!$F$4,FALSE),NA())</f>
        <v>#N/A</v>
      </c>
    </row>
    <row r="1021" spans="1:13" x14ac:dyDescent="0.25">
      <c r="A1021">
        <v>141.900000000001</v>
      </c>
      <c r="B1021" t="e">
        <f t="shared" si="150"/>
        <v>#N/A</v>
      </c>
      <c r="C1021" t="e">
        <f t="shared" si="151"/>
        <v>#N/A</v>
      </c>
      <c r="D1021" t="e">
        <f t="shared" si="152"/>
        <v>#N/A</v>
      </c>
      <c r="E1021" t="e">
        <f t="shared" si="153"/>
        <v>#N/A</v>
      </c>
      <c r="F1021" t="e">
        <f t="shared" si="154"/>
        <v>#N/A</v>
      </c>
      <c r="G1021" t="e">
        <f t="shared" si="155"/>
        <v>#N/A</v>
      </c>
      <c r="H1021" t="e">
        <f t="shared" si="156"/>
        <v>#N/A</v>
      </c>
      <c r="I1021" t="e">
        <f t="shared" si="157"/>
        <v>#N/A</v>
      </c>
      <c r="J1021">
        <f t="shared" si="158"/>
        <v>5.376276757650734E-4</v>
      </c>
      <c r="K1021">
        <f t="shared" si="159"/>
        <v>7.3762767576507338E-4</v>
      </c>
      <c r="L1021" t="e">
        <f>IF(AND(ABS((ChartCalculations!A1021-Calculations!$F$3)/Calculations!$F$4)&lt;5,OR(A1021&lt;=Calculations!$F$7,A1021&gt;=Calculations!$F$8)),0.2*_xlfn.NORM.DIST(100,100,15,FALSE)*_xlfn.NORM.DIST(A1021,Calculations!$F$3,Calculations!$F$4,FALSE)/_xlfn.NORM.DIST(Calculations!$F$3,Calculations!$F$3,Calculations!$F$4,FALSE),NA())</f>
        <v>#N/A</v>
      </c>
      <c r="M1021" t="e">
        <f>IF(AND(A1021&gt;=Calculations!$F$7,A1021&lt;=Calculations!$F$8),0.2*_xlfn.NORM.DIST(100,100,15,FALSE)*_xlfn.NORM.DIST(A1021,Calculations!$F$3,Calculations!$F$4,FALSE)/_xlfn.NORM.DIST(Calculations!$F$3,Calculations!$F$3,Calculations!$F$4,FALSE),NA())</f>
        <v>#N/A</v>
      </c>
    </row>
    <row r="1022" spans="1:13" x14ac:dyDescent="0.25">
      <c r="A1022">
        <v>142.00000000000099</v>
      </c>
      <c r="B1022" t="e">
        <f t="shared" si="150"/>
        <v>#N/A</v>
      </c>
      <c r="C1022" t="e">
        <f t="shared" si="151"/>
        <v>#N/A</v>
      </c>
      <c r="D1022" t="e">
        <f t="shared" si="152"/>
        <v>#N/A</v>
      </c>
      <c r="E1022" t="e">
        <f t="shared" si="153"/>
        <v>#N/A</v>
      </c>
      <c r="F1022" t="e">
        <f t="shared" si="154"/>
        <v>#N/A</v>
      </c>
      <c r="G1022" t="e">
        <f t="shared" si="155"/>
        <v>#N/A</v>
      </c>
      <c r="H1022" t="e">
        <f t="shared" si="156"/>
        <v>#N/A</v>
      </c>
      <c r="I1022" t="e">
        <f t="shared" si="157"/>
        <v>#N/A</v>
      </c>
      <c r="J1022">
        <f t="shared" si="158"/>
        <v>5.2769677219856607E-4</v>
      </c>
      <c r="K1022">
        <f t="shared" si="159"/>
        <v>7.2769677219856606E-4</v>
      </c>
      <c r="L1022" t="e">
        <f>IF(AND(ABS((ChartCalculations!A1022-Calculations!$F$3)/Calculations!$F$4)&lt;5,OR(A1022&lt;=Calculations!$F$7,A1022&gt;=Calculations!$F$8)),0.2*_xlfn.NORM.DIST(100,100,15,FALSE)*_xlfn.NORM.DIST(A1022,Calculations!$F$3,Calculations!$F$4,FALSE)/_xlfn.NORM.DIST(Calculations!$F$3,Calculations!$F$3,Calculations!$F$4,FALSE),NA())</f>
        <v>#N/A</v>
      </c>
      <c r="M1022" t="e">
        <f>IF(AND(A1022&gt;=Calculations!$F$7,A1022&lt;=Calculations!$F$8),0.2*_xlfn.NORM.DIST(100,100,15,FALSE)*_xlfn.NORM.DIST(A1022,Calculations!$F$3,Calculations!$F$4,FALSE)/_xlfn.NORM.DIST(Calculations!$F$3,Calculations!$F$3,Calculations!$F$4,FALSE),NA())</f>
        <v>#N/A</v>
      </c>
    </row>
    <row r="1023" spans="1:13" x14ac:dyDescent="0.25">
      <c r="A1023">
        <v>142.10000000000099</v>
      </c>
      <c r="B1023" t="e">
        <f t="shared" si="150"/>
        <v>#N/A</v>
      </c>
      <c r="C1023" t="e">
        <f t="shared" si="151"/>
        <v>#N/A</v>
      </c>
      <c r="D1023" t="e">
        <f t="shared" si="152"/>
        <v>#N/A</v>
      </c>
      <c r="E1023" t="e">
        <f t="shared" si="153"/>
        <v>#N/A</v>
      </c>
      <c r="F1023" t="e">
        <f t="shared" si="154"/>
        <v>#N/A</v>
      </c>
      <c r="G1023" t="e">
        <f t="shared" si="155"/>
        <v>#N/A</v>
      </c>
      <c r="H1023" t="e">
        <f t="shared" si="156"/>
        <v>#N/A</v>
      </c>
      <c r="I1023" t="e">
        <f t="shared" si="157"/>
        <v>#N/A</v>
      </c>
      <c r="J1023">
        <f t="shared" si="158"/>
        <v>5.1792628996444529E-4</v>
      </c>
      <c r="K1023">
        <f t="shared" si="159"/>
        <v>7.1792628996444527E-4</v>
      </c>
      <c r="L1023" t="e">
        <f>IF(AND(ABS((ChartCalculations!A1023-Calculations!$F$3)/Calculations!$F$4)&lt;5,OR(A1023&lt;=Calculations!$F$7,A1023&gt;=Calculations!$F$8)),0.2*_xlfn.NORM.DIST(100,100,15,FALSE)*_xlfn.NORM.DIST(A1023,Calculations!$F$3,Calculations!$F$4,FALSE)/_xlfn.NORM.DIST(Calculations!$F$3,Calculations!$F$3,Calculations!$F$4,FALSE),NA())</f>
        <v>#N/A</v>
      </c>
      <c r="M1023" t="e">
        <f>IF(AND(A1023&gt;=Calculations!$F$7,A1023&lt;=Calculations!$F$8),0.2*_xlfn.NORM.DIST(100,100,15,FALSE)*_xlfn.NORM.DIST(A1023,Calculations!$F$3,Calculations!$F$4,FALSE)/_xlfn.NORM.DIST(Calculations!$F$3,Calculations!$F$3,Calculations!$F$4,FALSE),NA())</f>
        <v>#N/A</v>
      </c>
    </row>
    <row r="1024" spans="1:13" x14ac:dyDescent="0.25">
      <c r="A1024">
        <v>142.20000000000101</v>
      </c>
      <c r="B1024" t="e">
        <f t="shared" si="150"/>
        <v>#N/A</v>
      </c>
      <c r="C1024" t="e">
        <f t="shared" si="151"/>
        <v>#N/A</v>
      </c>
      <c r="D1024" t="e">
        <f t="shared" si="152"/>
        <v>#N/A</v>
      </c>
      <c r="E1024" t="e">
        <f t="shared" si="153"/>
        <v>#N/A</v>
      </c>
      <c r="F1024" t="e">
        <f t="shared" si="154"/>
        <v>#N/A</v>
      </c>
      <c r="G1024" t="e">
        <f t="shared" si="155"/>
        <v>#N/A</v>
      </c>
      <c r="H1024" t="e">
        <f t="shared" si="156"/>
        <v>#N/A</v>
      </c>
      <c r="I1024" t="e">
        <f t="shared" si="157"/>
        <v>#N/A</v>
      </c>
      <c r="J1024">
        <f t="shared" si="158"/>
        <v>5.083141192361065E-4</v>
      </c>
      <c r="K1024">
        <f t="shared" si="159"/>
        <v>7.0831411923610648E-4</v>
      </c>
      <c r="L1024" t="e">
        <f>IF(AND(ABS((ChartCalculations!A1024-Calculations!$F$3)/Calculations!$F$4)&lt;5,OR(A1024&lt;=Calculations!$F$7,A1024&gt;=Calculations!$F$8)),0.2*_xlfn.NORM.DIST(100,100,15,FALSE)*_xlfn.NORM.DIST(A1024,Calculations!$F$3,Calculations!$F$4,FALSE)/_xlfn.NORM.DIST(Calculations!$F$3,Calculations!$F$3,Calculations!$F$4,FALSE),NA())</f>
        <v>#N/A</v>
      </c>
      <c r="M1024" t="e">
        <f>IF(AND(A1024&gt;=Calculations!$F$7,A1024&lt;=Calculations!$F$8),0.2*_xlfn.NORM.DIST(100,100,15,FALSE)*_xlfn.NORM.DIST(A1024,Calculations!$F$3,Calculations!$F$4,FALSE)/_xlfn.NORM.DIST(Calculations!$F$3,Calculations!$F$3,Calculations!$F$4,FALSE),NA())</f>
        <v>#N/A</v>
      </c>
    </row>
    <row r="1025" spans="1:13" x14ac:dyDescent="0.25">
      <c r="A1025">
        <v>142.30000000000101</v>
      </c>
      <c r="B1025" t="e">
        <f t="shared" si="150"/>
        <v>#N/A</v>
      </c>
      <c r="C1025" t="e">
        <f t="shared" si="151"/>
        <v>#N/A</v>
      </c>
      <c r="D1025" t="e">
        <f t="shared" si="152"/>
        <v>#N/A</v>
      </c>
      <c r="E1025" t="e">
        <f t="shared" si="153"/>
        <v>#N/A</v>
      </c>
      <c r="F1025" t="e">
        <f t="shared" si="154"/>
        <v>#N/A</v>
      </c>
      <c r="G1025" t="e">
        <f t="shared" si="155"/>
        <v>#N/A</v>
      </c>
      <c r="H1025" t="e">
        <f t="shared" si="156"/>
        <v>#N/A</v>
      </c>
      <c r="I1025" t="e">
        <f t="shared" si="157"/>
        <v>#N/A</v>
      </c>
      <c r="J1025">
        <f t="shared" si="158"/>
        <v>4.9885816838527656E-4</v>
      </c>
      <c r="K1025">
        <f t="shared" si="159"/>
        <v>6.9885816838527654E-4</v>
      </c>
      <c r="L1025" t="e">
        <f>IF(AND(ABS((ChartCalculations!A1025-Calculations!$F$3)/Calculations!$F$4)&lt;5,OR(A1025&lt;=Calculations!$F$7,A1025&gt;=Calculations!$F$8)),0.2*_xlfn.NORM.DIST(100,100,15,FALSE)*_xlfn.NORM.DIST(A1025,Calculations!$F$3,Calculations!$F$4,FALSE)/_xlfn.NORM.DIST(Calculations!$F$3,Calculations!$F$3,Calculations!$F$4,FALSE),NA())</f>
        <v>#N/A</v>
      </c>
      <c r="M1025" t="e">
        <f>IF(AND(A1025&gt;=Calculations!$F$7,A1025&lt;=Calculations!$F$8),0.2*_xlfn.NORM.DIST(100,100,15,FALSE)*_xlfn.NORM.DIST(A1025,Calculations!$F$3,Calculations!$F$4,FALSE)/_xlfn.NORM.DIST(Calculations!$F$3,Calculations!$F$3,Calculations!$F$4,FALSE),NA())</f>
        <v>#N/A</v>
      </c>
    </row>
    <row r="1026" spans="1:13" x14ac:dyDescent="0.25">
      <c r="A1026">
        <v>142.400000000001</v>
      </c>
      <c r="B1026" t="e">
        <f t="shared" si="150"/>
        <v>#N/A</v>
      </c>
      <c r="C1026" t="e">
        <f t="shared" si="151"/>
        <v>#N/A</v>
      </c>
      <c r="D1026" t="e">
        <f t="shared" si="152"/>
        <v>#N/A</v>
      </c>
      <c r="E1026" t="e">
        <f t="shared" si="153"/>
        <v>#N/A</v>
      </c>
      <c r="F1026" t="e">
        <f t="shared" si="154"/>
        <v>#N/A</v>
      </c>
      <c r="G1026" t="e">
        <f t="shared" si="155"/>
        <v>#N/A</v>
      </c>
      <c r="H1026" t="e">
        <f t="shared" si="156"/>
        <v>#N/A</v>
      </c>
      <c r="I1026" t="e">
        <f t="shared" si="157"/>
        <v>#N/A</v>
      </c>
      <c r="J1026">
        <f t="shared" si="158"/>
        <v>4.8955636401263041E-4</v>
      </c>
      <c r="K1026">
        <f t="shared" si="159"/>
        <v>6.8955636401263039E-4</v>
      </c>
      <c r="L1026" t="e">
        <f>IF(AND(ABS((ChartCalculations!A1026-Calculations!$F$3)/Calculations!$F$4)&lt;5,OR(A1026&lt;=Calculations!$F$7,A1026&gt;=Calculations!$F$8)),0.2*_xlfn.NORM.DIST(100,100,15,FALSE)*_xlfn.NORM.DIST(A1026,Calculations!$F$3,Calculations!$F$4,FALSE)/_xlfn.NORM.DIST(Calculations!$F$3,Calculations!$F$3,Calculations!$F$4,FALSE),NA())</f>
        <v>#N/A</v>
      </c>
      <c r="M1026" t="e">
        <f>IF(AND(A1026&gt;=Calculations!$F$7,A1026&lt;=Calculations!$F$8),0.2*_xlfn.NORM.DIST(100,100,15,FALSE)*_xlfn.NORM.DIST(A1026,Calculations!$F$3,Calculations!$F$4,FALSE)/_xlfn.NORM.DIST(Calculations!$F$3,Calculations!$F$3,Calculations!$F$4,FALSE),NA())</f>
        <v>#N/A</v>
      </c>
    </row>
    <row r="1027" spans="1:13" x14ac:dyDescent="0.25">
      <c r="A1027">
        <v>142.50000000000099</v>
      </c>
      <c r="B1027" t="e">
        <f t="shared" ref="B1027:B1090" si="160">IF($A1027&lt;=60,_xlfn.NORM.DIST($A1027,100,15,FALSE),NA())</f>
        <v>#N/A</v>
      </c>
      <c r="C1027" t="e">
        <f t="shared" ref="C1027:C1090" si="161">IF(AND($A1027&gt;=60,$A1027&lt;=70),_xlfn.NORM.DIST($A1027,100,15,FALSE),NA())</f>
        <v>#N/A</v>
      </c>
      <c r="D1027" t="e">
        <f t="shared" ref="D1027:D1090" si="162">IF(AND($A1027&gt;=70,$A1027&lt;=80),_xlfn.NORM.DIST($A1027,100,15,FALSE),NA())</f>
        <v>#N/A</v>
      </c>
      <c r="E1027" t="e">
        <f t="shared" ref="E1027:E1090" si="163">IF(AND($A1027&gt;=80,$A1027&lt;=90),_xlfn.NORM.DIST($A1027,100,15,FALSE),NA())</f>
        <v>#N/A</v>
      </c>
      <c r="F1027" t="e">
        <f t="shared" ref="F1027:F1090" si="164">IF(AND($A1027&gt;=90,$A1027&lt;=110),_xlfn.NORM.DIST($A1027,100,15,FALSE),NA())</f>
        <v>#N/A</v>
      </c>
      <c r="G1027" t="e">
        <f t="shared" ref="G1027:G1090" si="165">IF(AND($A1027&gt;=110,$A1027&lt;=120),_xlfn.NORM.DIST($A1027,100,15,FALSE),NA())</f>
        <v>#N/A</v>
      </c>
      <c r="H1027" t="e">
        <f t="shared" ref="H1027:H1090" si="166">IF(AND($A1027&gt;=120,$A1027&lt;=130),_xlfn.NORM.DIST($A1027,100,15,FALSE),NA())</f>
        <v>#N/A</v>
      </c>
      <c r="I1027" t="e">
        <f t="shared" ref="I1027:I1090" si="167">IF(AND($A1027&gt;=130,$A1027&lt;=140),_xlfn.NORM.DIST($A1027,100,15,FALSE),NA())</f>
        <v>#N/A</v>
      </c>
      <c r="J1027">
        <f t="shared" ref="J1027:J1090" si="168">IF($A1027&gt;=140,_xlfn.NORM.DIST($A1027,100,15,FALSE),NA())</f>
        <v>4.8040665097385816E-4</v>
      </c>
      <c r="K1027">
        <f t="shared" ref="K1027:K1090" si="169">_xlfn.NORM.DIST($A1027,100,15,FALSE)+0.0002</f>
        <v>6.804066509738582E-4</v>
      </c>
      <c r="L1027" t="e">
        <f>IF(AND(ABS((ChartCalculations!A1027-Calculations!$F$3)/Calculations!$F$4)&lt;5,OR(A1027&lt;=Calculations!$F$7,A1027&gt;=Calculations!$F$8)),0.2*_xlfn.NORM.DIST(100,100,15,FALSE)*_xlfn.NORM.DIST(A1027,Calculations!$F$3,Calculations!$F$4,FALSE)/_xlfn.NORM.DIST(Calculations!$F$3,Calculations!$F$3,Calculations!$F$4,FALSE),NA())</f>
        <v>#N/A</v>
      </c>
      <c r="M1027" t="e">
        <f>IF(AND(A1027&gt;=Calculations!$F$7,A1027&lt;=Calculations!$F$8),0.2*_xlfn.NORM.DIST(100,100,15,FALSE)*_xlfn.NORM.DIST(A1027,Calculations!$F$3,Calculations!$F$4,FALSE)/_xlfn.NORM.DIST(Calculations!$F$3,Calculations!$F$3,Calculations!$F$4,FALSE),NA())</f>
        <v>#N/A</v>
      </c>
    </row>
    <row r="1028" spans="1:13" x14ac:dyDescent="0.25">
      <c r="A1028">
        <v>142.60000000000099</v>
      </c>
      <c r="B1028" t="e">
        <f t="shared" si="160"/>
        <v>#N/A</v>
      </c>
      <c r="C1028" t="e">
        <f t="shared" si="161"/>
        <v>#N/A</v>
      </c>
      <c r="D1028" t="e">
        <f t="shared" si="162"/>
        <v>#N/A</v>
      </c>
      <c r="E1028" t="e">
        <f t="shared" si="163"/>
        <v>#N/A</v>
      </c>
      <c r="F1028" t="e">
        <f t="shared" si="164"/>
        <v>#N/A</v>
      </c>
      <c r="G1028" t="e">
        <f t="shared" si="165"/>
        <v>#N/A</v>
      </c>
      <c r="H1028" t="e">
        <f t="shared" si="166"/>
        <v>#N/A</v>
      </c>
      <c r="I1028" t="e">
        <f t="shared" si="167"/>
        <v>#N/A</v>
      </c>
      <c r="J1028">
        <f t="shared" si="168"/>
        <v>4.7140699240120825E-4</v>
      </c>
      <c r="K1028">
        <f t="shared" si="169"/>
        <v>6.7140699240120824E-4</v>
      </c>
      <c r="L1028" t="e">
        <f>IF(AND(ABS((ChartCalculations!A1028-Calculations!$F$3)/Calculations!$F$4)&lt;5,OR(A1028&lt;=Calculations!$F$7,A1028&gt;=Calculations!$F$8)),0.2*_xlfn.NORM.DIST(100,100,15,FALSE)*_xlfn.NORM.DIST(A1028,Calculations!$F$3,Calculations!$F$4,FALSE)/_xlfn.NORM.DIST(Calculations!$F$3,Calculations!$F$3,Calculations!$F$4,FALSE),NA())</f>
        <v>#N/A</v>
      </c>
      <c r="M1028" t="e">
        <f>IF(AND(A1028&gt;=Calculations!$F$7,A1028&lt;=Calculations!$F$8),0.2*_xlfn.NORM.DIST(100,100,15,FALSE)*_xlfn.NORM.DIST(A1028,Calculations!$F$3,Calculations!$F$4,FALSE)/_xlfn.NORM.DIST(Calculations!$F$3,Calculations!$F$3,Calculations!$F$4,FALSE),NA())</f>
        <v>#N/A</v>
      </c>
    </row>
    <row r="1029" spans="1:13" x14ac:dyDescent="0.25">
      <c r="A1029">
        <v>142.70000000000101</v>
      </c>
      <c r="B1029" t="e">
        <f t="shared" si="160"/>
        <v>#N/A</v>
      </c>
      <c r="C1029" t="e">
        <f t="shared" si="161"/>
        <v>#N/A</v>
      </c>
      <c r="D1029" t="e">
        <f t="shared" si="162"/>
        <v>#N/A</v>
      </c>
      <c r="E1029" t="e">
        <f t="shared" si="163"/>
        <v>#N/A</v>
      </c>
      <c r="F1029" t="e">
        <f t="shared" si="164"/>
        <v>#N/A</v>
      </c>
      <c r="G1029" t="e">
        <f t="shared" si="165"/>
        <v>#N/A</v>
      </c>
      <c r="H1029" t="e">
        <f t="shared" si="166"/>
        <v>#N/A</v>
      </c>
      <c r="I1029" t="e">
        <f t="shared" si="167"/>
        <v>#N/A</v>
      </c>
      <c r="J1029">
        <f t="shared" si="168"/>
        <v>4.6255536972060842E-4</v>
      </c>
      <c r="K1029">
        <f t="shared" si="169"/>
        <v>6.6255536972060841E-4</v>
      </c>
      <c r="L1029" t="e">
        <f>IF(AND(ABS((ChartCalculations!A1029-Calculations!$F$3)/Calculations!$F$4)&lt;5,OR(A1029&lt;=Calculations!$F$7,A1029&gt;=Calculations!$F$8)),0.2*_xlfn.NORM.DIST(100,100,15,FALSE)*_xlfn.NORM.DIST(A1029,Calculations!$F$3,Calculations!$F$4,FALSE)/_xlfn.NORM.DIST(Calculations!$F$3,Calculations!$F$3,Calculations!$F$4,FALSE),NA())</f>
        <v>#N/A</v>
      </c>
      <c r="M1029" t="e">
        <f>IF(AND(A1029&gt;=Calculations!$F$7,A1029&lt;=Calculations!$F$8),0.2*_xlfn.NORM.DIST(100,100,15,FALSE)*_xlfn.NORM.DIST(A1029,Calculations!$F$3,Calculations!$F$4,FALSE)/_xlfn.NORM.DIST(Calculations!$F$3,Calculations!$F$3,Calculations!$F$4,FALSE),NA())</f>
        <v>#N/A</v>
      </c>
    </row>
    <row r="1030" spans="1:13" x14ac:dyDescent="0.25">
      <c r="A1030">
        <v>142.80000000000101</v>
      </c>
      <c r="B1030" t="e">
        <f t="shared" si="160"/>
        <v>#N/A</v>
      </c>
      <c r="C1030" t="e">
        <f t="shared" si="161"/>
        <v>#N/A</v>
      </c>
      <c r="D1030" t="e">
        <f t="shared" si="162"/>
        <v>#N/A</v>
      </c>
      <c r="E1030" t="e">
        <f t="shared" si="163"/>
        <v>#N/A</v>
      </c>
      <c r="F1030" t="e">
        <f t="shared" si="164"/>
        <v>#N/A</v>
      </c>
      <c r="G1030" t="e">
        <f t="shared" si="165"/>
        <v>#N/A</v>
      </c>
      <c r="H1030" t="e">
        <f t="shared" si="166"/>
        <v>#N/A</v>
      </c>
      <c r="I1030" t="e">
        <f t="shared" si="167"/>
        <v>#N/A</v>
      </c>
      <c r="J1030">
        <f t="shared" si="168"/>
        <v>4.5384978266445222E-4</v>
      </c>
      <c r="K1030">
        <f t="shared" si="169"/>
        <v>6.538497826644522E-4</v>
      </c>
      <c r="L1030" t="e">
        <f>IF(AND(ABS((ChartCalculations!A1030-Calculations!$F$3)/Calculations!$F$4)&lt;5,OR(A1030&lt;=Calculations!$F$7,A1030&gt;=Calculations!$F$8)),0.2*_xlfn.NORM.DIST(100,100,15,FALSE)*_xlfn.NORM.DIST(A1030,Calculations!$F$3,Calculations!$F$4,FALSE)/_xlfn.NORM.DIST(Calculations!$F$3,Calculations!$F$3,Calculations!$F$4,FALSE),NA())</f>
        <v>#N/A</v>
      </c>
      <c r="M1030" t="e">
        <f>IF(AND(A1030&gt;=Calculations!$F$7,A1030&lt;=Calculations!$F$8),0.2*_xlfn.NORM.DIST(100,100,15,FALSE)*_xlfn.NORM.DIST(A1030,Calculations!$F$3,Calculations!$F$4,FALSE)/_xlfn.NORM.DIST(Calculations!$F$3,Calculations!$F$3,Calculations!$F$4,FALSE),NA())</f>
        <v>#N/A</v>
      </c>
    </row>
    <row r="1031" spans="1:13" x14ac:dyDescent="0.25">
      <c r="A1031">
        <v>142.900000000001</v>
      </c>
      <c r="B1031" t="e">
        <f t="shared" si="160"/>
        <v>#N/A</v>
      </c>
      <c r="C1031" t="e">
        <f t="shared" si="161"/>
        <v>#N/A</v>
      </c>
      <c r="D1031" t="e">
        <f t="shared" si="162"/>
        <v>#N/A</v>
      </c>
      <c r="E1031" t="e">
        <f t="shared" si="163"/>
        <v>#N/A</v>
      </c>
      <c r="F1031" t="e">
        <f t="shared" si="164"/>
        <v>#N/A</v>
      </c>
      <c r="G1031" t="e">
        <f t="shared" si="165"/>
        <v>#N/A</v>
      </c>
      <c r="H1031" t="e">
        <f t="shared" si="166"/>
        <v>#N/A</v>
      </c>
      <c r="I1031" t="e">
        <f t="shared" si="167"/>
        <v>#N/A</v>
      </c>
      <c r="J1031">
        <f t="shared" si="168"/>
        <v>4.4528824928008974E-4</v>
      </c>
      <c r="K1031">
        <f t="shared" si="169"/>
        <v>6.4528824928008978E-4</v>
      </c>
      <c r="L1031" t="e">
        <f>IF(AND(ABS((ChartCalculations!A1031-Calculations!$F$3)/Calculations!$F$4)&lt;5,OR(A1031&lt;=Calculations!$F$7,A1031&gt;=Calculations!$F$8)),0.2*_xlfn.NORM.DIST(100,100,15,FALSE)*_xlfn.NORM.DIST(A1031,Calculations!$F$3,Calculations!$F$4,FALSE)/_xlfn.NORM.DIST(Calculations!$F$3,Calculations!$F$3,Calculations!$F$4,FALSE),NA())</f>
        <v>#N/A</v>
      </c>
      <c r="M1031" t="e">
        <f>IF(AND(A1031&gt;=Calculations!$F$7,A1031&lt;=Calculations!$F$8),0.2*_xlfn.NORM.DIST(100,100,15,FALSE)*_xlfn.NORM.DIST(A1031,Calculations!$F$3,Calculations!$F$4,FALSE)/_xlfn.NORM.DIST(Calculations!$F$3,Calculations!$F$3,Calculations!$F$4,FALSE),NA())</f>
        <v>#N/A</v>
      </c>
    </row>
    <row r="1032" spans="1:13" x14ac:dyDescent="0.25">
      <c r="A1032">
        <v>143.00000000000099</v>
      </c>
      <c r="B1032" t="e">
        <f t="shared" si="160"/>
        <v>#N/A</v>
      </c>
      <c r="C1032" t="e">
        <f t="shared" si="161"/>
        <v>#N/A</v>
      </c>
      <c r="D1032" t="e">
        <f t="shared" si="162"/>
        <v>#N/A</v>
      </c>
      <c r="E1032" t="e">
        <f t="shared" si="163"/>
        <v>#N/A</v>
      </c>
      <c r="F1032" t="e">
        <f t="shared" si="164"/>
        <v>#N/A</v>
      </c>
      <c r="G1032" t="e">
        <f t="shared" si="165"/>
        <v>#N/A</v>
      </c>
      <c r="H1032" t="e">
        <f t="shared" si="166"/>
        <v>#N/A</v>
      </c>
      <c r="I1032" t="e">
        <f t="shared" si="167"/>
        <v>#N/A</v>
      </c>
      <c r="J1032">
        <f t="shared" si="168"/>
        <v>4.3686880593415224E-4</v>
      </c>
      <c r="K1032">
        <f t="shared" si="169"/>
        <v>6.3686880593415228E-4</v>
      </c>
      <c r="L1032" t="e">
        <f>IF(AND(ABS((ChartCalculations!A1032-Calculations!$F$3)/Calculations!$F$4)&lt;5,OR(A1032&lt;=Calculations!$F$7,A1032&gt;=Calculations!$F$8)),0.2*_xlfn.NORM.DIST(100,100,15,FALSE)*_xlfn.NORM.DIST(A1032,Calculations!$F$3,Calculations!$F$4,FALSE)/_xlfn.NORM.DIST(Calculations!$F$3,Calculations!$F$3,Calculations!$F$4,FALSE),NA())</f>
        <v>#N/A</v>
      </c>
      <c r="M1032" t="e">
        <f>IF(AND(A1032&gt;=Calculations!$F$7,A1032&lt;=Calculations!$F$8),0.2*_xlfn.NORM.DIST(100,100,15,FALSE)*_xlfn.NORM.DIST(A1032,Calculations!$F$3,Calculations!$F$4,FALSE)/_xlfn.NORM.DIST(Calculations!$F$3,Calculations!$F$3,Calculations!$F$4,FALSE),NA())</f>
        <v>#N/A</v>
      </c>
    </row>
    <row r="1033" spans="1:13" x14ac:dyDescent="0.25">
      <c r="A1033">
        <v>143.10000000000099</v>
      </c>
      <c r="B1033" t="e">
        <f t="shared" si="160"/>
        <v>#N/A</v>
      </c>
      <c r="C1033" t="e">
        <f t="shared" si="161"/>
        <v>#N/A</v>
      </c>
      <c r="D1033" t="e">
        <f t="shared" si="162"/>
        <v>#N/A</v>
      </c>
      <c r="E1033" t="e">
        <f t="shared" si="163"/>
        <v>#N/A</v>
      </c>
      <c r="F1033" t="e">
        <f t="shared" si="164"/>
        <v>#N/A</v>
      </c>
      <c r="G1033" t="e">
        <f t="shared" si="165"/>
        <v>#N/A</v>
      </c>
      <c r="H1033" t="e">
        <f t="shared" si="166"/>
        <v>#N/A</v>
      </c>
      <c r="I1033" t="e">
        <f t="shared" si="167"/>
        <v>#N/A</v>
      </c>
      <c r="J1033">
        <f t="shared" si="168"/>
        <v>4.2858950731275203E-4</v>
      </c>
      <c r="K1033">
        <f t="shared" si="169"/>
        <v>6.2858950731275206E-4</v>
      </c>
      <c r="L1033" t="e">
        <f>IF(AND(ABS((ChartCalculations!A1033-Calculations!$F$3)/Calculations!$F$4)&lt;5,OR(A1033&lt;=Calculations!$F$7,A1033&gt;=Calculations!$F$8)),0.2*_xlfn.NORM.DIST(100,100,15,FALSE)*_xlfn.NORM.DIST(A1033,Calculations!$F$3,Calculations!$F$4,FALSE)/_xlfn.NORM.DIST(Calculations!$F$3,Calculations!$F$3,Calculations!$F$4,FALSE),NA())</f>
        <v>#N/A</v>
      </c>
      <c r="M1033" t="e">
        <f>IF(AND(A1033&gt;=Calculations!$F$7,A1033&lt;=Calculations!$F$8),0.2*_xlfn.NORM.DIST(100,100,15,FALSE)*_xlfn.NORM.DIST(A1033,Calculations!$F$3,Calculations!$F$4,FALSE)/_xlfn.NORM.DIST(Calculations!$F$3,Calculations!$F$3,Calculations!$F$4,FALSE),NA())</f>
        <v>#N/A</v>
      </c>
    </row>
    <row r="1034" spans="1:13" x14ac:dyDescent="0.25">
      <c r="A1034">
        <v>143.20000000000101</v>
      </c>
      <c r="B1034" t="e">
        <f t="shared" si="160"/>
        <v>#N/A</v>
      </c>
      <c r="C1034" t="e">
        <f t="shared" si="161"/>
        <v>#N/A</v>
      </c>
      <c r="D1034" t="e">
        <f t="shared" si="162"/>
        <v>#N/A</v>
      </c>
      <c r="E1034" t="e">
        <f t="shared" si="163"/>
        <v>#N/A</v>
      </c>
      <c r="F1034" t="e">
        <f t="shared" si="164"/>
        <v>#N/A</v>
      </c>
      <c r="G1034" t="e">
        <f t="shared" si="165"/>
        <v>#N/A</v>
      </c>
      <c r="H1034" t="e">
        <f t="shared" si="166"/>
        <v>#N/A</v>
      </c>
      <c r="I1034" t="e">
        <f t="shared" si="167"/>
        <v>#N/A</v>
      </c>
      <c r="J1034">
        <f t="shared" si="168"/>
        <v>4.2044842641764671E-4</v>
      </c>
      <c r="K1034">
        <f t="shared" si="169"/>
        <v>6.2044842641764675E-4</v>
      </c>
      <c r="L1034" t="e">
        <f>IF(AND(ABS((ChartCalculations!A1034-Calculations!$F$3)/Calculations!$F$4)&lt;5,OR(A1034&lt;=Calculations!$F$7,A1034&gt;=Calculations!$F$8)),0.2*_xlfn.NORM.DIST(100,100,15,FALSE)*_xlfn.NORM.DIST(A1034,Calculations!$F$3,Calculations!$F$4,FALSE)/_xlfn.NORM.DIST(Calculations!$F$3,Calculations!$F$3,Calculations!$F$4,FALSE),NA())</f>
        <v>#N/A</v>
      </c>
      <c r="M1034" t="e">
        <f>IF(AND(A1034&gt;=Calculations!$F$7,A1034&lt;=Calculations!$F$8),0.2*_xlfn.NORM.DIST(100,100,15,FALSE)*_xlfn.NORM.DIST(A1034,Calculations!$F$3,Calculations!$F$4,FALSE)/_xlfn.NORM.DIST(Calculations!$F$3,Calculations!$F$3,Calculations!$F$4,FALSE),NA())</f>
        <v>#N/A</v>
      </c>
    </row>
    <row r="1035" spans="1:13" x14ac:dyDescent="0.25">
      <c r="A1035">
        <v>143.30000000000101</v>
      </c>
      <c r="B1035" t="e">
        <f t="shared" si="160"/>
        <v>#N/A</v>
      </c>
      <c r="C1035" t="e">
        <f t="shared" si="161"/>
        <v>#N/A</v>
      </c>
      <c r="D1035" t="e">
        <f t="shared" si="162"/>
        <v>#N/A</v>
      </c>
      <c r="E1035" t="e">
        <f t="shared" si="163"/>
        <v>#N/A</v>
      </c>
      <c r="F1035" t="e">
        <f t="shared" si="164"/>
        <v>#N/A</v>
      </c>
      <c r="G1035" t="e">
        <f t="shared" si="165"/>
        <v>#N/A</v>
      </c>
      <c r="H1035" t="e">
        <f t="shared" si="166"/>
        <v>#N/A</v>
      </c>
      <c r="I1035" t="e">
        <f t="shared" si="167"/>
        <v>#N/A</v>
      </c>
      <c r="J1035">
        <f t="shared" si="168"/>
        <v>4.1244365455845228E-4</v>
      </c>
      <c r="K1035">
        <f t="shared" si="169"/>
        <v>6.1244365455845231E-4</v>
      </c>
      <c r="L1035" t="e">
        <f>IF(AND(ABS((ChartCalculations!A1035-Calculations!$F$3)/Calculations!$F$4)&lt;5,OR(A1035&lt;=Calculations!$F$7,A1035&gt;=Calculations!$F$8)),0.2*_xlfn.NORM.DIST(100,100,15,FALSE)*_xlfn.NORM.DIST(A1035,Calculations!$F$3,Calculations!$F$4,FALSE)/_xlfn.NORM.DIST(Calculations!$F$3,Calculations!$F$3,Calculations!$F$4,FALSE),NA())</f>
        <v>#N/A</v>
      </c>
      <c r="M1035" t="e">
        <f>IF(AND(A1035&gt;=Calculations!$F$7,A1035&lt;=Calculations!$F$8),0.2*_xlfn.NORM.DIST(100,100,15,FALSE)*_xlfn.NORM.DIST(A1035,Calculations!$F$3,Calculations!$F$4,FALSE)/_xlfn.NORM.DIST(Calculations!$F$3,Calculations!$F$3,Calculations!$F$4,FALSE),NA())</f>
        <v>#N/A</v>
      </c>
    </row>
    <row r="1036" spans="1:13" x14ac:dyDescent="0.25">
      <c r="A1036">
        <v>143.400000000001</v>
      </c>
      <c r="B1036" t="e">
        <f t="shared" si="160"/>
        <v>#N/A</v>
      </c>
      <c r="C1036" t="e">
        <f t="shared" si="161"/>
        <v>#N/A</v>
      </c>
      <c r="D1036" t="e">
        <f t="shared" si="162"/>
        <v>#N/A</v>
      </c>
      <c r="E1036" t="e">
        <f t="shared" si="163"/>
        <v>#N/A</v>
      </c>
      <c r="F1036" t="e">
        <f t="shared" si="164"/>
        <v>#N/A</v>
      </c>
      <c r="G1036" t="e">
        <f t="shared" si="165"/>
        <v>#N/A</v>
      </c>
      <c r="H1036" t="e">
        <f t="shared" si="166"/>
        <v>#N/A</v>
      </c>
      <c r="I1036" t="e">
        <f t="shared" si="167"/>
        <v>#N/A</v>
      </c>
      <c r="J1036">
        <f t="shared" si="168"/>
        <v>4.0457330134095661E-4</v>
      </c>
      <c r="K1036">
        <f t="shared" si="169"/>
        <v>6.045733013409566E-4</v>
      </c>
      <c r="L1036" t="e">
        <f>IF(AND(ABS((ChartCalculations!A1036-Calculations!$F$3)/Calculations!$F$4)&lt;5,OR(A1036&lt;=Calculations!$F$7,A1036&gt;=Calculations!$F$8)),0.2*_xlfn.NORM.DIST(100,100,15,FALSE)*_xlfn.NORM.DIST(A1036,Calculations!$F$3,Calculations!$F$4,FALSE)/_xlfn.NORM.DIST(Calculations!$F$3,Calculations!$F$3,Calculations!$F$4,FALSE),NA())</f>
        <v>#N/A</v>
      </c>
      <c r="M1036" t="e">
        <f>IF(AND(A1036&gt;=Calculations!$F$7,A1036&lt;=Calculations!$F$8),0.2*_xlfn.NORM.DIST(100,100,15,FALSE)*_xlfn.NORM.DIST(A1036,Calculations!$F$3,Calculations!$F$4,FALSE)/_xlfn.NORM.DIST(Calculations!$F$3,Calculations!$F$3,Calculations!$F$4,FALSE),NA())</f>
        <v>#N/A</v>
      </c>
    </row>
    <row r="1037" spans="1:13" x14ac:dyDescent="0.25">
      <c r="A1037">
        <v>143.50000000000099</v>
      </c>
      <c r="B1037" t="e">
        <f t="shared" si="160"/>
        <v>#N/A</v>
      </c>
      <c r="C1037" t="e">
        <f t="shared" si="161"/>
        <v>#N/A</v>
      </c>
      <c r="D1037" t="e">
        <f t="shared" si="162"/>
        <v>#N/A</v>
      </c>
      <c r="E1037" t="e">
        <f t="shared" si="163"/>
        <v>#N/A</v>
      </c>
      <c r="F1037" t="e">
        <f t="shared" si="164"/>
        <v>#N/A</v>
      </c>
      <c r="G1037" t="e">
        <f t="shared" si="165"/>
        <v>#N/A</v>
      </c>
      <c r="H1037" t="e">
        <f t="shared" si="166"/>
        <v>#N/A</v>
      </c>
      <c r="I1037" t="e">
        <f t="shared" si="167"/>
        <v>#N/A</v>
      </c>
      <c r="J1037">
        <f t="shared" si="168"/>
        <v>3.9683549465164712E-4</v>
      </c>
      <c r="K1037">
        <f t="shared" si="169"/>
        <v>5.968354946516471E-4</v>
      </c>
      <c r="L1037" t="e">
        <f>IF(AND(ABS((ChartCalculations!A1037-Calculations!$F$3)/Calculations!$F$4)&lt;5,OR(A1037&lt;=Calculations!$F$7,A1037&gt;=Calculations!$F$8)),0.2*_xlfn.NORM.DIST(100,100,15,FALSE)*_xlfn.NORM.DIST(A1037,Calculations!$F$3,Calculations!$F$4,FALSE)/_xlfn.NORM.DIST(Calculations!$F$3,Calculations!$F$3,Calculations!$F$4,FALSE),NA())</f>
        <v>#N/A</v>
      </c>
      <c r="M1037" t="e">
        <f>IF(AND(A1037&gt;=Calculations!$F$7,A1037&lt;=Calculations!$F$8),0.2*_xlfn.NORM.DIST(100,100,15,FALSE)*_xlfn.NORM.DIST(A1037,Calculations!$F$3,Calculations!$F$4,FALSE)/_xlfn.NORM.DIST(Calculations!$F$3,Calculations!$F$3,Calculations!$F$4,FALSE),NA())</f>
        <v>#N/A</v>
      </c>
    </row>
    <row r="1038" spans="1:13" x14ac:dyDescent="0.25">
      <c r="A1038">
        <v>143.60000000000099</v>
      </c>
      <c r="B1038" t="e">
        <f t="shared" si="160"/>
        <v>#N/A</v>
      </c>
      <c r="C1038" t="e">
        <f t="shared" si="161"/>
        <v>#N/A</v>
      </c>
      <c r="D1038" t="e">
        <f t="shared" si="162"/>
        <v>#N/A</v>
      </c>
      <c r="E1038" t="e">
        <f t="shared" si="163"/>
        <v>#N/A</v>
      </c>
      <c r="F1038" t="e">
        <f t="shared" si="164"/>
        <v>#N/A</v>
      </c>
      <c r="G1038" t="e">
        <f t="shared" si="165"/>
        <v>#N/A</v>
      </c>
      <c r="H1038" t="e">
        <f t="shared" si="166"/>
        <v>#N/A</v>
      </c>
      <c r="I1038" t="e">
        <f t="shared" si="167"/>
        <v>#N/A</v>
      </c>
      <c r="J1038">
        <f t="shared" si="168"/>
        <v>3.8922838063850231E-4</v>
      </c>
      <c r="K1038">
        <f t="shared" si="169"/>
        <v>5.8922838063850229E-4</v>
      </c>
      <c r="L1038" t="e">
        <f>IF(AND(ABS((ChartCalculations!A1038-Calculations!$F$3)/Calculations!$F$4)&lt;5,OR(A1038&lt;=Calculations!$F$7,A1038&gt;=Calculations!$F$8)),0.2*_xlfn.NORM.DIST(100,100,15,FALSE)*_xlfn.NORM.DIST(A1038,Calculations!$F$3,Calculations!$F$4,FALSE)/_xlfn.NORM.DIST(Calculations!$F$3,Calculations!$F$3,Calculations!$F$4,FALSE),NA())</f>
        <v>#N/A</v>
      </c>
      <c r="M1038" t="e">
        <f>IF(AND(A1038&gt;=Calculations!$F$7,A1038&lt;=Calculations!$F$8),0.2*_xlfn.NORM.DIST(100,100,15,FALSE)*_xlfn.NORM.DIST(A1038,Calculations!$F$3,Calculations!$F$4,FALSE)/_xlfn.NORM.DIST(Calculations!$F$3,Calculations!$F$3,Calculations!$F$4,FALSE),NA())</f>
        <v>#N/A</v>
      </c>
    </row>
    <row r="1039" spans="1:13" x14ac:dyDescent="0.25">
      <c r="A1039">
        <v>143.70000000000101</v>
      </c>
      <c r="B1039" t="e">
        <f t="shared" si="160"/>
        <v>#N/A</v>
      </c>
      <c r="C1039" t="e">
        <f t="shared" si="161"/>
        <v>#N/A</v>
      </c>
      <c r="D1039" t="e">
        <f t="shared" si="162"/>
        <v>#N/A</v>
      </c>
      <c r="E1039" t="e">
        <f t="shared" si="163"/>
        <v>#N/A</v>
      </c>
      <c r="F1039" t="e">
        <f t="shared" si="164"/>
        <v>#N/A</v>
      </c>
      <c r="G1039" t="e">
        <f t="shared" si="165"/>
        <v>#N/A</v>
      </c>
      <c r="H1039" t="e">
        <f t="shared" si="166"/>
        <v>#N/A</v>
      </c>
      <c r="I1039" t="e">
        <f t="shared" si="167"/>
        <v>#N/A</v>
      </c>
      <c r="J1039">
        <f t="shared" si="168"/>
        <v>3.8175012368812624E-4</v>
      </c>
      <c r="K1039">
        <f t="shared" si="169"/>
        <v>5.8175012368812627E-4</v>
      </c>
      <c r="L1039" t="e">
        <f>IF(AND(ABS((ChartCalculations!A1039-Calculations!$F$3)/Calculations!$F$4)&lt;5,OR(A1039&lt;=Calculations!$F$7,A1039&gt;=Calculations!$F$8)),0.2*_xlfn.NORM.DIST(100,100,15,FALSE)*_xlfn.NORM.DIST(A1039,Calculations!$F$3,Calculations!$F$4,FALSE)/_xlfn.NORM.DIST(Calculations!$F$3,Calculations!$F$3,Calculations!$F$4,FALSE),NA())</f>
        <v>#N/A</v>
      </c>
      <c r="M1039" t="e">
        <f>IF(AND(A1039&gt;=Calculations!$F$7,A1039&lt;=Calculations!$F$8),0.2*_xlfn.NORM.DIST(100,100,15,FALSE)*_xlfn.NORM.DIST(A1039,Calculations!$F$3,Calculations!$F$4,FALSE)/_xlfn.NORM.DIST(Calculations!$F$3,Calculations!$F$3,Calculations!$F$4,FALSE),NA())</f>
        <v>#N/A</v>
      </c>
    </row>
    <row r="1040" spans="1:13" x14ac:dyDescent="0.25">
      <c r="A1040">
        <v>143.80000000000101</v>
      </c>
      <c r="B1040" t="e">
        <f t="shared" si="160"/>
        <v>#N/A</v>
      </c>
      <c r="C1040" t="e">
        <f t="shared" si="161"/>
        <v>#N/A</v>
      </c>
      <c r="D1040" t="e">
        <f t="shared" si="162"/>
        <v>#N/A</v>
      </c>
      <c r="E1040" t="e">
        <f t="shared" si="163"/>
        <v>#N/A</v>
      </c>
      <c r="F1040" t="e">
        <f t="shared" si="164"/>
        <v>#N/A</v>
      </c>
      <c r="G1040" t="e">
        <f t="shared" si="165"/>
        <v>#N/A</v>
      </c>
      <c r="H1040" t="e">
        <f t="shared" si="166"/>
        <v>#N/A</v>
      </c>
      <c r="I1040" t="e">
        <f t="shared" si="167"/>
        <v>#N/A</v>
      </c>
      <c r="J1040">
        <f t="shared" si="168"/>
        <v>3.7439890639932443E-4</v>
      </c>
      <c r="K1040">
        <f t="shared" si="169"/>
        <v>5.7439890639932446E-4</v>
      </c>
      <c r="L1040" t="e">
        <f>IF(AND(ABS((ChartCalculations!A1040-Calculations!$F$3)/Calculations!$F$4)&lt;5,OR(A1040&lt;=Calculations!$F$7,A1040&gt;=Calculations!$F$8)),0.2*_xlfn.NORM.DIST(100,100,15,FALSE)*_xlfn.NORM.DIST(A1040,Calculations!$F$3,Calculations!$F$4,FALSE)/_xlfn.NORM.DIST(Calculations!$F$3,Calculations!$F$3,Calculations!$F$4,FALSE),NA())</f>
        <v>#N/A</v>
      </c>
      <c r="M1040" t="e">
        <f>IF(AND(A1040&gt;=Calculations!$F$7,A1040&lt;=Calculations!$F$8),0.2*_xlfn.NORM.DIST(100,100,15,FALSE)*_xlfn.NORM.DIST(A1040,Calculations!$F$3,Calculations!$F$4,FALSE)/_xlfn.NORM.DIST(Calculations!$F$3,Calculations!$F$3,Calculations!$F$4,FALSE),NA())</f>
        <v>#N/A</v>
      </c>
    </row>
    <row r="1041" spans="1:13" x14ac:dyDescent="0.25">
      <c r="A1041">
        <v>143.900000000001</v>
      </c>
      <c r="B1041" t="e">
        <f t="shared" si="160"/>
        <v>#N/A</v>
      </c>
      <c r="C1041" t="e">
        <f t="shared" si="161"/>
        <v>#N/A</v>
      </c>
      <c r="D1041" t="e">
        <f t="shared" si="162"/>
        <v>#N/A</v>
      </c>
      <c r="E1041" t="e">
        <f t="shared" si="163"/>
        <v>#N/A</v>
      </c>
      <c r="F1041" t="e">
        <f t="shared" si="164"/>
        <v>#N/A</v>
      </c>
      <c r="G1041" t="e">
        <f t="shared" si="165"/>
        <v>#N/A</v>
      </c>
      <c r="H1041" t="e">
        <f t="shared" si="166"/>
        <v>#N/A</v>
      </c>
      <c r="I1041" t="e">
        <f t="shared" si="167"/>
        <v>#N/A</v>
      </c>
      <c r="J1041">
        <f t="shared" si="168"/>
        <v>3.6717292955315073E-4</v>
      </c>
      <c r="K1041">
        <f t="shared" si="169"/>
        <v>5.6717292955315072E-4</v>
      </c>
      <c r="L1041" t="e">
        <f>IF(AND(ABS((ChartCalculations!A1041-Calculations!$F$3)/Calculations!$F$4)&lt;5,OR(A1041&lt;=Calculations!$F$7,A1041&gt;=Calculations!$F$8)),0.2*_xlfn.NORM.DIST(100,100,15,FALSE)*_xlfn.NORM.DIST(A1041,Calculations!$F$3,Calculations!$F$4,FALSE)/_xlfn.NORM.DIST(Calculations!$F$3,Calculations!$F$3,Calculations!$F$4,FALSE),NA())</f>
        <v>#N/A</v>
      </c>
      <c r="M1041" t="e">
        <f>IF(AND(A1041&gt;=Calculations!$F$7,A1041&lt;=Calculations!$F$8),0.2*_xlfn.NORM.DIST(100,100,15,FALSE)*_xlfn.NORM.DIST(A1041,Calculations!$F$3,Calculations!$F$4,FALSE)/_xlfn.NORM.DIST(Calculations!$F$3,Calculations!$F$3,Calculations!$F$4,FALSE),NA())</f>
        <v>#N/A</v>
      </c>
    </row>
    <row r="1042" spans="1:13" x14ac:dyDescent="0.25">
      <c r="A1042">
        <v>144.00000000000099</v>
      </c>
      <c r="B1042" t="e">
        <f t="shared" si="160"/>
        <v>#N/A</v>
      </c>
      <c r="C1042" t="e">
        <f t="shared" si="161"/>
        <v>#N/A</v>
      </c>
      <c r="D1042" t="e">
        <f t="shared" si="162"/>
        <v>#N/A</v>
      </c>
      <c r="E1042" t="e">
        <f t="shared" si="163"/>
        <v>#N/A</v>
      </c>
      <c r="F1042" t="e">
        <f t="shared" si="164"/>
        <v>#N/A</v>
      </c>
      <c r="G1042" t="e">
        <f t="shared" si="165"/>
        <v>#N/A</v>
      </c>
      <c r="H1042" t="e">
        <f t="shared" si="166"/>
        <v>#N/A</v>
      </c>
      <c r="I1042" t="e">
        <f t="shared" si="167"/>
        <v>#N/A</v>
      </c>
      <c r="J1042">
        <f t="shared" si="168"/>
        <v>3.6007041207955498E-4</v>
      </c>
      <c r="K1042">
        <f t="shared" si="169"/>
        <v>5.6007041207955502E-4</v>
      </c>
      <c r="L1042" t="e">
        <f>IF(AND(ABS((ChartCalculations!A1042-Calculations!$F$3)/Calculations!$F$4)&lt;5,OR(A1042&lt;=Calculations!$F$7,A1042&gt;=Calculations!$F$8)),0.2*_xlfn.NORM.DIST(100,100,15,FALSE)*_xlfn.NORM.DIST(A1042,Calculations!$F$3,Calculations!$F$4,FALSE)/_xlfn.NORM.DIST(Calculations!$F$3,Calculations!$F$3,Calculations!$F$4,FALSE),NA())</f>
        <v>#N/A</v>
      </c>
      <c r="M1042" t="e">
        <f>IF(AND(A1042&gt;=Calculations!$F$7,A1042&lt;=Calculations!$F$8),0.2*_xlfn.NORM.DIST(100,100,15,FALSE)*_xlfn.NORM.DIST(A1042,Calculations!$F$3,Calculations!$F$4,FALSE)/_xlfn.NORM.DIST(Calculations!$F$3,Calculations!$F$3,Calculations!$F$4,FALSE),NA())</f>
        <v>#N/A</v>
      </c>
    </row>
    <row r="1043" spans="1:13" x14ac:dyDescent="0.25">
      <c r="A1043">
        <v>144.10000000000099</v>
      </c>
      <c r="B1043" t="e">
        <f t="shared" si="160"/>
        <v>#N/A</v>
      </c>
      <c r="C1043" t="e">
        <f t="shared" si="161"/>
        <v>#N/A</v>
      </c>
      <c r="D1043" t="e">
        <f t="shared" si="162"/>
        <v>#N/A</v>
      </c>
      <c r="E1043" t="e">
        <f t="shared" si="163"/>
        <v>#N/A</v>
      </c>
      <c r="F1043" t="e">
        <f t="shared" si="164"/>
        <v>#N/A</v>
      </c>
      <c r="G1043" t="e">
        <f t="shared" si="165"/>
        <v>#N/A</v>
      </c>
      <c r="H1043" t="e">
        <f t="shared" si="166"/>
        <v>#N/A</v>
      </c>
      <c r="I1043" t="e">
        <f t="shared" si="167"/>
        <v>#N/A</v>
      </c>
      <c r="J1043">
        <f t="shared" si="168"/>
        <v>3.5308959102066595E-4</v>
      </c>
      <c r="K1043">
        <f t="shared" si="169"/>
        <v>5.5308959102066599E-4</v>
      </c>
      <c r="L1043" t="e">
        <f>IF(AND(ABS((ChartCalculations!A1043-Calculations!$F$3)/Calculations!$F$4)&lt;5,OR(A1043&lt;=Calculations!$F$7,A1043&gt;=Calculations!$F$8)),0.2*_xlfn.NORM.DIST(100,100,15,FALSE)*_xlfn.NORM.DIST(A1043,Calculations!$F$3,Calculations!$F$4,FALSE)/_xlfn.NORM.DIST(Calculations!$F$3,Calculations!$F$3,Calculations!$F$4,FALSE),NA())</f>
        <v>#N/A</v>
      </c>
      <c r="M1043" t="e">
        <f>IF(AND(A1043&gt;=Calculations!$F$7,A1043&lt;=Calculations!$F$8),0.2*_xlfn.NORM.DIST(100,100,15,FALSE)*_xlfn.NORM.DIST(A1043,Calculations!$F$3,Calculations!$F$4,FALSE)/_xlfn.NORM.DIST(Calculations!$F$3,Calculations!$F$3,Calculations!$F$4,FALSE),NA())</f>
        <v>#N/A</v>
      </c>
    </row>
    <row r="1044" spans="1:13" x14ac:dyDescent="0.25">
      <c r="A1044">
        <v>144.20000000000101</v>
      </c>
      <c r="B1044" t="e">
        <f t="shared" si="160"/>
        <v>#N/A</v>
      </c>
      <c r="C1044" t="e">
        <f t="shared" si="161"/>
        <v>#N/A</v>
      </c>
      <c r="D1044" t="e">
        <f t="shared" si="162"/>
        <v>#N/A</v>
      </c>
      <c r="E1044" t="e">
        <f t="shared" si="163"/>
        <v>#N/A</v>
      </c>
      <c r="F1044" t="e">
        <f t="shared" si="164"/>
        <v>#N/A</v>
      </c>
      <c r="G1044" t="e">
        <f t="shared" si="165"/>
        <v>#N/A</v>
      </c>
      <c r="H1044" t="e">
        <f t="shared" si="166"/>
        <v>#N/A</v>
      </c>
      <c r="I1044" t="e">
        <f t="shared" si="167"/>
        <v>#N/A</v>
      </c>
      <c r="J1044">
        <f t="shared" si="168"/>
        <v>3.4622872149080072E-4</v>
      </c>
      <c r="K1044">
        <f t="shared" si="169"/>
        <v>5.4622872149080075E-4</v>
      </c>
      <c r="L1044" t="e">
        <f>IF(AND(ABS((ChartCalculations!A1044-Calculations!$F$3)/Calculations!$F$4)&lt;5,OR(A1044&lt;=Calculations!$F$7,A1044&gt;=Calculations!$F$8)),0.2*_xlfn.NORM.DIST(100,100,15,FALSE)*_xlfn.NORM.DIST(A1044,Calculations!$F$3,Calculations!$F$4,FALSE)/_xlfn.NORM.DIST(Calculations!$F$3,Calculations!$F$3,Calculations!$F$4,FALSE),NA())</f>
        <v>#N/A</v>
      </c>
      <c r="M1044" t="e">
        <f>IF(AND(A1044&gt;=Calculations!$F$7,A1044&lt;=Calculations!$F$8),0.2*_xlfn.NORM.DIST(100,100,15,FALSE)*_xlfn.NORM.DIST(A1044,Calculations!$F$3,Calculations!$F$4,FALSE)/_xlfn.NORM.DIST(Calculations!$F$3,Calculations!$F$3,Calculations!$F$4,FALSE),NA())</f>
        <v>#N/A</v>
      </c>
    </row>
    <row r="1045" spans="1:13" x14ac:dyDescent="0.25">
      <c r="A1045">
        <v>144.30000000000101</v>
      </c>
      <c r="B1045" t="e">
        <f t="shared" si="160"/>
        <v>#N/A</v>
      </c>
      <c r="C1045" t="e">
        <f t="shared" si="161"/>
        <v>#N/A</v>
      </c>
      <c r="D1045" t="e">
        <f t="shared" si="162"/>
        <v>#N/A</v>
      </c>
      <c r="E1045" t="e">
        <f t="shared" si="163"/>
        <v>#N/A</v>
      </c>
      <c r="F1045" t="e">
        <f t="shared" si="164"/>
        <v>#N/A</v>
      </c>
      <c r="G1045" t="e">
        <f t="shared" si="165"/>
        <v>#N/A</v>
      </c>
      <c r="H1045" t="e">
        <f t="shared" si="166"/>
        <v>#N/A</v>
      </c>
      <c r="I1045" t="e">
        <f t="shared" si="167"/>
        <v>#N/A</v>
      </c>
      <c r="J1045">
        <f t="shared" si="168"/>
        <v>3.394860766332797E-4</v>
      </c>
      <c r="K1045">
        <f t="shared" si="169"/>
        <v>5.3948607663327974E-4</v>
      </c>
      <c r="L1045" t="e">
        <f>IF(AND(ABS((ChartCalculations!A1045-Calculations!$F$3)/Calculations!$F$4)&lt;5,OR(A1045&lt;=Calculations!$F$7,A1045&gt;=Calculations!$F$8)),0.2*_xlfn.NORM.DIST(100,100,15,FALSE)*_xlfn.NORM.DIST(A1045,Calculations!$F$3,Calculations!$F$4,FALSE)/_xlfn.NORM.DIST(Calculations!$F$3,Calculations!$F$3,Calculations!$F$4,FALSE),NA())</f>
        <v>#N/A</v>
      </c>
      <c r="M1045" t="e">
        <f>IF(AND(A1045&gt;=Calculations!$F$7,A1045&lt;=Calculations!$F$8),0.2*_xlfn.NORM.DIST(100,100,15,FALSE)*_xlfn.NORM.DIST(A1045,Calculations!$F$3,Calculations!$F$4,FALSE)/_xlfn.NORM.DIST(Calculations!$F$3,Calculations!$F$3,Calculations!$F$4,FALSE),NA())</f>
        <v>#N/A</v>
      </c>
    </row>
    <row r="1046" spans="1:13" x14ac:dyDescent="0.25">
      <c r="A1046">
        <v>144.400000000001</v>
      </c>
      <c r="B1046" t="e">
        <f t="shared" si="160"/>
        <v>#N/A</v>
      </c>
      <c r="C1046" t="e">
        <f t="shared" si="161"/>
        <v>#N/A</v>
      </c>
      <c r="D1046" t="e">
        <f t="shared" si="162"/>
        <v>#N/A</v>
      </c>
      <c r="E1046" t="e">
        <f t="shared" si="163"/>
        <v>#N/A</v>
      </c>
      <c r="F1046" t="e">
        <f t="shared" si="164"/>
        <v>#N/A</v>
      </c>
      <c r="G1046" t="e">
        <f t="shared" si="165"/>
        <v>#N/A</v>
      </c>
      <c r="H1046" t="e">
        <f t="shared" si="166"/>
        <v>#N/A</v>
      </c>
      <c r="I1046" t="e">
        <f t="shared" si="167"/>
        <v>#N/A</v>
      </c>
      <c r="J1046">
        <f t="shared" si="168"/>
        <v>3.3285994757409278E-4</v>
      </c>
      <c r="K1046">
        <f t="shared" si="169"/>
        <v>5.3285994757409276E-4</v>
      </c>
      <c r="L1046" t="e">
        <f>IF(AND(ABS((ChartCalculations!A1046-Calculations!$F$3)/Calculations!$F$4)&lt;5,OR(A1046&lt;=Calculations!$F$7,A1046&gt;=Calculations!$F$8)),0.2*_xlfn.NORM.DIST(100,100,15,FALSE)*_xlfn.NORM.DIST(A1046,Calculations!$F$3,Calculations!$F$4,FALSE)/_xlfn.NORM.DIST(Calculations!$F$3,Calculations!$F$3,Calculations!$F$4,FALSE),NA())</f>
        <v>#N/A</v>
      </c>
      <c r="M1046" t="e">
        <f>IF(AND(A1046&gt;=Calculations!$F$7,A1046&lt;=Calculations!$F$8),0.2*_xlfn.NORM.DIST(100,100,15,FALSE)*_xlfn.NORM.DIST(A1046,Calculations!$F$3,Calculations!$F$4,FALSE)/_xlfn.NORM.DIST(Calculations!$F$3,Calculations!$F$3,Calculations!$F$4,FALSE),NA())</f>
        <v>#N/A</v>
      </c>
    </row>
    <row r="1047" spans="1:13" x14ac:dyDescent="0.25">
      <c r="A1047">
        <v>144.50000000000099</v>
      </c>
      <c r="B1047" t="e">
        <f t="shared" si="160"/>
        <v>#N/A</v>
      </c>
      <c r="C1047" t="e">
        <f t="shared" si="161"/>
        <v>#N/A</v>
      </c>
      <c r="D1047" t="e">
        <f t="shared" si="162"/>
        <v>#N/A</v>
      </c>
      <c r="E1047" t="e">
        <f t="shared" si="163"/>
        <v>#N/A</v>
      </c>
      <c r="F1047" t="e">
        <f t="shared" si="164"/>
        <v>#N/A</v>
      </c>
      <c r="G1047" t="e">
        <f t="shared" si="165"/>
        <v>#N/A</v>
      </c>
      <c r="H1047" t="e">
        <f t="shared" si="166"/>
        <v>#N/A</v>
      </c>
      <c r="I1047" t="e">
        <f t="shared" si="167"/>
        <v>#N/A</v>
      </c>
      <c r="J1047">
        <f t="shared" si="168"/>
        <v>3.2634864337253137E-4</v>
      </c>
      <c r="K1047">
        <f t="shared" si="169"/>
        <v>5.2634864337253141E-4</v>
      </c>
      <c r="L1047" t="e">
        <f>IF(AND(ABS((ChartCalculations!A1047-Calculations!$F$3)/Calculations!$F$4)&lt;5,OR(A1047&lt;=Calculations!$F$7,A1047&gt;=Calculations!$F$8)),0.2*_xlfn.NORM.DIST(100,100,15,FALSE)*_xlfn.NORM.DIST(A1047,Calculations!$F$3,Calculations!$F$4,FALSE)/_xlfn.NORM.DIST(Calculations!$F$3,Calculations!$F$3,Calculations!$F$4,FALSE),NA())</f>
        <v>#N/A</v>
      </c>
      <c r="M1047" t="e">
        <f>IF(AND(A1047&gt;=Calculations!$F$7,A1047&lt;=Calculations!$F$8),0.2*_xlfn.NORM.DIST(100,100,15,FALSE)*_xlfn.NORM.DIST(A1047,Calculations!$F$3,Calculations!$F$4,FALSE)/_xlfn.NORM.DIST(Calculations!$F$3,Calculations!$F$3,Calculations!$F$4,FALSE),NA())</f>
        <v>#N/A</v>
      </c>
    </row>
    <row r="1048" spans="1:13" x14ac:dyDescent="0.25">
      <c r="A1048">
        <v>144.60000000000099</v>
      </c>
      <c r="B1048" t="e">
        <f t="shared" si="160"/>
        <v>#N/A</v>
      </c>
      <c r="C1048" t="e">
        <f t="shared" si="161"/>
        <v>#N/A</v>
      </c>
      <c r="D1048" t="e">
        <f t="shared" si="162"/>
        <v>#N/A</v>
      </c>
      <c r="E1048" t="e">
        <f t="shared" si="163"/>
        <v>#N/A</v>
      </c>
      <c r="F1048" t="e">
        <f t="shared" si="164"/>
        <v>#N/A</v>
      </c>
      <c r="G1048" t="e">
        <f t="shared" si="165"/>
        <v>#N/A</v>
      </c>
      <c r="H1048" t="e">
        <f t="shared" si="166"/>
        <v>#N/A</v>
      </c>
      <c r="I1048" t="e">
        <f t="shared" si="167"/>
        <v>#N/A</v>
      </c>
      <c r="J1048">
        <f t="shared" si="168"/>
        <v>3.1995049096882549E-4</v>
      </c>
      <c r="K1048">
        <f t="shared" si="169"/>
        <v>5.1995049096882553E-4</v>
      </c>
      <c r="L1048" t="e">
        <f>IF(AND(ABS((ChartCalculations!A1048-Calculations!$F$3)/Calculations!$F$4)&lt;5,OR(A1048&lt;=Calculations!$F$7,A1048&gt;=Calculations!$F$8)),0.2*_xlfn.NORM.DIST(100,100,15,FALSE)*_xlfn.NORM.DIST(A1048,Calculations!$F$3,Calculations!$F$4,FALSE)/_xlfn.NORM.DIST(Calculations!$F$3,Calculations!$F$3,Calculations!$F$4,FALSE),NA())</f>
        <v>#N/A</v>
      </c>
      <c r="M1048" t="e">
        <f>IF(AND(A1048&gt;=Calculations!$F$7,A1048&lt;=Calculations!$F$8),0.2*_xlfn.NORM.DIST(100,100,15,FALSE)*_xlfn.NORM.DIST(A1048,Calculations!$F$3,Calculations!$F$4,FALSE)/_xlfn.NORM.DIST(Calculations!$F$3,Calculations!$F$3,Calculations!$F$4,FALSE),NA())</f>
        <v>#N/A</v>
      </c>
    </row>
    <row r="1049" spans="1:13" x14ac:dyDescent="0.25">
      <c r="A1049">
        <v>144.70000000000101</v>
      </c>
      <c r="B1049" t="e">
        <f t="shared" si="160"/>
        <v>#N/A</v>
      </c>
      <c r="C1049" t="e">
        <f t="shared" si="161"/>
        <v>#N/A</v>
      </c>
      <c r="D1049" t="e">
        <f t="shared" si="162"/>
        <v>#N/A</v>
      </c>
      <c r="E1049" t="e">
        <f t="shared" si="163"/>
        <v>#N/A</v>
      </c>
      <c r="F1049" t="e">
        <f t="shared" si="164"/>
        <v>#N/A</v>
      </c>
      <c r="G1049" t="e">
        <f t="shared" si="165"/>
        <v>#N/A</v>
      </c>
      <c r="H1049" t="e">
        <f t="shared" si="166"/>
        <v>#N/A</v>
      </c>
      <c r="I1049" t="e">
        <f t="shared" si="167"/>
        <v>#N/A</v>
      </c>
      <c r="J1049">
        <f t="shared" si="168"/>
        <v>3.1366383512886872E-4</v>
      </c>
      <c r="K1049">
        <f t="shared" si="169"/>
        <v>5.1366383512886876E-4</v>
      </c>
      <c r="L1049" t="e">
        <f>IF(AND(ABS((ChartCalculations!A1049-Calculations!$F$3)/Calculations!$F$4)&lt;5,OR(A1049&lt;=Calculations!$F$7,A1049&gt;=Calculations!$F$8)),0.2*_xlfn.NORM.DIST(100,100,15,FALSE)*_xlfn.NORM.DIST(A1049,Calculations!$F$3,Calculations!$F$4,FALSE)/_xlfn.NORM.DIST(Calculations!$F$3,Calculations!$F$3,Calculations!$F$4,FALSE),NA())</f>
        <v>#N/A</v>
      </c>
      <c r="M1049" t="e">
        <f>IF(AND(A1049&gt;=Calculations!$F$7,A1049&lt;=Calculations!$F$8),0.2*_xlfn.NORM.DIST(100,100,15,FALSE)*_xlfn.NORM.DIST(A1049,Calculations!$F$3,Calculations!$F$4,FALSE)/_xlfn.NORM.DIST(Calculations!$F$3,Calculations!$F$3,Calculations!$F$4,FALSE),NA())</f>
        <v>#N/A</v>
      </c>
    </row>
    <row r="1050" spans="1:13" x14ac:dyDescent="0.25">
      <c r="A1050">
        <v>144.80000000000101</v>
      </c>
      <c r="B1050" t="e">
        <f t="shared" si="160"/>
        <v>#N/A</v>
      </c>
      <c r="C1050" t="e">
        <f t="shared" si="161"/>
        <v>#N/A</v>
      </c>
      <c r="D1050" t="e">
        <f t="shared" si="162"/>
        <v>#N/A</v>
      </c>
      <c r="E1050" t="e">
        <f t="shared" si="163"/>
        <v>#N/A</v>
      </c>
      <c r="F1050" t="e">
        <f t="shared" si="164"/>
        <v>#N/A</v>
      </c>
      <c r="G1050" t="e">
        <f t="shared" si="165"/>
        <v>#N/A</v>
      </c>
      <c r="H1050" t="e">
        <f t="shared" si="166"/>
        <v>#N/A</v>
      </c>
      <c r="I1050" t="e">
        <f t="shared" si="167"/>
        <v>#N/A</v>
      </c>
      <c r="J1050">
        <f t="shared" si="168"/>
        <v>3.0748703838611585E-4</v>
      </c>
      <c r="K1050">
        <f t="shared" si="169"/>
        <v>5.0748703838611583E-4</v>
      </c>
      <c r="L1050" t="e">
        <f>IF(AND(ABS((ChartCalculations!A1050-Calculations!$F$3)/Calculations!$F$4)&lt;5,OR(A1050&lt;=Calculations!$F$7,A1050&gt;=Calculations!$F$8)),0.2*_xlfn.NORM.DIST(100,100,15,FALSE)*_xlfn.NORM.DIST(A1050,Calculations!$F$3,Calculations!$F$4,FALSE)/_xlfn.NORM.DIST(Calculations!$F$3,Calculations!$F$3,Calculations!$F$4,FALSE),NA())</f>
        <v>#N/A</v>
      </c>
      <c r="M1050" t="e">
        <f>IF(AND(A1050&gt;=Calculations!$F$7,A1050&lt;=Calculations!$F$8),0.2*_xlfn.NORM.DIST(100,100,15,FALSE)*_xlfn.NORM.DIST(A1050,Calculations!$F$3,Calculations!$F$4,FALSE)/_xlfn.NORM.DIST(Calculations!$F$3,Calculations!$F$3,Calculations!$F$4,FALSE),NA())</f>
        <v>#N/A</v>
      </c>
    </row>
    <row r="1051" spans="1:13" x14ac:dyDescent="0.25">
      <c r="A1051">
        <v>144.900000000001</v>
      </c>
      <c r="B1051" t="e">
        <f t="shared" si="160"/>
        <v>#N/A</v>
      </c>
      <c r="C1051" t="e">
        <f t="shared" si="161"/>
        <v>#N/A</v>
      </c>
      <c r="D1051" t="e">
        <f t="shared" si="162"/>
        <v>#N/A</v>
      </c>
      <c r="E1051" t="e">
        <f t="shared" si="163"/>
        <v>#N/A</v>
      </c>
      <c r="F1051" t="e">
        <f t="shared" si="164"/>
        <v>#N/A</v>
      </c>
      <c r="G1051" t="e">
        <f t="shared" si="165"/>
        <v>#N/A</v>
      </c>
      <c r="H1051" t="e">
        <f t="shared" si="166"/>
        <v>#N/A</v>
      </c>
      <c r="I1051" t="e">
        <f t="shared" si="167"/>
        <v>#N/A</v>
      </c>
      <c r="J1051">
        <f t="shared" si="168"/>
        <v>3.0141848098068884E-4</v>
      </c>
      <c r="K1051">
        <f t="shared" si="169"/>
        <v>5.0141848098068887E-4</v>
      </c>
      <c r="L1051" t="e">
        <f>IF(AND(ABS((ChartCalculations!A1051-Calculations!$F$3)/Calculations!$F$4)&lt;5,OR(A1051&lt;=Calculations!$F$7,A1051&gt;=Calculations!$F$8)),0.2*_xlfn.NORM.DIST(100,100,15,FALSE)*_xlfn.NORM.DIST(A1051,Calculations!$F$3,Calculations!$F$4,FALSE)/_xlfn.NORM.DIST(Calculations!$F$3,Calculations!$F$3,Calculations!$F$4,FALSE),NA())</f>
        <v>#N/A</v>
      </c>
      <c r="M1051" t="e">
        <f>IF(AND(A1051&gt;=Calculations!$F$7,A1051&lt;=Calculations!$F$8),0.2*_xlfn.NORM.DIST(100,100,15,FALSE)*_xlfn.NORM.DIST(A1051,Calculations!$F$3,Calculations!$F$4,FALSE)/_xlfn.NORM.DIST(Calculations!$F$3,Calculations!$F$3,Calculations!$F$4,FALSE),NA())</f>
        <v>#N/A</v>
      </c>
    </row>
    <row r="1052" spans="1:13" x14ac:dyDescent="0.25">
      <c r="A1052">
        <v>145.00000000000099</v>
      </c>
      <c r="B1052" t="e">
        <f t="shared" si="160"/>
        <v>#N/A</v>
      </c>
      <c r="C1052" t="e">
        <f t="shared" si="161"/>
        <v>#N/A</v>
      </c>
      <c r="D1052" t="e">
        <f t="shared" si="162"/>
        <v>#N/A</v>
      </c>
      <c r="E1052" t="e">
        <f t="shared" si="163"/>
        <v>#N/A</v>
      </c>
      <c r="F1052" t="e">
        <f t="shared" si="164"/>
        <v>#N/A</v>
      </c>
      <c r="G1052" t="e">
        <f t="shared" si="165"/>
        <v>#N/A</v>
      </c>
      <c r="H1052" t="e">
        <f t="shared" si="166"/>
        <v>#N/A</v>
      </c>
      <c r="I1052" t="e">
        <f t="shared" si="167"/>
        <v>#N/A</v>
      </c>
      <c r="J1052">
        <f t="shared" si="168"/>
        <v>2.9545656079580838E-4</v>
      </c>
      <c r="K1052">
        <f t="shared" si="169"/>
        <v>4.9545656079580836E-4</v>
      </c>
      <c r="L1052" t="e">
        <f>IF(AND(ABS((ChartCalculations!A1052-Calculations!$F$3)/Calculations!$F$4)&lt;5,OR(A1052&lt;=Calculations!$F$7,A1052&gt;=Calculations!$F$8)),0.2*_xlfn.NORM.DIST(100,100,15,FALSE)*_xlfn.NORM.DIST(A1052,Calculations!$F$3,Calculations!$F$4,FALSE)/_xlfn.NORM.DIST(Calculations!$F$3,Calculations!$F$3,Calculations!$F$4,FALSE),NA())</f>
        <v>#N/A</v>
      </c>
      <c r="M1052" t="e">
        <f>IF(AND(A1052&gt;=Calculations!$F$7,A1052&lt;=Calculations!$F$8),0.2*_xlfn.NORM.DIST(100,100,15,FALSE)*_xlfn.NORM.DIST(A1052,Calculations!$F$3,Calculations!$F$4,FALSE)/_xlfn.NORM.DIST(Calculations!$F$3,Calculations!$F$3,Calculations!$F$4,FALSE),NA())</f>
        <v>#N/A</v>
      </c>
    </row>
    <row r="1053" spans="1:13" x14ac:dyDescent="0.25">
      <c r="A1053">
        <v>145.10000000000201</v>
      </c>
      <c r="B1053" t="e">
        <f t="shared" si="160"/>
        <v>#N/A</v>
      </c>
      <c r="C1053" t="e">
        <f t="shared" si="161"/>
        <v>#N/A</v>
      </c>
      <c r="D1053" t="e">
        <f t="shared" si="162"/>
        <v>#N/A</v>
      </c>
      <c r="E1053" t="e">
        <f t="shared" si="163"/>
        <v>#N/A</v>
      </c>
      <c r="F1053" t="e">
        <f t="shared" si="164"/>
        <v>#N/A</v>
      </c>
      <c r="G1053" t="e">
        <f t="shared" si="165"/>
        <v>#N/A</v>
      </c>
      <c r="H1053" t="e">
        <f t="shared" si="166"/>
        <v>#N/A</v>
      </c>
      <c r="I1053" t="e">
        <f t="shared" si="167"/>
        <v>#N/A</v>
      </c>
      <c r="J1053">
        <f t="shared" si="168"/>
        <v>2.8959969329152231E-4</v>
      </c>
      <c r="K1053">
        <f t="shared" si="169"/>
        <v>4.8959969329152235E-4</v>
      </c>
      <c r="L1053" t="e">
        <f>IF(AND(ABS((ChartCalculations!A1053-Calculations!$F$3)/Calculations!$F$4)&lt;5,OR(A1053&lt;=Calculations!$F$7,A1053&gt;=Calculations!$F$8)),0.2*_xlfn.NORM.DIST(100,100,15,FALSE)*_xlfn.NORM.DIST(A1053,Calculations!$F$3,Calculations!$F$4,FALSE)/_xlfn.NORM.DIST(Calculations!$F$3,Calculations!$F$3,Calculations!$F$4,FALSE),NA())</f>
        <v>#N/A</v>
      </c>
      <c r="M1053" t="e">
        <f>IF(AND(A1053&gt;=Calculations!$F$7,A1053&lt;=Calculations!$F$8),0.2*_xlfn.NORM.DIST(100,100,15,FALSE)*_xlfn.NORM.DIST(A1053,Calculations!$F$3,Calculations!$F$4,FALSE)/_xlfn.NORM.DIST(Calculations!$F$3,Calculations!$F$3,Calculations!$F$4,FALSE),NA())</f>
        <v>#N/A</v>
      </c>
    </row>
    <row r="1054" spans="1:13" x14ac:dyDescent="0.25">
      <c r="A1054">
        <v>145.20000000000101</v>
      </c>
      <c r="B1054" t="e">
        <f t="shared" si="160"/>
        <v>#N/A</v>
      </c>
      <c r="C1054" t="e">
        <f t="shared" si="161"/>
        <v>#N/A</v>
      </c>
      <c r="D1054" t="e">
        <f t="shared" si="162"/>
        <v>#N/A</v>
      </c>
      <c r="E1054" t="e">
        <f t="shared" si="163"/>
        <v>#N/A</v>
      </c>
      <c r="F1054" t="e">
        <f t="shared" si="164"/>
        <v>#N/A</v>
      </c>
      <c r="G1054" t="e">
        <f t="shared" si="165"/>
        <v>#N/A</v>
      </c>
      <c r="H1054" t="e">
        <f t="shared" si="166"/>
        <v>#N/A</v>
      </c>
      <c r="I1054" t="e">
        <f t="shared" si="167"/>
        <v>#N/A</v>
      </c>
      <c r="J1054">
        <f t="shared" si="168"/>
        <v>2.8384631143623767E-4</v>
      </c>
      <c r="K1054">
        <f t="shared" si="169"/>
        <v>4.8384631143623771E-4</v>
      </c>
      <c r="L1054" t="e">
        <f>IF(AND(ABS((ChartCalculations!A1054-Calculations!$F$3)/Calculations!$F$4)&lt;5,OR(A1054&lt;=Calculations!$F$7,A1054&gt;=Calculations!$F$8)),0.2*_xlfn.NORM.DIST(100,100,15,FALSE)*_xlfn.NORM.DIST(A1054,Calculations!$F$3,Calculations!$F$4,FALSE)/_xlfn.NORM.DIST(Calculations!$F$3,Calculations!$F$3,Calculations!$F$4,FALSE),NA())</f>
        <v>#N/A</v>
      </c>
      <c r="M1054" t="e">
        <f>IF(AND(A1054&gt;=Calculations!$F$7,A1054&lt;=Calculations!$F$8),0.2*_xlfn.NORM.DIST(100,100,15,FALSE)*_xlfn.NORM.DIST(A1054,Calculations!$F$3,Calculations!$F$4,FALSE)/_xlfn.NORM.DIST(Calculations!$F$3,Calculations!$F$3,Calculations!$F$4,FALSE),NA())</f>
        <v>#N/A</v>
      </c>
    </row>
    <row r="1055" spans="1:13" x14ac:dyDescent="0.25">
      <c r="A1055">
        <v>145.30000000000101</v>
      </c>
      <c r="B1055" t="e">
        <f t="shared" si="160"/>
        <v>#N/A</v>
      </c>
      <c r="C1055" t="e">
        <f t="shared" si="161"/>
        <v>#N/A</v>
      </c>
      <c r="D1055" t="e">
        <f t="shared" si="162"/>
        <v>#N/A</v>
      </c>
      <c r="E1055" t="e">
        <f t="shared" si="163"/>
        <v>#N/A</v>
      </c>
      <c r="F1055" t="e">
        <f t="shared" si="164"/>
        <v>#N/A</v>
      </c>
      <c r="G1055" t="e">
        <f t="shared" si="165"/>
        <v>#N/A</v>
      </c>
      <c r="H1055" t="e">
        <f t="shared" si="166"/>
        <v>#N/A</v>
      </c>
      <c r="I1055" t="e">
        <f t="shared" si="167"/>
        <v>#N/A</v>
      </c>
      <c r="J1055">
        <f t="shared" si="168"/>
        <v>2.7819486563487449E-4</v>
      </c>
      <c r="K1055">
        <f t="shared" si="169"/>
        <v>4.7819486563487447E-4</v>
      </c>
      <c r="L1055" t="e">
        <f>IF(AND(ABS((ChartCalculations!A1055-Calculations!$F$3)/Calculations!$F$4)&lt;5,OR(A1055&lt;=Calculations!$F$7,A1055&gt;=Calculations!$F$8)),0.2*_xlfn.NORM.DIST(100,100,15,FALSE)*_xlfn.NORM.DIST(A1055,Calculations!$F$3,Calculations!$F$4,FALSE)/_xlfn.NORM.DIST(Calculations!$F$3,Calculations!$F$3,Calculations!$F$4,FALSE),NA())</f>
        <v>#N/A</v>
      </c>
      <c r="M1055" t="e">
        <f>IF(AND(A1055&gt;=Calculations!$F$7,A1055&lt;=Calculations!$F$8),0.2*_xlfn.NORM.DIST(100,100,15,FALSE)*_xlfn.NORM.DIST(A1055,Calculations!$F$3,Calculations!$F$4,FALSE)/_xlfn.NORM.DIST(Calculations!$F$3,Calculations!$F$3,Calculations!$F$4,FALSE),NA())</f>
        <v>#N/A</v>
      </c>
    </row>
    <row r="1056" spans="1:13" x14ac:dyDescent="0.25">
      <c r="A1056">
        <v>145.400000000001</v>
      </c>
      <c r="B1056" t="e">
        <f t="shared" si="160"/>
        <v>#N/A</v>
      </c>
      <c r="C1056" t="e">
        <f t="shared" si="161"/>
        <v>#N/A</v>
      </c>
      <c r="D1056" t="e">
        <f t="shared" si="162"/>
        <v>#N/A</v>
      </c>
      <c r="E1056" t="e">
        <f t="shared" si="163"/>
        <v>#N/A</v>
      </c>
      <c r="F1056" t="e">
        <f t="shared" si="164"/>
        <v>#N/A</v>
      </c>
      <c r="G1056" t="e">
        <f t="shared" si="165"/>
        <v>#N/A</v>
      </c>
      <c r="H1056" t="e">
        <f t="shared" si="166"/>
        <v>#N/A</v>
      </c>
      <c r="I1056" t="e">
        <f t="shared" si="167"/>
        <v>#N/A</v>
      </c>
      <c r="J1056">
        <f t="shared" si="168"/>
        <v>2.726438236557728E-4</v>
      </c>
      <c r="K1056">
        <f t="shared" si="169"/>
        <v>4.7264382365577284E-4</v>
      </c>
      <c r="L1056" t="e">
        <f>IF(AND(ABS((ChartCalculations!A1056-Calculations!$F$3)/Calculations!$F$4)&lt;5,OR(A1056&lt;=Calculations!$F$7,A1056&gt;=Calculations!$F$8)),0.2*_xlfn.NORM.DIST(100,100,15,FALSE)*_xlfn.NORM.DIST(A1056,Calculations!$F$3,Calculations!$F$4,FALSE)/_xlfn.NORM.DIST(Calculations!$F$3,Calculations!$F$3,Calculations!$F$4,FALSE),NA())</f>
        <v>#N/A</v>
      </c>
      <c r="M1056" t="e">
        <f>IF(AND(A1056&gt;=Calculations!$F$7,A1056&lt;=Calculations!$F$8),0.2*_xlfn.NORM.DIST(100,100,15,FALSE)*_xlfn.NORM.DIST(A1056,Calculations!$F$3,Calculations!$F$4,FALSE)/_xlfn.NORM.DIST(Calculations!$F$3,Calculations!$F$3,Calculations!$F$4,FALSE),NA())</f>
        <v>#N/A</v>
      </c>
    </row>
    <row r="1057" spans="1:13" x14ac:dyDescent="0.25">
      <c r="A1057">
        <v>145.50000000000199</v>
      </c>
      <c r="B1057" t="e">
        <f t="shared" si="160"/>
        <v>#N/A</v>
      </c>
      <c r="C1057" t="e">
        <f t="shared" si="161"/>
        <v>#N/A</v>
      </c>
      <c r="D1057" t="e">
        <f t="shared" si="162"/>
        <v>#N/A</v>
      </c>
      <c r="E1057" t="e">
        <f t="shared" si="163"/>
        <v>#N/A</v>
      </c>
      <c r="F1057" t="e">
        <f t="shared" si="164"/>
        <v>#N/A</v>
      </c>
      <c r="G1057" t="e">
        <f t="shared" si="165"/>
        <v>#N/A</v>
      </c>
      <c r="H1057" t="e">
        <f t="shared" si="166"/>
        <v>#N/A</v>
      </c>
      <c r="I1057" t="e">
        <f t="shared" si="167"/>
        <v>#N/A</v>
      </c>
      <c r="J1057">
        <f t="shared" si="168"/>
        <v>2.6719167055431548E-4</v>
      </c>
      <c r="K1057">
        <f t="shared" si="169"/>
        <v>4.6719167055431546E-4</v>
      </c>
      <c r="L1057" t="e">
        <f>IF(AND(ABS((ChartCalculations!A1057-Calculations!$F$3)/Calculations!$F$4)&lt;5,OR(A1057&lt;=Calculations!$F$7,A1057&gt;=Calculations!$F$8)),0.2*_xlfn.NORM.DIST(100,100,15,FALSE)*_xlfn.NORM.DIST(A1057,Calculations!$F$3,Calculations!$F$4,FALSE)/_xlfn.NORM.DIST(Calculations!$F$3,Calculations!$F$3,Calculations!$F$4,FALSE),NA())</f>
        <v>#N/A</v>
      </c>
      <c r="M1057" t="e">
        <f>IF(AND(A1057&gt;=Calculations!$F$7,A1057&lt;=Calculations!$F$8),0.2*_xlfn.NORM.DIST(100,100,15,FALSE)*_xlfn.NORM.DIST(A1057,Calculations!$F$3,Calculations!$F$4,FALSE)/_xlfn.NORM.DIST(Calculations!$F$3,Calculations!$F$3,Calculations!$F$4,FALSE),NA())</f>
        <v>#N/A</v>
      </c>
    </row>
    <row r="1058" spans="1:13" x14ac:dyDescent="0.25">
      <c r="A1058">
        <v>145.60000000000201</v>
      </c>
      <c r="B1058" t="e">
        <f t="shared" si="160"/>
        <v>#N/A</v>
      </c>
      <c r="C1058" t="e">
        <f t="shared" si="161"/>
        <v>#N/A</v>
      </c>
      <c r="D1058" t="e">
        <f t="shared" si="162"/>
        <v>#N/A</v>
      </c>
      <c r="E1058" t="e">
        <f t="shared" si="163"/>
        <v>#N/A</v>
      </c>
      <c r="F1058" t="e">
        <f t="shared" si="164"/>
        <v>#N/A</v>
      </c>
      <c r="G1058" t="e">
        <f t="shared" si="165"/>
        <v>#N/A</v>
      </c>
      <c r="H1058" t="e">
        <f t="shared" si="166"/>
        <v>#N/A</v>
      </c>
      <c r="I1058" t="e">
        <f t="shared" si="167"/>
        <v>#N/A</v>
      </c>
      <c r="J1058">
        <f t="shared" si="168"/>
        <v>2.6183690859487853E-4</v>
      </c>
      <c r="K1058">
        <f t="shared" si="169"/>
        <v>4.6183690859487856E-4</v>
      </c>
      <c r="L1058" t="e">
        <f>IF(AND(ABS((ChartCalculations!A1058-Calculations!$F$3)/Calculations!$F$4)&lt;5,OR(A1058&lt;=Calculations!$F$7,A1058&gt;=Calculations!$F$8)),0.2*_xlfn.NORM.DIST(100,100,15,FALSE)*_xlfn.NORM.DIST(A1058,Calculations!$F$3,Calculations!$F$4,FALSE)/_xlfn.NORM.DIST(Calculations!$F$3,Calculations!$F$3,Calculations!$F$4,FALSE),NA())</f>
        <v>#N/A</v>
      </c>
      <c r="M1058" t="e">
        <f>IF(AND(A1058&gt;=Calculations!$F$7,A1058&lt;=Calculations!$F$8),0.2*_xlfn.NORM.DIST(100,100,15,FALSE)*_xlfn.NORM.DIST(A1058,Calculations!$F$3,Calculations!$F$4,FALSE)/_xlfn.NORM.DIST(Calculations!$F$3,Calculations!$F$3,Calculations!$F$4,FALSE),NA())</f>
        <v>#N/A</v>
      </c>
    </row>
    <row r="1059" spans="1:13" x14ac:dyDescent="0.25">
      <c r="A1059">
        <v>145.70000000000101</v>
      </c>
      <c r="B1059" t="e">
        <f t="shared" si="160"/>
        <v>#N/A</v>
      </c>
      <c r="C1059" t="e">
        <f t="shared" si="161"/>
        <v>#N/A</v>
      </c>
      <c r="D1059" t="e">
        <f t="shared" si="162"/>
        <v>#N/A</v>
      </c>
      <c r="E1059" t="e">
        <f t="shared" si="163"/>
        <v>#N/A</v>
      </c>
      <c r="F1059" t="e">
        <f t="shared" si="164"/>
        <v>#N/A</v>
      </c>
      <c r="G1059" t="e">
        <f t="shared" si="165"/>
        <v>#N/A</v>
      </c>
      <c r="H1059" t="e">
        <f t="shared" si="166"/>
        <v>#N/A</v>
      </c>
      <c r="I1059" t="e">
        <f t="shared" si="167"/>
        <v>#N/A</v>
      </c>
      <c r="J1059">
        <f t="shared" si="168"/>
        <v>2.5657805717002342E-4</v>
      </c>
      <c r="K1059">
        <f t="shared" si="169"/>
        <v>4.565780571700234E-4</v>
      </c>
      <c r="L1059" t="e">
        <f>IF(AND(ABS((ChartCalculations!A1059-Calculations!$F$3)/Calculations!$F$4)&lt;5,OR(A1059&lt;=Calculations!$F$7,A1059&gt;=Calculations!$F$8)),0.2*_xlfn.NORM.DIST(100,100,15,FALSE)*_xlfn.NORM.DIST(A1059,Calculations!$F$3,Calculations!$F$4,FALSE)/_xlfn.NORM.DIST(Calculations!$F$3,Calculations!$F$3,Calculations!$F$4,FALSE),NA())</f>
        <v>#N/A</v>
      </c>
      <c r="M1059" t="e">
        <f>IF(AND(A1059&gt;=Calculations!$F$7,A1059&lt;=Calculations!$F$8),0.2*_xlfn.NORM.DIST(100,100,15,FALSE)*_xlfn.NORM.DIST(A1059,Calculations!$F$3,Calculations!$F$4,FALSE)/_xlfn.NORM.DIST(Calculations!$F$3,Calculations!$F$3,Calculations!$F$4,FALSE),NA())</f>
        <v>#N/A</v>
      </c>
    </row>
    <row r="1060" spans="1:13" x14ac:dyDescent="0.25">
      <c r="A1060">
        <v>145.800000000002</v>
      </c>
      <c r="B1060" t="e">
        <f t="shared" si="160"/>
        <v>#N/A</v>
      </c>
      <c r="C1060" t="e">
        <f t="shared" si="161"/>
        <v>#N/A</v>
      </c>
      <c r="D1060" t="e">
        <f t="shared" si="162"/>
        <v>#N/A</v>
      </c>
      <c r="E1060" t="e">
        <f t="shared" si="163"/>
        <v>#N/A</v>
      </c>
      <c r="F1060" t="e">
        <f t="shared" si="164"/>
        <v>#N/A</v>
      </c>
      <c r="G1060" t="e">
        <f t="shared" si="165"/>
        <v>#N/A</v>
      </c>
      <c r="H1060" t="e">
        <f t="shared" si="166"/>
        <v>#N/A</v>
      </c>
      <c r="I1060" t="e">
        <f t="shared" si="167"/>
        <v>#N/A</v>
      </c>
      <c r="J1060">
        <f t="shared" si="168"/>
        <v>2.514136527177475E-4</v>
      </c>
      <c r="K1060">
        <f t="shared" si="169"/>
        <v>4.5141365271774748E-4</v>
      </c>
      <c r="L1060" t="e">
        <f>IF(AND(ABS((ChartCalculations!A1060-Calculations!$F$3)/Calculations!$F$4)&lt;5,OR(A1060&lt;=Calculations!$F$7,A1060&gt;=Calculations!$F$8)),0.2*_xlfn.NORM.DIST(100,100,15,FALSE)*_xlfn.NORM.DIST(A1060,Calculations!$F$3,Calculations!$F$4,FALSE)/_xlfn.NORM.DIST(Calculations!$F$3,Calculations!$F$3,Calculations!$F$4,FALSE),NA())</f>
        <v>#N/A</v>
      </c>
      <c r="M1060" t="e">
        <f>IF(AND(A1060&gt;=Calculations!$F$7,A1060&lt;=Calculations!$F$8),0.2*_xlfn.NORM.DIST(100,100,15,FALSE)*_xlfn.NORM.DIST(A1060,Calculations!$F$3,Calculations!$F$4,FALSE)/_xlfn.NORM.DIST(Calculations!$F$3,Calculations!$F$3,Calculations!$F$4,FALSE),NA())</f>
        <v>#N/A</v>
      </c>
    </row>
    <row r="1061" spans="1:13" x14ac:dyDescent="0.25">
      <c r="A1061">
        <v>145.900000000002</v>
      </c>
      <c r="B1061" t="e">
        <f t="shared" si="160"/>
        <v>#N/A</v>
      </c>
      <c r="C1061" t="e">
        <f t="shared" si="161"/>
        <v>#N/A</v>
      </c>
      <c r="D1061" t="e">
        <f t="shared" si="162"/>
        <v>#N/A</v>
      </c>
      <c r="E1061" t="e">
        <f t="shared" si="163"/>
        <v>#N/A</v>
      </c>
      <c r="F1061" t="e">
        <f t="shared" si="164"/>
        <v>#N/A</v>
      </c>
      <c r="G1061" t="e">
        <f t="shared" si="165"/>
        <v>#N/A</v>
      </c>
      <c r="H1061" t="e">
        <f t="shared" si="166"/>
        <v>#N/A</v>
      </c>
      <c r="I1061" t="e">
        <f t="shared" si="167"/>
        <v>#N/A</v>
      </c>
      <c r="J1061">
        <f t="shared" si="168"/>
        <v>2.4634224863716878E-4</v>
      </c>
      <c r="K1061">
        <f t="shared" si="169"/>
        <v>4.4634224863716876E-4</v>
      </c>
      <c r="L1061" t="e">
        <f>IF(AND(ABS((ChartCalculations!A1061-Calculations!$F$3)/Calculations!$F$4)&lt;5,OR(A1061&lt;=Calculations!$F$7,A1061&gt;=Calculations!$F$8)),0.2*_xlfn.NORM.DIST(100,100,15,FALSE)*_xlfn.NORM.DIST(A1061,Calculations!$F$3,Calculations!$F$4,FALSE)/_xlfn.NORM.DIST(Calculations!$F$3,Calculations!$F$3,Calculations!$F$4,FALSE),NA())</f>
        <v>#N/A</v>
      </c>
      <c r="M1061" t="e">
        <f>IF(AND(A1061&gt;=Calculations!$F$7,A1061&lt;=Calculations!$F$8),0.2*_xlfn.NORM.DIST(100,100,15,FALSE)*_xlfn.NORM.DIST(A1061,Calculations!$F$3,Calculations!$F$4,FALSE)/_xlfn.NORM.DIST(Calculations!$F$3,Calculations!$F$3,Calculations!$F$4,FALSE),NA())</f>
        <v>#N/A</v>
      </c>
    </row>
    <row r="1062" spans="1:13" x14ac:dyDescent="0.25">
      <c r="A1062">
        <v>146.00000000000199</v>
      </c>
      <c r="B1062" t="e">
        <f t="shared" si="160"/>
        <v>#N/A</v>
      </c>
      <c r="C1062" t="e">
        <f t="shared" si="161"/>
        <v>#N/A</v>
      </c>
      <c r="D1062" t="e">
        <f t="shared" si="162"/>
        <v>#N/A</v>
      </c>
      <c r="E1062" t="e">
        <f t="shared" si="163"/>
        <v>#N/A</v>
      </c>
      <c r="F1062" t="e">
        <f t="shared" si="164"/>
        <v>#N/A</v>
      </c>
      <c r="G1062" t="e">
        <f t="shared" si="165"/>
        <v>#N/A</v>
      </c>
      <c r="H1062" t="e">
        <f t="shared" si="166"/>
        <v>#N/A</v>
      </c>
      <c r="I1062" t="e">
        <f t="shared" si="167"/>
        <v>#N/A</v>
      </c>
      <c r="J1062">
        <f t="shared" si="168"/>
        <v>2.4136241520118781E-4</v>
      </c>
      <c r="K1062">
        <f t="shared" si="169"/>
        <v>4.4136241520118782E-4</v>
      </c>
      <c r="L1062" t="e">
        <f>IF(AND(ABS((ChartCalculations!A1062-Calculations!$F$3)/Calculations!$F$4)&lt;5,OR(A1062&lt;=Calculations!$F$7,A1062&gt;=Calculations!$F$8)),0.2*_xlfn.NORM.DIST(100,100,15,FALSE)*_xlfn.NORM.DIST(A1062,Calculations!$F$3,Calculations!$F$4,FALSE)/_xlfn.NORM.DIST(Calculations!$F$3,Calculations!$F$3,Calculations!$F$4,FALSE),NA())</f>
        <v>#N/A</v>
      </c>
      <c r="M1062" t="e">
        <f>IF(AND(A1062&gt;=Calculations!$F$7,A1062&lt;=Calculations!$F$8),0.2*_xlfn.NORM.DIST(100,100,15,FALSE)*_xlfn.NORM.DIST(A1062,Calculations!$F$3,Calculations!$F$4,FALSE)/_xlfn.NORM.DIST(Calculations!$F$3,Calculations!$F$3,Calculations!$F$4,FALSE),NA())</f>
        <v>#N/A</v>
      </c>
    </row>
    <row r="1063" spans="1:13" x14ac:dyDescent="0.25">
      <c r="A1063">
        <v>146.10000000000201</v>
      </c>
      <c r="B1063" t="e">
        <f t="shared" si="160"/>
        <v>#N/A</v>
      </c>
      <c r="C1063" t="e">
        <f t="shared" si="161"/>
        <v>#N/A</v>
      </c>
      <c r="D1063" t="e">
        <f t="shared" si="162"/>
        <v>#N/A</v>
      </c>
      <c r="E1063" t="e">
        <f t="shared" si="163"/>
        <v>#N/A</v>
      </c>
      <c r="F1063" t="e">
        <f t="shared" si="164"/>
        <v>#N/A</v>
      </c>
      <c r="G1063" t="e">
        <f t="shared" si="165"/>
        <v>#N/A</v>
      </c>
      <c r="H1063" t="e">
        <f t="shared" si="166"/>
        <v>#N/A</v>
      </c>
      <c r="I1063" t="e">
        <f t="shared" si="167"/>
        <v>#N/A</v>
      </c>
      <c r="J1063">
        <f t="shared" si="168"/>
        <v>2.3647273946797247E-4</v>
      </c>
      <c r="K1063">
        <f t="shared" si="169"/>
        <v>4.3647273946797246E-4</v>
      </c>
      <c r="L1063" t="e">
        <f>IF(AND(ABS((ChartCalculations!A1063-Calculations!$F$3)/Calculations!$F$4)&lt;5,OR(A1063&lt;=Calculations!$F$7,A1063&gt;=Calculations!$F$8)),0.2*_xlfn.NORM.DIST(100,100,15,FALSE)*_xlfn.NORM.DIST(A1063,Calculations!$F$3,Calculations!$F$4,FALSE)/_xlfn.NORM.DIST(Calculations!$F$3,Calculations!$F$3,Calculations!$F$4,FALSE),NA())</f>
        <v>#N/A</v>
      </c>
      <c r="M1063" t="e">
        <f>IF(AND(A1063&gt;=Calculations!$F$7,A1063&lt;=Calculations!$F$8),0.2*_xlfn.NORM.DIST(100,100,15,FALSE)*_xlfn.NORM.DIST(A1063,Calculations!$F$3,Calculations!$F$4,FALSE)/_xlfn.NORM.DIST(Calculations!$F$3,Calculations!$F$3,Calculations!$F$4,FALSE),NA())</f>
        <v>#N/A</v>
      </c>
    </row>
    <row r="1064" spans="1:13" x14ac:dyDescent="0.25">
      <c r="A1064">
        <v>146.20000000000201</v>
      </c>
      <c r="B1064" t="e">
        <f t="shared" si="160"/>
        <v>#N/A</v>
      </c>
      <c r="C1064" t="e">
        <f t="shared" si="161"/>
        <v>#N/A</v>
      </c>
      <c r="D1064" t="e">
        <f t="shared" si="162"/>
        <v>#N/A</v>
      </c>
      <c r="E1064" t="e">
        <f t="shared" si="163"/>
        <v>#N/A</v>
      </c>
      <c r="F1064" t="e">
        <f t="shared" si="164"/>
        <v>#N/A</v>
      </c>
      <c r="G1064" t="e">
        <f t="shared" si="165"/>
        <v>#N/A</v>
      </c>
      <c r="H1064" t="e">
        <f t="shared" si="166"/>
        <v>#N/A</v>
      </c>
      <c r="I1064" t="e">
        <f t="shared" si="167"/>
        <v>#N/A</v>
      </c>
      <c r="J1064">
        <f t="shared" si="168"/>
        <v>2.3167182519023372E-4</v>
      </c>
      <c r="K1064">
        <f t="shared" si="169"/>
        <v>4.3167182519023375E-4</v>
      </c>
      <c r="L1064" t="e">
        <f>IF(AND(ABS((ChartCalculations!A1064-Calculations!$F$3)/Calculations!$F$4)&lt;5,OR(A1064&lt;=Calculations!$F$7,A1064&gt;=Calculations!$F$8)),0.2*_xlfn.NORM.DIST(100,100,15,FALSE)*_xlfn.NORM.DIST(A1064,Calculations!$F$3,Calculations!$F$4,FALSE)/_xlfn.NORM.DIST(Calculations!$F$3,Calculations!$F$3,Calculations!$F$4,FALSE),NA())</f>
        <v>#N/A</v>
      </c>
      <c r="M1064" t="e">
        <f>IF(AND(A1064&gt;=Calculations!$F$7,A1064&lt;=Calculations!$F$8),0.2*_xlfn.NORM.DIST(100,100,15,FALSE)*_xlfn.NORM.DIST(A1064,Calculations!$F$3,Calculations!$F$4,FALSE)/_xlfn.NORM.DIST(Calculations!$F$3,Calculations!$F$3,Calculations!$F$4,FALSE),NA())</f>
        <v>#N/A</v>
      </c>
    </row>
    <row r="1065" spans="1:13" x14ac:dyDescent="0.25">
      <c r="A1065">
        <v>146.300000000002</v>
      </c>
      <c r="B1065" t="e">
        <f t="shared" si="160"/>
        <v>#N/A</v>
      </c>
      <c r="C1065" t="e">
        <f t="shared" si="161"/>
        <v>#N/A</v>
      </c>
      <c r="D1065" t="e">
        <f t="shared" si="162"/>
        <v>#N/A</v>
      </c>
      <c r="E1065" t="e">
        <f t="shared" si="163"/>
        <v>#N/A</v>
      </c>
      <c r="F1065" t="e">
        <f t="shared" si="164"/>
        <v>#N/A</v>
      </c>
      <c r="G1065" t="e">
        <f t="shared" si="165"/>
        <v>#N/A</v>
      </c>
      <c r="H1065" t="e">
        <f t="shared" si="166"/>
        <v>#N/A</v>
      </c>
      <c r="I1065" t="e">
        <f t="shared" si="167"/>
        <v>#N/A</v>
      </c>
      <c r="J1065">
        <f t="shared" si="168"/>
        <v>2.269582927227054E-4</v>
      </c>
      <c r="K1065">
        <f t="shared" si="169"/>
        <v>4.2695829272270541E-4</v>
      </c>
      <c r="L1065" t="e">
        <f>IF(AND(ABS((ChartCalculations!A1065-Calculations!$F$3)/Calculations!$F$4)&lt;5,OR(A1065&lt;=Calculations!$F$7,A1065&gt;=Calculations!$F$8)),0.2*_xlfn.NORM.DIST(100,100,15,FALSE)*_xlfn.NORM.DIST(A1065,Calculations!$F$3,Calculations!$F$4,FALSE)/_xlfn.NORM.DIST(Calculations!$F$3,Calculations!$F$3,Calculations!$F$4,FALSE),NA())</f>
        <v>#N/A</v>
      </c>
      <c r="M1065" t="e">
        <f>IF(AND(A1065&gt;=Calculations!$F$7,A1065&lt;=Calculations!$F$8),0.2*_xlfn.NORM.DIST(100,100,15,FALSE)*_xlfn.NORM.DIST(A1065,Calculations!$F$3,Calculations!$F$4,FALSE)/_xlfn.NORM.DIST(Calculations!$F$3,Calculations!$F$3,Calculations!$F$4,FALSE),NA())</f>
        <v>#N/A</v>
      </c>
    </row>
    <row r="1066" spans="1:13" x14ac:dyDescent="0.25">
      <c r="A1066">
        <v>146.400000000002</v>
      </c>
      <c r="B1066" t="e">
        <f t="shared" si="160"/>
        <v>#N/A</v>
      </c>
      <c r="C1066" t="e">
        <f t="shared" si="161"/>
        <v>#N/A</v>
      </c>
      <c r="D1066" t="e">
        <f t="shared" si="162"/>
        <v>#N/A</v>
      </c>
      <c r="E1066" t="e">
        <f t="shared" si="163"/>
        <v>#N/A</v>
      </c>
      <c r="F1066" t="e">
        <f t="shared" si="164"/>
        <v>#N/A</v>
      </c>
      <c r="G1066" t="e">
        <f t="shared" si="165"/>
        <v>#N/A</v>
      </c>
      <c r="H1066" t="e">
        <f t="shared" si="166"/>
        <v>#N/A</v>
      </c>
      <c r="I1066" t="e">
        <f t="shared" si="167"/>
        <v>#N/A</v>
      </c>
      <c r="J1066">
        <f t="shared" si="168"/>
        <v>2.2233077892786003E-4</v>
      </c>
      <c r="K1066">
        <f t="shared" si="169"/>
        <v>4.2233077892786004E-4</v>
      </c>
      <c r="L1066" t="e">
        <f>IF(AND(ABS((ChartCalculations!A1066-Calculations!$F$3)/Calculations!$F$4)&lt;5,OR(A1066&lt;=Calculations!$F$7,A1066&gt;=Calculations!$F$8)),0.2*_xlfn.NORM.DIST(100,100,15,FALSE)*_xlfn.NORM.DIST(A1066,Calculations!$F$3,Calculations!$F$4,FALSE)/_xlfn.NORM.DIST(Calculations!$F$3,Calculations!$F$3,Calculations!$F$4,FALSE),NA())</f>
        <v>#N/A</v>
      </c>
      <c r="M1066" t="e">
        <f>IF(AND(A1066&gt;=Calculations!$F$7,A1066&lt;=Calculations!$F$8),0.2*_xlfn.NORM.DIST(100,100,15,FALSE)*_xlfn.NORM.DIST(A1066,Calculations!$F$3,Calculations!$F$4,FALSE)/_xlfn.NORM.DIST(Calculations!$F$3,Calculations!$F$3,Calculations!$F$4,FALSE),NA())</f>
        <v>#N/A</v>
      </c>
    </row>
    <row r="1067" spans="1:13" x14ac:dyDescent="0.25">
      <c r="A1067">
        <v>146.50000000000199</v>
      </c>
      <c r="B1067" t="e">
        <f t="shared" si="160"/>
        <v>#N/A</v>
      </c>
      <c r="C1067" t="e">
        <f t="shared" si="161"/>
        <v>#N/A</v>
      </c>
      <c r="D1067" t="e">
        <f t="shared" si="162"/>
        <v>#N/A</v>
      </c>
      <c r="E1067" t="e">
        <f t="shared" si="163"/>
        <v>#N/A</v>
      </c>
      <c r="F1067" t="e">
        <f t="shared" si="164"/>
        <v>#N/A</v>
      </c>
      <c r="G1067" t="e">
        <f t="shared" si="165"/>
        <v>#N/A</v>
      </c>
      <c r="H1067" t="e">
        <f t="shared" si="166"/>
        <v>#N/A</v>
      </c>
      <c r="I1067" t="e">
        <f t="shared" si="167"/>
        <v>#N/A</v>
      </c>
      <c r="J1067">
        <f t="shared" si="168"/>
        <v>2.177879370799052E-4</v>
      </c>
      <c r="K1067">
        <f t="shared" si="169"/>
        <v>4.1778793707990518E-4</v>
      </c>
      <c r="L1067" t="e">
        <f>IF(AND(ABS((ChartCalculations!A1067-Calculations!$F$3)/Calculations!$F$4)&lt;5,OR(A1067&lt;=Calculations!$F$7,A1067&gt;=Calculations!$F$8)),0.2*_xlfn.NORM.DIST(100,100,15,FALSE)*_xlfn.NORM.DIST(A1067,Calculations!$F$3,Calculations!$F$4,FALSE)/_xlfn.NORM.DIST(Calculations!$F$3,Calculations!$F$3,Calculations!$F$4,FALSE),NA())</f>
        <v>#N/A</v>
      </c>
      <c r="M1067" t="e">
        <f>IF(AND(A1067&gt;=Calculations!$F$7,A1067&lt;=Calculations!$F$8),0.2*_xlfn.NORM.DIST(100,100,15,FALSE)*_xlfn.NORM.DIST(A1067,Calculations!$F$3,Calculations!$F$4,FALSE)/_xlfn.NORM.DIST(Calculations!$F$3,Calculations!$F$3,Calculations!$F$4,FALSE),NA())</f>
        <v>#N/A</v>
      </c>
    </row>
    <row r="1068" spans="1:13" x14ac:dyDescent="0.25">
      <c r="A1068">
        <v>146.60000000000201</v>
      </c>
      <c r="B1068" t="e">
        <f t="shared" si="160"/>
        <v>#N/A</v>
      </c>
      <c r="C1068" t="e">
        <f t="shared" si="161"/>
        <v>#N/A</v>
      </c>
      <c r="D1068" t="e">
        <f t="shared" si="162"/>
        <v>#N/A</v>
      </c>
      <c r="E1068" t="e">
        <f t="shared" si="163"/>
        <v>#N/A</v>
      </c>
      <c r="F1068" t="e">
        <f t="shared" si="164"/>
        <v>#N/A</v>
      </c>
      <c r="G1068" t="e">
        <f t="shared" si="165"/>
        <v>#N/A</v>
      </c>
      <c r="H1068" t="e">
        <f t="shared" si="166"/>
        <v>#N/A</v>
      </c>
      <c r="I1068" t="e">
        <f t="shared" si="167"/>
        <v>#N/A</v>
      </c>
      <c r="J1068">
        <f t="shared" si="168"/>
        <v>2.1332843676712384E-4</v>
      </c>
      <c r="K1068">
        <f t="shared" si="169"/>
        <v>4.1332843676712385E-4</v>
      </c>
      <c r="L1068" t="e">
        <f>IF(AND(ABS((ChartCalculations!A1068-Calculations!$F$3)/Calculations!$F$4)&lt;5,OR(A1068&lt;=Calculations!$F$7,A1068&gt;=Calculations!$F$8)),0.2*_xlfn.NORM.DIST(100,100,15,FALSE)*_xlfn.NORM.DIST(A1068,Calculations!$F$3,Calculations!$F$4,FALSE)/_xlfn.NORM.DIST(Calculations!$F$3,Calculations!$F$3,Calculations!$F$4,FALSE),NA())</f>
        <v>#N/A</v>
      </c>
      <c r="M1068" t="e">
        <f>IF(AND(A1068&gt;=Calculations!$F$7,A1068&lt;=Calculations!$F$8),0.2*_xlfn.NORM.DIST(100,100,15,FALSE)*_xlfn.NORM.DIST(A1068,Calculations!$F$3,Calculations!$F$4,FALSE)/_xlfn.NORM.DIST(Calculations!$F$3,Calculations!$F$3,Calculations!$F$4,FALSE),NA())</f>
        <v>#N/A</v>
      </c>
    </row>
    <row r="1069" spans="1:13" x14ac:dyDescent="0.25">
      <c r="A1069">
        <v>146.70000000000201</v>
      </c>
      <c r="B1069" t="e">
        <f t="shared" si="160"/>
        <v>#N/A</v>
      </c>
      <c r="C1069" t="e">
        <f t="shared" si="161"/>
        <v>#N/A</v>
      </c>
      <c r="D1069" t="e">
        <f t="shared" si="162"/>
        <v>#N/A</v>
      </c>
      <c r="E1069" t="e">
        <f t="shared" si="163"/>
        <v>#N/A</v>
      </c>
      <c r="F1069" t="e">
        <f t="shared" si="164"/>
        <v>#N/A</v>
      </c>
      <c r="G1069" t="e">
        <f t="shared" si="165"/>
        <v>#N/A</v>
      </c>
      <c r="H1069" t="e">
        <f t="shared" si="166"/>
        <v>#N/A</v>
      </c>
      <c r="I1069" t="e">
        <f t="shared" si="167"/>
        <v>#N/A</v>
      </c>
      <c r="J1069">
        <f t="shared" si="168"/>
        <v>2.0895096379262894E-4</v>
      </c>
      <c r="K1069">
        <f t="shared" si="169"/>
        <v>4.0895096379262898E-4</v>
      </c>
      <c r="L1069" t="e">
        <f>IF(AND(ABS((ChartCalculations!A1069-Calculations!$F$3)/Calculations!$F$4)&lt;5,OR(A1069&lt;=Calculations!$F$7,A1069&gt;=Calculations!$F$8)),0.2*_xlfn.NORM.DIST(100,100,15,FALSE)*_xlfn.NORM.DIST(A1069,Calculations!$F$3,Calculations!$F$4,FALSE)/_xlfn.NORM.DIST(Calculations!$F$3,Calculations!$F$3,Calculations!$F$4,FALSE),NA())</f>
        <v>#N/A</v>
      </c>
      <c r="M1069" t="e">
        <f>IF(AND(A1069&gt;=Calculations!$F$7,A1069&lt;=Calculations!$F$8),0.2*_xlfn.NORM.DIST(100,100,15,FALSE)*_xlfn.NORM.DIST(A1069,Calculations!$F$3,Calculations!$F$4,FALSE)/_xlfn.NORM.DIST(Calculations!$F$3,Calculations!$F$3,Calculations!$F$4,FALSE),NA())</f>
        <v>#N/A</v>
      </c>
    </row>
    <row r="1070" spans="1:13" x14ac:dyDescent="0.25">
      <c r="A1070">
        <v>146.800000000002</v>
      </c>
      <c r="B1070" t="e">
        <f t="shared" si="160"/>
        <v>#N/A</v>
      </c>
      <c r="C1070" t="e">
        <f t="shared" si="161"/>
        <v>#N/A</v>
      </c>
      <c r="D1070" t="e">
        <f t="shared" si="162"/>
        <v>#N/A</v>
      </c>
      <c r="E1070" t="e">
        <f t="shared" si="163"/>
        <v>#N/A</v>
      </c>
      <c r="F1070" t="e">
        <f t="shared" si="164"/>
        <v>#N/A</v>
      </c>
      <c r="G1070" t="e">
        <f t="shared" si="165"/>
        <v>#N/A</v>
      </c>
      <c r="H1070" t="e">
        <f t="shared" si="166"/>
        <v>#N/A</v>
      </c>
      <c r="I1070" t="e">
        <f t="shared" si="167"/>
        <v>#N/A</v>
      </c>
      <c r="J1070">
        <f t="shared" si="168"/>
        <v>2.0465422007356429E-4</v>
      </c>
      <c r="K1070">
        <f t="shared" si="169"/>
        <v>4.046542200735643E-4</v>
      </c>
      <c r="L1070" t="e">
        <f>IF(AND(ABS((ChartCalculations!A1070-Calculations!$F$3)/Calculations!$F$4)&lt;5,OR(A1070&lt;=Calculations!$F$7,A1070&gt;=Calculations!$F$8)),0.2*_xlfn.NORM.DIST(100,100,15,FALSE)*_xlfn.NORM.DIST(A1070,Calculations!$F$3,Calculations!$F$4,FALSE)/_xlfn.NORM.DIST(Calculations!$F$3,Calculations!$F$3,Calculations!$F$4,FALSE),NA())</f>
        <v>#N/A</v>
      </c>
      <c r="M1070" t="e">
        <f>IF(AND(A1070&gt;=Calculations!$F$7,A1070&lt;=Calculations!$F$8),0.2*_xlfn.NORM.DIST(100,100,15,FALSE)*_xlfn.NORM.DIST(A1070,Calculations!$F$3,Calculations!$F$4,FALSE)/_xlfn.NORM.DIST(Calculations!$F$3,Calculations!$F$3,Calculations!$F$4,FALSE),NA())</f>
        <v>#N/A</v>
      </c>
    </row>
    <row r="1071" spans="1:13" x14ac:dyDescent="0.25">
      <c r="A1071">
        <v>146.900000000002</v>
      </c>
      <c r="B1071" t="e">
        <f t="shared" si="160"/>
        <v>#N/A</v>
      </c>
      <c r="C1071" t="e">
        <f t="shared" si="161"/>
        <v>#N/A</v>
      </c>
      <c r="D1071" t="e">
        <f t="shared" si="162"/>
        <v>#N/A</v>
      </c>
      <c r="E1071" t="e">
        <f t="shared" si="163"/>
        <v>#N/A</v>
      </c>
      <c r="F1071" t="e">
        <f t="shared" si="164"/>
        <v>#N/A</v>
      </c>
      <c r="G1071" t="e">
        <f t="shared" si="165"/>
        <v>#N/A</v>
      </c>
      <c r="H1071" t="e">
        <f t="shared" si="166"/>
        <v>#N/A</v>
      </c>
      <c r="I1071" t="e">
        <f t="shared" si="167"/>
        <v>#N/A</v>
      </c>
      <c r="J1071">
        <f t="shared" si="168"/>
        <v>2.0043692353884676E-4</v>
      </c>
      <c r="K1071">
        <f t="shared" si="169"/>
        <v>4.0043692353884674E-4</v>
      </c>
      <c r="L1071" t="e">
        <f>IF(AND(ABS((ChartCalculations!A1071-Calculations!$F$3)/Calculations!$F$4)&lt;5,OR(A1071&lt;=Calculations!$F$7,A1071&gt;=Calculations!$F$8)),0.2*_xlfn.NORM.DIST(100,100,15,FALSE)*_xlfn.NORM.DIST(A1071,Calculations!$F$3,Calculations!$F$4,FALSE)/_xlfn.NORM.DIST(Calculations!$F$3,Calculations!$F$3,Calculations!$F$4,FALSE),NA())</f>
        <v>#N/A</v>
      </c>
      <c r="M1071" t="e">
        <f>IF(AND(A1071&gt;=Calculations!$F$7,A1071&lt;=Calculations!$F$8),0.2*_xlfn.NORM.DIST(100,100,15,FALSE)*_xlfn.NORM.DIST(A1071,Calculations!$F$3,Calculations!$F$4,FALSE)/_xlfn.NORM.DIST(Calculations!$F$3,Calculations!$F$3,Calculations!$F$4,FALSE),NA())</f>
        <v>#N/A</v>
      </c>
    </row>
    <row r="1072" spans="1:13" x14ac:dyDescent="0.25">
      <c r="A1072">
        <v>147.00000000000199</v>
      </c>
      <c r="B1072" t="e">
        <f t="shared" si="160"/>
        <v>#N/A</v>
      </c>
      <c r="C1072" t="e">
        <f t="shared" si="161"/>
        <v>#N/A</v>
      </c>
      <c r="D1072" t="e">
        <f t="shared" si="162"/>
        <v>#N/A</v>
      </c>
      <c r="E1072" t="e">
        <f t="shared" si="163"/>
        <v>#N/A</v>
      </c>
      <c r="F1072" t="e">
        <f t="shared" si="164"/>
        <v>#N/A</v>
      </c>
      <c r="G1072" t="e">
        <f t="shared" si="165"/>
        <v>#N/A</v>
      </c>
      <c r="H1072" t="e">
        <f t="shared" si="166"/>
        <v>#N/A</v>
      </c>
      <c r="I1072" t="e">
        <f t="shared" si="167"/>
        <v>#N/A</v>
      </c>
      <c r="J1072">
        <f t="shared" si="168"/>
        <v>1.9629780802547569E-4</v>
      </c>
      <c r="K1072">
        <f t="shared" si="169"/>
        <v>3.9629780802547573E-4</v>
      </c>
      <c r="L1072" t="e">
        <f>IF(AND(ABS((ChartCalculations!A1072-Calculations!$F$3)/Calculations!$F$4)&lt;5,OR(A1072&lt;=Calculations!$F$7,A1072&gt;=Calculations!$F$8)),0.2*_xlfn.NORM.DIST(100,100,15,FALSE)*_xlfn.NORM.DIST(A1072,Calculations!$F$3,Calculations!$F$4,FALSE)/_xlfn.NORM.DIST(Calculations!$F$3,Calculations!$F$3,Calculations!$F$4,FALSE),NA())</f>
        <v>#N/A</v>
      </c>
      <c r="M1072" t="e">
        <f>IF(AND(A1072&gt;=Calculations!$F$7,A1072&lt;=Calculations!$F$8),0.2*_xlfn.NORM.DIST(100,100,15,FALSE)*_xlfn.NORM.DIST(A1072,Calculations!$F$3,Calculations!$F$4,FALSE)/_xlfn.NORM.DIST(Calculations!$F$3,Calculations!$F$3,Calculations!$F$4,FALSE),NA())</f>
        <v>#N/A</v>
      </c>
    </row>
    <row r="1073" spans="1:13" x14ac:dyDescent="0.25">
      <c r="A1073">
        <v>147.10000000000201</v>
      </c>
      <c r="B1073" t="e">
        <f t="shared" si="160"/>
        <v>#N/A</v>
      </c>
      <c r="C1073" t="e">
        <f t="shared" si="161"/>
        <v>#N/A</v>
      </c>
      <c r="D1073" t="e">
        <f t="shared" si="162"/>
        <v>#N/A</v>
      </c>
      <c r="E1073" t="e">
        <f t="shared" si="163"/>
        <v>#N/A</v>
      </c>
      <c r="F1073" t="e">
        <f t="shared" si="164"/>
        <v>#N/A</v>
      </c>
      <c r="G1073" t="e">
        <f t="shared" si="165"/>
        <v>#N/A</v>
      </c>
      <c r="H1073" t="e">
        <f t="shared" si="166"/>
        <v>#N/A</v>
      </c>
      <c r="I1073" t="e">
        <f t="shared" si="167"/>
        <v>#N/A</v>
      </c>
      <c r="J1073">
        <f t="shared" si="168"/>
        <v>1.9223562317348167E-4</v>
      </c>
      <c r="K1073">
        <f t="shared" si="169"/>
        <v>3.9223562317348168E-4</v>
      </c>
      <c r="L1073" t="e">
        <f>IF(AND(ABS((ChartCalculations!A1073-Calculations!$F$3)/Calculations!$F$4)&lt;5,OR(A1073&lt;=Calculations!$F$7,A1073&gt;=Calculations!$F$8)),0.2*_xlfn.NORM.DIST(100,100,15,FALSE)*_xlfn.NORM.DIST(A1073,Calculations!$F$3,Calculations!$F$4,FALSE)/_xlfn.NORM.DIST(Calculations!$F$3,Calculations!$F$3,Calculations!$F$4,FALSE),NA())</f>
        <v>#N/A</v>
      </c>
      <c r="M1073" t="e">
        <f>IF(AND(A1073&gt;=Calculations!$F$7,A1073&lt;=Calculations!$F$8),0.2*_xlfn.NORM.DIST(100,100,15,FALSE)*_xlfn.NORM.DIST(A1073,Calculations!$F$3,Calculations!$F$4,FALSE)/_xlfn.NORM.DIST(Calculations!$F$3,Calculations!$F$3,Calculations!$F$4,FALSE),NA())</f>
        <v>#N/A</v>
      </c>
    </row>
    <row r="1074" spans="1:13" x14ac:dyDescent="0.25">
      <c r="A1074">
        <v>147.20000000000201</v>
      </c>
      <c r="B1074" t="e">
        <f t="shared" si="160"/>
        <v>#N/A</v>
      </c>
      <c r="C1074" t="e">
        <f t="shared" si="161"/>
        <v>#N/A</v>
      </c>
      <c r="D1074" t="e">
        <f t="shared" si="162"/>
        <v>#N/A</v>
      </c>
      <c r="E1074" t="e">
        <f t="shared" si="163"/>
        <v>#N/A</v>
      </c>
      <c r="F1074" t="e">
        <f t="shared" si="164"/>
        <v>#N/A</v>
      </c>
      <c r="G1074" t="e">
        <f t="shared" si="165"/>
        <v>#N/A</v>
      </c>
      <c r="H1074" t="e">
        <f t="shared" si="166"/>
        <v>#N/A</v>
      </c>
      <c r="I1074" t="e">
        <f t="shared" si="167"/>
        <v>#N/A</v>
      </c>
      <c r="J1074">
        <f t="shared" si="168"/>
        <v>1.882491343195711E-4</v>
      </c>
      <c r="K1074">
        <f t="shared" si="169"/>
        <v>3.8824913431957111E-4</v>
      </c>
      <c r="L1074" t="e">
        <f>IF(AND(ABS((ChartCalculations!A1074-Calculations!$F$3)/Calculations!$F$4)&lt;5,OR(A1074&lt;=Calculations!$F$7,A1074&gt;=Calculations!$F$8)),0.2*_xlfn.NORM.DIST(100,100,15,FALSE)*_xlfn.NORM.DIST(A1074,Calculations!$F$3,Calculations!$F$4,FALSE)/_xlfn.NORM.DIST(Calculations!$F$3,Calculations!$F$3,Calculations!$F$4,FALSE),NA())</f>
        <v>#N/A</v>
      </c>
      <c r="M1074" t="e">
        <f>IF(AND(A1074&gt;=Calculations!$F$7,A1074&lt;=Calculations!$F$8),0.2*_xlfn.NORM.DIST(100,100,15,FALSE)*_xlfn.NORM.DIST(A1074,Calculations!$F$3,Calculations!$F$4,FALSE)/_xlfn.NORM.DIST(Calculations!$F$3,Calculations!$F$3,Calculations!$F$4,FALSE),NA())</f>
        <v>#N/A</v>
      </c>
    </row>
    <row r="1075" spans="1:13" x14ac:dyDescent="0.25">
      <c r="A1075">
        <v>147.300000000002</v>
      </c>
      <c r="B1075" t="e">
        <f t="shared" si="160"/>
        <v>#N/A</v>
      </c>
      <c r="C1075" t="e">
        <f t="shared" si="161"/>
        <v>#N/A</v>
      </c>
      <c r="D1075" t="e">
        <f t="shared" si="162"/>
        <v>#N/A</v>
      </c>
      <c r="E1075" t="e">
        <f t="shared" si="163"/>
        <v>#N/A</v>
      </c>
      <c r="F1075" t="e">
        <f t="shared" si="164"/>
        <v>#N/A</v>
      </c>
      <c r="G1075" t="e">
        <f t="shared" si="165"/>
        <v>#N/A</v>
      </c>
      <c r="H1075" t="e">
        <f t="shared" si="166"/>
        <v>#N/A</v>
      </c>
      <c r="I1075" t="e">
        <f t="shared" si="167"/>
        <v>#N/A</v>
      </c>
      <c r="J1075">
        <f t="shared" si="168"/>
        <v>1.8433712238950786E-4</v>
      </c>
      <c r="K1075">
        <f t="shared" si="169"/>
        <v>3.8433712238950787E-4</v>
      </c>
      <c r="L1075" t="e">
        <f>IF(AND(ABS((ChartCalculations!A1075-Calculations!$F$3)/Calculations!$F$4)&lt;5,OR(A1075&lt;=Calculations!$F$7,A1075&gt;=Calculations!$F$8)),0.2*_xlfn.NORM.DIST(100,100,15,FALSE)*_xlfn.NORM.DIST(A1075,Calculations!$F$3,Calculations!$F$4,FALSE)/_xlfn.NORM.DIST(Calculations!$F$3,Calculations!$F$3,Calculations!$F$4,FALSE),NA())</f>
        <v>#N/A</v>
      </c>
      <c r="M1075" t="e">
        <f>IF(AND(A1075&gt;=Calculations!$F$7,A1075&lt;=Calculations!$F$8),0.2*_xlfn.NORM.DIST(100,100,15,FALSE)*_xlfn.NORM.DIST(A1075,Calculations!$F$3,Calculations!$F$4,FALSE)/_xlfn.NORM.DIST(Calculations!$F$3,Calculations!$F$3,Calculations!$F$4,FALSE),NA())</f>
        <v>#N/A</v>
      </c>
    </row>
    <row r="1076" spans="1:13" x14ac:dyDescent="0.25">
      <c r="A1076">
        <v>147.400000000002</v>
      </c>
      <c r="B1076" t="e">
        <f t="shared" si="160"/>
        <v>#N/A</v>
      </c>
      <c r="C1076" t="e">
        <f t="shared" si="161"/>
        <v>#N/A</v>
      </c>
      <c r="D1076" t="e">
        <f t="shared" si="162"/>
        <v>#N/A</v>
      </c>
      <c r="E1076" t="e">
        <f t="shared" si="163"/>
        <v>#N/A</v>
      </c>
      <c r="F1076" t="e">
        <f t="shared" si="164"/>
        <v>#N/A</v>
      </c>
      <c r="G1076" t="e">
        <f t="shared" si="165"/>
        <v>#N/A</v>
      </c>
      <c r="H1076" t="e">
        <f t="shared" si="166"/>
        <v>#N/A</v>
      </c>
      <c r="I1076" t="e">
        <f t="shared" si="167"/>
        <v>#N/A</v>
      </c>
      <c r="J1076">
        <f t="shared" si="168"/>
        <v>1.8049838378930434E-4</v>
      </c>
      <c r="K1076">
        <f t="shared" si="169"/>
        <v>3.8049838378930432E-4</v>
      </c>
      <c r="L1076" t="e">
        <f>IF(AND(ABS((ChartCalculations!A1076-Calculations!$F$3)/Calculations!$F$4)&lt;5,OR(A1076&lt;=Calculations!$F$7,A1076&gt;=Calculations!$F$8)),0.2*_xlfn.NORM.DIST(100,100,15,FALSE)*_xlfn.NORM.DIST(A1076,Calculations!$F$3,Calculations!$F$4,FALSE)/_xlfn.NORM.DIST(Calculations!$F$3,Calculations!$F$3,Calculations!$F$4,FALSE),NA())</f>
        <v>#N/A</v>
      </c>
      <c r="M1076" t="e">
        <f>IF(AND(A1076&gt;=Calculations!$F$7,A1076&lt;=Calculations!$F$8),0.2*_xlfn.NORM.DIST(100,100,15,FALSE)*_xlfn.NORM.DIST(A1076,Calculations!$F$3,Calculations!$F$4,FALSE)/_xlfn.NORM.DIST(Calculations!$F$3,Calculations!$F$3,Calculations!$F$4,FALSE),NA())</f>
        <v>#N/A</v>
      </c>
    </row>
    <row r="1077" spans="1:13" x14ac:dyDescent="0.25">
      <c r="A1077">
        <v>147.50000000000199</v>
      </c>
      <c r="B1077" t="e">
        <f t="shared" si="160"/>
        <v>#N/A</v>
      </c>
      <c r="C1077" t="e">
        <f t="shared" si="161"/>
        <v>#N/A</v>
      </c>
      <c r="D1077" t="e">
        <f t="shared" si="162"/>
        <v>#N/A</v>
      </c>
      <c r="E1077" t="e">
        <f t="shared" si="163"/>
        <v>#N/A</v>
      </c>
      <c r="F1077" t="e">
        <f t="shared" si="164"/>
        <v>#N/A</v>
      </c>
      <c r="G1077" t="e">
        <f t="shared" si="165"/>
        <v>#N/A</v>
      </c>
      <c r="H1077" t="e">
        <f t="shared" si="166"/>
        <v>#N/A</v>
      </c>
      <c r="I1077" t="e">
        <f t="shared" si="167"/>
        <v>#N/A</v>
      </c>
      <c r="J1077">
        <f t="shared" si="168"/>
        <v>1.7673173029526611E-4</v>
      </c>
      <c r="K1077">
        <f t="shared" si="169"/>
        <v>3.7673173029526615E-4</v>
      </c>
      <c r="L1077" t="e">
        <f>IF(AND(ABS((ChartCalculations!A1077-Calculations!$F$3)/Calculations!$F$4)&lt;5,OR(A1077&lt;=Calculations!$F$7,A1077&gt;=Calculations!$F$8)),0.2*_xlfn.NORM.DIST(100,100,15,FALSE)*_xlfn.NORM.DIST(A1077,Calculations!$F$3,Calculations!$F$4,FALSE)/_xlfn.NORM.DIST(Calculations!$F$3,Calculations!$F$3,Calculations!$F$4,FALSE),NA())</f>
        <v>#N/A</v>
      </c>
      <c r="M1077" t="e">
        <f>IF(AND(A1077&gt;=Calculations!$F$7,A1077&lt;=Calculations!$F$8),0.2*_xlfn.NORM.DIST(100,100,15,FALSE)*_xlfn.NORM.DIST(A1077,Calculations!$F$3,Calculations!$F$4,FALSE)/_xlfn.NORM.DIST(Calculations!$F$3,Calculations!$F$3,Calculations!$F$4,FALSE),NA())</f>
        <v>#N/A</v>
      </c>
    </row>
    <row r="1078" spans="1:13" x14ac:dyDescent="0.25">
      <c r="A1078">
        <v>147.60000000000201</v>
      </c>
      <c r="B1078" t="e">
        <f t="shared" si="160"/>
        <v>#N/A</v>
      </c>
      <c r="C1078" t="e">
        <f t="shared" si="161"/>
        <v>#N/A</v>
      </c>
      <c r="D1078" t="e">
        <f t="shared" si="162"/>
        <v>#N/A</v>
      </c>
      <c r="E1078" t="e">
        <f t="shared" si="163"/>
        <v>#N/A</v>
      </c>
      <c r="F1078" t="e">
        <f t="shared" si="164"/>
        <v>#N/A</v>
      </c>
      <c r="G1078" t="e">
        <f t="shared" si="165"/>
        <v>#N/A</v>
      </c>
      <c r="H1078" t="e">
        <f t="shared" si="166"/>
        <v>#N/A</v>
      </c>
      <c r="I1078" t="e">
        <f t="shared" si="167"/>
        <v>#N/A</v>
      </c>
      <c r="J1078">
        <f t="shared" si="168"/>
        <v>1.7303598894294E-4</v>
      </c>
      <c r="K1078">
        <f t="shared" si="169"/>
        <v>3.7303598894293999E-4</v>
      </c>
      <c r="L1078" t="e">
        <f>IF(AND(ABS((ChartCalculations!A1078-Calculations!$F$3)/Calculations!$F$4)&lt;5,OR(A1078&lt;=Calculations!$F$7,A1078&gt;=Calculations!$F$8)),0.2*_xlfn.NORM.DIST(100,100,15,FALSE)*_xlfn.NORM.DIST(A1078,Calculations!$F$3,Calculations!$F$4,FALSE)/_xlfn.NORM.DIST(Calculations!$F$3,Calculations!$F$3,Calculations!$F$4,FALSE),NA())</f>
        <v>#N/A</v>
      </c>
      <c r="M1078" t="e">
        <f>IF(AND(A1078&gt;=Calculations!$F$7,A1078&lt;=Calculations!$F$8),0.2*_xlfn.NORM.DIST(100,100,15,FALSE)*_xlfn.NORM.DIST(A1078,Calculations!$F$3,Calculations!$F$4,FALSE)/_xlfn.NORM.DIST(Calculations!$F$3,Calculations!$F$3,Calculations!$F$4,FALSE),NA())</f>
        <v>#N/A</v>
      </c>
    </row>
    <row r="1079" spans="1:13" x14ac:dyDescent="0.25">
      <c r="A1079">
        <v>147.70000000000201</v>
      </c>
      <c r="B1079" t="e">
        <f t="shared" si="160"/>
        <v>#N/A</v>
      </c>
      <c r="C1079" t="e">
        <f t="shared" si="161"/>
        <v>#N/A</v>
      </c>
      <c r="D1079" t="e">
        <f t="shared" si="162"/>
        <v>#N/A</v>
      </c>
      <c r="E1079" t="e">
        <f t="shared" si="163"/>
        <v>#N/A</v>
      </c>
      <c r="F1079" t="e">
        <f t="shared" si="164"/>
        <v>#N/A</v>
      </c>
      <c r="G1079" t="e">
        <f t="shared" si="165"/>
        <v>#N/A</v>
      </c>
      <c r="H1079" t="e">
        <f t="shared" si="166"/>
        <v>#N/A</v>
      </c>
      <c r="I1079" t="e">
        <f t="shared" si="167"/>
        <v>#N/A</v>
      </c>
      <c r="J1079">
        <f t="shared" si="168"/>
        <v>1.6941000191502935E-4</v>
      </c>
      <c r="K1079">
        <f t="shared" si="169"/>
        <v>3.6941000191502936E-4</v>
      </c>
      <c r="L1079" t="e">
        <f>IF(AND(ABS((ChartCalculations!A1079-Calculations!$F$3)/Calculations!$F$4)&lt;5,OR(A1079&lt;=Calculations!$F$7,A1079&gt;=Calculations!$F$8)),0.2*_xlfn.NORM.DIST(100,100,15,FALSE)*_xlfn.NORM.DIST(A1079,Calculations!$F$3,Calculations!$F$4,FALSE)/_xlfn.NORM.DIST(Calculations!$F$3,Calculations!$F$3,Calculations!$F$4,FALSE),NA())</f>
        <v>#N/A</v>
      </c>
      <c r="M1079" t="e">
        <f>IF(AND(A1079&gt;=Calculations!$F$7,A1079&lt;=Calculations!$F$8),0.2*_xlfn.NORM.DIST(100,100,15,FALSE)*_xlfn.NORM.DIST(A1079,Calculations!$F$3,Calculations!$F$4,FALSE)/_xlfn.NORM.DIST(Calculations!$F$3,Calculations!$F$3,Calculations!$F$4,FALSE),NA())</f>
        <v>#N/A</v>
      </c>
    </row>
    <row r="1080" spans="1:13" x14ac:dyDescent="0.25">
      <c r="A1080">
        <v>147.800000000002</v>
      </c>
      <c r="B1080" t="e">
        <f t="shared" si="160"/>
        <v>#N/A</v>
      </c>
      <c r="C1080" t="e">
        <f t="shared" si="161"/>
        <v>#N/A</v>
      </c>
      <c r="D1080" t="e">
        <f t="shared" si="162"/>
        <v>#N/A</v>
      </c>
      <c r="E1080" t="e">
        <f t="shared" si="163"/>
        <v>#N/A</v>
      </c>
      <c r="F1080" t="e">
        <f t="shared" si="164"/>
        <v>#N/A</v>
      </c>
      <c r="G1080" t="e">
        <f t="shared" si="165"/>
        <v>#N/A</v>
      </c>
      <c r="H1080" t="e">
        <f t="shared" si="166"/>
        <v>#N/A</v>
      </c>
      <c r="I1080" t="e">
        <f t="shared" si="167"/>
        <v>#N/A</v>
      </c>
      <c r="J1080">
        <f t="shared" si="168"/>
        <v>1.6585262642830907E-4</v>
      </c>
      <c r="K1080">
        <f t="shared" si="169"/>
        <v>3.6585262642830908E-4</v>
      </c>
      <c r="L1080" t="e">
        <f>IF(AND(ABS((ChartCalculations!A1080-Calculations!$F$3)/Calculations!$F$4)&lt;5,OR(A1080&lt;=Calculations!$F$7,A1080&gt;=Calculations!$F$8)),0.2*_xlfn.NORM.DIST(100,100,15,FALSE)*_xlfn.NORM.DIST(A1080,Calculations!$F$3,Calculations!$F$4,FALSE)/_xlfn.NORM.DIST(Calculations!$F$3,Calculations!$F$3,Calculations!$F$4,FALSE),NA())</f>
        <v>#N/A</v>
      </c>
      <c r="M1080" t="e">
        <f>IF(AND(A1080&gt;=Calculations!$F$7,A1080&lt;=Calculations!$F$8),0.2*_xlfn.NORM.DIST(100,100,15,FALSE)*_xlfn.NORM.DIST(A1080,Calculations!$F$3,Calculations!$F$4,FALSE)/_xlfn.NORM.DIST(Calculations!$F$3,Calculations!$F$3,Calculations!$F$4,FALSE),NA())</f>
        <v>#N/A</v>
      </c>
    </row>
    <row r="1081" spans="1:13" x14ac:dyDescent="0.25">
      <c r="A1081">
        <v>147.900000000002</v>
      </c>
      <c r="B1081" t="e">
        <f t="shared" si="160"/>
        <v>#N/A</v>
      </c>
      <c r="C1081" t="e">
        <f t="shared" si="161"/>
        <v>#N/A</v>
      </c>
      <c r="D1081" t="e">
        <f t="shared" si="162"/>
        <v>#N/A</v>
      </c>
      <c r="E1081" t="e">
        <f t="shared" si="163"/>
        <v>#N/A</v>
      </c>
      <c r="F1081" t="e">
        <f t="shared" si="164"/>
        <v>#N/A</v>
      </c>
      <c r="G1081" t="e">
        <f t="shared" si="165"/>
        <v>#N/A</v>
      </c>
      <c r="H1081" t="e">
        <f t="shared" si="166"/>
        <v>#N/A</v>
      </c>
      <c r="I1081" t="e">
        <f t="shared" si="167"/>
        <v>#N/A</v>
      </c>
      <c r="J1081">
        <f t="shared" si="168"/>
        <v>1.6236273461961204E-4</v>
      </c>
      <c r="K1081">
        <f t="shared" si="169"/>
        <v>3.6236273461961207E-4</v>
      </c>
      <c r="L1081" t="e">
        <f>IF(AND(ABS((ChartCalculations!A1081-Calculations!$F$3)/Calculations!$F$4)&lt;5,OR(A1081&lt;=Calculations!$F$7,A1081&gt;=Calculations!$F$8)),0.2*_xlfn.NORM.DIST(100,100,15,FALSE)*_xlfn.NORM.DIST(A1081,Calculations!$F$3,Calculations!$F$4,FALSE)/_xlfn.NORM.DIST(Calculations!$F$3,Calculations!$F$3,Calculations!$F$4,FALSE),NA())</f>
        <v>#N/A</v>
      </c>
      <c r="M1081" t="e">
        <f>IF(AND(A1081&gt;=Calculations!$F$7,A1081&lt;=Calculations!$F$8),0.2*_xlfn.NORM.DIST(100,100,15,FALSE)*_xlfn.NORM.DIST(A1081,Calculations!$F$3,Calculations!$F$4,FALSE)/_xlfn.NORM.DIST(Calculations!$F$3,Calculations!$F$3,Calculations!$F$4,FALSE),NA())</f>
        <v>#N/A</v>
      </c>
    </row>
    <row r="1082" spans="1:13" x14ac:dyDescent="0.25">
      <c r="A1082">
        <v>148.00000000000199</v>
      </c>
      <c r="B1082" t="e">
        <f t="shared" si="160"/>
        <v>#N/A</v>
      </c>
      <c r="C1082" t="e">
        <f t="shared" si="161"/>
        <v>#N/A</v>
      </c>
      <c r="D1082" t="e">
        <f t="shared" si="162"/>
        <v>#N/A</v>
      </c>
      <c r="E1082" t="e">
        <f t="shared" si="163"/>
        <v>#N/A</v>
      </c>
      <c r="F1082" t="e">
        <f t="shared" si="164"/>
        <v>#N/A</v>
      </c>
      <c r="G1082" t="e">
        <f t="shared" si="165"/>
        <v>#N/A</v>
      </c>
      <c r="H1082" t="e">
        <f t="shared" si="166"/>
        <v>#N/A</v>
      </c>
      <c r="I1082" t="e">
        <f t="shared" si="167"/>
        <v>#N/A</v>
      </c>
      <c r="J1082">
        <f t="shared" si="168"/>
        <v>1.5893921343092216E-4</v>
      </c>
      <c r="K1082">
        <f t="shared" si="169"/>
        <v>3.589392134309222E-4</v>
      </c>
      <c r="L1082" t="e">
        <f>IF(AND(ABS((ChartCalculations!A1082-Calculations!$F$3)/Calculations!$F$4)&lt;5,OR(A1082&lt;=Calculations!$F$7,A1082&gt;=Calculations!$F$8)),0.2*_xlfn.NORM.DIST(100,100,15,FALSE)*_xlfn.NORM.DIST(A1082,Calculations!$F$3,Calculations!$F$4,FALSE)/_xlfn.NORM.DIST(Calculations!$F$3,Calculations!$F$3,Calculations!$F$4,FALSE),NA())</f>
        <v>#N/A</v>
      </c>
      <c r="M1082" t="e">
        <f>IF(AND(A1082&gt;=Calculations!$F$7,A1082&lt;=Calculations!$F$8),0.2*_xlfn.NORM.DIST(100,100,15,FALSE)*_xlfn.NORM.DIST(A1082,Calculations!$F$3,Calculations!$F$4,FALSE)/_xlfn.NORM.DIST(Calculations!$F$3,Calculations!$F$3,Calculations!$F$4,FALSE),NA())</f>
        <v>#N/A</v>
      </c>
    </row>
    <row r="1083" spans="1:13" x14ac:dyDescent="0.25">
      <c r="A1083">
        <v>148.10000000000201</v>
      </c>
      <c r="B1083" t="e">
        <f t="shared" si="160"/>
        <v>#N/A</v>
      </c>
      <c r="C1083" t="e">
        <f t="shared" si="161"/>
        <v>#N/A</v>
      </c>
      <c r="D1083" t="e">
        <f t="shared" si="162"/>
        <v>#N/A</v>
      </c>
      <c r="E1083" t="e">
        <f t="shared" si="163"/>
        <v>#N/A</v>
      </c>
      <c r="F1083" t="e">
        <f t="shared" si="164"/>
        <v>#N/A</v>
      </c>
      <c r="G1083" t="e">
        <f t="shared" si="165"/>
        <v>#N/A</v>
      </c>
      <c r="H1083" t="e">
        <f t="shared" si="166"/>
        <v>#N/A</v>
      </c>
      <c r="I1083" t="e">
        <f t="shared" si="167"/>
        <v>#N/A</v>
      </c>
      <c r="J1083">
        <f t="shared" si="168"/>
        <v>1.5558096449362743E-4</v>
      </c>
      <c r="K1083">
        <f t="shared" si="169"/>
        <v>3.5558096449362741E-4</v>
      </c>
      <c r="L1083" t="e">
        <f>IF(AND(ABS((ChartCalculations!A1083-Calculations!$F$3)/Calculations!$F$4)&lt;5,OR(A1083&lt;=Calculations!$F$7,A1083&gt;=Calculations!$F$8)),0.2*_xlfn.NORM.DIST(100,100,15,FALSE)*_xlfn.NORM.DIST(A1083,Calculations!$F$3,Calculations!$F$4,FALSE)/_xlfn.NORM.DIST(Calculations!$F$3,Calculations!$F$3,Calculations!$F$4,FALSE),NA())</f>
        <v>#N/A</v>
      </c>
      <c r="M1083" t="e">
        <f>IF(AND(A1083&gt;=Calculations!$F$7,A1083&lt;=Calculations!$F$8),0.2*_xlfn.NORM.DIST(100,100,15,FALSE)*_xlfn.NORM.DIST(A1083,Calculations!$F$3,Calculations!$F$4,FALSE)/_xlfn.NORM.DIST(Calculations!$F$3,Calculations!$F$3,Calculations!$F$4,FALSE),NA())</f>
        <v>#N/A</v>
      </c>
    </row>
    <row r="1084" spans="1:13" x14ac:dyDescent="0.25">
      <c r="A1084">
        <v>148.20000000000201</v>
      </c>
      <c r="B1084" t="e">
        <f t="shared" si="160"/>
        <v>#N/A</v>
      </c>
      <c r="C1084" t="e">
        <f t="shared" si="161"/>
        <v>#N/A</v>
      </c>
      <c r="D1084" t="e">
        <f t="shared" si="162"/>
        <v>#N/A</v>
      </c>
      <c r="E1084" t="e">
        <f t="shared" si="163"/>
        <v>#N/A</v>
      </c>
      <c r="F1084" t="e">
        <f t="shared" si="164"/>
        <v>#N/A</v>
      </c>
      <c r="G1084" t="e">
        <f t="shared" si="165"/>
        <v>#N/A</v>
      </c>
      <c r="H1084" t="e">
        <f t="shared" si="166"/>
        <v>#N/A</v>
      </c>
      <c r="I1084" t="e">
        <f t="shared" si="167"/>
        <v>#N/A</v>
      </c>
      <c r="J1084">
        <f t="shared" si="168"/>
        <v>1.5228690401198605E-4</v>
      </c>
      <c r="K1084">
        <f t="shared" si="169"/>
        <v>3.5228690401198609E-4</v>
      </c>
      <c r="L1084" t="e">
        <f>IF(AND(ABS((ChartCalculations!A1084-Calculations!$F$3)/Calculations!$F$4)&lt;5,OR(A1084&lt;=Calculations!$F$7,A1084&gt;=Calculations!$F$8)),0.2*_xlfn.NORM.DIST(100,100,15,FALSE)*_xlfn.NORM.DIST(A1084,Calculations!$F$3,Calculations!$F$4,FALSE)/_xlfn.NORM.DIST(Calculations!$F$3,Calculations!$F$3,Calculations!$F$4,FALSE),NA())</f>
        <v>#N/A</v>
      </c>
      <c r="M1084" t="e">
        <f>IF(AND(A1084&gt;=Calculations!$F$7,A1084&lt;=Calculations!$F$8),0.2*_xlfn.NORM.DIST(100,100,15,FALSE)*_xlfn.NORM.DIST(A1084,Calculations!$F$3,Calculations!$F$4,FALSE)/_xlfn.NORM.DIST(Calculations!$F$3,Calculations!$F$3,Calculations!$F$4,FALSE),NA())</f>
        <v>#N/A</v>
      </c>
    </row>
    <row r="1085" spans="1:13" x14ac:dyDescent="0.25">
      <c r="A1085">
        <v>148.300000000002</v>
      </c>
      <c r="B1085" t="e">
        <f t="shared" si="160"/>
        <v>#N/A</v>
      </c>
      <c r="C1085" t="e">
        <f t="shared" si="161"/>
        <v>#N/A</v>
      </c>
      <c r="D1085" t="e">
        <f t="shared" si="162"/>
        <v>#N/A</v>
      </c>
      <c r="E1085" t="e">
        <f t="shared" si="163"/>
        <v>#N/A</v>
      </c>
      <c r="F1085" t="e">
        <f t="shared" si="164"/>
        <v>#N/A</v>
      </c>
      <c r="G1085" t="e">
        <f t="shared" si="165"/>
        <v>#N/A</v>
      </c>
      <c r="H1085" t="e">
        <f t="shared" si="166"/>
        <v>#N/A</v>
      </c>
      <c r="I1085" t="e">
        <f t="shared" si="167"/>
        <v>#N/A</v>
      </c>
      <c r="J1085">
        <f t="shared" si="168"/>
        <v>1.490559626458386E-4</v>
      </c>
      <c r="K1085">
        <f t="shared" si="169"/>
        <v>3.4905596264583861E-4</v>
      </c>
      <c r="L1085" t="e">
        <f>IF(AND(ABS((ChartCalculations!A1085-Calculations!$F$3)/Calculations!$F$4)&lt;5,OR(A1085&lt;=Calculations!$F$7,A1085&gt;=Calculations!$F$8)),0.2*_xlfn.NORM.DIST(100,100,15,FALSE)*_xlfn.NORM.DIST(A1085,Calculations!$F$3,Calculations!$F$4,FALSE)/_xlfn.NORM.DIST(Calculations!$F$3,Calculations!$F$3,Calculations!$F$4,FALSE),NA())</f>
        <v>#N/A</v>
      </c>
      <c r="M1085" t="e">
        <f>IF(AND(A1085&gt;=Calculations!$F$7,A1085&lt;=Calculations!$F$8),0.2*_xlfn.NORM.DIST(100,100,15,FALSE)*_xlfn.NORM.DIST(A1085,Calculations!$F$3,Calculations!$F$4,FALSE)/_xlfn.NORM.DIST(Calculations!$F$3,Calculations!$F$3,Calculations!$F$4,FALSE),NA())</f>
        <v>#N/A</v>
      </c>
    </row>
    <row r="1086" spans="1:13" x14ac:dyDescent="0.25">
      <c r="A1086">
        <v>148.400000000002</v>
      </c>
      <c r="B1086" t="e">
        <f t="shared" si="160"/>
        <v>#N/A</v>
      </c>
      <c r="C1086" t="e">
        <f t="shared" si="161"/>
        <v>#N/A</v>
      </c>
      <c r="D1086" t="e">
        <f t="shared" si="162"/>
        <v>#N/A</v>
      </c>
      <c r="E1086" t="e">
        <f t="shared" si="163"/>
        <v>#N/A</v>
      </c>
      <c r="F1086" t="e">
        <f t="shared" si="164"/>
        <v>#N/A</v>
      </c>
      <c r="G1086" t="e">
        <f t="shared" si="165"/>
        <v>#N/A</v>
      </c>
      <c r="H1086" t="e">
        <f t="shared" si="166"/>
        <v>#N/A</v>
      </c>
      <c r="I1086" t="e">
        <f t="shared" si="167"/>
        <v>#N/A</v>
      </c>
      <c r="J1086">
        <f t="shared" si="168"/>
        <v>1.4588708539263259E-4</v>
      </c>
      <c r="K1086">
        <f t="shared" si="169"/>
        <v>3.458870853926326E-4</v>
      </c>
      <c r="L1086" t="e">
        <f>IF(AND(ABS((ChartCalculations!A1086-Calculations!$F$3)/Calculations!$F$4)&lt;5,OR(A1086&lt;=Calculations!$F$7,A1086&gt;=Calculations!$F$8)),0.2*_xlfn.NORM.DIST(100,100,15,FALSE)*_xlfn.NORM.DIST(A1086,Calculations!$F$3,Calculations!$F$4,FALSE)/_xlfn.NORM.DIST(Calculations!$F$3,Calculations!$F$3,Calculations!$F$4,FALSE),NA())</f>
        <v>#N/A</v>
      </c>
      <c r="M1086" t="e">
        <f>IF(AND(A1086&gt;=Calculations!$F$7,A1086&lt;=Calculations!$F$8),0.2*_xlfn.NORM.DIST(100,100,15,FALSE)*_xlfn.NORM.DIST(A1086,Calculations!$F$3,Calculations!$F$4,FALSE)/_xlfn.NORM.DIST(Calculations!$F$3,Calculations!$F$3,Calculations!$F$4,FALSE),NA())</f>
        <v>#N/A</v>
      </c>
    </row>
    <row r="1087" spans="1:13" x14ac:dyDescent="0.25">
      <c r="A1087">
        <v>148.50000000000199</v>
      </c>
      <c r="B1087" t="e">
        <f t="shared" si="160"/>
        <v>#N/A</v>
      </c>
      <c r="C1087" t="e">
        <f t="shared" si="161"/>
        <v>#N/A</v>
      </c>
      <c r="D1087" t="e">
        <f t="shared" si="162"/>
        <v>#N/A</v>
      </c>
      <c r="E1087" t="e">
        <f t="shared" si="163"/>
        <v>#N/A</v>
      </c>
      <c r="F1087" t="e">
        <f t="shared" si="164"/>
        <v>#N/A</v>
      </c>
      <c r="G1087" t="e">
        <f t="shared" si="165"/>
        <v>#N/A</v>
      </c>
      <c r="H1087" t="e">
        <f t="shared" si="166"/>
        <v>#N/A</v>
      </c>
      <c r="I1087" t="e">
        <f t="shared" si="167"/>
        <v>#N/A</v>
      </c>
      <c r="J1087">
        <f t="shared" si="168"/>
        <v>1.4277923146878982E-4</v>
      </c>
      <c r="K1087">
        <f t="shared" si="169"/>
        <v>3.4277923146878986E-4</v>
      </c>
      <c r="L1087" t="e">
        <f>IF(AND(ABS((ChartCalculations!A1087-Calculations!$F$3)/Calculations!$F$4)&lt;5,OR(A1087&lt;=Calculations!$F$7,A1087&gt;=Calculations!$F$8)),0.2*_xlfn.NORM.DIST(100,100,15,FALSE)*_xlfn.NORM.DIST(A1087,Calculations!$F$3,Calculations!$F$4,FALSE)/_xlfn.NORM.DIST(Calculations!$F$3,Calculations!$F$3,Calculations!$F$4,FALSE),NA())</f>
        <v>#N/A</v>
      </c>
      <c r="M1087" t="e">
        <f>IF(AND(A1087&gt;=Calculations!$F$7,A1087&lt;=Calculations!$F$8),0.2*_xlfn.NORM.DIST(100,100,15,FALSE)*_xlfn.NORM.DIST(A1087,Calculations!$F$3,Calculations!$F$4,FALSE)/_xlfn.NORM.DIST(Calculations!$F$3,Calculations!$F$3,Calculations!$F$4,FALSE),NA())</f>
        <v>#N/A</v>
      </c>
    </row>
    <row r="1088" spans="1:13" x14ac:dyDescent="0.25">
      <c r="A1088">
        <v>148.60000000000201</v>
      </c>
      <c r="B1088" t="e">
        <f t="shared" si="160"/>
        <v>#N/A</v>
      </c>
      <c r="C1088" t="e">
        <f t="shared" si="161"/>
        <v>#N/A</v>
      </c>
      <c r="D1088" t="e">
        <f t="shared" si="162"/>
        <v>#N/A</v>
      </c>
      <c r="E1088" t="e">
        <f t="shared" si="163"/>
        <v>#N/A</v>
      </c>
      <c r="F1088" t="e">
        <f t="shared" si="164"/>
        <v>#N/A</v>
      </c>
      <c r="G1088" t="e">
        <f t="shared" si="165"/>
        <v>#N/A</v>
      </c>
      <c r="H1088" t="e">
        <f t="shared" si="166"/>
        <v>#N/A</v>
      </c>
      <c r="I1088" t="e">
        <f t="shared" si="167"/>
        <v>#N/A</v>
      </c>
      <c r="J1088">
        <f t="shared" si="168"/>
        <v>1.3973137419046877E-4</v>
      </c>
      <c r="K1088">
        <f t="shared" si="169"/>
        <v>3.3973137419046878E-4</v>
      </c>
      <c r="L1088" t="e">
        <f>IF(AND(ABS((ChartCalculations!A1088-Calculations!$F$3)/Calculations!$F$4)&lt;5,OR(A1088&lt;=Calculations!$F$7,A1088&gt;=Calculations!$F$8)),0.2*_xlfn.NORM.DIST(100,100,15,FALSE)*_xlfn.NORM.DIST(A1088,Calculations!$F$3,Calculations!$F$4,FALSE)/_xlfn.NORM.DIST(Calculations!$F$3,Calculations!$F$3,Calculations!$F$4,FALSE),NA())</f>
        <v>#N/A</v>
      </c>
      <c r="M1088" t="e">
        <f>IF(AND(A1088&gt;=Calculations!$F$7,A1088&lt;=Calculations!$F$8),0.2*_xlfn.NORM.DIST(100,100,15,FALSE)*_xlfn.NORM.DIST(A1088,Calculations!$F$3,Calculations!$F$4,FALSE)/_xlfn.NORM.DIST(Calculations!$F$3,Calculations!$F$3,Calculations!$F$4,FALSE),NA())</f>
        <v>#N/A</v>
      </c>
    </row>
    <row r="1089" spans="1:13" x14ac:dyDescent="0.25">
      <c r="A1089">
        <v>148.70000000000201</v>
      </c>
      <c r="B1089" t="e">
        <f t="shared" si="160"/>
        <v>#N/A</v>
      </c>
      <c r="C1089" t="e">
        <f t="shared" si="161"/>
        <v>#N/A</v>
      </c>
      <c r="D1089" t="e">
        <f t="shared" si="162"/>
        <v>#N/A</v>
      </c>
      <c r="E1089" t="e">
        <f t="shared" si="163"/>
        <v>#N/A</v>
      </c>
      <c r="F1089" t="e">
        <f t="shared" si="164"/>
        <v>#N/A</v>
      </c>
      <c r="G1089" t="e">
        <f t="shared" si="165"/>
        <v>#N/A</v>
      </c>
      <c r="H1089" t="e">
        <f t="shared" si="166"/>
        <v>#N/A</v>
      </c>
      <c r="I1089" t="e">
        <f t="shared" si="167"/>
        <v>#N/A</v>
      </c>
      <c r="J1089">
        <f t="shared" si="168"/>
        <v>1.367425008537671E-4</v>
      </c>
      <c r="K1089">
        <f t="shared" si="169"/>
        <v>3.3674250085376711E-4</v>
      </c>
      <c r="L1089" t="e">
        <f>IF(AND(ABS((ChartCalculations!A1089-Calculations!$F$3)/Calculations!$F$4)&lt;5,OR(A1089&lt;=Calculations!$F$7,A1089&gt;=Calculations!$F$8)),0.2*_xlfn.NORM.DIST(100,100,15,FALSE)*_xlfn.NORM.DIST(A1089,Calculations!$F$3,Calculations!$F$4,FALSE)/_xlfn.NORM.DIST(Calculations!$F$3,Calculations!$F$3,Calculations!$F$4,FALSE),NA())</f>
        <v>#N/A</v>
      </c>
      <c r="M1089" t="e">
        <f>IF(AND(A1089&gt;=Calculations!$F$7,A1089&lt;=Calculations!$F$8),0.2*_xlfn.NORM.DIST(100,100,15,FALSE)*_xlfn.NORM.DIST(A1089,Calculations!$F$3,Calculations!$F$4,FALSE)/_xlfn.NORM.DIST(Calculations!$F$3,Calculations!$F$3,Calculations!$F$4,FALSE),NA())</f>
        <v>#N/A</v>
      </c>
    </row>
    <row r="1090" spans="1:13" x14ac:dyDescent="0.25">
      <c r="A1090">
        <v>148.800000000002</v>
      </c>
      <c r="B1090" t="e">
        <f t="shared" si="160"/>
        <v>#N/A</v>
      </c>
      <c r="C1090" t="e">
        <f t="shared" si="161"/>
        <v>#N/A</v>
      </c>
      <c r="D1090" t="e">
        <f t="shared" si="162"/>
        <v>#N/A</v>
      </c>
      <c r="E1090" t="e">
        <f t="shared" si="163"/>
        <v>#N/A</v>
      </c>
      <c r="F1090" t="e">
        <f t="shared" si="164"/>
        <v>#N/A</v>
      </c>
      <c r="G1090" t="e">
        <f t="shared" si="165"/>
        <v>#N/A</v>
      </c>
      <c r="H1090" t="e">
        <f t="shared" si="166"/>
        <v>#N/A</v>
      </c>
      <c r="I1090" t="e">
        <f t="shared" si="167"/>
        <v>#N/A</v>
      </c>
      <c r="J1090">
        <f t="shared" si="168"/>
        <v>1.3381161261439837E-4</v>
      </c>
      <c r="K1090">
        <f t="shared" si="169"/>
        <v>3.3381161261439838E-4</v>
      </c>
      <c r="L1090" t="e">
        <f>IF(AND(ABS((ChartCalculations!A1090-Calculations!$F$3)/Calculations!$F$4)&lt;5,OR(A1090&lt;=Calculations!$F$7,A1090&gt;=Calculations!$F$8)),0.2*_xlfn.NORM.DIST(100,100,15,FALSE)*_xlfn.NORM.DIST(A1090,Calculations!$F$3,Calculations!$F$4,FALSE)/_xlfn.NORM.DIST(Calculations!$F$3,Calculations!$F$3,Calculations!$F$4,FALSE),NA())</f>
        <v>#N/A</v>
      </c>
      <c r="M1090" t="e">
        <f>IF(AND(A1090&gt;=Calculations!$F$7,A1090&lt;=Calculations!$F$8),0.2*_xlfn.NORM.DIST(100,100,15,FALSE)*_xlfn.NORM.DIST(A1090,Calculations!$F$3,Calculations!$F$4,FALSE)/_xlfn.NORM.DIST(Calculations!$F$3,Calculations!$F$3,Calculations!$F$4,FALSE),NA())</f>
        <v>#N/A</v>
      </c>
    </row>
    <row r="1091" spans="1:13" x14ac:dyDescent="0.25">
      <c r="A1091">
        <v>148.900000000002</v>
      </c>
      <c r="B1091" t="e">
        <f t="shared" ref="B1091:B1154" si="170">IF($A1091&lt;=60,_xlfn.NORM.DIST($A1091,100,15,FALSE),NA())</f>
        <v>#N/A</v>
      </c>
      <c r="C1091" t="e">
        <f t="shared" ref="C1091:C1154" si="171">IF(AND($A1091&gt;=60,$A1091&lt;=70),_xlfn.NORM.DIST($A1091,100,15,FALSE),NA())</f>
        <v>#N/A</v>
      </c>
      <c r="D1091" t="e">
        <f t="shared" ref="D1091:D1154" si="172">IF(AND($A1091&gt;=70,$A1091&lt;=80),_xlfn.NORM.DIST($A1091,100,15,FALSE),NA())</f>
        <v>#N/A</v>
      </c>
      <c r="E1091" t="e">
        <f t="shared" ref="E1091:E1154" si="173">IF(AND($A1091&gt;=80,$A1091&lt;=90),_xlfn.NORM.DIST($A1091,100,15,FALSE),NA())</f>
        <v>#N/A</v>
      </c>
      <c r="F1091" t="e">
        <f t="shared" ref="F1091:F1154" si="174">IF(AND($A1091&gt;=90,$A1091&lt;=110),_xlfn.NORM.DIST($A1091,100,15,FALSE),NA())</f>
        <v>#N/A</v>
      </c>
      <c r="G1091" t="e">
        <f t="shared" ref="G1091:G1154" si="175">IF(AND($A1091&gt;=110,$A1091&lt;=120),_xlfn.NORM.DIST($A1091,100,15,FALSE),NA())</f>
        <v>#N/A</v>
      </c>
      <c r="H1091" t="e">
        <f t="shared" ref="H1091:H1154" si="176">IF(AND($A1091&gt;=120,$A1091&lt;=130),_xlfn.NORM.DIST($A1091,100,15,FALSE),NA())</f>
        <v>#N/A</v>
      </c>
      <c r="I1091" t="e">
        <f t="shared" ref="I1091:I1154" si="177">IF(AND($A1091&gt;=130,$A1091&lt;=140),_xlfn.NORM.DIST($A1091,100,15,FALSE),NA())</f>
        <v>#N/A</v>
      </c>
      <c r="J1091">
        <f t="shared" ref="J1091:J1154" si="178">IF($A1091&gt;=140,_xlfn.NORM.DIST($A1091,100,15,FALSE),NA())</f>
        <v>1.309377243669015E-4</v>
      </c>
      <c r="K1091">
        <f t="shared" ref="K1091:K1154" si="179">_xlfn.NORM.DIST($A1091,100,15,FALSE)+0.0002</f>
        <v>3.3093772436690154E-4</v>
      </c>
      <c r="L1091" t="e">
        <f>IF(AND(ABS((ChartCalculations!A1091-Calculations!$F$3)/Calculations!$F$4)&lt;5,OR(A1091&lt;=Calculations!$F$7,A1091&gt;=Calculations!$F$8)),0.2*_xlfn.NORM.DIST(100,100,15,FALSE)*_xlfn.NORM.DIST(A1091,Calculations!$F$3,Calculations!$F$4,FALSE)/_xlfn.NORM.DIST(Calculations!$F$3,Calculations!$F$3,Calculations!$F$4,FALSE),NA())</f>
        <v>#N/A</v>
      </c>
      <c r="M1091" t="e">
        <f>IF(AND(A1091&gt;=Calculations!$F$7,A1091&lt;=Calculations!$F$8),0.2*_xlfn.NORM.DIST(100,100,15,FALSE)*_xlfn.NORM.DIST(A1091,Calculations!$F$3,Calculations!$F$4,FALSE)/_xlfn.NORM.DIST(Calculations!$F$3,Calculations!$F$3,Calculations!$F$4,FALSE),NA())</f>
        <v>#N/A</v>
      </c>
    </row>
    <row r="1092" spans="1:13" x14ac:dyDescent="0.25">
      <c r="A1092">
        <v>149.00000000000199</v>
      </c>
      <c r="B1092" t="e">
        <f t="shared" si="170"/>
        <v>#N/A</v>
      </c>
      <c r="C1092" t="e">
        <f t="shared" si="171"/>
        <v>#N/A</v>
      </c>
      <c r="D1092" t="e">
        <f t="shared" si="172"/>
        <v>#N/A</v>
      </c>
      <c r="E1092" t="e">
        <f t="shared" si="173"/>
        <v>#N/A</v>
      </c>
      <c r="F1092" t="e">
        <f t="shared" si="174"/>
        <v>#N/A</v>
      </c>
      <c r="G1092" t="e">
        <f t="shared" si="175"/>
        <v>#N/A</v>
      </c>
      <c r="H1092" t="e">
        <f t="shared" si="176"/>
        <v>#N/A</v>
      </c>
      <c r="I1092" t="e">
        <f t="shared" si="177"/>
        <v>#N/A</v>
      </c>
      <c r="J1092">
        <f t="shared" si="178"/>
        <v>1.2811986462341174E-4</v>
      </c>
      <c r="K1092">
        <f t="shared" si="179"/>
        <v>3.2811986462341175E-4</v>
      </c>
      <c r="L1092" t="e">
        <f>IF(AND(ABS((ChartCalculations!A1092-Calculations!$F$3)/Calculations!$F$4)&lt;5,OR(A1092&lt;=Calculations!$F$7,A1092&gt;=Calculations!$F$8)),0.2*_xlfn.NORM.DIST(100,100,15,FALSE)*_xlfn.NORM.DIST(A1092,Calculations!$F$3,Calculations!$F$4,FALSE)/_xlfn.NORM.DIST(Calculations!$F$3,Calculations!$F$3,Calculations!$F$4,FALSE),NA())</f>
        <v>#N/A</v>
      </c>
      <c r="M1092" t="e">
        <f>IF(AND(A1092&gt;=Calculations!$F$7,A1092&lt;=Calculations!$F$8),0.2*_xlfn.NORM.DIST(100,100,15,FALSE)*_xlfn.NORM.DIST(A1092,Calculations!$F$3,Calculations!$F$4,FALSE)/_xlfn.NORM.DIST(Calculations!$F$3,Calculations!$F$3,Calculations!$F$4,FALSE),NA())</f>
        <v>#N/A</v>
      </c>
    </row>
    <row r="1093" spans="1:13" x14ac:dyDescent="0.25">
      <c r="A1093">
        <v>149.10000000000201</v>
      </c>
      <c r="B1093" t="e">
        <f t="shared" si="170"/>
        <v>#N/A</v>
      </c>
      <c r="C1093" t="e">
        <f t="shared" si="171"/>
        <v>#N/A</v>
      </c>
      <c r="D1093" t="e">
        <f t="shared" si="172"/>
        <v>#N/A</v>
      </c>
      <c r="E1093" t="e">
        <f t="shared" si="173"/>
        <v>#N/A</v>
      </c>
      <c r="F1093" t="e">
        <f t="shared" si="174"/>
        <v>#N/A</v>
      </c>
      <c r="G1093" t="e">
        <f t="shared" si="175"/>
        <v>#N/A</v>
      </c>
      <c r="H1093" t="e">
        <f t="shared" si="176"/>
        <v>#N/A</v>
      </c>
      <c r="I1093" t="e">
        <f t="shared" si="177"/>
        <v>#N/A</v>
      </c>
      <c r="J1093">
        <f t="shared" si="178"/>
        <v>1.2535707539203879E-4</v>
      </c>
      <c r="K1093">
        <f t="shared" si="179"/>
        <v>3.2535707539203883E-4</v>
      </c>
      <c r="L1093" t="e">
        <f>IF(AND(ABS((ChartCalculations!A1093-Calculations!$F$3)/Calculations!$F$4)&lt;5,OR(A1093&lt;=Calculations!$F$7,A1093&gt;=Calculations!$F$8)),0.2*_xlfn.NORM.DIST(100,100,15,FALSE)*_xlfn.NORM.DIST(A1093,Calculations!$F$3,Calculations!$F$4,FALSE)/_xlfn.NORM.DIST(Calculations!$F$3,Calculations!$F$3,Calculations!$F$4,FALSE),NA())</f>
        <v>#N/A</v>
      </c>
      <c r="M1093" t="e">
        <f>IF(AND(A1093&gt;=Calculations!$F$7,A1093&lt;=Calculations!$F$8),0.2*_xlfn.NORM.DIST(100,100,15,FALSE)*_xlfn.NORM.DIST(A1093,Calculations!$F$3,Calculations!$F$4,FALSE)/_xlfn.NORM.DIST(Calculations!$F$3,Calculations!$F$3,Calculations!$F$4,FALSE),NA())</f>
        <v>#N/A</v>
      </c>
    </row>
    <row r="1094" spans="1:13" x14ac:dyDescent="0.25">
      <c r="A1094">
        <v>149.20000000000201</v>
      </c>
      <c r="B1094" t="e">
        <f t="shared" si="170"/>
        <v>#N/A</v>
      </c>
      <c r="C1094" t="e">
        <f t="shared" si="171"/>
        <v>#N/A</v>
      </c>
      <c r="D1094" t="e">
        <f t="shared" si="172"/>
        <v>#N/A</v>
      </c>
      <c r="E1094" t="e">
        <f t="shared" si="173"/>
        <v>#N/A</v>
      </c>
      <c r="F1094" t="e">
        <f t="shared" si="174"/>
        <v>#N/A</v>
      </c>
      <c r="G1094" t="e">
        <f t="shared" si="175"/>
        <v>#N/A</v>
      </c>
      <c r="H1094" t="e">
        <f t="shared" si="176"/>
        <v>#N/A</v>
      </c>
      <c r="I1094" t="e">
        <f t="shared" si="177"/>
        <v>#N/A</v>
      </c>
      <c r="J1094">
        <f t="shared" si="178"/>
        <v>1.2264841205489804E-4</v>
      </c>
      <c r="K1094">
        <f t="shared" si="179"/>
        <v>3.2264841205489805E-4</v>
      </c>
      <c r="L1094" t="e">
        <f>IF(AND(ABS((ChartCalculations!A1094-Calculations!$F$3)/Calculations!$F$4)&lt;5,OR(A1094&lt;=Calculations!$F$7,A1094&gt;=Calculations!$F$8)),0.2*_xlfn.NORM.DIST(100,100,15,FALSE)*_xlfn.NORM.DIST(A1094,Calculations!$F$3,Calculations!$F$4,FALSE)/_xlfn.NORM.DIST(Calculations!$F$3,Calculations!$F$3,Calculations!$F$4,FALSE),NA())</f>
        <v>#N/A</v>
      </c>
      <c r="M1094" t="e">
        <f>IF(AND(A1094&gt;=Calculations!$F$7,A1094&lt;=Calculations!$F$8),0.2*_xlfn.NORM.DIST(100,100,15,FALSE)*_xlfn.NORM.DIST(A1094,Calculations!$F$3,Calculations!$F$4,FALSE)/_xlfn.NORM.DIST(Calculations!$F$3,Calculations!$F$3,Calculations!$F$4,FALSE),NA())</f>
        <v>#N/A</v>
      </c>
    </row>
    <row r="1095" spans="1:13" x14ac:dyDescent="0.25">
      <c r="A1095">
        <v>149.300000000002</v>
      </c>
      <c r="B1095" t="e">
        <f t="shared" si="170"/>
        <v>#N/A</v>
      </c>
      <c r="C1095" t="e">
        <f t="shared" si="171"/>
        <v>#N/A</v>
      </c>
      <c r="D1095" t="e">
        <f t="shared" si="172"/>
        <v>#N/A</v>
      </c>
      <c r="E1095" t="e">
        <f t="shared" si="173"/>
        <v>#N/A</v>
      </c>
      <c r="F1095" t="e">
        <f t="shared" si="174"/>
        <v>#N/A</v>
      </c>
      <c r="G1095" t="e">
        <f t="shared" si="175"/>
        <v>#N/A</v>
      </c>
      <c r="H1095" t="e">
        <f t="shared" si="176"/>
        <v>#N/A</v>
      </c>
      <c r="I1095" t="e">
        <f t="shared" si="177"/>
        <v>#N/A</v>
      </c>
      <c r="J1095">
        <f t="shared" si="178"/>
        <v>1.199929432458212E-4</v>
      </c>
      <c r="K1095">
        <f t="shared" si="179"/>
        <v>3.1999294324582119E-4</v>
      </c>
      <c r="L1095" t="e">
        <f>IF(AND(ABS((ChartCalculations!A1095-Calculations!$F$3)/Calculations!$F$4)&lt;5,OR(A1095&lt;=Calculations!$F$7,A1095&gt;=Calculations!$F$8)),0.2*_xlfn.NORM.DIST(100,100,15,FALSE)*_xlfn.NORM.DIST(A1095,Calculations!$F$3,Calculations!$F$4,FALSE)/_xlfn.NORM.DIST(Calculations!$F$3,Calculations!$F$3,Calculations!$F$4,FALSE),NA())</f>
        <v>#N/A</v>
      </c>
      <c r="M1095" t="e">
        <f>IF(AND(A1095&gt;=Calculations!$F$7,A1095&lt;=Calculations!$F$8),0.2*_xlfn.NORM.DIST(100,100,15,FALSE)*_xlfn.NORM.DIST(A1095,Calculations!$F$3,Calculations!$F$4,FALSE)/_xlfn.NORM.DIST(Calculations!$F$3,Calculations!$F$3,Calculations!$F$4,FALSE),NA())</f>
        <v>#N/A</v>
      </c>
    </row>
    <row r="1096" spans="1:13" x14ac:dyDescent="0.25">
      <c r="A1096">
        <v>149.400000000002</v>
      </c>
      <c r="B1096" t="e">
        <f t="shared" si="170"/>
        <v>#N/A</v>
      </c>
      <c r="C1096" t="e">
        <f t="shared" si="171"/>
        <v>#N/A</v>
      </c>
      <c r="D1096" t="e">
        <f t="shared" si="172"/>
        <v>#N/A</v>
      </c>
      <c r="E1096" t="e">
        <f t="shared" si="173"/>
        <v>#N/A</v>
      </c>
      <c r="F1096" t="e">
        <f t="shared" si="174"/>
        <v>#N/A</v>
      </c>
      <c r="G1096" t="e">
        <f t="shared" si="175"/>
        <v>#N/A</v>
      </c>
      <c r="H1096" t="e">
        <f t="shared" si="176"/>
        <v>#N/A</v>
      </c>
      <c r="I1096" t="e">
        <f t="shared" si="177"/>
        <v>#N/A</v>
      </c>
      <c r="J1096">
        <f t="shared" si="178"/>
        <v>1.1738975072780007E-4</v>
      </c>
      <c r="K1096">
        <f t="shared" si="179"/>
        <v>3.1738975072780008E-4</v>
      </c>
      <c r="L1096" t="e">
        <f>IF(AND(ABS((ChartCalculations!A1096-Calculations!$F$3)/Calculations!$F$4)&lt;5,OR(A1096&lt;=Calculations!$F$7,A1096&gt;=Calculations!$F$8)),0.2*_xlfn.NORM.DIST(100,100,15,FALSE)*_xlfn.NORM.DIST(A1096,Calculations!$F$3,Calculations!$F$4,FALSE)/_xlfn.NORM.DIST(Calculations!$F$3,Calculations!$F$3,Calculations!$F$4,FALSE),NA())</f>
        <v>#N/A</v>
      </c>
      <c r="M1096" t="e">
        <f>IF(AND(A1096&gt;=Calculations!$F$7,A1096&lt;=Calculations!$F$8),0.2*_xlfn.NORM.DIST(100,100,15,FALSE)*_xlfn.NORM.DIST(A1096,Calculations!$F$3,Calculations!$F$4,FALSE)/_xlfn.NORM.DIST(Calculations!$F$3,Calculations!$F$3,Calculations!$F$4,FALSE),NA())</f>
        <v>#N/A</v>
      </c>
    </row>
    <row r="1097" spans="1:13" x14ac:dyDescent="0.25">
      <c r="A1097">
        <v>149.50000000000199</v>
      </c>
      <c r="B1097" t="e">
        <f t="shared" si="170"/>
        <v>#N/A</v>
      </c>
      <c r="C1097" t="e">
        <f t="shared" si="171"/>
        <v>#N/A</v>
      </c>
      <c r="D1097" t="e">
        <f t="shared" si="172"/>
        <v>#N/A</v>
      </c>
      <c r="E1097" t="e">
        <f t="shared" si="173"/>
        <v>#N/A</v>
      </c>
      <c r="F1097" t="e">
        <f t="shared" si="174"/>
        <v>#N/A</v>
      </c>
      <c r="G1097" t="e">
        <f t="shared" si="175"/>
        <v>#N/A</v>
      </c>
      <c r="H1097" t="e">
        <f t="shared" si="176"/>
        <v>#N/A</v>
      </c>
      <c r="I1097" t="e">
        <f t="shared" si="177"/>
        <v>#N/A</v>
      </c>
      <c r="J1097">
        <f t="shared" si="178"/>
        <v>1.1483792927019515E-4</v>
      </c>
      <c r="K1097">
        <f t="shared" si="179"/>
        <v>3.1483792927019518E-4</v>
      </c>
      <c r="L1097" t="e">
        <f>IF(AND(ABS((ChartCalculations!A1097-Calculations!$F$3)/Calculations!$F$4)&lt;5,OR(A1097&lt;=Calculations!$F$7,A1097&gt;=Calculations!$F$8)),0.2*_xlfn.NORM.DIST(100,100,15,FALSE)*_xlfn.NORM.DIST(A1097,Calculations!$F$3,Calculations!$F$4,FALSE)/_xlfn.NORM.DIST(Calculations!$F$3,Calculations!$F$3,Calculations!$F$4,FALSE),NA())</f>
        <v>#N/A</v>
      </c>
      <c r="M1097" t="e">
        <f>IF(AND(A1097&gt;=Calculations!$F$7,A1097&lt;=Calculations!$F$8),0.2*_xlfn.NORM.DIST(100,100,15,FALSE)*_xlfn.NORM.DIST(A1097,Calculations!$F$3,Calculations!$F$4,FALSE)/_xlfn.NORM.DIST(Calculations!$F$3,Calculations!$F$3,Calculations!$F$4,FALSE),NA())</f>
        <v>#N/A</v>
      </c>
    </row>
    <row r="1098" spans="1:13" x14ac:dyDescent="0.25">
      <c r="A1098">
        <v>149.60000000000201</v>
      </c>
      <c r="B1098" t="e">
        <f t="shared" si="170"/>
        <v>#N/A</v>
      </c>
      <c r="C1098" t="e">
        <f t="shared" si="171"/>
        <v>#N/A</v>
      </c>
      <c r="D1098" t="e">
        <f t="shared" si="172"/>
        <v>#N/A</v>
      </c>
      <c r="E1098" t="e">
        <f t="shared" si="173"/>
        <v>#N/A</v>
      </c>
      <c r="F1098" t="e">
        <f t="shared" si="174"/>
        <v>#N/A</v>
      </c>
      <c r="G1098" t="e">
        <f t="shared" si="175"/>
        <v>#N/A</v>
      </c>
      <c r="H1098" t="e">
        <f t="shared" si="176"/>
        <v>#N/A</v>
      </c>
      <c r="I1098" t="e">
        <f t="shared" si="177"/>
        <v>#N/A</v>
      </c>
      <c r="J1098">
        <f t="shared" si="178"/>
        <v>1.1233658652574219E-4</v>
      </c>
      <c r="K1098">
        <f t="shared" si="179"/>
        <v>3.1233658652574223E-4</v>
      </c>
      <c r="L1098" t="e">
        <f>IF(AND(ABS((ChartCalculations!A1098-Calculations!$F$3)/Calculations!$F$4)&lt;5,OR(A1098&lt;=Calculations!$F$7,A1098&gt;=Calculations!$F$8)),0.2*_xlfn.NORM.DIST(100,100,15,FALSE)*_xlfn.NORM.DIST(A1098,Calculations!$F$3,Calculations!$F$4,FALSE)/_xlfn.NORM.DIST(Calculations!$F$3,Calculations!$F$3,Calculations!$F$4,FALSE),NA())</f>
        <v>#N/A</v>
      </c>
      <c r="M1098" t="e">
        <f>IF(AND(A1098&gt;=Calculations!$F$7,A1098&lt;=Calculations!$F$8),0.2*_xlfn.NORM.DIST(100,100,15,FALSE)*_xlfn.NORM.DIST(A1098,Calculations!$F$3,Calculations!$F$4,FALSE)/_xlfn.NORM.DIST(Calculations!$F$3,Calculations!$F$3,Calculations!$F$4,FALSE),NA())</f>
        <v>#N/A</v>
      </c>
    </row>
    <row r="1099" spans="1:13" x14ac:dyDescent="0.25">
      <c r="A1099">
        <v>149.70000000000201</v>
      </c>
      <c r="B1099" t="e">
        <f t="shared" si="170"/>
        <v>#N/A</v>
      </c>
      <c r="C1099" t="e">
        <f t="shared" si="171"/>
        <v>#N/A</v>
      </c>
      <c r="D1099" t="e">
        <f t="shared" si="172"/>
        <v>#N/A</v>
      </c>
      <c r="E1099" t="e">
        <f t="shared" si="173"/>
        <v>#N/A</v>
      </c>
      <c r="F1099" t="e">
        <f t="shared" si="174"/>
        <v>#N/A</v>
      </c>
      <c r="G1099" t="e">
        <f t="shared" si="175"/>
        <v>#N/A</v>
      </c>
      <c r="H1099" t="e">
        <f t="shared" si="176"/>
        <v>#N/A</v>
      </c>
      <c r="I1099" t="e">
        <f t="shared" si="177"/>
        <v>#N/A</v>
      </c>
      <c r="J1099">
        <f t="shared" si="178"/>
        <v>1.0988484290740477E-4</v>
      </c>
      <c r="K1099">
        <f t="shared" si="179"/>
        <v>3.0988484290740475E-4</v>
      </c>
      <c r="L1099" t="e">
        <f>IF(AND(ABS((ChartCalculations!A1099-Calculations!$F$3)/Calculations!$F$4)&lt;5,OR(A1099&lt;=Calculations!$F$7,A1099&gt;=Calculations!$F$8)),0.2*_xlfn.NORM.DIST(100,100,15,FALSE)*_xlfn.NORM.DIST(A1099,Calculations!$F$3,Calculations!$F$4,FALSE)/_xlfn.NORM.DIST(Calculations!$F$3,Calculations!$F$3,Calculations!$F$4,FALSE),NA())</f>
        <v>#N/A</v>
      </c>
      <c r="M1099" t="e">
        <f>IF(AND(A1099&gt;=Calculations!$F$7,A1099&lt;=Calculations!$F$8),0.2*_xlfn.NORM.DIST(100,100,15,FALSE)*_xlfn.NORM.DIST(A1099,Calculations!$F$3,Calculations!$F$4,FALSE)/_xlfn.NORM.DIST(Calculations!$F$3,Calculations!$F$3,Calculations!$F$4,FALSE),NA())</f>
        <v>#N/A</v>
      </c>
    </row>
    <row r="1100" spans="1:13" x14ac:dyDescent="0.25">
      <c r="A1100">
        <v>149.800000000002</v>
      </c>
      <c r="B1100" t="e">
        <f t="shared" si="170"/>
        <v>#N/A</v>
      </c>
      <c r="C1100" t="e">
        <f t="shared" si="171"/>
        <v>#N/A</v>
      </c>
      <c r="D1100" t="e">
        <f t="shared" si="172"/>
        <v>#N/A</v>
      </c>
      <c r="E1100" t="e">
        <f t="shared" si="173"/>
        <v>#N/A</v>
      </c>
      <c r="F1100" t="e">
        <f t="shared" si="174"/>
        <v>#N/A</v>
      </c>
      <c r="G1100" t="e">
        <f t="shared" si="175"/>
        <v>#N/A</v>
      </c>
      <c r="H1100" t="e">
        <f t="shared" si="176"/>
        <v>#N/A</v>
      </c>
      <c r="I1100" t="e">
        <f t="shared" si="177"/>
        <v>#N/A</v>
      </c>
      <c r="J1100">
        <f t="shared" si="178"/>
        <v>1.0748183146509398E-4</v>
      </c>
      <c r="K1100">
        <f t="shared" si="179"/>
        <v>3.0748183146509401E-4</v>
      </c>
      <c r="L1100" t="e">
        <f>IF(AND(ABS((ChartCalculations!A1100-Calculations!$F$3)/Calculations!$F$4)&lt;5,OR(A1100&lt;=Calculations!$F$7,A1100&gt;=Calculations!$F$8)),0.2*_xlfn.NORM.DIST(100,100,15,FALSE)*_xlfn.NORM.DIST(A1100,Calculations!$F$3,Calculations!$F$4,FALSE)/_xlfn.NORM.DIST(Calculations!$F$3,Calculations!$F$3,Calculations!$F$4,FALSE),NA())</f>
        <v>#N/A</v>
      </c>
      <c r="M1100" t="e">
        <f>IF(AND(A1100&gt;=Calculations!$F$7,A1100&lt;=Calculations!$F$8),0.2*_xlfn.NORM.DIST(100,100,15,FALSE)*_xlfn.NORM.DIST(A1100,Calculations!$F$3,Calculations!$F$4,FALSE)/_xlfn.NORM.DIST(Calculations!$F$3,Calculations!$F$3,Calculations!$F$4,FALSE),NA())</f>
        <v>#N/A</v>
      </c>
    </row>
    <row r="1101" spans="1:13" x14ac:dyDescent="0.25">
      <c r="A1101">
        <v>149.900000000002</v>
      </c>
      <c r="B1101" t="e">
        <f t="shared" si="170"/>
        <v>#N/A</v>
      </c>
      <c r="C1101" t="e">
        <f t="shared" si="171"/>
        <v>#N/A</v>
      </c>
      <c r="D1101" t="e">
        <f t="shared" si="172"/>
        <v>#N/A</v>
      </c>
      <c r="E1101" t="e">
        <f t="shared" si="173"/>
        <v>#N/A</v>
      </c>
      <c r="F1101" t="e">
        <f t="shared" si="174"/>
        <v>#N/A</v>
      </c>
      <c r="G1101" t="e">
        <f t="shared" si="175"/>
        <v>#N/A</v>
      </c>
      <c r="H1101" t="e">
        <f t="shared" si="176"/>
        <v>#N/A</v>
      </c>
      <c r="I1101" t="e">
        <f t="shared" si="177"/>
        <v>#N/A</v>
      </c>
      <c r="J1101">
        <f t="shared" si="178"/>
        <v>1.0512669776230472E-4</v>
      </c>
      <c r="K1101">
        <f t="shared" si="179"/>
        <v>3.0512669776230471E-4</v>
      </c>
      <c r="L1101" t="e">
        <f>IF(AND(ABS((ChartCalculations!A1101-Calculations!$F$3)/Calculations!$F$4)&lt;5,OR(A1101&lt;=Calculations!$F$7,A1101&gt;=Calculations!$F$8)),0.2*_xlfn.NORM.DIST(100,100,15,FALSE)*_xlfn.NORM.DIST(A1101,Calculations!$F$3,Calculations!$F$4,FALSE)/_xlfn.NORM.DIST(Calculations!$F$3,Calculations!$F$3,Calculations!$F$4,FALSE),NA())</f>
        <v>#N/A</v>
      </c>
      <c r="M1101" t="e">
        <f>IF(AND(A1101&gt;=Calculations!$F$7,A1101&lt;=Calculations!$F$8),0.2*_xlfn.NORM.DIST(100,100,15,FALSE)*_xlfn.NORM.DIST(A1101,Calculations!$F$3,Calculations!$F$4,FALSE)/_xlfn.NORM.DIST(Calculations!$F$3,Calculations!$F$3,Calculations!$F$4,FALSE),NA())</f>
        <v>#N/A</v>
      </c>
    </row>
    <row r="1102" spans="1:13" x14ac:dyDescent="0.25">
      <c r="A1102">
        <v>150.00000000000199</v>
      </c>
      <c r="B1102" t="e">
        <f t="shared" si="170"/>
        <v>#N/A</v>
      </c>
      <c r="C1102" t="e">
        <f t="shared" si="171"/>
        <v>#N/A</v>
      </c>
      <c r="D1102" t="e">
        <f t="shared" si="172"/>
        <v>#N/A</v>
      </c>
      <c r="E1102" t="e">
        <f t="shared" si="173"/>
        <v>#N/A</v>
      </c>
      <c r="F1102" t="e">
        <f t="shared" si="174"/>
        <v>#N/A</v>
      </c>
      <c r="G1102" t="e">
        <f t="shared" si="175"/>
        <v>#N/A</v>
      </c>
      <c r="H1102" t="e">
        <f t="shared" si="176"/>
        <v>#N/A</v>
      </c>
      <c r="I1102" t="e">
        <f t="shared" si="177"/>
        <v>#N/A</v>
      </c>
      <c r="J1102">
        <f t="shared" si="178"/>
        <v>1.0281859975269506E-4</v>
      </c>
      <c r="K1102">
        <f t="shared" si="179"/>
        <v>3.0281859975269504E-4</v>
      </c>
      <c r="L1102" t="e">
        <f>IF(AND(ABS((ChartCalculations!A1102-Calculations!$F$3)/Calculations!$F$4)&lt;5,OR(A1102&lt;=Calculations!$F$7,A1102&gt;=Calculations!$F$8)),0.2*_xlfn.NORM.DIST(100,100,15,FALSE)*_xlfn.NORM.DIST(A1102,Calculations!$F$3,Calculations!$F$4,FALSE)/_xlfn.NORM.DIST(Calculations!$F$3,Calculations!$F$3,Calculations!$F$4,FALSE),NA())</f>
        <v>#N/A</v>
      </c>
      <c r="M1102" t="e">
        <f>IF(AND(A1102&gt;=Calculations!$F$7,A1102&lt;=Calculations!$F$8),0.2*_xlfn.NORM.DIST(100,100,15,FALSE)*_xlfn.NORM.DIST(A1102,Calculations!$F$3,Calculations!$F$4,FALSE)/_xlfn.NORM.DIST(Calculations!$F$3,Calculations!$F$3,Calculations!$F$4,FALSE),NA())</f>
        <v>#N/A</v>
      </c>
    </row>
    <row r="1103" spans="1:13" x14ac:dyDescent="0.25">
      <c r="A1103">
        <v>150.10000000000201</v>
      </c>
      <c r="B1103" t="e">
        <f t="shared" si="170"/>
        <v>#N/A</v>
      </c>
      <c r="C1103" t="e">
        <f t="shared" si="171"/>
        <v>#N/A</v>
      </c>
      <c r="D1103" t="e">
        <f t="shared" si="172"/>
        <v>#N/A</v>
      </c>
      <c r="E1103" t="e">
        <f t="shared" si="173"/>
        <v>#N/A</v>
      </c>
      <c r="F1103" t="e">
        <f t="shared" si="174"/>
        <v>#N/A</v>
      </c>
      <c r="G1103" t="e">
        <f t="shared" si="175"/>
        <v>#N/A</v>
      </c>
      <c r="H1103" t="e">
        <f t="shared" si="176"/>
        <v>#N/A</v>
      </c>
      <c r="I1103" t="e">
        <f t="shared" si="177"/>
        <v>#N/A</v>
      </c>
      <c r="J1103">
        <f t="shared" si="178"/>
        <v>1.0055670765664214E-4</v>
      </c>
      <c r="K1103">
        <f t="shared" si="179"/>
        <v>3.0055670765664216E-4</v>
      </c>
      <c r="L1103" t="e">
        <f>IF(AND(ABS((ChartCalculations!A1103-Calculations!$F$3)/Calculations!$F$4)&lt;5,OR(A1103&lt;=Calculations!$F$7,A1103&gt;=Calculations!$F$8)),0.2*_xlfn.NORM.DIST(100,100,15,FALSE)*_xlfn.NORM.DIST(A1103,Calculations!$F$3,Calculations!$F$4,FALSE)/_xlfn.NORM.DIST(Calculations!$F$3,Calculations!$F$3,Calculations!$F$4,FALSE),NA())</f>
        <v>#N/A</v>
      </c>
      <c r="M1103" t="e">
        <f>IF(AND(A1103&gt;=Calculations!$F$7,A1103&lt;=Calculations!$F$8),0.2*_xlfn.NORM.DIST(100,100,15,FALSE)*_xlfn.NORM.DIST(A1103,Calculations!$F$3,Calculations!$F$4,FALSE)/_xlfn.NORM.DIST(Calculations!$F$3,Calculations!$F$3,Calculations!$F$4,FALSE),NA())</f>
        <v>#N/A</v>
      </c>
    </row>
    <row r="1104" spans="1:13" x14ac:dyDescent="0.25">
      <c r="A1104">
        <v>150.20000000000201</v>
      </c>
      <c r="B1104" t="e">
        <f t="shared" si="170"/>
        <v>#N/A</v>
      </c>
      <c r="C1104" t="e">
        <f t="shared" si="171"/>
        <v>#N/A</v>
      </c>
      <c r="D1104" t="e">
        <f t="shared" si="172"/>
        <v>#N/A</v>
      </c>
      <c r="E1104" t="e">
        <f t="shared" si="173"/>
        <v>#N/A</v>
      </c>
      <c r="F1104" t="e">
        <f t="shared" si="174"/>
        <v>#N/A</v>
      </c>
      <c r="G1104" t="e">
        <f t="shared" si="175"/>
        <v>#N/A</v>
      </c>
      <c r="H1104" t="e">
        <f t="shared" si="176"/>
        <v>#N/A</v>
      </c>
      <c r="I1104" t="e">
        <f t="shared" si="177"/>
        <v>#N/A</v>
      </c>
      <c r="J1104">
        <f t="shared" si="178"/>
        <v>9.8340203837815601E-5</v>
      </c>
      <c r="K1104">
        <f t="shared" si="179"/>
        <v>2.9834020383781562E-4</v>
      </c>
      <c r="L1104" t="e">
        <f>IF(AND(ABS((ChartCalculations!A1104-Calculations!$F$3)/Calculations!$F$4)&lt;5,OR(A1104&lt;=Calculations!$F$7,A1104&gt;=Calculations!$F$8)),0.2*_xlfn.NORM.DIST(100,100,15,FALSE)*_xlfn.NORM.DIST(A1104,Calculations!$F$3,Calculations!$F$4,FALSE)/_xlfn.NORM.DIST(Calculations!$F$3,Calculations!$F$3,Calculations!$F$4,FALSE),NA())</f>
        <v>#N/A</v>
      </c>
      <c r="M1104" t="e">
        <f>IF(AND(A1104&gt;=Calculations!$F$7,A1104&lt;=Calculations!$F$8),0.2*_xlfn.NORM.DIST(100,100,15,FALSE)*_xlfn.NORM.DIST(A1104,Calculations!$F$3,Calculations!$F$4,FALSE)/_xlfn.NORM.DIST(Calculations!$F$3,Calculations!$F$3,Calculations!$F$4,FALSE),NA())</f>
        <v>#N/A</v>
      </c>
    </row>
    <row r="1105" spans="1:13" x14ac:dyDescent="0.25">
      <c r="A1105">
        <v>150.300000000002</v>
      </c>
      <c r="B1105" t="e">
        <f t="shared" si="170"/>
        <v>#N/A</v>
      </c>
      <c r="C1105" t="e">
        <f t="shared" si="171"/>
        <v>#N/A</v>
      </c>
      <c r="D1105" t="e">
        <f t="shared" si="172"/>
        <v>#N/A</v>
      </c>
      <c r="E1105" t="e">
        <f t="shared" si="173"/>
        <v>#N/A</v>
      </c>
      <c r="F1105" t="e">
        <f t="shared" si="174"/>
        <v>#N/A</v>
      </c>
      <c r="G1105" t="e">
        <f t="shared" si="175"/>
        <v>#N/A</v>
      </c>
      <c r="H1105" t="e">
        <f t="shared" si="176"/>
        <v>#N/A</v>
      </c>
      <c r="I1105" t="e">
        <f t="shared" si="177"/>
        <v>#N/A</v>
      </c>
      <c r="J1105">
        <f t="shared" si="178"/>
        <v>9.6168282679785929E-5</v>
      </c>
      <c r="K1105">
        <f t="shared" si="179"/>
        <v>2.9616828267978591E-4</v>
      </c>
      <c r="L1105" t="e">
        <f>IF(AND(ABS((ChartCalculations!A1105-Calculations!$F$3)/Calculations!$F$4)&lt;5,OR(A1105&lt;=Calculations!$F$7,A1105&gt;=Calculations!$F$8)),0.2*_xlfn.NORM.DIST(100,100,15,FALSE)*_xlfn.NORM.DIST(A1105,Calculations!$F$3,Calculations!$F$4,FALSE)/_xlfn.NORM.DIST(Calculations!$F$3,Calculations!$F$3,Calculations!$F$4,FALSE),NA())</f>
        <v>#N/A</v>
      </c>
      <c r="M1105" t="e">
        <f>IF(AND(A1105&gt;=Calculations!$F$7,A1105&lt;=Calculations!$F$8),0.2*_xlfn.NORM.DIST(100,100,15,FALSE)*_xlfn.NORM.DIST(A1105,Calculations!$F$3,Calculations!$F$4,FALSE)/_xlfn.NORM.DIST(Calculations!$F$3,Calculations!$F$3,Calculations!$F$4,FALSE),NA())</f>
        <v>#N/A</v>
      </c>
    </row>
    <row r="1106" spans="1:13" x14ac:dyDescent="0.25">
      <c r="A1106">
        <v>150.400000000002</v>
      </c>
      <c r="B1106" t="e">
        <f t="shared" si="170"/>
        <v>#N/A</v>
      </c>
      <c r="C1106" t="e">
        <f t="shared" si="171"/>
        <v>#N/A</v>
      </c>
      <c r="D1106" t="e">
        <f t="shared" si="172"/>
        <v>#N/A</v>
      </c>
      <c r="E1106" t="e">
        <f t="shared" si="173"/>
        <v>#N/A</v>
      </c>
      <c r="F1106" t="e">
        <f t="shared" si="174"/>
        <v>#N/A</v>
      </c>
      <c r="G1106" t="e">
        <f t="shared" si="175"/>
        <v>#N/A</v>
      </c>
      <c r="H1106" t="e">
        <f t="shared" si="176"/>
        <v>#N/A</v>
      </c>
      <c r="I1106" t="e">
        <f t="shared" si="177"/>
        <v>#N/A</v>
      </c>
      <c r="J1106">
        <f t="shared" si="178"/>
        <v>9.4040150462716899E-5</v>
      </c>
      <c r="K1106">
        <f t="shared" si="179"/>
        <v>2.9404015046271691E-4</v>
      </c>
      <c r="L1106" t="e">
        <f>IF(AND(ABS((ChartCalculations!A1106-Calculations!$F$3)/Calculations!$F$4)&lt;5,OR(A1106&lt;=Calculations!$F$7,A1106&gt;=Calculations!$F$8)),0.2*_xlfn.NORM.DIST(100,100,15,FALSE)*_xlfn.NORM.DIST(A1106,Calculations!$F$3,Calculations!$F$4,FALSE)/_xlfn.NORM.DIST(Calculations!$F$3,Calculations!$F$3,Calculations!$F$4,FALSE),NA())</f>
        <v>#N/A</v>
      </c>
      <c r="M1106" t="e">
        <f>IF(AND(A1106&gt;=Calculations!$F$7,A1106&lt;=Calculations!$F$8),0.2*_xlfn.NORM.DIST(100,100,15,FALSE)*_xlfn.NORM.DIST(A1106,Calculations!$F$3,Calculations!$F$4,FALSE)/_xlfn.NORM.DIST(Calculations!$F$3,Calculations!$F$3,Calculations!$F$4,FALSE),NA())</f>
        <v>#N/A</v>
      </c>
    </row>
    <row r="1107" spans="1:13" x14ac:dyDescent="0.25">
      <c r="A1107">
        <v>150.50000000000199</v>
      </c>
      <c r="B1107" t="e">
        <f t="shared" si="170"/>
        <v>#N/A</v>
      </c>
      <c r="C1107" t="e">
        <f t="shared" si="171"/>
        <v>#N/A</v>
      </c>
      <c r="D1107" t="e">
        <f t="shared" si="172"/>
        <v>#N/A</v>
      </c>
      <c r="E1107" t="e">
        <f t="shared" si="173"/>
        <v>#N/A</v>
      </c>
      <c r="F1107" t="e">
        <f t="shared" si="174"/>
        <v>#N/A</v>
      </c>
      <c r="G1107" t="e">
        <f t="shared" si="175"/>
        <v>#N/A</v>
      </c>
      <c r="H1107" t="e">
        <f t="shared" si="176"/>
        <v>#N/A</v>
      </c>
      <c r="I1107" t="e">
        <f t="shared" si="177"/>
        <v>#N/A</v>
      </c>
      <c r="J1107">
        <f t="shared" si="178"/>
        <v>9.1955025240159243E-5</v>
      </c>
      <c r="K1107">
        <f t="shared" si="179"/>
        <v>2.9195502524015924E-4</v>
      </c>
      <c r="L1107" t="e">
        <f>IF(AND(ABS((ChartCalculations!A1107-Calculations!$F$3)/Calculations!$F$4)&lt;5,OR(A1107&lt;=Calculations!$F$7,A1107&gt;=Calculations!$F$8)),0.2*_xlfn.NORM.DIST(100,100,15,FALSE)*_xlfn.NORM.DIST(A1107,Calculations!$F$3,Calculations!$F$4,FALSE)/_xlfn.NORM.DIST(Calculations!$F$3,Calculations!$F$3,Calculations!$F$4,FALSE),NA())</f>
        <v>#N/A</v>
      </c>
      <c r="M1107" t="e">
        <f>IF(AND(A1107&gt;=Calculations!$F$7,A1107&lt;=Calculations!$F$8),0.2*_xlfn.NORM.DIST(100,100,15,FALSE)*_xlfn.NORM.DIST(A1107,Calculations!$F$3,Calculations!$F$4,FALSE)/_xlfn.NORM.DIST(Calculations!$F$3,Calculations!$F$3,Calculations!$F$4,FALSE),NA())</f>
        <v>#N/A</v>
      </c>
    </row>
    <row r="1108" spans="1:13" x14ac:dyDescent="0.25">
      <c r="A1108">
        <v>150.60000000000201</v>
      </c>
      <c r="B1108" t="e">
        <f t="shared" si="170"/>
        <v>#N/A</v>
      </c>
      <c r="C1108" t="e">
        <f t="shared" si="171"/>
        <v>#N/A</v>
      </c>
      <c r="D1108" t="e">
        <f t="shared" si="172"/>
        <v>#N/A</v>
      </c>
      <c r="E1108" t="e">
        <f t="shared" si="173"/>
        <v>#N/A</v>
      </c>
      <c r="F1108" t="e">
        <f t="shared" si="174"/>
        <v>#N/A</v>
      </c>
      <c r="G1108" t="e">
        <f t="shared" si="175"/>
        <v>#N/A</v>
      </c>
      <c r="H1108" t="e">
        <f t="shared" si="176"/>
        <v>#N/A</v>
      </c>
      <c r="I1108" t="e">
        <f t="shared" si="177"/>
        <v>#N/A</v>
      </c>
      <c r="J1108">
        <f t="shared" si="178"/>
        <v>8.991213671598287E-5</v>
      </c>
      <c r="K1108">
        <f t="shared" si="179"/>
        <v>2.8991213671598285E-4</v>
      </c>
      <c r="L1108" t="e">
        <f>IF(AND(ABS((ChartCalculations!A1108-Calculations!$F$3)/Calculations!$F$4)&lt;5,OR(A1108&lt;=Calculations!$F$7,A1108&gt;=Calculations!$F$8)),0.2*_xlfn.NORM.DIST(100,100,15,FALSE)*_xlfn.NORM.DIST(A1108,Calculations!$F$3,Calculations!$F$4,FALSE)/_xlfn.NORM.DIST(Calculations!$F$3,Calculations!$F$3,Calculations!$F$4,FALSE),NA())</f>
        <v>#N/A</v>
      </c>
      <c r="M1108" t="e">
        <f>IF(AND(A1108&gt;=Calculations!$F$7,A1108&lt;=Calculations!$F$8),0.2*_xlfn.NORM.DIST(100,100,15,FALSE)*_xlfn.NORM.DIST(A1108,Calculations!$F$3,Calculations!$F$4,FALSE)/_xlfn.NORM.DIST(Calculations!$F$3,Calculations!$F$3,Calculations!$F$4,FALSE),NA())</f>
        <v>#N/A</v>
      </c>
    </row>
    <row r="1109" spans="1:13" x14ac:dyDescent="0.25">
      <c r="A1109">
        <v>150.70000000000201</v>
      </c>
      <c r="B1109" t="e">
        <f t="shared" si="170"/>
        <v>#N/A</v>
      </c>
      <c r="C1109" t="e">
        <f t="shared" si="171"/>
        <v>#N/A</v>
      </c>
      <c r="D1109" t="e">
        <f t="shared" si="172"/>
        <v>#N/A</v>
      </c>
      <c r="E1109" t="e">
        <f t="shared" si="173"/>
        <v>#N/A</v>
      </c>
      <c r="F1109" t="e">
        <f t="shared" si="174"/>
        <v>#N/A</v>
      </c>
      <c r="G1109" t="e">
        <f t="shared" si="175"/>
        <v>#N/A</v>
      </c>
      <c r="H1109" t="e">
        <f t="shared" si="176"/>
        <v>#N/A</v>
      </c>
      <c r="I1109" t="e">
        <f t="shared" si="177"/>
        <v>#N/A</v>
      </c>
      <c r="J1109">
        <f t="shared" si="178"/>
        <v>8.79107261214764E-5</v>
      </c>
      <c r="K1109">
        <f t="shared" si="179"/>
        <v>2.8791072612147642E-4</v>
      </c>
      <c r="L1109" t="e">
        <f>IF(AND(ABS((ChartCalculations!A1109-Calculations!$F$3)/Calculations!$F$4)&lt;5,OR(A1109&lt;=Calculations!$F$7,A1109&gt;=Calculations!$F$8)),0.2*_xlfn.NORM.DIST(100,100,15,FALSE)*_xlfn.NORM.DIST(A1109,Calculations!$F$3,Calculations!$F$4,FALSE)/_xlfn.NORM.DIST(Calculations!$F$3,Calculations!$F$3,Calculations!$F$4,FALSE),NA())</f>
        <v>#N/A</v>
      </c>
      <c r="M1109" t="e">
        <f>IF(AND(A1109&gt;=Calculations!$F$7,A1109&lt;=Calculations!$F$8),0.2*_xlfn.NORM.DIST(100,100,15,FALSE)*_xlfn.NORM.DIST(A1109,Calculations!$F$3,Calculations!$F$4,FALSE)/_xlfn.NORM.DIST(Calculations!$F$3,Calculations!$F$3,Calculations!$F$4,FALSE),NA())</f>
        <v>#N/A</v>
      </c>
    </row>
    <row r="1110" spans="1:13" x14ac:dyDescent="0.25">
      <c r="A1110">
        <v>150.800000000002</v>
      </c>
      <c r="B1110" t="e">
        <f t="shared" si="170"/>
        <v>#N/A</v>
      </c>
      <c r="C1110" t="e">
        <f t="shared" si="171"/>
        <v>#N/A</v>
      </c>
      <c r="D1110" t="e">
        <f t="shared" si="172"/>
        <v>#N/A</v>
      </c>
      <c r="E1110" t="e">
        <f t="shared" si="173"/>
        <v>#N/A</v>
      </c>
      <c r="F1110" t="e">
        <f t="shared" si="174"/>
        <v>#N/A</v>
      </c>
      <c r="G1110" t="e">
        <f t="shared" si="175"/>
        <v>#N/A</v>
      </c>
      <c r="H1110" t="e">
        <f t="shared" si="176"/>
        <v>#N/A</v>
      </c>
      <c r="I1110" t="e">
        <f t="shared" si="177"/>
        <v>#N/A</v>
      </c>
      <c r="J1110">
        <f t="shared" si="178"/>
        <v>8.5950046092635963E-5</v>
      </c>
      <c r="K1110">
        <f t="shared" si="179"/>
        <v>2.8595004609263599E-4</v>
      </c>
      <c r="L1110" t="e">
        <f>IF(AND(ABS((ChartCalculations!A1110-Calculations!$F$3)/Calculations!$F$4)&lt;5,OR(A1110&lt;=Calculations!$F$7,A1110&gt;=Calculations!$F$8)),0.2*_xlfn.NORM.DIST(100,100,15,FALSE)*_xlfn.NORM.DIST(A1110,Calculations!$F$3,Calculations!$F$4,FALSE)/_xlfn.NORM.DIST(Calculations!$F$3,Calculations!$F$3,Calculations!$F$4,FALSE),NA())</f>
        <v>#N/A</v>
      </c>
      <c r="M1110" t="e">
        <f>IF(AND(A1110&gt;=Calculations!$F$7,A1110&lt;=Calculations!$F$8),0.2*_xlfn.NORM.DIST(100,100,15,FALSE)*_xlfn.NORM.DIST(A1110,Calculations!$F$3,Calculations!$F$4,FALSE)/_xlfn.NORM.DIST(Calculations!$F$3,Calculations!$F$3,Calculations!$F$4,FALSE),NA())</f>
        <v>#N/A</v>
      </c>
    </row>
    <row r="1111" spans="1:13" x14ac:dyDescent="0.25">
      <c r="A1111">
        <v>150.900000000002</v>
      </c>
      <c r="B1111" t="e">
        <f t="shared" si="170"/>
        <v>#N/A</v>
      </c>
      <c r="C1111" t="e">
        <f t="shared" si="171"/>
        <v>#N/A</v>
      </c>
      <c r="D1111" t="e">
        <f t="shared" si="172"/>
        <v>#N/A</v>
      </c>
      <c r="E1111" t="e">
        <f t="shared" si="173"/>
        <v>#N/A</v>
      </c>
      <c r="F1111" t="e">
        <f t="shared" si="174"/>
        <v>#N/A</v>
      </c>
      <c r="G1111" t="e">
        <f t="shared" si="175"/>
        <v>#N/A</v>
      </c>
      <c r="H1111" t="e">
        <f t="shared" si="176"/>
        <v>#N/A</v>
      </c>
      <c r="I1111" t="e">
        <f t="shared" si="177"/>
        <v>#N/A</v>
      </c>
      <c r="J1111">
        <f t="shared" si="178"/>
        <v>8.4029360547683551E-5</v>
      </c>
      <c r="K1111">
        <f t="shared" si="179"/>
        <v>2.8402936054768355E-4</v>
      </c>
      <c r="L1111" t="e">
        <f>IF(AND(ABS((ChartCalculations!A1111-Calculations!$F$3)/Calculations!$F$4)&lt;5,OR(A1111&lt;=Calculations!$F$7,A1111&gt;=Calculations!$F$8)),0.2*_xlfn.NORM.DIST(100,100,15,FALSE)*_xlfn.NORM.DIST(A1111,Calculations!$F$3,Calculations!$F$4,FALSE)/_xlfn.NORM.DIST(Calculations!$F$3,Calculations!$F$3,Calculations!$F$4,FALSE),NA())</f>
        <v>#N/A</v>
      </c>
      <c r="M1111" t="e">
        <f>IF(AND(A1111&gt;=Calculations!$F$7,A1111&lt;=Calculations!$F$8),0.2*_xlfn.NORM.DIST(100,100,15,FALSE)*_xlfn.NORM.DIST(A1111,Calculations!$F$3,Calculations!$F$4,FALSE)/_xlfn.NORM.DIST(Calculations!$F$3,Calculations!$F$3,Calculations!$F$4,FALSE),NA())</f>
        <v>#N/A</v>
      </c>
    </row>
    <row r="1112" spans="1:13" x14ac:dyDescent="0.25">
      <c r="A1112">
        <v>151.00000000000199</v>
      </c>
      <c r="B1112" t="e">
        <f t="shared" si="170"/>
        <v>#N/A</v>
      </c>
      <c r="C1112" t="e">
        <f t="shared" si="171"/>
        <v>#N/A</v>
      </c>
      <c r="D1112" t="e">
        <f t="shared" si="172"/>
        <v>#N/A</v>
      </c>
      <c r="E1112" t="e">
        <f t="shared" si="173"/>
        <v>#N/A</v>
      </c>
      <c r="F1112" t="e">
        <f t="shared" si="174"/>
        <v>#N/A</v>
      </c>
      <c r="G1112" t="e">
        <f t="shared" si="175"/>
        <v>#N/A</v>
      </c>
      <c r="H1112" t="e">
        <f t="shared" si="176"/>
        <v>#N/A</v>
      </c>
      <c r="I1112" t="e">
        <f t="shared" si="177"/>
        <v>#N/A</v>
      </c>
      <c r="J1112">
        <f t="shared" si="178"/>
        <v>8.214794456483085E-5</v>
      </c>
      <c r="K1112">
        <f t="shared" si="179"/>
        <v>2.8214794456483087E-4</v>
      </c>
      <c r="L1112" t="e">
        <f>IF(AND(ABS((ChartCalculations!A1112-Calculations!$F$3)/Calculations!$F$4)&lt;5,OR(A1112&lt;=Calculations!$F$7,A1112&gt;=Calculations!$F$8)),0.2*_xlfn.NORM.DIST(100,100,15,FALSE)*_xlfn.NORM.DIST(A1112,Calculations!$F$3,Calculations!$F$4,FALSE)/_xlfn.NORM.DIST(Calculations!$F$3,Calculations!$F$3,Calculations!$F$4,FALSE),NA())</f>
        <v>#N/A</v>
      </c>
      <c r="M1112" t="e">
        <f>IF(AND(A1112&gt;=Calculations!$F$7,A1112&lt;=Calculations!$F$8),0.2*_xlfn.NORM.DIST(100,100,15,FALSE)*_xlfn.NORM.DIST(A1112,Calculations!$F$3,Calculations!$F$4,FALSE)/_xlfn.NORM.DIST(Calculations!$F$3,Calculations!$F$3,Calculations!$F$4,FALSE),NA())</f>
        <v>#N/A</v>
      </c>
    </row>
    <row r="1113" spans="1:13" x14ac:dyDescent="0.25">
      <c r="A1113">
        <v>151.10000000000201</v>
      </c>
      <c r="B1113" t="e">
        <f t="shared" si="170"/>
        <v>#N/A</v>
      </c>
      <c r="C1113" t="e">
        <f t="shared" si="171"/>
        <v>#N/A</v>
      </c>
      <c r="D1113" t="e">
        <f t="shared" si="172"/>
        <v>#N/A</v>
      </c>
      <c r="E1113" t="e">
        <f t="shared" si="173"/>
        <v>#N/A</v>
      </c>
      <c r="F1113" t="e">
        <f t="shared" si="174"/>
        <v>#N/A</v>
      </c>
      <c r="G1113" t="e">
        <f t="shared" si="175"/>
        <v>#N/A</v>
      </c>
      <c r="H1113" t="e">
        <f t="shared" si="176"/>
        <v>#N/A</v>
      </c>
      <c r="I1113" t="e">
        <f t="shared" si="177"/>
        <v>#N/A</v>
      </c>
      <c r="J1113">
        <f t="shared" si="178"/>
        <v>8.0305084260321212E-5</v>
      </c>
      <c r="K1113">
        <f t="shared" si="179"/>
        <v>2.8030508426032122E-4</v>
      </c>
      <c r="L1113" t="e">
        <f>IF(AND(ABS((ChartCalculations!A1113-Calculations!$F$3)/Calculations!$F$4)&lt;5,OR(A1113&lt;=Calculations!$F$7,A1113&gt;=Calculations!$F$8)),0.2*_xlfn.NORM.DIST(100,100,15,FALSE)*_xlfn.NORM.DIST(A1113,Calculations!$F$3,Calculations!$F$4,FALSE)/_xlfn.NORM.DIST(Calculations!$F$3,Calculations!$F$3,Calculations!$F$4,FALSE),NA())</f>
        <v>#N/A</v>
      </c>
      <c r="M1113" t="e">
        <f>IF(AND(A1113&gt;=Calculations!$F$7,A1113&lt;=Calculations!$F$8),0.2*_xlfn.NORM.DIST(100,100,15,FALSE)*_xlfn.NORM.DIST(A1113,Calculations!$F$3,Calculations!$F$4,FALSE)/_xlfn.NORM.DIST(Calculations!$F$3,Calculations!$F$3,Calculations!$F$4,FALSE),NA())</f>
        <v>#N/A</v>
      </c>
    </row>
    <row r="1114" spans="1:13" x14ac:dyDescent="0.25">
      <c r="A1114">
        <v>151.20000000000201</v>
      </c>
      <c r="B1114" t="e">
        <f t="shared" si="170"/>
        <v>#N/A</v>
      </c>
      <c r="C1114" t="e">
        <f t="shared" si="171"/>
        <v>#N/A</v>
      </c>
      <c r="D1114" t="e">
        <f t="shared" si="172"/>
        <v>#N/A</v>
      </c>
      <c r="E1114" t="e">
        <f t="shared" si="173"/>
        <v>#N/A</v>
      </c>
      <c r="F1114" t="e">
        <f t="shared" si="174"/>
        <v>#N/A</v>
      </c>
      <c r="G1114" t="e">
        <f t="shared" si="175"/>
        <v>#N/A</v>
      </c>
      <c r="H1114" t="e">
        <f t="shared" si="176"/>
        <v>#N/A</v>
      </c>
      <c r="I1114" t="e">
        <f t="shared" si="177"/>
        <v>#N/A</v>
      </c>
      <c r="J1114">
        <f t="shared" si="178"/>
        <v>7.8500076666775885E-5</v>
      </c>
      <c r="K1114">
        <f t="shared" si="179"/>
        <v>2.7850007666677589E-4</v>
      </c>
      <c r="L1114" t="e">
        <f>IF(AND(ABS((ChartCalculations!A1114-Calculations!$F$3)/Calculations!$F$4)&lt;5,OR(A1114&lt;=Calculations!$F$7,A1114&gt;=Calculations!$F$8)),0.2*_xlfn.NORM.DIST(100,100,15,FALSE)*_xlfn.NORM.DIST(A1114,Calculations!$F$3,Calculations!$F$4,FALSE)/_xlfn.NORM.DIST(Calculations!$F$3,Calculations!$F$3,Calculations!$F$4,FALSE),NA())</f>
        <v>#N/A</v>
      </c>
      <c r="M1114" t="e">
        <f>IF(AND(A1114&gt;=Calculations!$F$7,A1114&lt;=Calculations!$F$8),0.2*_xlfn.NORM.DIST(100,100,15,FALSE)*_xlfn.NORM.DIST(A1114,Calculations!$F$3,Calculations!$F$4,FALSE)/_xlfn.NORM.DIST(Calculations!$F$3,Calculations!$F$3,Calculations!$F$4,FALSE),NA())</f>
        <v>#N/A</v>
      </c>
    </row>
    <row r="1115" spans="1:13" x14ac:dyDescent="0.25">
      <c r="A1115">
        <v>151.300000000002</v>
      </c>
      <c r="B1115" t="e">
        <f t="shared" si="170"/>
        <v>#N/A</v>
      </c>
      <c r="C1115" t="e">
        <f t="shared" si="171"/>
        <v>#N/A</v>
      </c>
      <c r="D1115" t="e">
        <f t="shared" si="172"/>
        <v>#N/A</v>
      </c>
      <c r="E1115" t="e">
        <f t="shared" si="173"/>
        <v>#N/A</v>
      </c>
      <c r="F1115" t="e">
        <f t="shared" si="174"/>
        <v>#N/A</v>
      </c>
      <c r="G1115" t="e">
        <f t="shared" si="175"/>
        <v>#N/A</v>
      </c>
      <c r="H1115" t="e">
        <f t="shared" si="176"/>
        <v>#N/A</v>
      </c>
      <c r="I1115" t="e">
        <f t="shared" si="177"/>
        <v>#N/A</v>
      </c>
      <c r="J1115">
        <f t="shared" si="178"/>
        <v>7.6732229611863861E-5</v>
      </c>
      <c r="K1115">
        <f t="shared" si="179"/>
        <v>2.7673222961186388E-4</v>
      </c>
      <c r="L1115" t="e">
        <f>IF(AND(ABS((ChartCalculations!A1115-Calculations!$F$3)/Calculations!$F$4)&lt;5,OR(A1115&lt;=Calculations!$F$7,A1115&gt;=Calculations!$F$8)),0.2*_xlfn.NORM.DIST(100,100,15,FALSE)*_xlfn.NORM.DIST(A1115,Calculations!$F$3,Calculations!$F$4,FALSE)/_xlfn.NORM.DIST(Calculations!$F$3,Calculations!$F$3,Calculations!$F$4,FALSE),NA())</f>
        <v>#N/A</v>
      </c>
      <c r="M1115" t="e">
        <f>IF(AND(A1115&gt;=Calculations!$F$7,A1115&lt;=Calculations!$F$8),0.2*_xlfn.NORM.DIST(100,100,15,FALSE)*_xlfn.NORM.DIST(A1115,Calculations!$F$3,Calculations!$F$4,FALSE)/_xlfn.NORM.DIST(Calculations!$F$3,Calculations!$F$3,Calculations!$F$4,FALSE),NA())</f>
        <v>#N/A</v>
      </c>
    </row>
    <row r="1116" spans="1:13" x14ac:dyDescent="0.25">
      <c r="A1116">
        <v>151.400000000002</v>
      </c>
      <c r="B1116" t="e">
        <f t="shared" si="170"/>
        <v>#N/A</v>
      </c>
      <c r="C1116" t="e">
        <f t="shared" si="171"/>
        <v>#N/A</v>
      </c>
      <c r="D1116" t="e">
        <f t="shared" si="172"/>
        <v>#N/A</v>
      </c>
      <c r="E1116" t="e">
        <f t="shared" si="173"/>
        <v>#N/A</v>
      </c>
      <c r="F1116" t="e">
        <f t="shared" si="174"/>
        <v>#N/A</v>
      </c>
      <c r="G1116" t="e">
        <f t="shared" si="175"/>
        <v>#N/A</v>
      </c>
      <c r="H1116" t="e">
        <f t="shared" si="176"/>
        <v>#N/A</v>
      </c>
      <c r="I1116" t="e">
        <f t="shared" si="177"/>
        <v>#N/A</v>
      </c>
      <c r="J1116">
        <f t="shared" si="178"/>
        <v>7.5000861597329215E-5</v>
      </c>
      <c r="K1116">
        <f t="shared" si="179"/>
        <v>2.7500086159732925E-4</v>
      </c>
      <c r="L1116" t="e">
        <f>IF(AND(ABS((ChartCalculations!A1116-Calculations!$F$3)/Calculations!$F$4)&lt;5,OR(A1116&lt;=Calculations!$F$7,A1116&gt;=Calculations!$F$8)),0.2*_xlfn.NORM.DIST(100,100,15,FALSE)*_xlfn.NORM.DIST(A1116,Calculations!$F$3,Calculations!$F$4,FALSE)/_xlfn.NORM.DIST(Calculations!$F$3,Calculations!$F$3,Calculations!$F$4,FALSE),NA())</f>
        <v>#N/A</v>
      </c>
      <c r="M1116" t="e">
        <f>IF(AND(A1116&gt;=Calculations!$F$7,A1116&lt;=Calculations!$F$8),0.2*_xlfn.NORM.DIST(100,100,15,FALSE)*_xlfn.NORM.DIST(A1116,Calculations!$F$3,Calculations!$F$4,FALSE)/_xlfn.NORM.DIST(Calculations!$F$3,Calculations!$F$3,Calculations!$F$4,FALSE),NA())</f>
        <v>#N/A</v>
      </c>
    </row>
    <row r="1117" spans="1:13" x14ac:dyDescent="0.25">
      <c r="A1117">
        <v>151.50000000000199</v>
      </c>
      <c r="B1117" t="e">
        <f t="shared" si="170"/>
        <v>#N/A</v>
      </c>
      <c r="C1117" t="e">
        <f t="shared" si="171"/>
        <v>#N/A</v>
      </c>
      <c r="D1117" t="e">
        <f t="shared" si="172"/>
        <v>#N/A</v>
      </c>
      <c r="E1117" t="e">
        <f t="shared" si="173"/>
        <v>#N/A</v>
      </c>
      <c r="F1117" t="e">
        <f t="shared" si="174"/>
        <v>#N/A</v>
      </c>
      <c r="G1117" t="e">
        <f t="shared" si="175"/>
        <v>#N/A</v>
      </c>
      <c r="H1117" t="e">
        <f t="shared" si="176"/>
        <v>#N/A</v>
      </c>
      <c r="I1117" t="e">
        <f t="shared" si="177"/>
        <v>#N/A</v>
      </c>
      <c r="J1117">
        <f t="shared" si="178"/>
        <v>7.3305301678391825E-5</v>
      </c>
      <c r="K1117">
        <f t="shared" si="179"/>
        <v>2.7330530167839185E-4</v>
      </c>
      <c r="L1117" t="e">
        <f>IF(AND(ABS((ChartCalculations!A1117-Calculations!$F$3)/Calculations!$F$4)&lt;5,OR(A1117&lt;=Calculations!$F$7,A1117&gt;=Calculations!$F$8)),0.2*_xlfn.NORM.DIST(100,100,15,FALSE)*_xlfn.NORM.DIST(A1117,Calculations!$F$3,Calculations!$F$4,FALSE)/_xlfn.NORM.DIST(Calculations!$F$3,Calculations!$F$3,Calculations!$F$4,FALSE),NA())</f>
        <v>#N/A</v>
      </c>
      <c r="M1117" t="e">
        <f>IF(AND(A1117&gt;=Calculations!$F$7,A1117&lt;=Calculations!$F$8),0.2*_xlfn.NORM.DIST(100,100,15,FALSE)*_xlfn.NORM.DIST(A1117,Calculations!$F$3,Calculations!$F$4,FALSE)/_xlfn.NORM.DIST(Calculations!$F$3,Calculations!$F$3,Calculations!$F$4,FALSE),NA())</f>
        <v>#N/A</v>
      </c>
    </row>
    <row r="1118" spans="1:13" x14ac:dyDescent="0.25">
      <c r="A1118">
        <v>151.60000000000201</v>
      </c>
      <c r="B1118" t="e">
        <f t="shared" si="170"/>
        <v>#N/A</v>
      </c>
      <c r="C1118" t="e">
        <f t="shared" si="171"/>
        <v>#N/A</v>
      </c>
      <c r="D1118" t="e">
        <f t="shared" si="172"/>
        <v>#N/A</v>
      </c>
      <c r="E1118" t="e">
        <f t="shared" si="173"/>
        <v>#N/A</v>
      </c>
      <c r="F1118" t="e">
        <f t="shared" si="174"/>
        <v>#N/A</v>
      </c>
      <c r="G1118" t="e">
        <f t="shared" si="175"/>
        <v>#N/A</v>
      </c>
      <c r="H1118" t="e">
        <f t="shared" si="176"/>
        <v>#N/A</v>
      </c>
      <c r="I1118" t="e">
        <f t="shared" si="177"/>
        <v>#N/A</v>
      </c>
      <c r="J1118">
        <f t="shared" si="178"/>
        <v>7.1644889343549305E-5</v>
      </c>
      <c r="K1118">
        <f t="shared" si="179"/>
        <v>2.716448893435493E-4</v>
      </c>
      <c r="L1118" t="e">
        <f>IF(AND(ABS((ChartCalculations!A1118-Calculations!$F$3)/Calculations!$F$4)&lt;5,OR(A1118&lt;=Calculations!$F$7,A1118&gt;=Calculations!$F$8)),0.2*_xlfn.NORM.DIST(100,100,15,FALSE)*_xlfn.NORM.DIST(A1118,Calculations!$F$3,Calculations!$F$4,FALSE)/_xlfn.NORM.DIST(Calculations!$F$3,Calculations!$F$3,Calculations!$F$4,FALSE),NA())</f>
        <v>#N/A</v>
      </c>
      <c r="M1118" t="e">
        <f>IF(AND(A1118&gt;=Calculations!$F$7,A1118&lt;=Calculations!$F$8),0.2*_xlfn.NORM.DIST(100,100,15,FALSE)*_xlfn.NORM.DIST(A1118,Calculations!$F$3,Calculations!$F$4,FALSE)/_xlfn.NORM.DIST(Calculations!$F$3,Calculations!$F$3,Calculations!$F$4,FALSE),NA())</f>
        <v>#N/A</v>
      </c>
    </row>
    <row r="1119" spans="1:13" x14ac:dyDescent="0.25">
      <c r="A1119">
        <v>151.70000000000201</v>
      </c>
      <c r="B1119" t="e">
        <f t="shared" si="170"/>
        <v>#N/A</v>
      </c>
      <c r="C1119" t="e">
        <f t="shared" si="171"/>
        <v>#N/A</v>
      </c>
      <c r="D1119" t="e">
        <f t="shared" si="172"/>
        <v>#N/A</v>
      </c>
      <c r="E1119" t="e">
        <f t="shared" si="173"/>
        <v>#N/A</v>
      </c>
      <c r="F1119" t="e">
        <f t="shared" si="174"/>
        <v>#N/A</v>
      </c>
      <c r="G1119" t="e">
        <f t="shared" si="175"/>
        <v>#N/A</v>
      </c>
      <c r="H1119" t="e">
        <f t="shared" si="176"/>
        <v>#N/A</v>
      </c>
      <c r="I1119" t="e">
        <f t="shared" si="177"/>
        <v>#N/A</v>
      </c>
      <c r="J1119">
        <f t="shared" si="178"/>
        <v>7.0018974394802643E-5</v>
      </c>
      <c r="K1119">
        <f t="shared" si="179"/>
        <v>2.7001897439480265E-4</v>
      </c>
      <c r="L1119" t="e">
        <f>IF(AND(ABS((ChartCalculations!A1119-Calculations!$F$3)/Calculations!$F$4)&lt;5,OR(A1119&lt;=Calculations!$F$7,A1119&gt;=Calculations!$F$8)),0.2*_xlfn.NORM.DIST(100,100,15,FALSE)*_xlfn.NORM.DIST(A1119,Calculations!$F$3,Calculations!$F$4,FALSE)/_xlfn.NORM.DIST(Calculations!$F$3,Calculations!$F$3,Calculations!$F$4,FALSE),NA())</f>
        <v>#N/A</v>
      </c>
      <c r="M1119" t="e">
        <f>IF(AND(A1119&gt;=Calculations!$F$7,A1119&lt;=Calculations!$F$8),0.2*_xlfn.NORM.DIST(100,100,15,FALSE)*_xlfn.NORM.DIST(A1119,Calculations!$F$3,Calculations!$F$4,FALSE)/_xlfn.NORM.DIST(Calculations!$F$3,Calculations!$F$3,Calculations!$F$4,FALSE),NA())</f>
        <v>#N/A</v>
      </c>
    </row>
    <row r="1120" spans="1:13" x14ac:dyDescent="0.25">
      <c r="A1120">
        <v>151.800000000002</v>
      </c>
      <c r="B1120" t="e">
        <f t="shared" si="170"/>
        <v>#N/A</v>
      </c>
      <c r="C1120" t="e">
        <f t="shared" si="171"/>
        <v>#N/A</v>
      </c>
      <c r="D1120" t="e">
        <f t="shared" si="172"/>
        <v>#N/A</v>
      </c>
      <c r="E1120" t="e">
        <f t="shared" si="173"/>
        <v>#N/A</v>
      </c>
      <c r="F1120" t="e">
        <f t="shared" si="174"/>
        <v>#N/A</v>
      </c>
      <c r="G1120" t="e">
        <f t="shared" si="175"/>
        <v>#N/A</v>
      </c>
      <c r="H1120" t="e">
        <f t="shared" si="176"/>
        <v>#N/A</v>
      </c>
      <c r="I1120" t="e">
        <f t="shared" si="177"/>
        <v>#N/A</v>
      </c>
      <c r="J1120">
        <f t="shared" si="178"/>
        <v>6.8426916828322285E-5</v>
      </c>
      <c r="K1120">
        <f t="shared" si="179"/>
        <v>2.6842691682832229E-4</v>
      </c>
      <c r="L1120" t="e">
        <f>IF(AND(ABS((ChartCalculations!A1120-Calculations!$F$3)/Calculations!$F$4)&lt;5,OR(A1120&lt;=Calculations!$F$7,A1120&gt;=Calculations!$F$8)),0.2*_xlfn.NORM.DIST(100,100,15,FALSE)*_xlfn.NORM.DIST(A1120,Calculations!$F$3,Calculations!$F$4,FALSE)/_xlfn.NORM.DIST(Calculations!$F$3,Calculations!$F$3,Calculations!$F$4,FALSE),NA())</f>
        <v>#N/A</v>
      </c>
      <c r="M1120" t="e">
        <f>IF(AND(A1120&gt;=Calculations!$F$7,A1120&lt;=Calculations!$F$8),0.2*_xlfn.NORM.DIST(100,100,15,FALSE)*_xlfn.NORM.DIST(A1120,Calculations!$F$3,Calculations!$F$4,FALSE)/_xlfn.NORM.DIST(Calculations!$F$3,Calculations!$F$3,Calculations!$F$4,FALSE),NA())</f>
        <v>#N/A</v>
      </c>
    </row>
    <row r="1121" spans="1:13" x14ac:dyDescent="0.25">
      <c r="A1121">
        <v>151.900000000002</v>
      </c>
      <c r="B1121" t="e">
        <f t="shared" si="170"/>
        <v>#N/A</v>
      </c>
      <c r="C1121" t="e">
        <f t="shared" si="171"/>
        <v>#N/A</v>
      </c>
      <c r="D1121" t="e">
        <f t="shared" si="172"/>
        <v>#N/A</v>
      </c>
      <c r="E1121" t="e">
        <f t="shared" si="173"/>
        <v>#N/A</v>
      </c>
      <c r="F1121" t="e">
        <f t="shared" si="174"/>
        <v>#N/A</v>
      </c>
      <c r="G1121" t="e">
        <f t="shared" si="175"/>
        <v>#N/A</v>
      </c>
      <c r="H1121" t="e">
        <f t="shared" si="176"/>
        <v>#N/A</v>
      </c>
      <c r="I1121" t="e">
        <f t="shared" si="177"/>
        <v>#N/A</v>
      </c>
      <c r="J1121">
        <f t="shared" si="178"/>
        <v>6.6868086715585014E-5</v>
      </c>
      <c r="K1121">
        <f t="shared" si="179"/>
        <v>2.6686808671558504E-4</v>
      </c>
      <c r="L1121" t="e">
        <f>IF(AND(ABS((ChartCalculations!A1121-Calculations!$F$3)/Calculations!$F$4)&lt;5,OR(A1121&lt;=Calculations!$F$7,A1121&gt;=Calculations!$F$8)),0.2*_xlfn.NORM.DIST(100,100,15,FALSE)*_xlfn.NORM.DIST(A1121,Calculations!$F$3,Calculations!$F$4,FALSE)/_xlfn.NORM.DIST(Calculations!$F$3,Calculations!$F$3,Calculations!$F$4,FALSE),NA())</f>
        <v>#N/A</v>
      </c>
      <c r="M1121" t="e">
        <f>IF(AND(A1121&gt;=Calculations!$F$7,A1121&lt;=Calculations!$F$8),0.2*_xlfn.NORM.DIST(100,100,15,FALSE)*_xlfn.NORM.DIST(A1121,Calculations!$F$3,Calculations!$F$4,FALSE)/_xlfn.NORM.DIST(Calculations!$F$3,Calculations!$F$3,Calculations!$F$4,FALSE),NA())</f>
        <v>#N/A</v>
      </c>
    </row>
    <row r="1122" spans="1:13" x14ac:dyDescent="0.25">
      <c r="A1122">
        <v>152.00000000000199</v>
      </c>
      <c r="B1122" t="e">
        <f t="shared" si="170"/>
        <v>#N/A</v>
      </c>
      <c r="C1122" t="e">
        <f t="shared" si="171"/>
        <v>#N/A</v>
      </c>
      <c r="D1122" t="e">
        <f t="shared" si="172"/>
        <v>#N/A</v>
      </c>
      <c r="E1122" t="e">
        <f t="shared" si="173"/>
        <v>#N/A</v>
      </c>
      <c r="F1122" t="e">
        <f t="shared" si="174"/>
        <v>#N/A</v>
      </c>
      <c r="G1122" t="e">
        <f t="shared" si="175"/>
        <v>#N/A</v>
      </c>
      <c r="H1122" t="e">
        <f t="shared" si="176"/>
        <v>#N/A</v>
      </c>
      <c r="I1122" t="e">
        <f t="shared" si="177"/>
        <v>#N/A</v>
      </c>
      <c r="J1122">
        <f t="shared" si="178"/>
        <v>6.534186408499485E-5</v>
      </c>
      <c r="K1122">
        <f t="shared" si="179"/>
        <v>2.6534186408499485E-4</v>
      </c>
      <c r="L1122" t="e">
        <f>IF(AND(ABS((ChartCalculations!A1122-Calculations!$F$3)/Calculations!$F$4)&lt;5,OR(A1122&lt;=Calculations!$F$7,A1122&gt;=Calculations!$F$8)),0.2*_xlfn.NORM.DIST(100,100,15,FALSE)*_xlfn.NORM.DIST(A1122,Calculations!$F$3,Calculations!$F$4,FALSE)/_xlfn.NORM.DIST(Calculations!$F$3,Calculations!$F$3,Calculations!$F$4,FALSE),NA())</f>
        <v>#N/A</v>
      </c>
      <c r="M1122" t="e">
        <f>IF(AND(A1122&gt;=Calculations!$F$7,A1122&lt;=Calculations!$F$8),0.2*_xlfn.NORM.DIST(100,100,15,FALSE)*_xlfn.NORM.DIST(A1122,Calculations!$F$3,Calculations!$F$4,FALSE)/_xlfn.NORM.DIST(Calculations!$F$3,Calculations!$F$3,Calculations!$F$4,FALSE),NA())</f>
        <v>#N/A</v>
      </c>
    </row>
    <row r="1123" spans="1:13" x14ac:dyDescent="0.25">
      <c r="A1123">
        <v>152.10000000000201</v>
      </c>
      <c r="B1123" t="e">
        <f t="shared" si="170"/>
        <v>#N/A</v>
      </c>
      <c r="C1123" t="e">
        <f t="shared" si="171"/>
        <v>#N/A</v>
      </c>
      <c r="D1123" t="e">
        <f t="shared" si="172"/>
        <v>#N/A</v>
      </c>
      <c r="E1123" t="e">
        <f t="shared" si="173"/>
        <v>#N/A</v>
      </c>
      <c r="F1123" t="e">
        <f t="shared" si="174"/>
        <v>#N/A</v>
      </c>
      <c r="G1123" t="e">
        <f t="shared" si="175"/>
        <v>#N/A</v>
      </c>
      <c r="H1123" t="e">
        <f t="shared" si="176"/>
        <v>#N/A</v>
      </c>
      <c r="I1123" t="e">
        <f t="shared" si="177"/>
        <v>#N/A</v>
      </c>
      <c r="J1123">
        <f t="shared" si="178"/>
        <v>6.384763880401053E-5</v>
      </c>
      <c r="K1123">
        <f t="shared" si="179"/>
        <v>2.6384763880401055E-4</v>
      </c>
      <c r="L1123" t="e">
        <f>IF(AND(ABS((ChartCalculations!A1123-Calculations!$F$3)/Calculations!$F$4)&lt;5,OR(A1123&lt;=Calculations!$F$7,A1123&gt;=Calculations!$F$8)),0.2*_xlfn.NORM.DIST(100,100,15,FALSE)*_xlfn.NORM.DIST(A1123,Calculations!$F$3,Calculations!$F$4,FALSE)/_xlfn.NORM.DIST(Calculations!$F$3,Calculations!$F$3,Calculations!$F$4,FALSE),NA())</f>
        <v>#N/A</v>
      </c>
      <c r="M1123" t="e">
        <f>IF(AND(A1123&gt;=Calculations!$F$7,A1123&lt;=Calculations!$F$8),0.2*_xlfn.NORM.DIST(100,100,15,FALSE)*_xlfn.NORM.DIST(A1123,Calculations!$F$3,Calculations!$F$4,FALSE)/_xlfn.NORM.DIST(Calculations!$F$3,Calculations!$F$3,Calculations!$F$4,FALSE),NA())</f>
        <v>#N/A</v>
      </c>
    </row>
    <row r="1124" spans="1:13" x14ac:dyDescent="0.25">
      <c r="A1124">
        <v>152.20000000000201</v>
      </c>
      <c r="B1124" t="e">
        <f t="shared" si="170"/>
        <v>#N/A</v>
      </c>
      <c r="C1124" t="e">
        <f t="shared" si="171"/>
        <v>#N/A</v>
      </c>
      <c r="D1124" t="e">
        <f t="shared" si="172"/>
        <v>#N/A</v>
      </c>
      <c r="E1124" t="e">
        <f t="shared" si="173"/>
        <v>#N/A</v>
      </c>
      <c r="F1124" t="e">
        <f t="shared" si="174"/>
        <v>#N/A</v>
      </c>
      <c r="G1124" t="e">
        <f t="shared" si="175"/>
        <v>#N/A</v>
      </c>
      <c r="H1124" t="e">
        <f t="shared" si="176"/>
        <v>#N/A</v>
      </c>
      <c r="I1124" t="e">
        <f t="shared" si="177"/>
        <v>#N/A</v>
      </c>
      <c r="J1124">
        <f t="shared" si="178"/>
        <v>6.2384810461802952E-5</v>
      </c>
      <c r="K1124">
        <f t="shared" si="179"/>
        <v>2.6238481046180298E-4</v>
      </c>
      <c r="L1124" t="e">
        <f>IF(AND(ABS((ChartCalculations!A1124-Calculations!$F$3)/Calculations!$F$4)&lt;5,OR(A1124&lt;=Calculations!$F$7,A1124&gt;=Calculations!$F$8)),0.2*_xlfn.NORM.DIST(100,100,15,FALSE)*_xlfn.NORM.DIST(A1124,Calculations!$F$3,Calculations!$F$4,FALSE)/_xlfn.NORM.DIST(Calculations!$F$3,Calculations!$F$3,Calculations!$F$4,FALSE),NA())</f>
        <v>#N/A</v>
      </c>
      <c r="M1124" t="e">
        <f>IF(AND(A1124&gt;=Calculations!$F$7,A1124&lt;=Calculations!$F$8),0.2*_xlfn.NORM.DIST(100,100,15,FALSE)*_xlfn.NORM.DIST(A1124,Calculations!$F$3,Calculations!$F$4,FALSE)/_xlfn.NORM.DIST(Calculations!$F$3,Calculations!$F$3,Calculations!$F$4,FALSE),NA())</f>
        <v>#N/A</v>
      </c>
    </row>
    <row r="1125" spans="1:13" x14ac:dyDescent="0.25">
      <c r="A1125">
        <v>152.300000000002</v>
      </c>
      <c r="B1125" t="e">
        <f t="shared" si="170"/>
        <v>#N/A</v>
      </c>
      <c r="C1125" t="e">
        <f t="shared" si="171"/>
        <v>#N/A</v>
      </c>
      <c r="D1125" t="e">
        <f t="shared" si="172"/>
        <v>#N/A</v>
      </c>
      <c r="E1125" t="e">
        <f t="shared" si="173"/>
        <v>#N/A</v>
      </c>
      <c r="F1125" t="e">
        <f t="shared" si="174"/>
        <v>#N/A</v>
      </c>
      <c r="G1125" t="e">
        <f t="shared" si="175"/>
        <v>#N/A</v>
      </c>
      <c r="H1125" t="e">
        <f t="shared" si="176"/>
        <v>#N/A</v>
      </c>
      <c r="I1125" t="e">
        <f t="shared" si="177"/>
        <v>#N/A</v>
      </c>
      <c r="J1125">
        <f t="shared" si="178"/>
        <v>6.0952788252451994E-5</v>
      </c>
      <c r="K1125">
        <f t="shared" si="179"/>
        <v>2.6095278825245198E-4</v>
      </c>
      <c r="L1125" t="e">
        <f>IF(AND(ABS((ChartCalculations!A1125-Calculations!$F$3)/Calculations!$F$4)&lt;5,OR(A1125&lt;=Calculations!$F$7,A1125&gt;=Calculations!$F$8)),0.2*_xlfn.NORM.DIST(100,100,15,FALSE)*_xlfn.NORM.DIST(A1125,Calculations!$F$3,Calculations!$F$4,FALSE)/_xlfn.NORM.DIST(Calculations!$F$3,Calculations!$F$3,Calculations!$F$4,FALSE),NA())</f>
        <v>#N/A</v>
      </c>
      <c r="M1125" t="e">
        <f>IF(AND(A1125&gt;=Calculations!$F$7,A1125&lt;=Calculations!$F$8),0.2*_xlfn.NORM.DIST(100,100,15,FALSE)*_xlfn.NORM.DIST(A1125,Calculations!$F$3,Calculations!$F$4,FALSE)/_xlfn.NORM.DIST(Calculations!$F$3,Calculations!$F$3,Calculations!$F$4,FALSE),NA())</f>
        <v>#N/A</v>
      </c>
    </row>
    <row r="1126" spans="1:13" x14ac:dyDescent="0.25">
      <c r="A1126">
        <v>152.400000000002</v>
      </c>
      <c r="B1126" t="e">
        <f t="shared" si="170"/>
        <v>#N/A</v>
      </c>
      <c r="C1126" t="e">
        <f t="shared" si="171"/>
        <v>#N/A</v>
      </c>
      <c r="D1126" t="e">
        <f t="shared" si="172"/>
        <v>#N/A</v>
      </c>
      <c r="E1126" t="e">
        <f t="shared" si="173"/>
        <v>#N/A</v>
      </c>
      <c r="F1126" t="e">
        <f t="shared" si="174"/>
        <v>#N/A</v>
      </c>
      <c r="G1126" t="e">
        <f t="shared" si="175"/>
        <v>#N/A</v>
      </c>
      <c r="H1126" t="e">
        <f t="shared" si="176"/>
        <v>#N/A</v>
      </c>
      <c r="I1126" t="e">
        <f t="shared" si="177"/>
        <v>#N/A</v>
      </c>
      <c r="J1126">
        <f t="shared" si="178"/>
        <v>5.9550990858712107E-5</v>
      </c>
      <c r="K1126">
        <f t="shared" si="179"/>
        <v>2.5955099085871213E-4</v>
      </c>
      <c r="L1126" t="e">
        <f>IF(AND(ABS((ChartCalculations!A1126-Calculations!$F$3)/Calculations!$F$4)&lt;5,OR(A1126&lt;=Calculations!$F$7,A1126&gt;=Calculations!$F$8)),0.2*_xlfn.NORM.DIST(100,100,15,FALSE)*_xlfn.NORM.DIST(A1126,Calculations!$F$3,Calculations!$F$4,FALSE)/_xlfn.NORM.DIST(Calculations!$F$3,Calculations!$F$3,Calculations!$F$4,FALSE),NA())</f>
        <v>#N/A</v>
      </c>
      <c r="M1126" t="e">
        <f>IF(AND(A1126&gt;=Calculations!$F$7,A1126&lt;=Calculations!$F$8),0.2*_xlfn.NORM.DIST(100,100,15,FALSE)*_xlfn.NORM.DIST(A1126,Calculations!$F$3,Calculations!$F$4,FALSE)/_xlfn.NORM.DIST(Calculations!$F$3,Calculations!$F$3,Calculations!$F$4,FALSE),NA())</f>
        <v>#N/A</v>
      </c>
    </row>
    <row r="1127" spans="1:13" x14ac:dyDescent="0.25">
      <c r="A1127">
        <v>152.50000000000199</v>
      </c>
      <c r="B1127" t="e">
        <f t="shared" si="170"/>
        <v>#N/A</v>
      </c>
      <c r="C1127" t="e">
        <f t="shared" si="171"/>
        <v>#N/A</v>
      </c>
      <c r="D1127" t="e">
        <f t="shared" si="172"/>
        <v>#N/A</v>
      </c>
      <c r="E1127" t="e">
        <f t="shared" si="173"/>
        <v>#N/A</v>
      </c>
      <c r="F1127" t="e">
        <f t="shared" si="174"/>
        <v>#N/A</v>
      </c>
      <c r="G1127" t="e">
        <f t="shared" si="175"/>
        <v>#N/A</v>
      </c>
      <c r="H1127" t="e">
        <f t="shared" si="176"/>
        <v>#N/A</v>
      </c>
      <c r="I1127" t="e">
        <f t="shared" si="177"/>
        <v>#N/A</v>
      </c>
      <c r="J1127">
        <f t="shared" si="178"/>
        <v>5.8178846336356978E-5</v>
      </c>
      <c r="K1127">
        <f t="shared" si="179"/>
        <v>2.5817884633635697E-4</v>
      </c>
      <c r="L1127" t="e">
        <f>IF(AND(ABS((ChartCalculations!A1127-Calculations!$F$3)/Calculations!$F$4)&lt;5,OR(A1127&lt;=Calculations!$F$7,A1127&gt;=Calculations!$F$8)),0.2*_xlfn.NORM.DIST(100,100,15,FALSE)*_xlfn.NORM.DIST(A1127,Calculations!$F$3,Calculations!$F$4,FALSE)/_xlfn.NORM.DIST(Calculations!$F$3,Calculations!$F$3,Calculations!$F$4,FALSE),NA())</f>
        <v>#N/A</v>
      </c>
      <c r="M1127" t="e">
        <f>IF(AND(A1127&gt;=Calculations!$F$7,A1127&lt;=Calculations!$F$8),0.2*_xlfn.NORM.DIST(100,100,15,FALSE)*_xlfn.NORM.DIST(A1127,Calculations!$F$3,Calculations!$F$4,FALSE)/_xlfn.NORM.DIST(Calculations!$F$3,Calculations!$F$3,Calculations!$F$4,FALSE),NA())</f>
        <v>#N/A</v>
      </c>
    </row>
    <row r="1128" spans="1:13" x14ac:dyDescent="0.25">
      <c r="A1128">
        <v>152.60000000000201</v>
      </c>
      <c r="B1128" t="e">
        <f t="shared" si="170"/>
        <v>#N/A</v>
      </c>
      <c r="C1128" t="e">
        <f t="shared" si="171"/>
        <v>#N/A</v>
      </c>
      <c r="D1128" t="e">
        <f t="shared" si="172"/>
        <v>#N/A</v>
      </c>
      <c r="E1128" t="e">
        <f t="shared" si="173"/>
        <v>#N/A</v>
      </c>
      <c r="F1128" t="e">
        <f t="shared" si="174"/>
        <v>#N/A</v>
      </c>
      <c r="G1128" t="e">
        <f t="shared" si="175"/>
        <v>#N/A</v>
      </c>
      <c r="H1128" t="e">
        <f t="shared" si="176"/>
        <v>#N/A</v>
      </c>
      <c r="I1128" t="e">
        <f t="shared" si="177"/>
        <v>#N/A</v>
      </c>
      <c r="J1128">
        <f t="shared" si="178"/>
        <v>5.6835791999122779E-5</v>
      </c>
      <c r="K1128">
        <f t="shared" si="179"/>
        <v>2.5683579199912277E-4</v>
      </c>
      <c r="L1128" t="e">
        <f>IF(AND(ABS((ChartCalculations!A1128-Calculations!$F$3)/Calculations!$F$4)&lt;5,OR(A1128&lt;=Calculations!$F$7,A1128&gt;=Calculations!$F$8)),0.2*_xlfn.NORM.DIST(100,100,15,FALSE)*_xlfn.NORM.DIST(A1128,Calculations!$F$3,Calculations!$F$4,FALSE)/_xlfn.NORM.DIST(Calculations!$F$3,Calculations!$F$3,Calculations!$F$4,FALSE),NA())</f>
        <v>#N/A</v>
      </c>
      <c r="M1128" t="e">
        <f>IF(AND(A1128&gt;=Calculations!$F$7,A1128&lt;=Calculations!$F$8),0.2*_xlfn.NORM.DIST(100,100,15,FALSE)*_xlfn.NORM.DIST(A1128,Calculations!$F$3,Calculations!$F$4,FALSE)/_xlfn.NORM.DIST(Calculations!$F$3,Calculations!$F$3,Calculations!$F$4,FALSE),NA())</f>
        <v>#N/A</v>
      </c>
    </row>
    <row r="1129" spans="1:13" x14ac:dyDescent="0.25">
      <c r="A1129">
        <v>152.70000000000201</v>
      </c>
      <c r="B1129" t="e">
        <f t="shared" si="170"/>
        <v>#N/A</v>
      </c>
      <c r="C1129" t="e">
        <f t="shared" si="171"/>
        <v>#N/A</v>
      </c>
      <c r="D1129" t="e">
        <f t="shared" si="172"/>
        <v>#N/A</v>
      </c>
      <c r="E1129" t="e">
        <f t="shared" si="173"/>
        <v>#N/A</v>
      </c>
      <c r="F1129" t="e">
        <f t="shared" si="174"/>
        <v>#N/A</v>
      </c>
      <c r="G1129" t="e">
        <f t="shared" si="175"/>
        <v>#N/A</v>
      </c>
      <c r="H1129" t="e">
        <f t="shared" si="176"/>
        <v>#N/A</v>
      </c>
      <c r="I1129" t="e">
        <f t="shared" si="177"/>
        <v>#N/A</v>
      </c>
      <c r="J1129">
        <f t="shared" si="178"/>
        <v>5.5521274304268142E-5</v>
      </c>
      <c r="K1129">
        <f t="shared" si="179"/>
        <v>2.5552127430426814E-4</v>
      </c>
      <c r="L1129" t="e">
        <f>IF(AND(ABS((ChartCalculations!A1129-Calculations!$F$3)/Calculations!$F$4)&lt;5,OR(A1129&lt;=Calculations!$F$7,A1129&gt;=Calculations!$F$8)),0.2*_xlfn.NORM.DIST(100,100,15,FALSE)*_xlfn.NORM.DIST(A1129,Calculations!$F$3,Calculations!$F$4,FALSE)/_xlfn.NORM.DIST(Calculations!$F$3,Calculations!$F$3,Calculations!$F$4,FALSE),NA())</f>
        <v>#N/A</v>
      </c>
      <c r="M1129" t="e">
        <f>IF(AND(A1129&gt;=Calculations!$F$7,A1129&lt;=Calculations!$F$8),0.2*_xlfn.NORM.DIST(100,100,15,FALSE)*_xlfn.NORM.DIST(A1129,Calculations!$F$3,Calculations!$F$4,FALSE)/_xlfn.NORM.DIST(Calculations!$F$3,Calculations!$F$3,Calculations!$F$4,FALSE),NA())</f>
        <v>#N/A</v>
      </c>
    </row>
    <row r="1130" spans="1:13" x14ac:dyDescent="0.25">
      <c r="A1130">
        <v>152.800000000002</v>
      </c>
      <c r="B1130" t="e">
        <f t="shared" si="170"/>
        <v>#N/A</v>
      </c>
      <c r="C1130" t="e">
        <f t="shared" si="171"/>
        <v>#N/A</v>
      </c>
      <c r="D1130" t="e">
        <f t="shared" si="172"/>
        <v>#N/A</v>
      </c>
      <c r="E1130" t="e">
        <f t="shared" si="173"/>
        <v>#N/A</v>
      </c>
      <c r="F1130" t="e">
        <f t="shared" si="174"/>
        <v>#N/A</v>
      </c>
      <c r="G1130" t="e">
        <f t="shared" si="175"/>
        <v>#N/A</v>
      </c>
      <c r="H1130" t="e">
        <f t="shared" si="176"/>
        <v>#N/A</v>
      </c>
      <c r="I1130" t="e">
        <f t="shared" si="177"/>
        <v>#N/A</v>
      </c>
      <c r="J1130">
        <f t="shared" si="178"/>
        <v>5.4234748738761803E-5</v>
      </c>
      <c r="K1130">
        <f t="shared" si="179"/>
        <v>2.5423474873876179E-4</v>
      </c>
      <c r="L1130" t="e">
        <f>IF(AND(ABS((ChartCalculations!A1130-Calculations!$F$3)/Calculations!$F$4)&lt;5,OR(A1130&lt;=Calculations!$F$7,A1130&gt;=Calculations!$F$8)),0.2*_xlfn.NORM.DIST(100,100,15,FALSE)*_xlfn.NORM.DIST(A1130,Calculations!$F$3,Calculations!$F$4,FALSE)/_xlfn.NORM.DIST(Calculations!$F$3,Calculations!$F$3,Calculations!$F$4,FALSE),NA())</f>
        <v>#N/A</v>
      </c>
      <c r="M1130" t="e">
        <f>IF(AND(A1130&gt;=Calculations!$F$7,A1130&lt;=Calculations!$F$8),0.2*_xlfn.NORM.DIST(100,100,15,FALSE)*_xlfn.NORM.DIST(A1130,Calculations!$F$3,Calculations!$F$4,FALSE)/_xlfn.NORM.DIST(Calculations!$F$3,Calculations!$F$3,Calculations!$F$4,FALSE),NA())</f>
        <v>#N/A</v>
      </c>
    </row>
    <row r="1131" spans="1:13" x14ac:dyDescent="0.25">
      <c r="A1131">
        <v>152.900000000002</v>
      </c>
      <c r="B1131" t="e">
        <f t="shared" si="170"/>
        <v>#N/A</v>
      </c>
      <c r="C1131" t="e">
        <f t="shared" si="171"/>
        <v>#N/A</v>
      </c>
      <c r="D1131" t="e">
        <f t="shared" si="172"/>
        <v>#N/A</v>
      </c>
      <c r="E1131" t="e">
        <f t="shared" si="173"/>
        <v>#N/A</v>
      </c>
      <c r="F1131" t="e">
        <f t="shared" si="174"/>
        <v>#N/A</v>
      </c>
      <c r="G1131" t="e">
        <f t="shared" si="175"/>
        <v>#N/A</v>
      </c>
      <c r="H1131" t="e">
        <f t="shared" si="176"/>
        <v>#N/A</v>
      </c>
      <c r="I1131" t="e">
        <f t="shared" si="177"/>
        <v>#N/A</v>
      </c>
      <c r="J1131">
        <f t="shared" si="178"/>
        <v>5.2975679706119724E-5</v>
      </c>
      <c r="K1131">
        <f t="shared" si="179"/>
        <v>2.5297567970611974E-4</v>
      </c>
      <c r="L1131" t="e">
        <f>IF(AND(ABS((ChartCalculations!A1131-Calculations!$F$3)/Calculations!$F$4)&lt;5,OR(A1131&lt;=Calculations!$F$7,A1131&gt;=Calculations!$F$8)),0.2*_xlfn.NORM.DIST(100,100,15,FALSE)*_xlfn.NORM.DIST(A1131,Calculations!$F$3,Calculations!$F$4,FALSE)/_xlfn.NORM.DIST(Calculations!$F$3,Calculations!$F$3,Calculations!$F$4,FALSE),NA())</f>
        <v>#N/A</v>
      </c>
      <c r="M1131" t="e">
        <f>IF(AND(A1131&gt;=Calculations!$F$7,A1131&lt;=Calculations!$F$8),0.2*_xlfn.NORM.DIST(100,100,15,FALSE)*_xlfn.NORM.DIST(A1131,Calculations!$F$3,Calculations!$F$4,FALSE)/_xlfn.NORM.DIST(Calculations!$F$3,Calculations!$F$3,Calculations!$F$4,FALSE),NA())</f>
        <v>#N/A</v>
      </c>
    </row>
    <row r="1132" spans="1:13" x14ac:dyDescent="0.25">
      <c r="A1132">
        <v>153.00000000000199</v>
      </c>
      <c r="B1132" t="e">
        <f t="shared" si="170"/>
        <v>#N/A</v>
      </c>
      <c r="C1132" t="e">
        <f t="shared" si="171"/>
        <v>#N/A</v>
      </c>
      <c r="D1132" t="e">
        <f t="shared" si="172"/>
        <v>#N/A</v>
      </c>
      <c r="E1132" t="e">
        <f t="shared" si="173"/>
        <v>#N/A</v>
      </c>
      <c r="F1132" t="e">
        <f t="shared" si="174"/>
        <v>#N/A</v>
      </c>
      <c r="G1132" t="e">
        <f t="shared" si="175"/>
        <v>#N/A</v>
      </c>
      <c r="H1132" t="e">
        <f t="shared" si="176"/>
        <v>#N/A</v>
      </c>
      <c r="I1132" t="e">
        <f t="shared" si="177"/>
        <v>#N/A</v>
      </c>
      <c r="J1132">
        <f t="shared" si="178"/>
        <v>5.1743540413902995E-5</v>
      </c>
      <c r="K1132">
        <f t="shared" si="179"/>
        <v>2.5174354041390299E-4</v>
      </c>
      <c r="L1132" t="e">
        <f>IF(AND(ABS((ChartCalculations!A1132-Calculations!$F$3)/Calculations!$F$4)&lt;5,OR(A1132&lt;=Calculations!$F$7,A1132&gt;=Calculations!$F$8)),0.2*_xlfn.NORM.DIST(100,100,15,FALSE)*_xlfn.NORM.DIST(A1132,Calculations!$F$3,Calculations!$F$4,FALSE)/_xlfn.NORM.DIST(Calculations!$F$3,Calculations!$F$3,Calculations!$F$4,FALSE),NA())</f>
        <v>#N/A</v>
      </c>
      <c r="M1132" t="e">
        <f>IF(AND(A1132&gt;=Calculations!$F$7,A1132&lt;=Calculations!$F$8),0.2*_xlfn.NORM.DIST(100,100,15,FALSE)*_xlfn.NORM.DIST(A1132,Calculations!$F$3,Calculations!$F$4,FALSE)/_xlfn.NORM.DIST(Calculations!$F$3,Calculations!$F$3,Calculations!$F$4,FALSE),NA())</f>
        <v>#N/A</v>
      </c>
    </row>
    <row r="1133" spans="1:13" x14ac:dyDescent="0.25">
      <c r="A1133">
        <v>153.10000000000201</v>
      </c>
      <c r="B1133" t="e">
        <f t="shared" si="170"/>
        <v>#N/A</v>
      </c>
      <c r="C1133" t="e">
        <f t="shared" si="171"/>
        <v>#N/A</v>
      </c>
      <c r="D1133" t="e">
        <f t="shared" si="172"/>
        <v>#N/A</v>
      </c>
      <c r="E1133" t="e">
        <f t="shared" si="173"/>
        <v>#N/A</v>
      </c>
      <c r="F1133" t="e">
        <f t="shared" si="174"/>
        <v>#N/A</v>
      </c>
      <c r="G1133" t="e">
        <f t="shared" si="175"/>
        <v>#N/A</v>
      </c>
      <c r="H1133" t="e">
        <f t="shared" si="176"/>
        <v>#N/A</v>
      </c>
      <c r="I1133" t="e">
        <f t="shared" si="177"/>
        <v>#N/A</v>
      </c>
      <c r="J1133">
        <f t="shared" si="178"/>
        <v>5.0537812761890051E-5</v>
      </c>
      <c r="K1133">
        <f t="shared" si="179"/>
        <v>2.5053781276189007E-4</v>
      </c>
      <c r="L1133" t="e">
        <f>IF(AND(ABS((ChartCalculations!A1133-Calculations!$F$3)/Calculations!$F$4)&lt;5,OR(A1133&lt;=Calculations!$F$7,A1133&gt;=Calculations!$F$8)),0.2*_xlfn.NORM.DIST(100,100,15,FALSE)*_xlfn.NORM.DIST(A1133,Calculations!$F$3,Calculations!$F$4,FALSE)/_xlfn.NORM.DIST(Calculations!$F$3,Calculations!$F$3,Calculations!$F$4,FALSE),NA())</f>
        <v>#N/A</v>
      </c>
      <c r="M1133" t="e">
        <f>IF(AND(A1133&gt;=Calculations!$F$7,A1133&lt;=Calculations!$F$8),0.2*_xlfn.NORM.DIST(100,100,15,FALSE)*_xlfn.NORM.DIST(A1133,Calculations!$F$3,Calculations!$F$4,FALSE)/_xlfn.NORM.DIST(Calculations!$F$3,Calculations!$F$3,Calculations!$F$4,FALSE),NA())</f>
        <v>#N/A</v>
      </c>
    </row>
    <row r="1134" spans="1:13" x14ac:dyDescent="0.25">
      <c r="A1134">
        <v>153.20000000000201</v>
      </c>
      <c r="B1134" t="e">
        <f t="shared" si="170"/>
        <v>#N/A</v>
      </c>
      <c r="C1134" t="e">
        <f t="shared" si="171"/>
        <v>#N/A</v>
      </c>
      <c r="D1134" t="e">
        <f t="shared" si="172"/>
        <v>#N/A</v>
      </c>
      <c r="E1134" t="e">
        <f t="shared" si="173"/>
        <v>#N/A</v>
      </c>
      <c r="F1134" t="e">
        <f t="shared" si="174"/>
        <v>#N/A</v>
      </c>
      <c r="G1134" t="e">
        <f t="shared" si="175"/>
        <v>#N/A</v>
      </c>
      <c r="H1134" t="e">
        <f t="shared" si="176"/>
        <v>#N/A</v>
      </c>
      <c r="I1134" t="e">
        <f t="shared" si="177"/>
        <v>#N/A</v>
      </c>
      <c r="J1134">
        <f t="shared" si="178"/>
        <v>4.9357987230940838E-5</v>
      </c>
      <c r="K1134">
        <f t="shared" si="179"/>
        <v>2.4935798723094084E-4</v>
      </c>
      <c r="L1134" t="e">
        <f>IF(AND(ABS((ChartCalculations!A1134-Calculations!$F$3)/Calculations!$F$4)&lt;5,OR(A1134&lt;=Calculations!$F$7,A1134&gt;=Calculations!$F$8)),0.2*_xlfn.NORM.DIST(100,100,15,FALSE)*_xlfn.NORM.DIST(A1134,Calculations!$F$3,Calculations!$F$4,FALSE)/_xlfn.NORM.DIST(Calculations!$F$3,Calculations!$F$3,Calculations!$F$4,FALSE),NA())</f>
        <v>#N/A</v>
      </c>
      <c r="M1134" t="e">
        <f>IF(AND(A1134&gt;=Calculations!$F$7,A1134&lt;=Calculations!$F$8),0.2*_xlfn.NORM.DIST(100,100,15,FALSE)*_xlfn.NORM.DIST(A1134,Calculations!$F$3,Calculations!$F$4,FALSE)/_xlfn.NORM.DIST(Calculations!$F$3,Calculations!$F$3,Calculations!$F$4,FALSE),NA())</f>
        <v>#N/A</v>
      </c>
    </row>
    <row r="1135" spans="1:13" x14ac:dyDescent="0.25">
      <c r="A1135">
        <v>153.300000000002</v>
      </c>
      <c r="B1135" t="e">
        <f t="shared" si="170"/>
        <v>#N/A</v>
      </c>
      <c r="C1135" t="e">
        <f t="shared" si="171"/>
        <v>#N/A</v>
      </c>
      <c r="D1135" t="e">
        <f t="shared" si="172"/>
        <v>#N/A</v>
      </c>
      <c r="E1135" t="e">
        <f t="shared" si="173"/>
        <v>#N/A</v>
      </c>
      <c r="F1135" t="e">
        <f t="shared" si="174"/>
        <v>#N/A</v>
      </c>
      <c r="G1135" t="e">
        <f t="shared" si="175"/>
        <v>#N/A</v>
      </c>
      <c r="H1135" t="e">
        <f t="shared" si="176"/>
        <v>#N/A</v>
      </c>
      <c r="I1135" t="e">
        <f t="shared" si="177"/>
        <v>#N/A</v>
      </c>
      <c r="J1135">
        <f t="shared" si="178"/>
        <v>4.8203562772560262E-5</v>
      </c>
      <c r="K1135">
        <f t="shared" si="179"/>
        <v>2.4820356277256028E-4</v>
      </c>
      <c r="L1135" t="e">
        <f>IF(AND(ABS((ChartCalculations!A1135-Calculations!$F$3)/Calculations!$F$4)&lt;5,OR(A1135&lt;=Calculations!$F$7,A1135&gt;=Calculations!$F$8)),0.2*_xlfn.NORM.DIST(100,100,15,FALSE)*_xlfn.NORM.DIST(A1135,Calculations!$F$3,Calculations!$F$4,FALSE)/_xlfn.NORM.DIST(Calculations!$F$3,Calculations!$F$3,Calculations!$F$4,FALSE),NA())</f>
        <v>#N/A</v>
      </c>
      <c r="M1135" t="e">
        <f>IF(AND(A1135&gt;=Calculations!$F$7,A1135&lt;=Calculations!$F$8),0.2*_xlfn.NORM.DIST(100,100,15,FALSE)*_xlfn.NORM.DIST(A1135,Calculations!$F$3,Calculations!$F$4,FALSE)/_xlfn.NORM.DIST(Calculations!$F$3,Calculations!$F$3,Calculations!$F$4,FALSE),NA())</f>
        <v>#N/A</v>
      </c>
    </row>
    <row r="1136" spans="1:13" x14ac:dyDescent="0.25">
      <c r="A1136">
        <v>153.400000000002</v>
      </c>
      <c r="B1136" t="e">
        <f t="shared" si="170"/>
        <v>#N/A</v>
      </c>
      <c r="C1136" t="e">
        <f t="shared" si="171"/>
        <v>#N/A</v>
      </c>
      <c r="D1136" t="e">
        <f t="shared" si="172"/>
        <v>#N/A</v>
      </c>
      <c r="E1136" t="e">
        <f t="shared" si="173"/>
        <v>#N/A</v>
      </c>
      <c r="F1136" t="e">
        <f t="shared" si="174"/>
        <v>#N/A</v>
      </c>
      <c r="G1136" t="e">
        <f t="shared" si="175"/>
        <v>#N/A</v>
      </c>
      <c r="H1136" t="e">
        <f t="shared" si="176"/>
        <v>#N/A</v>
      </c>
      <c r="I1136" t="e">
        <f t="shared" si="177"/>
        <v>#N/A</v>
      </c>
      <c r="J1136">
        <f t="shared" si="178"/>
        <v>4.7074046699180171E-5</v>
      </c>
      <c r="K1136">
        <f t="shared" si="179"/>
        <v>2.4707404669918018E-4</v>
      </c>
      <c r="L1136" t="e">
        <f>IF(AND(ABS((ChartCalculations!A1136-Calculations!$F$3)/Calculations!$F$4)&lt;5,OR(A1136&lt;=Calculations!$F$7,A1136&gt;=Calculations!$F$8)),0.2*_xlfn.NORM.DIST(100,100,15,FALSE)*_xlfn.NORM.DIST(A1136,Calculations!$F$3,Calculations!$F$4,FALSE)/_xlfn.NORM.DIST(Calculations!$F$3,Calculations!$F$3,Calculations!$F$4,FALSE),NA())</f>
        <v>#N/A</v>
      </c>
      <c r="M1136" t="e">
        <f>IF(AND(A1136&gt;=Calculations!$F$7,A1136&lt;=Calculations!$F$8),0.2*_xlfn.NORM.DIST(100,100,15,FALSE)*_xlfn.NORM.DIST(A1136,Calculations!$F$3,Calculations!$F$4,FALSE)/_xlfn.NORM.DIST(Calculations!$F$3,Calculations!$F$3,Calculations!$F$4,FALSE),NA())</f>
        <v>#N/A</v>
      </c>
    </row>
    <row r="1137" spans="1:13" x14ac:dyDescent="0.25">
      <c r="A1137">
        <v>153.50000000000199</v>
      </c>
      <c r="B1137" t="e">
        <f t="shared" si="170"/>
        <v>#N/A</v>
      </c>
      <c r="C1137" t="e">
        <f t="shared" si="171"/>
        <v>#N/A</v>
      </c>
      <c r="D1137" t="e">
        <f t="shared" si="172"/>
        <v>#N/A</v>
      </c>
      <c r="E1137" t="e">
        <f t="shared" si="173"/>
        <v>#N/A</v>
      </c>
      <c r="F1137" t="e">
        <f t="shared" si="174"/>
        <v>#N/A</v>
      </c>
      <c r="G1137" t="e">
        <f t="shared" si="175"/>
        <v>#N/A</v>
      </c>
      <c r="H1137" t="e">
        <f t="shared" si="176"/>
        <v>#N/A</v>
      </c>
      <c r="I1137" t="e">
        <f t="shared" si="177"/>
        <v>#N/A</v>
      </c>
      <c r="J1137">
        <f t="shared" si="178"/>
        <v>4.5968954575167335E-5</v>
      </c>
      <c r="K1137">
        <f t="shared" si="179"/>
        <v>2.4596895457516734E-4</v>
      </c>
      <c r="L1137" t="e">
        <f>IF(AND(ABS((ChartCalculations!A1137-Calculations!$F$3)/Calculations!$F$4)&lt;5,OR(A1137&lt;=Calculations!$F$7,A1137&gt;=Calculations!$F$8)),0.2*_xlfn.NORM.DIST(100,100,15,FALSE)*_xlfn.NORM.DIST(A1137,Calculations!$F$3,Calculations!$F$4,FALSE)/_xlfn.NORM.DIST(Calculations!$F$3,Calculations!$F$3,Calculations!$F$4,FALSE),NA())</f>
        <v>#N/A</v>
      </c>
      <c r="M1137" t="e">
        <f>IF(AND(A1137&gt;=Calculations!$F$7,A1137&lt;=Calculations!$F$8),0.2*_xlfn.NORM.DIST(100,100,15,FALSE)*_xlfn.NORM.DIST(A1137,Calculations!$F$3,Calculations!$F$4,FALSE)/_xlfn.NORM.DIST(Calculations!$F$3,Calculations!$F$3,Calculations!$F$4,FALSE),NA())</f>
        <v>#N/A</v>
      </c>
    </row>
    <row r="1138" spans="1:13" x14ac:dyDescent="0.25">
      <c r="A1138">
        <v>153.60000000000201</v>
      </c>
      <c r="B1138" t="e">
        <f t="shared" si="170"/>
        <v>#N/A</v>
      </c>
      <c r="C1138" t="e">
        <f t="shared" si="171"/>
        <v>#N/A</v>
      </c>
      <c r="D1138" t="e">
        <f t="shared" si="172"/>
        <v>#N/A</v>
      </c>
      <c r="E1138" t="e">
        <f t="shared" si="173"/>
        <v>#N/A</v>
      </c>
      <c r="F1138" t="e">
        <f t="shared" si="174"/>
        <v>#N/A</v>
      </c>
      <c r="G1138" t="e">
        <f t="shared" si="175"/>
        <v>#N/A</v>
      </c>
      <c r="H1138" t="e">
        <f t="shared" si="176"/>
        <v>#N/A</v>
      </c>
      <c r="I1138" t="e">
        <f t="shared" si="177"/>
        <v>#N/A</v>
      </c>
      <c r="J1138">
        <f t="shared" si="178"/>
        <v>4.4887810108571431E-5</v>
      </c>
      <c r="K1138">
        <f t="shared" si="179"/>
        <v>2.4488781010857143E-4</v>
      </c>
      <c r="L1138" t="e">
        <f>IF(AND(ABS((ChartCalculations!A1138-Calculations!$F$3)/Calculations!$F$4)&lt;5,OR(A1138&lt;=Calculations!$F$7,A1138&gt;=Calculations!$F$8)),0.2*_xlfn.NORM.DIST(100,100,15,FALSE)*_xlfn.NORM.DIST(A1138,Calculations!$F$3,Calculations!$F$4,FALSE)/_xlfn.NORM.DIST(Calculations!$F$3,Calculations!$F$3,Calculations!$F$4,FALSE),NA())</f>
        <v>#N/A</v>
      </c>
      <c r="M1138" t="e">
        <f>IF(AND(A1138&gt;=Calculations!$F$7,A1138&lt;=Calculations!$F$8),0.2*_xlfn.NORM.DIST(100,100,15,FALSE)*_xlfn.NORM.DIST(A1138,Calculations!$F$3,Calculations!$F$4,FALSE)/_xlfn.NORM.DIST(Calculations!$F$3,Calculations!$F$3,Calculations!$F$4,FALSE),NA())</f>
        <v>#N/A</v>
      </c>
    </row>
    <row r="1139" spans="1:13" x14ac:dyDescent="0.25">
      <c r="A1139">
        <v>153.70000000000201</v>
      </c>
      <c r="B1139" t="e">
        <f t="shared" si="170"/>
        <v>#N/A</v>
      </c>
      <c r="C1139" t="e">
        <f t="shared" si="171"/>
        <v>#N/A</v>
      </c>
      <c r="D1139" t="e">
        <f t="shared" si="172"/>
        <v>#N/A</v>
      </c>
      <c r="E1139" t="e">
        <f t="shared" si="173"/>
        <v>#N/A</v>
      </c>
      <c r="F1139" t="e">
        <f t="shared" si="174"/>
        <v>#N/A</v>
      </c>
      <c r="G1139" t="e">
        <f t="shared" si="175"/>
        <v>#N/A</v>
      </c>
      <c r="H1139" t="e">
        <f t="shared" si="176"/>
        <v>#N/A</v>
      </c>
      <c r="I1139" t="e">
        <f t="shared" si="177"/>
        <v>#N/A</v>
      </c>
      <c r="J1139">
        <f t="shared" si="178"/>
        <v>4.383014504362411E-5</v>
      </c>
      <c r="K1139">
        <f t="shared" si="179"/>
        <v>2.4383014504362411E-4</v>
      </c>
      <c r="L1139" t="e">
        <f>IF(AND(ABS((ChartCalculations!A1139-Calculations!$F$3)/Calculations!$F$4)&lt;5,OR(A1139&lt;=Calculations!$F$7,A1139&gt;=Calculations!$F$8)),0.2*_xlfn.NORM.DIST(100,100,15,FALSE)*_xlfn.NORM.DIST(A1139,Calculations!$F$3,Calculations!$F$4,FALSE)/_xlfn.NORM.DIST(Calculations!$F$3,Calculations!$F$3,Calculations!$F$4,FALSE),NA())</f>
        <v>#N/A</v>
      </c>
      <c r="M1139" t="e">
        <f>IF(AND(A1139&gt;=Calculations!$F$7,A1139&lt;=Calculations!$F$8),0.2*_xlfn.NORM.DIST(100,100,15,FALSE)*_xlfn.NORM.DIST(A1139,Calculations!$F$3,Calculations!$F$4,FALSE)/_xlfn.NORM.DIST(Calculations!$F$3,Calculations!$F$3,Calculations!$F$4,FALSE),NA())</f>
        <v>#N/A</v>
      </c>
    </row>
    <row r="1140" spans="1:13" x14ac:dyDescent="0.25">
      <c r="A1140">
        <v>153.800000000002</v>
      </c>
      <c r="B1140" t="e">
        <f t="shared" si="170"/>
        <v>#N/A</v>
      </c>
      <c r="C1140" t="e">
        <f t="shared" si="171"/>
        <v>#N/A</v>
      </c>
      <c r="D1140" t="e">
        <f t="shared" si="172"/>
        <v>#N/A</v>
      </c>
      <c r="E1140" t="e">
        <f t="shared" si="173"/>
        <v>#N/A</v>
      </c>
      <c r="F1140" t="e">
        <f t="shared" si="174"/>
        <v>#N/A</v>
      </c>
      <c r="G1140" t="e">
        <f t="shared" si="175"/>
        <v>#N/A</v>
      </c>
      <c r="H1140" t="e">
        <f t="shared" si="176"/>
        <v>#N/A</v>
      </c>
      <c r="I1140" t="e">
        <f t="shared" si="177"/>
        <v>#N/A</v>
      </c>
      <c r="J1140">
        <f t="shared" si="178"/>
        <v>4.2795499053997155E-5</v>
      </c>
      <c r="K1140">
        <f t="shared" si="179"/>
        <v>2.4279549905399715E-4</v>
      </c>
      <c r="L1140" t="e">
        <f>IF(AND(ABS((ChartCalculations!A1140-Calculations!$F$3)/Calculations!$F$4)&lt;5,OR(A1140&lt;=Calculations!$F$7,A1140&gt;=Calculations!$F$8)),0.2*_xlfn.NORM.DIST(100,100,15,FALSE)*_xlfn.NORM.DIST(A1140,Calculations!$F$3,Calculations!$F$4,FALSE)/_xlfn.NORM.DIST(Calculations!$F$3,Calculations!$F$3,Calculations!$F$4,FALSE),NA())</f>
        <v>#N/A</v>
      </c>
      <c r="M1140" t="e">
        <f>IF(AND(A1140&gt;=Calculations!$F$7,A1140&lt;=Calculations!$F$8),0.2*_xlfn.NORM.DIST(100,100,15,FALSE)*_xlfn.NORM.DIST(A1140,Calculations!$F$3,Calculations!$F$4,FALSE)/_xlfn.NORM.DIST(Calculations!$F$3,Calculations!$F$3,Calculations!$F$4,FALSE),NA())</f>
        <v>#N/A</v>
      </c>
    </row>
    <row r="1141" spans="1:13" x14ac:dyDescent="0.25">
      <c r="A1141">
        <v>153.900000000002</v>
      </c>
      <c r="B1141" t="e">
        <f t="shared" si="170"/>
        <v>#N/A</v>
      </c>
      <c r="C1141" t="e">
        <f t="shared" si="171"/>
        <v>#N/A</v>
      </c>
      <c r="D1141" t="e">
        <f t="shared" si="172"/>
        <v>#N/A</v>
      </c>
      <c r="E1141" t="e">
        <f t="shared" si="173"/>
        <v>#N/A</v>
      </c>
      <c r="F1141" t="e">
        <f t="shared" si="174"/>
        <v>#N/A</v>
      </c>
      <c r="G1141" t="e">
        <f t="shared" si="175"/>
        <v>#N/A</v>
      </c>
      <c r="H1141" t="e">
        <f t="shared" si="176"/>
        <v>#N/A</v>
      </c>
      <c r="I1141" t="e">
        <f t="shared" si="177"/>
        <v>#N/A</v>
      </c>
      <c r="J1141">
        <f t="shared" si="178"/>
        <v>4.1783419636834704E-5</v>
      </c>
      <c r="K1141">
        <f t="shared" si="179"/>
        <v>2.4178341963683472E-4</v>
      </c>
      <c r="L1141" t="e">
        <f>IF(AND(ABS((ChartCalculations!A1141-Calculations!$F$3)/Calculations!$F$4)&lt;5,OR(A1141&lt;=Calculations!$F$7,A1141&gt;=Calculations!$F$8)),0.2*_xlfn.NORM.DIST(100,100,15,FALSE)*_xlfn.NORM.DIST(A1141,Calculations!$F$3,Calculations!$F$4,FALSE)/_xlfn.NORM.DIST(Calculations!$F$3,Calculations!$F$3,Calculations!$F$4,FALSE),NA())</f>
        <v>#N/A</v>
      </c>
      <c r="M1141" t="e">
        <f>IF(AND(A1141&gt;=Calculations!$F$7,A1141&lt;=Calculations!$F$8),0.2*_xlfn.NORM.DIST(100,100,15,FALSE)*_xlfn.NORM.DIST(A1141,Calculations!$F$3,Calculations!$F$4,FALSE)/_xlfn.NORM.DIST(Calculations!$F$3,Calculations!$F$3,Calculations!$F$4,FALSE),NA())</f>
        <v>#N/A</v>
      </c>
    </row>
    <row r="1142" spans="1:13" x14ac:dyDescent="0.25">
      <c r="A1142">
        <v>154.00000000000199</v>
      </c>
      <c r="B1142" t="e">
        <f t="shared" si="170"/>
        <v>#N/A</v>
      </c>
      <c r="C1142" t="e">
        <f t="shared" si="171"/>
        <v>#N/A</v>
      </c>
      <c r="D1142" t="e">
        <f t="shared" si="172"/>
        <v>#N/A</v>
      </c>
      <c r="E1142" t="e">
        <f t="shared" si="173"/>
        <v>#N/A</v>
      </c>
      <c r="F1142" t="e">
        <f t="shared" si="174"/>
        <v>#N/A</v>
      </c>
      <c r="G1142" t="e">
        <f t="shared" si="175"/>
        <v>#N/A</v>
      </c>
      <c r="H1142" t="e">
        <f t="shared" si="176"/>
        <v>#N/A</v>
      </c>
      <c r="I1142" t="e">
        <f t="shared" si="177"/>
        <v>#N/A</v>
      </c>
      <c r="J1142">
        <f t="shared" si="178"/>
        <v>4.0793462007565377E-5</v>
      </c>
      <c r="K1142">
        <f t="shared" si="179"/>
        <v>2.4079346200756539E-4</v>
      </c>
      <c r="L1142" t="e">
        <f>IF(AND(ABS((ChartCalculations!A1142-Calculations!$F$3)/Calculations!$F$4)&lt;5,OR(A1142&lt;=Calculations!$F$7,A1142&gt;=Calculations!$F$8)),0.2*_xlfn.NORM.DIST(100,100,15,FALSE)*_xlfn.NORM.DIST(A1142,Calculations!$F$3,Calculations!$F$4,FALSE)/_xlfn.NORM.DIST(Calculations!$F$3,Calculations!$F$3,Calculations!$F$4,FALSE),NA())</f>
        <v>#N/A</v>
      </c>
      <c r="M1142" t="e">
        <f>IF(AND(A1142&gt;=Calculations!$F$7,A1142&lt;=Calculations!$F$8),0.2*_xlfn.NORM.DIST(100,100,15,FALSE)*_xlfn.NORM.DIST(A1142,Calculations!$F$3,Calculations!$F$4,FALSE)/_xlfn.NORM.DIST(Calculations!$F$3,Calculations!$F$3,Calculations!$F$4,FALSE),NA())</f>
        <v>#N/A</v>
      </c>
    </row>
    <row r="1143" spans="1:13" x14ac:dyDescent="0.25">
      <c r="A1143">
        <v>154.10000000000201</v>
      </c>
      <c r="B1143" t="e">
        <f t="shared" si="170"/>
        <v>#N/A</v>
      </c>
      <c r="C1143" t="e">
        <f t="shared" si="171"/>
        <v>#N/A</v>
      </c>
      <c r="D1143" t="e">
        <f t="shared" si="172"/>
        <v>#N/A</v>
      </c>
      <c r="E1143" t="e">
        <f t="shared" si="173"/>
        <v>#N/A</v>
      </c>
      <c r="F1143" t="e">
        <f t="shared" si="174"/>
        <v>#N/A</v>
      </c>
      <c r="G1143" t="e">
        <f t="shared" si="175"/>
        <v>#N/A</v>
      </c>
      <c r="H1143" t="e">
        <f t="shared" si="176"/>
        <v>#N/A</v>
      </c>
      <c r="I1143" t="e">
        <f t="shared" si="177"/>
        <v>#N/A</v>
      </c>
      <c r="J1143">
        <f t="shared" si="178"/>
        <v>3.9825188995504589E-5</v>
      </c>
      <c r="K1143">
        <f t="shared" si="179"/>
        <v>2.3982518899550459E-4</v>
      </c>
      <c r="L1143" t="e">
        <f>IF(AND(ABS((ChartCalculations!A1143-Calculations!$F$3)/Calculations!$F$4)&lt;5,OR(A1143&lt;=Calculations!$F$7,A1143&gt;=Calculations!$F$8)),0.2*_xlfn.NORM.DIST(100,100,15,FALSE)*_xlfn.NORM.DIST(A1143,Calculations!$F$3,Calculations!$F$4,FALSE)/_xlfn.NORM.DIST(Calculations!$F$3,Calculations!$F$3,Calculations!$F$4,FALSE),NA())</f>
        <v>#N/A</v>
      </c>
      <c r="M1143" t="e">
        <f>IF(AND(A1143&gt;=Calculations!$F$7,A1143&lt;=Calculations!$F$8),0.2*_xlfn.NORM.DIST(100,100,15,FALSE)*_xlfn.NORM.DIST(A1143,Calculations!$F$3,Calculations!$F$4,FALSE)/_xlfn.NORM.DIST(Calculations!$F$3,Calculations!$F$3,Calculations!$F$4,FALSE),NA())</f>
        <v>#N/A</v>
      </c>
    </row>
    <row r="1144" spans="1:13" x14ac:dyDescent="0.25">
      <c r="A1144">
        <v>154.20000000000201</v>
      </c>
      <c r="B1144" t="e">
        <f t="shared" si="170"/>
        <v>#N/A</v>
      </c>
      <c r="C1144" t="e">
        <f t="shared" si="171"/>
        <v>#N/A</v>
      </c>
      <c r="D1144" t="e">
        <f t="shared" si="172"/>
        <v>#N/A</v>
      </c>
      <c r="E1144" t="e">
        <f t="shared" si="173"/>
        <v>#N/A</v>
      </c>
      <c r="F1144" t="e">
        <f t="shared" si="174"/>
        <v>#N/A</v>
      </c>
      <c r="G1144" t="e">
        <f t="shared" si="175"/>
        <v>#N/A</v>
      </c>
      <c r="H1144" t="e">
        <f t="shared" si="176"/>
        <v>#N/A</v>
      </c>
      <c r="I1144" t="e">
        <f t="shared" si="177"/>
        <v>#N/A</v>
      </c>
      <c r="J1144">
        <f t="shared" si="178"/>
        <v>3.8878170940258628E-5</v>
      </c>
      <c r="K1144">
        <f t="shared" si="179"/>
        <v>2.3887817094025862E-4</v>
      </c>
      <c r="L1144" t="e">
        <f>IF(AND(ABS((ChartCalculations!A1144-Calculations!$F$3)/Calculations!$F$4)&lt;5,OR(A1144&lt;=Calculations!$F$7,A1144&gt;=Calculations!$F$8)),0.2*_xlfn.NORM.DIST(100,100,15,FALSE)*_xlfn.NORM.DIST(A1144,Calculations!$F$3,Calculations!$F$4,FALSE)/_xlfn.NORM.DIST(Calculations!$F$3,Calculations!$F$3,Calculations!$F$4,FALSE),NA())</f>
        <v>#N/A</v>
      </c>
      <c r="M1144" t="e">
        <f>IF(AND(A1144&gt;=Calculations!$F$7,A1144&lt;=Calculations!$F$8),0.2*_xlfn.NORM.DIST(100,100,15,FALSE)*_xlfn.NORM.DIST(A1144,Calculations!$F$3,Calculations!$F$4,FALSE)/_xlfn.NORM.DIST(Calculations!$F$3,Calculations!$F$3,Calculations!$F$4,FALSE),NA())</f>
        <v>#N/A</v>
      </c>
    </row>
    <row r="1145" spans="1:13" x14ac:dyDescent="0.25">
      <c r="A1145">
        <v>154.300000000002</v>
      </c>
      <c r="B1145" t="e">
        <f t="shared" si="170"/>
        <v>#N/A</v>
      </c>
      <c r="C1145" t="e">
        <f t="shared" si="171"/>
        <v>#N/A</v>
      </c>
      <c r="D1145" t="e">
        <f t="shared" si="172"/>
        <v>#N/A</v>
      </c>
      <c r="E1145" t="e">
        <f t="shared" si="173"/>
        <v>#N/A</v>
      </c>
      <c r="F1145" t="e">
        <f t="shared" si="174"/>
        <v>#N/A</v>
      </c>
      <c r="G1145" t="e">
        <f t="shared" si="175"/>
        <v>#N/A</v>
      </c>
      <c r="H1145" t="e">
        <f t="shared" si="176"/>
        <v>#N/A</v>
      </c>
      <c r="I1145" t="e">
        <f t="shared" si="177"/>
        <v>#N/A</v>
      </c>
      <c r="J1145">
        <f t="shared" si="178"/>
        <v>3.7951985588931868E-5</v>
      </c>
      <c r="K1145">
        <f t="shared" si="179"/>
        <v>2.3795198558893189E-4</v>
      </c>
      <c r="L1145" t="e">
        <f>IF(AND(ABS((ChartCalculations!A1145-Calculations!$F$3)/Calculations!$F$4)&lt;5,OR(A1145&lt;=Calculations!$F$7,A1145&gt;=Calculations!$F$8)),0.2*_xlfn.NORM.DIST(100,100,15,FALSE)*_xlfn.NORM.DIST(A1145,Calculations!$F$3,Calculations!$F$4,FALSE)/_xlfn.NORM.DIST(Calculations!$F$3,Calculations!$F$3,Calculations!$F$4,FALSE),NA())</f>
        <v>#N/A</v>
      </c>
      <c r="M1145" t="e">
        <f>IF(AND(A1145&gt;=Calculations!$F$7,A1145&lt;=Calculations!$F$8),0.2*_xlfn.NORM.DIST(100,100,15,FALSE)*_xlfn.NORM.DIST(A1145,Calculations!$F$3,Calculations!$F$4,FALSE)/_xlfn.NORM.DIST(Calculations!$F$3,Calculations!$F$3,Calculations!$F$4,FALSE),NA())</f>
        <v>#N/A</v>
      </c>
    </row>
    <row r="1146" spans="1:13" x14ac:dyDescent="0.25">
      <c r="A1146">
        <v>154.400000000002</v>
      </c>
      <c r="B1146" t="e">
        <f t="shared" si="170"/>
        <v>#N/A</v>
      </c>
      <c r="C1146" t="e">
        <f t="shared" si="171"/>
        <v>#N/A</v>
      </c>
      <c r="D1146" t="e">
        <f t="shared" si="172"/>
        <v>#N/A</v>
      </c>
      <c r="E1146" t="e">
        <f t="shared" si="173"/>
        <v>#N/A</v>
      </c>
      <c r="F1146" t="e">
        <f t="shared" si="174"/>
        <v>#N/A</v>
      </c>
      <c r="G1146" t="e">
        <f t="shared" si="175"/>
        <v>#N/A</v>
      </c>
      <c r="H1146" t="e">
        <f t="shared" si="176"/>
        <v>#N/A</v>
      </c>
      <c r="I1146" t="e">
        <f t="shared" si="177"/>
        <v>#N/A</v>
      </c>
      <c r="J1146">
        <f t="shared" si="178"/>
        <v>3.7046217994154233E-5</v>
      </c>
      <c r="K1146">
        <f t="shared" si="179"/>
        <v>2.3704621799415423E-4</v>
      </c>
      <c r="L1146" t="e">
        <f>IF(AND(ABS((ChartCalculations!A1146-Calculations!$F$3)/Calculations!$F$4)&lt;5,OR(A1146&lt;=Calculations!$F$7,A1146&gt;=Calculations!$F$8)),0.2*_xlfn.NORM.DIST(100,100,15,FALSE)*_xlfn.NORM.DIST(A1146,Calculations!$F$3,Calculations!$F$4,FALSE)/_xlfn.NORM.DIST(Calculations!$F$3,Calculations!$F$3,Calculations!$F$4,FALSE),NA())</f>
        <v>#N/A</v>
      </c>
      <c r="M1146" t="e">
        <f>IF(AND(A1146&gt;=Calculations!$F$7,A1146&lt;=Calculations!$F$8),0.2*_xlfn.NORM.DIST(100,100,15,FALSE)*_xlfn.NORM.DIST(A1146,Calculations!$F$3,Calculations!$F$4,FALSE)/_xlfn.NORM.DIST(Calculations!$F$3,Calculations!$F$3,Calculations!$F$4,FALSE),NA())</f>
        <v>#N/A</v>
      </c>
    </row>
    <row r="1147" spans="1:13" x14ac:dyDescent="0.25">
      <c r="A1147">
        <v>154.50000000000199</v>
      </c>
      <c r="B1147" t="e">
        <f t="shared" si="170"/>
        <v>#N/A</v>
      </c>
      <c r="C1147" t="e">
        <f t="shared" si="171"/>
        <v>#N/A</v>
      </c>
      <c r="D1147" t="e">
        <f t="shared" si="172"/>
        <v>#N/A</v>
      </c>
      <c r="E1147" t="e">
        <f t="shared" si="173"/>
        <v>#N/A</v>
      </c>
      <c r="F1147" t="e">
        <f t="shared" si="174"/>
        <v>#N/A</v>
      </c>
      <c r="G1147" t="e">
        <f t="shared" si="175"/>
        <v>#N/A</v>
      </c>
      <c r="H1147" t="e">
        <f t="shared" si="176"/>
        <v>#N/A</v>
      </c>
      <c r="I1147" t="e">
        <f t="shared" si="177"/>
        <v>#N/A</v>
      </c>
      <c r="J1147">
        <f t="shared" si="178"/>
        <v>3.6160460412929108E-5</v>
      </c>
      <c r="K1147">
        <f t="shared" si="179"/>
        <v>2.3616046041292912E-4</v>
      </c>
      <c r="L1147" t="e">
        <f>IF(AND(ABS((ChartCalculations!A1147-Calculations!$F$3)/Calculations!$F$4)&lt;5,OR(A1147&lt;=Calculations!$F$7,A1147&gt;=Calculations!$F$8)),0.2*_xlfn.NORM.DIST(100,100,15,FALSE)*_xlfn.NORM.DIST(A1147,Calculations!$F$3,Calculations!$F$4,FALSE)/_xlfn.NORM.DIST(Calculations!$F$3,Calculations!$F$3,Calculations!$F$4,FALSE),NA())</f>
        <v>#N/A</v>
      </c>
      <c r="M1147" t="e">
        <f>IF(AND(A1147&gt;=Calculations!$F$7,A1147&lt;=Calculations!$F$8),0.2*_xlfn.NORM.DIST(100,100,15,FALSE)*_xlfn.NORM.DIST(A1147,Calculations!$F$3,Calculations!$F$4,FALSE)/_xlfn.NORM.DIST(Calculations!$F$3,Calculations!$F$3,Calculations!$F$4,FALSE),NA())</f>
        <v>#N/A</v>
      </c>
    </row>
    <row r="1148" spans="1:13" x14ac:dyDescent="0.25">
      <c r="A1148">
        <v>154.60000000000201</v>
      </c>
      <c r="B1148" t="e">
        <f t="shared" si="170"/>
        <v>#N/A</v>
      </c>
      <c r="C1148" t="e">
        <f t="shared" si="171"/>
        <v>#N/A</v>
      </c>
      <c r="D1148" t="e">
        <f t="shared" si="172"/>
        <v>#N/A</v>
      </c>
      <c r="E1148" t="e">
        <f t="shared" si="173"/>
        <v>#N/A</v>
      </c>
      <c r="F1148" t="e">
        <f t="shared" si="174"/>
        <v>#N/A</v>
      </c>
      <c r="G1148" t="e">
        <f t="shared" si="175"/>
        <v>#N/A</v>
      </c>
      <c r="H1148" t="e">
        <f t="shared" si="176"/>
        <v>#N/A</v>
      </c>
      <c r="I1148" t="e">
        <f t="shared" si="177"/>
        <v>#N/A</v>
      </c>
      <c r="J1148">
        <f t="shared" si="178"/>
        <v>3.5294312206311738E-5</v>
      </c>
      <c r="K1148">
        <f t="shared" si="179"/>
        <v>2.3529431220631173E-4</v>
      </c>
      <c r="L1148" t="e">
        <f>IF(AND(ABS((ChartCalculations!A1148-Calculations!$F$3)/Calculations!$F$4)&lt;5,OR(A1148&lt;=Calculations!$F$7,A1148&gt;=Calculations!$F$8)),0.2*_xlfn.NORM.DIST(100,100,15,FALSE)*_xlfn.NORM.DIST(A1148,Calculations!$F$3,Calculations!$F$4,FALSE)/_xlfn.NORM.DIST(Calculations!$F$3,Calculations!$F$3,Calculations!$F$4,FALSE),NA())</f>
        <v>#N/A</v>
      </c>
      <c r="M1148" t="e">
        <f>IF(AND(A1148&gt;=Calculations!$F$7,A1148&lt;=Calculations!$F$8),0.2*_xlfn.NORM.DIST(100,100,15,FALSE)*_xlfn.NORM.DIST(A1148,Calculations!$F$3,Calculations!$F$4,FALSE)/_xlfn.NORM.DIST(Calculations!$F$3,Calculations!$F$3,Calculations!$F$4,FALSE),NA())</f>
        <v>#N/A</v>
      </c>
    </row>
    <row r="1149" spans="1:13" x14ac:dyDescent="0.25">
      <c r="A1149">
        <v>154.70000000000201</v>
      </c>
      <c r="B1149" t="e">
        <f t="shared" si="170"/>
        <v>#N/A</v>
      </c>
      <c r="C1149" t="e">
        <f t="shared" si="171"/>
        <v>#N/A</v>
      </c>
      <c r="D1149" t="e">
        <f t="shared" si="172"/>
        <v>#N/A</v>
      </c>
      <c r="E1149" t="e">
        <f t="shared" si="173"/>
        <v>#N/A</v>
      </c>
      <c r="F1149" t="e">
        <f t="shared" si="174"/>
        <v>#N/A</v>
      </c>
      <c r="G1149" t="e">
        <f t="shared" si="175"/>
        <v>#N/A</v>
      </c>
      <c r="H1149" t="e">
        <f t="shared" si="176"/>
        <v>#N/A</v>
      </c>
      <c r="I1149" t="e">
        <f t="shared" si="177"/>
        <v>#N/A</v>
      </c>
      <c r="J1149">
        <f t="shared" si="178"/>
        <v>3.4447379739925822E-5</v>
      </c>
      <c r="K1149">
        <f t="shared" si="179"/>
        <v>2.3444737973992582E-4</v>
      </c>
      <c r="L1149" t="e">
        <f>IF(AND(ABS((ChartCalculations!A1149-Calculations!$F$3)/Calculations!$F$4)&lt;5,OR(A1149&lt;=Calculations!$F$7,A1149&gt;=Calculations!$F$8)),0.2*_xlfn.NORM.DIST(100,100,15,FALSE)*_xlfn.NORM.DIST(A1149,Calculations!$F$3,Calculations!$F$4,FALSE)/_xlfn.NORM.DIST(Calculations!$F$3,Calculations!$F$3,Calculations!$F$4,FALSE),NA())</f>
        <v>#N/A</v>
      </c>
      <c r="M1149" t="e">
        <f>IF(AND(A1149&gt;=Calculations!$F$7,A1149&lt;=Calculations!$F$8),0.2*_xlfn.NORM.DIST(100,100,15,FALSE)*_xlfn.NORM.DIST(A1149,Calculations!$F$3,Calculations!$F$4,FALSE)/_xlfn.NORM.DIST(Calculations!$F$3,Calculations!$F$3,Calculations!$F$4,FALSE),NA())</f>
        <v>#N/A</v>
      </c>
    </row>
    <row r="1150" spans="1:13" x14ac:dyDescent="0.25">
      <c r="A1150">
        <v>154.800000000002</v>
      </c>
      <c r="B1150" t="e">
        <f t="shared" si="170"/>
        <v>#N/A</v>
      </c>
      <c r="C1150" t="e">
        <f t="shared" si="171"/>
        <v>#N/A</v>
      </c>
      <c r="D1150" t="e">
        <f t="shared" si="172"/>
        <v>#N/A</v>
      </c>
      <c r="E1150" t="e">
        <f t="shared" si="173"/>
        <v>#N/A</v>
      </c>
      <c r="F1150" t="e">
        <f t="shared" si="174"/>
        <v>#N/A</v>
      </c>
      <c r="G1150" t="e">
        <f t="shared" si="175"/>
        <v>#N/A</v>
      </c>
      <c r="H1150" t="e">
        <f t="shared" si="176"/>
        <v>#N/A</v>
      </c>
      <c r="I1150" t="e">
        <f t="shared" si="177"/>
        <v>#N/A</v>
      </c>
      <c r="J1150">
        <f t="shared" si="178"/>
        <v>3.3619276285320202E-5</v>
      </c>
      <c r="K1150">
        <f t="shared" si="179"/>
        <v>2.3361927628532021E-4</v>
      </c>
      <c r="L1150" t="e">
        <f>IF(AND(ABS((ChartCalculations!A1150-Calculations!$F$3)/Calculations!$F$4)&lt;5,OR(A1150&lt;=Calculations!$F$7,A1150&gt;=Calculations!$F$8)),0.2*_xlfn.NORM.DIST(100,100,15,FALSE)*_xlfn.NORM.DIST(A1150,Calculations!$F$3,Calculations!$F$4,FALSE)/_xlfn.NORM.DIST(Calculations!$F$3,Calculations!$F$3,Calculations!$F$4,FALSE),NA())</f>
        <v>#N/A</v>
      </c>
      <c r="M1150" t="e">
        <f>IF(AND(A1150&gt;=Calculations!$F$7,A1150&lt;=Calculations!$F$8),0.2*_xlfn.NORM.DIST(100,100,15,FALSE)*_xlfn.NORM.DIST(A1150,Calculations!$F$3,Calculations!$F$4,FALSE)/_xlfn.NORM.DIST(Calculations!$F$3,Calculations!$F$3,Calculations!$F$4,FALSE),NA())</f>
        <v>#N/A</v>
      </c>
    </row>
    <row r="1151" spans="1:13" x14ac:dyDescent="0.25">
      <c r="A1151">
        <v>154.900000000002</v>
      </c>
      <c r="B1151" t="e">
        <f t="shared" si="170"/>
        <v>#N/A</v>
      </c>
      <c r="C1151" t="e">
        <f t="shared" si="171"/>
        <v>#N/A</v>
      </c>
      <c r="D1151" t="e">
        <f t="shared" si="172"/>
        <v>#N/A</v>
      </c>
      <c r="E1151" t="e">
        <f t="shared" si="173"/>
        <v>#N/A</v>
      </c>
      <c r="F1151" t="e">
        <f t="shared" si="174"/>
        <v>#N/A</v>
      </c>
      <c r="G1151" t="e">
        <f t="shared" si="175"/>
        <v>#N/A</v>
      </c>
      <c r="H1151" t="e">
        <f t="shared" si="176"/>
        <v>#N/A</v>
      </c>
      <c r="I1151" t="e">
        <f t="shared" si="177"/>
        <v>#N/A</v>
      </c>
      <c r="J1151">
        <f t="shared" si="178"/>
        <v>3.2809621922176936E-5</v>
      </c>
      <c r="K1151">
        <f t="shared" si="179"/>
        <v>2.3280962192217695E-4</v>
      </c>
      <c r="L1151" t="e">
        <f>IF(AND(ABS((ChartCalculations!A1151-Calculations!$F$3)/Calculations!$F$4)&lt;5,OR(A1151&lt;=Calculations!$F$7,A1151&gt;=Calculations!$F$8)),0.2*_xlfn.NORM.DIST(100,100,15,FALSE)*_xlfn.NORM.DIST(A1151,Calculations!$F$3,Calculations!$F$4,FALSE)/_xlfn.NORM.DIST(Calculations!$F$3,Calculations!$F$3,Calculations!$F$4,FALSE),NA())</f>
        <v>#N/A</v>
      </c>
      <c r="M1151" t="e">
        <f>IF(AND(A1151&gt;=Calculations!$F$7,A1151&lt;=Calculations!$F$8),0.2*_xlfn.NORM.DIST(100,100,15,FALSE)*_xlfn.NORM.DIST(A1151,Calculations!$F$3,Calculations!$F$4,FALSE)/_xlfn.NORM.DIST(Calculations!$F$3,Calculations!$F$3,Calculations!$F$4,FALSE),NA())</f>
        <v>#N/A</v>
      </c>
    </row>
    <row r="1152" spans="1:13" x14ac:dyDescent="0.25">
      <c r="A1152">
        <v>155.00000000000199</v>
      </c>
      <c r="B1152" t="e">
        <f t="shared" si="170"/>
        <v>#N/A</v>
      </c>
      <c r="C1152" t="e">
        <f t="shared" si="171"/>
        <v>#N/A</v>
      </c>
      <c r="D1152" t="e">
        <f t="shared" si="172"/>
        <v>#N/A</v>
      </c>
      <c r="E1152" t="e">
        <f t="shared" si="173"/>
        <v>#N/A</v>
      </c>
      <c r="F1152" t="e">
        <f t="shared" si="174"/>
        <v>#N/A</v>
      </c>
      <c r="G1152" t="e">
        <f t="shared" si="175"/>
        <v>#N/A</v>
      </c>
      <c r="H1152" t="e">
        <f t="shared" si="176"/>
        <v>#N/A</v>
      </c>
      <c r="I1152" t="e">
        <f t="shared" si="177"/>
        <v>#N/A</v>
      </c>
      <c r="J1152">
        <f t="shared" si="178"/>
        <v>3.2018043441372465E-5</v>
      </c>
      <c r="K1152">
        <f t="shared" si="179"/>
        <v>2.3201804344137247E-4</v>
      </c>
      <c r="L1152" t="e">
        <f>IF(AND(ABS((ChartCalculations!A1152-Calculations!$F$3)/Calculations!$F$4)&lt;5,OR(A1152&lt;=Calculations!$F$7,A1152&gt;=Calculations!$F$8)),0.2*_xlfn.NORM.DIST(100,100,15,FALSE)*_xlfn.NORM.DIST(A1152,Calculations!$F$3,Calculations!$F$4,FALSE)/_xlfn.NORM.DIST(Calculations!$F$3,Calculations!$F$3,Calculations!$F$4,FALSE),NA())</f>
        <v>#N/A</v>
      </c>
      <c r="M1152" t="e">
        <f>IF(AND(A1152&gt;=Calculations!$F$7,A1152&lt;=Calculations!$F$8),0.2*_xlfn.NORM.DIST(100,100,15,FALSE)*_xlfn.NORM.DIST(A1152,Calculations!$F$3,Calculations!$F$4,FALSE)/_xlfn.NORM.DIST(Calculations!$F$3,Calculations!$F$3,Calculations!$F$4,FALSE),NA())</f>
        <v>#N/A</v>
      </c>
    </row>
    <row r="1153" spans="1:13" x14ac:dyDescent="0.25">
      <c r="A1153">
        <v>155.10000000000201</v>
      </c>
      <c r="B1153" t="e">
        <f t="shared" si="170"/>
        <v>#N/A</v>
      </c>
      <c r="C1153" t="e">
        <f t="shared" si="171"/>
        <v>#N/A</v>
      </c>
      <c r="D1153" t="e">
        <f t="shared" si="172"/>
        <v>#N/A</v>
      </c>
      <c r="E1153" t="e">
        <f t="shared" si="173"/>
        <v>#N/A</v>
      </c>
      <c r="F1153" t="e">
        <f t="shared" si="174"/>
        <v>#N/A</v>
      </c>
      <c r="G1153" t="e">
        <f t="shared" si="175"/>
        <v>#N/A</v>
      </c>
      <c r="H1153" t="e">
        <f t="shared" si="176"/>
        <v>#N/A</v>
      </c>
      <c r="I1153" t="e">
        <f t="shared" si="177"/>
        <v>#N/A</v>
      </c>
      <c r="J1153">
        <f t="shared" si="178"/>
        <v>3.1244174248897491E-5</v>
      </c>
      <c r="K1153">
        <f t="shared" si="179"/>
        <v>2.3124417424889751E-4</v>
      </c>
      <c r="L1153" t="e">
        <f>IF(AND(ABS((ChartCalculations!A1153-Calculations!$F$3)/Calculations!$F$4)&lt;5,OR(A1153&lt;=Calculations!$F$7,A1153&gt;=Calculations!$F$8)),0.2*_xlfn.NORM.DIST(100,100,15,FALSE)*_xlfn.NORM.DIST(A1153,Calculations!$F$3,Calculations!$F$4,FALSE)/_xlfn.NORM.DIST(Calculations!$F$3,Calculations!$F$3,Calculations!$F$4,FALSE),NA())</f>
        <v>#N/A</v>
      </c>
      <c r="M1153" t="e">
        <f>IF(AND(A1153&gt;=Calculations!$F$7,A1153&lt;=Calculations!$F$8),0.2*_xlfn.NORM.DIST(100,100,15,FALSE)*_xlfn.NORM.DIST(A1153,Calculations!$F$3,Calculations!$F$4,FALSE)/_xlfn.NORM.DIST(Calculations!$F$3,Calculations!$F$3,Calculations!$F$4,FALSE),NA())</f>
        <v>#N/A</v>
      </c>
    </row>
    <row r="1154" spans="1:13" x14ac:dyDescent="0.25">
      <c r="A1154">
        <v>155.20000000000201</v>
      </c>
      <c r="B1154" t="e">
        <f t="shared" si="170"/>
        <v>#N/A</v>
      </c>
      <c r="C1154" t="e">
        <f t="shared" si="171"/>
        <v>#N/A</v>
      </c>
      <c r="D1154" t="e">
        <f t="shared" si="172"/>
        <v>#N/A</v>
      </c>
      <c r="E1154" t="e">
        <f t="shared" si="173"/>
        <v>#N/A</v>
      </c>
      <c r="F1154" t="e">
        <f t="shared" si="174"/>
        <v>#N/A</v>
      </c>
      <c r="G1154" t="e">
        <f t="shared" si="175"/>
        <v>#N/A</v>
      </c>
      <c r="H1154" t="e">
        <f t="shared" si="176"/>
        <v>#N/A</v>
      </c>
      <c r="I1154" t="e">
        <f t="shared" si="177"/>
        <v>#N/A</v>
      </c>
      <c r="J1154">
        <f t="shared" si="178"/>
        <v>3.0487654270642114E-5</v>
      </c>
      <c r="K1154">
        <f t="shared" si="179"/>
        <v>2.3048765427064212E-4</v>
      </c>
      <c r="L1154" t="e">
        <f>IF(AND(ABS((ChartCalculations!A1154-Calculations!$F$3)/Calculations!$F$4)&lt;5,OR(A1154&lt;=Calculations!$F$7,A1154&gt;=Calculations!$F$8)),0.2*_xlfn.NORM.DIST(100,100,15,FALSE)*_xlfn.NORM.DIST(A1154,Calculations!$F$3,Calculations!$F$4,FALSE)/_xlfn.NORM.DIST(Calculations!$F$3,Calculations!$F$3,Calculations!$F$4,FALSE),NA())</f>
        <v>#N/A</v>
      </c>
      <c r="M1154" t="e">
        <f>IF(AND(A1154&gt;=Calculations!$F$7,A1154&lt;=Calculations!$F$8),0.2*_xlfn.NORM.DIST(100,100,15,FALSE)*_xlfn.NORM.DIST(A1154,Calculations!$F$3,Calculations!$F$4,FALSE)/_xlfn.NORM.DIST(Calculations!$F$3,Calculations!$F$3,Calculations!$F$4,FALSE),NA())</f>
        <v>#N/A</v>
      </c>
    </row>
    <row r="1155" spans="1:13" x14ac:dyDescent="0.25">
      <c r="A1155">
        <v>155.300000000002</v>
      </c>
      <c r="B1155" t="e">
        <f t="shared" ref="B1155:B1202" si="180">IF($A1155&lt;=60,_xlfn.NORM.DIST($A1155,100,15,FALSE),NA())</f>
        <v>#N/A</v>
      </c>
      <c r="C1155" t="e">
        <f t="shared" ref="C1155:C1202" si="181">IF(AND($A1155&gt;=60,$A1155&lt;=70),_xlfn.NORM.DIST($A1155,100,15,FALSE),NA())</f>
        <v>#N/A</v>
      </c>
      <c r="D1155" t="e">
        <f t="shared" ref="D1155:D1202" si="182">IF(AND($A1155&gt;=70,$A1155&lt;=80),_xlfn.NORM.DIST($A1155,100,15,FALSE),NA())</f>
        <v>#N/A</v>
      </c>
      <c r="E1155" t="e">
        <f t="shared" ref="E1155:E1202" si="183">IF(AND($A1155&gt;=80,$A1155&lt;=90),_xlfn.NORM.DIST($A1155,100,15,FALSE),NA())</f>
        <v>#N/A</v>
      </c>
      <c r="F1155" t="e">
        <f t="shared" ref="F1155:F1202" si="184">IF(AND($A1155&gt;=90,$A1155&lt;=110),_xlfn.NORM.DIST($A1155,100,15,FALSE),NA())</f>
        <v>#N/A</v>
      </c>
      <c r="G1155" t="e">
        <f t="shared" ref="G1155:G1202" si="185">IF(AND($A1155&gt;=110,$A1155&lt;=120),_xlfn.NORM.DIST($A1155,100,15,FALSE),NA())</f>
        <v>#N/A</v>
      </c>
      <c r="H1155" t="e">
        <f t="shared" ref="H1155:H1202" si="186">IF(AND($A1155&gt;=120,$A1155&lt;=130),_xlfn.NORM.DIST($A1155,100,15,FALSE),NA())</f>
        <v>#N/A</v>
      </c>
      <c r="I1155" t="e">
        <f t="shared" ref="I1155:I1202" si="187">IF(AND($A1155&gt;=130,$A1155&lt;=140),_xlfn.NORM.DIST($A1155,100,15,FALSE),NA())</f>
        <v>#N/A</v>
      </c>
      <c r="J1155">
        <f t="shared" ref="J1155:J1202" si="188">IF($A1155&gt;=140,_xlfn.NORM.DIST($A1155,100,15,FALSE),NA())</f>
        <v>2.9748129858046524E-5</v>
      </c>
      <c r="K1155">
        <f t="shared" ref="K1155:K1202" si="189">_xlfn.NORM.DIST($A1155,100,15,FALSE)+0.0002</f>
        <v>2.2974812985804654E-4</v>
      </c>
      <c r="L1155" t="e">
        <f>IF(AND(ABS((ChartCalculations!A1155-Calculations!$F$3)/Calculations!$F$4)&lt;5,OR(A1155&lt;=Calculations!$F$7,A1155&gt;=Calculations!$F$8)),0.2*_xlfn.NORM.DIST(100,100,15,FALSE)*_xlfn.NORM.DIST(A1155,Calculations!$F$3,Calculations!$F$4,FALSE)/_xlfn.NORM.DIST(Calculations!$F$3,Calculations!$F$3,Calculations!$F$4,FALSE),NA())</f>
        <v>#N/A</v>
      </c>
      <c r="M1155" t="e">
        <f>IF(AND(A1155&gt;=Calculations!$F$7,A1155&lt;=Calculations!$F$8),0.2*_xlfn.NORM.DIST(100,100,15,FALSE)*_xlfn.NORM.DIST(A1155,Calculations!$F$3,Calculations!$F$4,FALSE)/_xlfn.NORM.DIST(Calculations!$F$3,Calculations!$F$3,Calculations!$F$4,FALSE),NA())</f>
        <v>#N/A</v>
      </c>
    </row>
    <row r="1156" spans="1:13" x14ac:dyDescent="0.25">
      <c r="A1156">
        <v>155.400000000002</v>
      </c>
      <c r="B1156" t="e">
        <f t="shared" si="180"/>
        <v>#N/A</v>
      </c>
      <c r="C1156" t="e">
        <f t="shared" si="181"/>
        <v>#N/A</v>
      </c>
      <c r="D1156" t="e">
        <f t="shared" si="182"/>
        <v>#N/A</v>
      </c>
      <c r="E1156" t="e">
        <f t="shared" si="183"/>
        <v>#N/A</v>
      </c>
      <c r="F1156" t="e">
        <f t="shared" si="184"/>
        <v>#N/A</v>
      </c>
      <c r="G1156" t="e">
        <f t="shared" si="185"/>
        <v>#N/A</v>
      </c>
      <c r="H1156" t="e">
        <f t="shared" si="186"/>
        <v>#N/A</v>
      </c>
      <c r="I1156" t="e">
        <f t="shared" si="187"/>
        <v>#N/A</v>
      </c>
      <c r="J1156">
        <f t="shared" si="188"/>
        <v>2.9025253694625963E-5</v>
      </c>
      <c r="K1156">
        <f t="shared" si="189"/>
        <v>2.2902525369462596E-4</v>
      </c>
      <c r="L1156" t="e">
        <f>IF(AND(ABS((ChartCalculations!A1156-Calculations!$F$3)/Calculations!$F$4)&lt;5,OR(A1156&lt;=Calculations!$F$7,A1156&gt;=Calculations!$F$8)),0.2*_xlfn.NORM.DIST(100,100,15,FALSE)*_xlfn.NORM.DIST(A1156,Calculations!$F$3,Calculations!$F$4,FALSE)/_xlfn.NORM.DIST(Calculations!$F$3,Calculations!$F$3,Calculations!$F$4,FALSE),NA())</f>
        <v>#N/A</v>
      </c>
      <c r="M1156" t="e">
        <f>IF(AND(A1156&gt;=Calculations!$F$7,A1156&lt;=Calculations!$F$8),0.2*_xlfn.NORM.DIST(100,100,15,FALSE)*_xlfn.NORM.DIST(A1156,Calculations!$F$3,Calculations!$F$4,FALSE)/_xlfn.NORM.DIST(Calculations!$F$3,Calculations!$F$3,Calculations!$F$4,FALSE),NA())</f>
        <v>#N/A</v>
      </c>
    </row>
    <row r="1157" spans="1:13" x14ac:dyDescent="0.25">
      <c r="A1157">
        <v>155.50000000000199</v>
      </c>
      <c r="B1157" t="e">
        <f t="shared" si="180"/>
        <v>#N/A</v>
      </c>
      <c r="C1157" t="e">
        <f t="shared" si="181"/>
        <v>#N/A</v>
      </c>
      <c r="D1157" t="e">
        <f t="shared" si="182"/>
        <v>#N/A</v>
      </c>
      <c r="E1157" t="e">
        <f t="shared" si="183"/>
        <v>#N/A</v>
      </c>
      <c r="F1157" t="e">
        <f t="shared" si="184"/>
        <v>#N/A</v>
      </c>
      <c r="G1157" t="e">
        <f t="shared" si="185"/>
        <v>#N/A</v>
      </c>
      <c r="H1157" t="e">
        <f t="shared" si="186"/>
        <v>#N/A</v>
      </c>
      <c r="I1157" t="e">
        <f t="shared" si="187"/>
        <v>#N/A</v>
      </c>
      <c r="J1157">
        <f t="shared" si="188"/>
        <v>2.8318684703369569E-5</v>
      </c>
      <c r="K1157">
        <f t="shared" si="189"/>
        <v>2.2831868470336958E-4</v>
      </c>
      <c r="L1157" t="e">
        <f>IF(AND(ABS((ChartCalculations!A1157-Calculations!$F$3)/Calculations!$F$4)&lt;5,OR(A1157&lt;=Calculations!$F$7,A1157&gt;=Calculations!$F$8)),0.2*_xlfn.NORM.DIST(100,100,15,FALSE)*_xlfn.NORM.DIST(A1157,Calculations!$F$3,Calculations!$F$4,FALSE)/_xlfn.NORM.DIST(Calculations!$F$3,Calculations!$F$3,Calculations!$F$4,FALSE),NA())</f>
        <v>#N/A</v>
      </c>
      <c r="M1157" t="e">
        <f>IF(AND(A1157&gt;=Calculations!$F$7,A1157&lt;=Calculations!$F$8),0.2*_xlfn.NORM.DIST(100,100,15,FALSE)*_xlfn.NORM.DIST(A1157,Calculations!$F$3,Calculations!$F$4,FALSE)/_xlfn.NORM.DIST(Calculations!$F$3,Calculations!$F$3,Calculations!$F$4,FALSE),NA())</f>
        <v>#N/A</v>
      </c>
    </row>
    <row r="1158" spans="1:13" x14ac:dyDescent="0.25">
      <c r="A1158">
        <v>155.60000000000201</v>
      </c>
      <c r="B1158" t="e">
        <f t="shared" si="180"/>
        <v>#N/A</v>
      </c>
      <c r="C1158" t="e">
        <f t="shared" si="181"/>
        <v>#N/A</v>
      </c>
      <c r="D1158" t="e">
        <f t="shared" si="182"/>
        <v>#N/A</v>
      </c>
      <c r="E1158" t="e">
        <f t="shared" si="183"/>
        <v>#N/A</v>
      </c>
      <c r="F1158" t="e">
        <f t="shared" si="184"/>
        <v>#N/A</v>
      </c>
      <c r="G1158" t="e">
        <f t="shared" si="185"/>
        <v>#N/A</v>
      </c>
      <c r="H1158" t="e">
        <f t="shared" si="186"/>
        <v>#N/A</v>
      </c>
      <c r="I1158" t="e">
        <f t="shared" si="187"/>
        <v>#N/A</v>
      </c>
      <c r="J1158">
        <f t="shared" si="188"/>
        <v>2.7628087955018483E-5</v>
      </c>
      <c r="K1158">
        <f t="shared" si="189"/>
        <v>2.276280879550185E-4</v>
      </c>
      <c r="L1158" t="e">
        <f>IF(AND(ABS((ChartCalculations!A1158-Calculations!$F$3)/Calculations!$F$4)&lt;5,OR(A1158&lt;=Calculations!$F$7,A1158&gt;=Calculations!$F$8)),0.2*_xlfn.NORM.DIST(100,100,15,FALSE)*_xlfn.NORM.DIST(A1158,Calculations!$F$3,Calculations!$F$4,FALSE)/_xlfn.NORM.DIST(Calculations!$F$3,Calculations!$F$3,Calculations!$F$4,FALSE),NA())</f>
        <v>#N/A</v>
      </c>
      <c r="M1158" t="e">
        <f>IF(AND(A1158&gt;=Calculations!$F$7,A1158&lt;=Calculations!$F$8),0.2*_xlfn.NORM.DIST(100,100,15,FALSE)*_xlfn.NORM.DIST(A1158,Calculations!$F$3,Calculations!$F$4,FALSE)/_xlfn.NORM.DIST(Calculations!$F$3,Calculations!$F$3,Calculations!$F$4,FALSE),NA())</f>
        <v>#N/A</v>
      </c>
    </row>
    <row r="1159" spans="1:13" x14ac:dyDescent="0.25">
      <c r="A1159">
        <v>155.70000000000201</v>
      </c>
      <c r="B1159" t="e">
        <f t="shared" si="180"/>
        <v>#N/A</v>
      </c>
      <c r="C1159" t="e">
        <f t="shared" si="181"/>
        <v>#N/A</v>
      </c>
      <c r="D1159" t="e">
        <f t="shared" si="182"/>
        <v>#N/A</v>
      </c>
      <c r="E1159" t="e">
        <f t="shared" si="183"/>
        <v>#N/A</v>
      </c>
      <c r="F1159" t="e">
        <f t="shared" si="184"/>
        <v>#N/A</v>
      </c>
      <c r="G1159" t="e">
        <f t="shared" si="185"/>
        <v>#N/A</v>
      </c>
      <c r="H1159" t="e">
        <f t="shared" si="186"/>
        <v>#N/A</v>
      </c>
      <c r="I1159" t="e">
        <f t="shared" si="187"/>
        <v>#N/A</v>
      </c>
      <c r="J1159">
        <f t="shared" si="188"/>
        <v>2.6953134577225538E-5</v>
      </c>
      <c r="K1159">
        <f t="shared" si="189"/>
        <v>2.2695313457722554E-4</v>
      </c>
      <c r="L1159" t="e">
        <f>IF(AND(ABS((ChartCalculations!A1159-Calculations!$F$3)/Calculations!$F$4)&lt;5,OR(A1159&lt;=Calculations!$F$7,A1159&gt;=Calculations!$F$8)),0.2*_xlfn.NORM.DIST(100,100,15,FALSE)*_xlfn.NORM.DIST(A1159,Calculations!$F$3,Calculations!$F$4,FALSE)/_xlfn.NORM.DIST(Calculations!$F$3,Calculations!$F$3,Calculations!$F$4,FALSE),NA())</f>
        <v>#N/A</v>
      </c>
      <c r="M1159" t="e">
        <f>IF(AND(A1159&gt;=Calculations!$F$7,A1159&lt;=Calculations!$F$8),0.2*_xlfn.NORM.DIST(100,100,15,FALSE)*_xlfn.NORM.DIST(A1159,Calculations!$F$3,Calculations!$F$4,FALSE)/_xlfn.NORM.DIST(Calculations!$F$3,Calculations!$F$3,Calculations!$F$4,FALSE),NA())</f>
        <v>#N/A</v>
      </c>
    </row>
    <row r="1160" spans="1:13" x14ac:dyDescent="0.25">
      <c r="A1160">
        <v>155.800000000002</v>
      </c>
      <c r="B1160" t="e">
        <f t="shared" si="180"/>
        <v>#N/A</v>
      </c>
      <c r="C1160" t="e">
        <f t="shared" si="181"/>
        <v>#N/A</v>
      </c>
      <c r="D1160" t="e">
        <f t="shared" si="182"/>
        <v>#N/A</v>
      </c>
      <c r="E1160" t="e">
        <f t="shared" si="183"/>
        <v>#N/A</v>
      </c>
      <c r="F1160" t="e">
        <f t="shared" si="184"/>
        <v>#N/A</v>
      </c>
      <c r="G1160" t="e">
        <f t="shared" si="185"/>
        <v>#N/A</v>
      </c>
      <c r="H1160" t="e">
        <f t="shared" si="186"/>
        <v>#N/A</v>
      </c>
      <c r="I1160" t="e">
        <f t="shared" si="187"/>
        <v>#N/A</v>
      </c>
      <c r="J1160">
        <f t="shared" si="188"/>
        <v>2.6293501664597389E-5</v>
      </c>
      <c r="K1160">
        <f t="shared" si="189"/>
        <v>2.2629350166459739E-4</v>
      </c>
      <c r="L1160" t="e">
        <f>IF(AND(ABS((ChartCalculations!A1160-Calculations!$F$3)/Calculations!$F$4)&lt;5,OR(A1160&lt;=Calculations!$F$7,A1160&gt;=Calculations!$F$8)),0.2*_xlfn.NORM.DIST(100,100,15,FALSE)*_xlfn.NORM.DIST(A1160,Calculations!$F$3,Calculations!$F$4,FALSE)/_xlfn.NORM.DIST(Calculations!$F$3,Calculations!$F$3,Calculations!$F$4,FALSE),NA())</f>
        <v>#N/A</v>
      </c>
      <c r="M1160" t="e">
        <f>IF(AND(A1160&gt;=Calculations!$F$7,A1160&lt;=Calculations!$F$8),0.2*_xlfn.NORM.DIST(100,100,15,FALSE)*_xlfn.NORM.DIST(A1160,Calculations!$F$3,Calculations!$F$4,FALSE)/_xlfn.NORM.DIST(Calculations!$F$3,Calculations!$F$3,Calculations!$F$4,FALSE),NA())</f>
        <v>#N/A</v>
      </c>
    </row>
    <row r="1161" spans="1:13" x14ac:dyDescent="0.25">
      <c r="A1161">
        <v>155.900000000002</v>
      </c>
      <c r="B1161" t="e">
        <f t="shared" si="180"/>
        <v>#N/A</v>
      </c>
      <c r="C1161" t="e">
        <f t="shared" si="181"/>
        <v>#N/A</v>
      </c>
      <c r="D1161" t="e">
        <f t="shared" si="182"/>
        <v>#N/A</v>
      </c>
      <c r="E1161" t="e">
        <f t="shared" si="183"/>
        <v>#N/A</v>
      </c>
      <c r="F1161" t="e">
        <f t="shared" si="184"/>
        <v>#N/A</v>
      </c>
      <c r="G1161" t="e">
        <f t="shared" si="185"/>
        <v>#N/A</v>
      </c>
      <c r="H1161" t="e">
        <f t="shared" si="186"/>
        <v>#N/A</v>
      </c>
      <c r="I1161" t="e">
        <f t="shared" si="187"/>
        <v>#N/A</v>
      </c>
      <c r="J1161">
        <f t="shared" si="188"/>
        <v>2.56488721896242E-5</v>
      </c>
      <c r="K1161">
        <f t="shared" si="189"/>
        <v>2.2564887218962421E-4</v>
      </c>
      <c r="L1161" t="e">
        <f>IF(AND(ABS((ChartCalculations!A1161-Calculations!$F$3)/Calculations!$F$4)&lt;5,OR(A1161&lt;=Calculations!$F$7,A1161&gt;=Calculations!$F$8)),0.2*_xlfn.NORM.DIST(100,100,15,FALSE)*_xlfn.NORM.DIST(A1161,Calculations!$F$3,Calculations!$F$4,FALSE)/_xlfn.NORM.DIST(Calculations!$F$3,Calculations!$F$3,Calculations!$F$4,FALSE),NA())</f>
        <v>#N/A</v>
      </c>
      <c r="M1161" t="e">
        <f>IF(AND(A1161&gt;=Calculations!$F$7,A1161&lt;=Calculations!$F$8),0.2*_xlfn.NORM.DIST(100,100,15,FALSE)*_xlfn.NORM.DIST(A1161,Calculations!$F$3,Calculations!$F$4,FALSE)/_xlfn.NORM.DIST(Calculations!$F$3,Calculations!$F$3,Calculations!$F$4,FALSE),NA())</f>
        <v>#N/A</v>
      </c>
    </row>
    <row r="1162" spans="1:13" x14ac:dyDescent="0.25">
      <c r="A1162">
        <v>156.00000000000199</v>
      </c>
      <c r="B1162" t="e">
        <f t="shared" si="180"/>
        <v>#N/A</v>
      </c>
      <c r="C1162" t="e">
        <f t="shared" si="181"/>
        <v>#N/A</v>
      </c>
      <c r="D1162" t="e">
        <f t="shared" si="182"/>
        <v>#N/A</v>
      </c>
      <c r="E1162" t="e">
        <f t="shared" si="183"/>
        <v>#N/A</v>
      </c>
      <c r="F1162" t="e">
        <f t="shared" si="184"/>
        <v>#N/A</v>
      </c>
      <c r="G1162" t="e">
        <f t="shared" si="185"/>
        <v>#N/A</v>
      </c>
      <c r="H1162" t="e">
        <f t="shared" si="186"/>
        <v>#N/A</v>
      </c>
      <c r="I1162" t="e">
        <f t="shared" si="187"/>
        <v>#N/A</v>
      </c>
      <c r="J1162">
        <f t="shared" si="188"/>
        <v>2.501893491449627E-5</v>
      </c>
      <c r="K1162">
        <f t="shared" si="189"/>
        <v>2.2501893491449628E-4</v>
      </c>
      <c r="L1162" t="e">
        <f>IF(AND(ABS((ChartCalculations!A1162-Calculations!$F$3)/Calculations!$F$4)&lt;5,OR(A1162&lt;=Calculations!$F$7,A1162&gt;=Calculations!$F$8)),0.2*_xlfn.NORM.DIST(100,100,15,FALSE)*_xlfn.NORM.DIST(A1162,Calculations!$F$3,Calculations!$F$4,FALSE)/_xlfn.NORM.DIST(Calculations!$F$3,Calculations!$F$3,Calculations!$F$4,FALSE),NA())</f>
        <v>#N/A</v>
      </c>
      <c r="M1162" t="e">
        <f>IF(AND(A1162&gt;=Calculations!$F$7,A1162&lt;=Calculations!$F$8),0.2*_xlfn.NORM.DIST(100,100,15,FALSE)*_xlfn.NORM.DIST(A1162,Calculations!$F$3,Calculations!$F$4,FALSE)/_xlfn.NORM.DIST(Calculations!$F$3,Calculations!$F$3,Calculations!$F$4,FALSE),NA())</f>
        <v>#N/A</v>
      </c>
    </row>
    <row r="1163" spans="1:13" x14ac:dyDescent="0.25">
      <c r="A1163">
        <v>156.10000000000201</v>
      </c>
      <c r="B1163" t="e">
        <f t="shared" si="180"/>
        <v>#N/A</v>
      </c>
      <c r="C1163" t="e">
        <f t="shared" si="181"/>
        <v>#N/A</v>
      </c>
      <c r="D1163" t="e">
        <f t="shared" si="182"/>
        <v>#N/A</v>
      </c>
      <c r="E1163" t="e">
        <f t="shared" si="183"/>
        <v>#N/A</v>
      </c>
      <c r="F1163" t="e">
        <f t="shared" si="184"/>
        <v>#N/A</v>
      </c>
      <c r="G1163" t="e">
        <f t="shared" si="185"/>
        <v>#N/A</v>
      </c>
      <c r="H1163" t="e">
        <f t="shared" si="186"/>
        <v>#N/A</v>
      </c>
      <c r="I1163" t="e">
        <f t="shared" si="187"/>
        <v>#N/A</v>
      </c>
      <c r="J1163">
        <f t="shared" si="188"/>
        <v>2.4403384303810109E-5</v>
      </c>
      <c r="K1163">
        <f t="shared" si="189"/>
        <v>2.2440338430381013E-4</v>
      </c>
      <c r="L1163" t="e">
        <f>IF(AND(ABS((ChartCalculations!A1163-Calculations!$F$3)/Calculations!$F$4)&lt;5,OR(A1163&lt;=Calculations!$F$7,A1163&gt;=Calculations!$F$8)),0.2*_xlfn.NORM.DIST(100,100,15,FALSE)*_xlfn.NORM.DIST(A1163,Calculations!$F$3,Calculations!$F$4,FALSE)/_xlfn.NORM.DIST(Calculations!$F$3,Calculations!$F$3,Calculations!$F$4,FALSE),NA())</f>
        <v>#N/A</v>
      </c>
      <c r="M1163" t="e">
        <f>IF(AND(A1163&gt;=Calculations!$F$7,A1163&lt;=Calculations!$F$8),0.2*_xlfn.NORM.DIST(100,100,15,FALSE)*_xlfn.NORM.DIST(A1163,Calculations!$F$3,Calculations!$F$4,FALSE)/_xlfn.NORM.DIST(Calculations!$F$3,Calculations!$F$3,Calculations!$F$4,FALSE),NA())</f>
        <v>#N/A</v>
      </c>
    </row>
    <row r="1164" spans="1:13" x14ac:dyDescent="0.25">
      <c r="A1164">
        <v>156.20000000000201</v>
      </c>
      <c r="B1164" t="e">
        <f t="shared" si="180"/>
        <v>#N/A</v>
      </c>
      <c r="C1164" t="e">
        <f t="shared" si="181"/>
        <v>#N/A</v>
      </c>
      <c r="D1164" t="e">
        <f t="shared" si="182"/>
        <v>#N/A</v>
      </c>
      <c r="E1164" t="e">
        <f t="shared" si="183"/>
        <v>#N/A</v>
      </c>
      <c r="F1164" t="e">
        <f t="shared" si="184"/>
        <v>#N/A</v>
      </c>
      <c r="G1164" t="e">
        <f t="shared" si="185"/>
        <v>#N/A</v>
      </c>
      <c r="H1164" t="e">
        <f t="shared" si="186"/>
        <v>#N/A</v>
      </c>
      <c r="I1164" t="e">
        <f t="shared" si="187"/>
        <v>#N/A</v>
      </c>
      <c r="J1164">
        <f t="shared" si="188"/>
        <v>2.3801920438165537E-5</v>
      </c>
      <c r="K1164">
        <f t="shared" si="189"/>
        <v>2.2380192043816555E-4</v>
      </c>
      <c r="L1164" t="e">
        <f>IF(AND(ABS((ChartCalculations!A1164-Calculations!$F$3)/Calculations!$F$4)&lt;5,OR(A1164&lt;=Calculations!$F$7,A1164&gt;=Calculations!$F$8)),0.2*_xlfn.NORM.DIST(100,100,15,FALSE)*_xlfn.NORM.DIST(A1164,Calculations!$F$3,Calculations!$F$4,FALSE)/_xlfn.NORM.DIST(Calculations!$F$3,Calculations!$F$3,Calculations!$F$4,FALSE),NA())</f>
        <v>#N/A</v>
      </c>
      <c r="M1164" t="e">
        <f>IF(AND(A1164&gt;=Calculations!$F$7,A1164&lt;=Calculations!$F$8),0.2*_xlfn.NORM.DIST(100,100,15,FALSE)*_xlfn.NORM.DIST(A1164,Calculations!$F$3,Calculations!$F$4,FALSE)/_xlfn.NORM.DIST(Calculations!$F$3,Calculations!$F$3,Calculations!$F$4,FALSE),NA())</f>
        <v>#N/A</v>
      </c>
    </row>
    <row r="1165" spans="1:13" x14ac:dyDescent="0.25">
      <c r="A1165">
        <v>156.300000000002</v>
      </c>
      <c r="B1165" t="e">
        <f t="shared" si="180"/>
        <v>#N/A</v>
      </c>
      <c r="C1165" t="e">
        <f t="shared" si="181"/>
        <v>#N/A</v>
      </c>
      <c r="D1165" t="e">
        <f t="shared" si="182"/>
        <v>#N/A</v>
      </c>
      <c r="E1165" t="e">
        <f t="shared" si="183"/>
        <v>#N/A</v>
      </c>
      <c r="F1165" t="e">
        <f t="shared" si="184"/>
        <v>#N/A</v>
      </c>
      <c r="G1165" t="e">
        <f t="shared" si="185"/>
        <v>#N/A</v>
      </c>
      <c r="H1165" t="e">
        <f t="shared" si="186"/>
        <v>#N/A</v>
      </c>
      <c r="I1165" t="e">
        <f t="shared" si="187"/>
        <v>#N/A</v>
      </c>
      <c r="J1165">
        <f t="shared" si="188"/>
        <v>2.3214248928652592E-5</v>
      </c>
      <c r="K1165">
        <f t="shared" si="189"/>
        <v>2.232142489286526E-4</v>
      </c>
      <c r="L1165" t="e">
        <f>IF(AND(ABS((ChartCalculations!A1165-Calculations!$F$3)/Calculations!$F$4)&lt;5,OR(A1165&lt;=Calculations!$F$7,A1165&gt;=Calculations!$F$8)),0.2*_xlfn.NORM.DIST(100,100,15,FALSE)*_xlfn.NORM.DIST(A1165,Calculations!$F$3,Calculations!$F$4,FALSE)/_xlfn.NORM.DIST(Calculations!$F$3,Calculations!$F$3,Calculations!$F$4,FALSE),NA())</f>
        <v>#N/A</v>
      </c>
      <c r="M1165" t="e">
        <f>IF(AND(A1165&gt;=Calculations!$F$7,A1165&lt;=Calculations!$F$8),0.2*_xlfn.NORM.DIST(100,100,15,FALSE)*_xlfn.NORM.DIST(A1165,Calculations!$F$3,Calculations!$F$4,FALSE)/_xlfn.NORM.DIST(Calculations!$F$3,Calculations!$F$3,Calculations!$F$4,FALSE),NA())</f>
        <v>#N/A</v>
      </c>
    </row>
    <row r="1166" spans="1:13" x14ac:dyDescent="0.25">
      <c r="A1166">
        <v>156.400000000002</v>
      </c>
      <c r="B1166" t="e">
        <f t="shared" si="180"/>
        <v>#N/A</v>
      </c>
      <c r="C1166" t="e">
        <f t="shared" si="181"/>
        <v>#N/A</v>
      </c>
      <c r="D1166" t="e">
        <f t="shared" si="182"/>
        <v>#N/A</v>
      </c>
      <c r="E1166" t="e">
        <f t="shared" si="183"/>
        <v>#N/A</v>
      </c>
      <c r="F1166" t="e">
        <f t="shared" si="184"/>
        <v>#N/A</v>
      </c>
      <c r="G1166" t="e">
        <f t="shared" si="185"/>
        <v>#N/A</v>
      </c>
      <c r="H1166" t="e">
        <f t="shared" si="186"/>
        <v>#N/A</v>
      </c>
      <c r="I1166" t="e">
        <f t="shared" si="187"/>
        <v>#N/A</v>
      </c>
      <c r="J1166">
        <f t="shared" si="188"/>
        <v>2.2640080832232313E-5</v>
      </c>
      <c r="K1166">
        <f t="shared" si="189"/>
        <v>2.2264008083223232E-4</v>
      </c>
      <c r="L1166" t="e">
        <f>IF(AND(ABS((ChartCalculations!A1166-Calculations!$F$3)/Calculations!$F$4)&lt;5,OR(A1166&lt;=Calculations!$F$7,A1166&gt;=Calculations!$F$8)),0.2*_xlfn.NORM.DIST(100,100,15,FALSE)*_xlfn.NORM.DIST(A1166,Calculations!$F$3,Calculations!$F$4,FALSE)/_xlfn.NORM.DIST(Calculations!$F$3,Calculations!$F$3,Calculations!$F$4,FALSE),NA())</f>
        <v>#N/A</v>
      </c>
      <c r="M1166" t="e">
        <f>IF(AND(A1166&gt;=Calculations!$F$7,A1166&lt;=Calculations!$F$8),0.2*_xlfn.NORM.DIST(100,100,15,FALSE)*_xlfn.NORM.DIST(A1166,Calculations!$F$3,Calculations!$F$4,FALSE)/_xlfn.NORM.DIST(Calculations!$F$3,Calculations!$F$3,Calculations!$F$4,FALSE),NA())</f>
        <v>#N/A</v>
      </c>
    </row>
    <row r="1167" spans="1:13" x14ac:dyDescent="0.25">
      <c r="A1167">
        <v>156.50000000000199</v>
      </c>
      <c r="B1167" t="e">
        <f t="shared" si="180"/>
        <v>#N/A</v>
      </c>
      <c r="C1167" t="e">
        <f t="shared" si="181"/>
        <v>#N/A</v>
      </c>
      <c r="D1167" t="e">
        <f t="shared" si="182"/>
        <v>#N/A</v>
      </c>
      <c r="E1167" t="e">
        <f t="shared" si="183"/>
        <v>#N/A</v>
      </c>
      <c r="F1167" t="e">
        <f t="shared" si="184"/>
        <v>#N/A</v>
      </c>
      <c r="G1167" t="e">
        <f t="shared" si="185"/>
        <v>#N/A</v>
      </c>
      <c r="H1167" t="e">
        <f t="shared" si="186"/>
        <v>#N/A</v>
      </c>
      <c r="I1167" t="e">
        <f t="shared" si="187"/>
        <v>#N/A</v>
      </c>
      <c r="J1167">
        <f t="shared" si="188"/>
        <v>2.2079132568008464E-5</v>
      </c>
      <c r="K1167">
        <f t="shared" si="189"/>
        <v>2.2207913256800846E-4</v>
      </c>
      <c r="L1167" t="e">
        <f>IF(AND(ABS((ChartCalculations!A1167-Calculations!$F$3)/Calculations!$F$4)&lt;5,OR(A1167&lt;=Calculations!$F$7,A1167&gt;=Calculations!$F$8)),0.2*_xlfn.NORM.DIST(100,100,15,FALSE)*_xlfn.NORM.DIST(A1167,Calculations!$F$3,Calculations!$F$4,FALSE)/_xlfn.NORM.DIST(Calculations!$F$3,Calculations!$F$3,Calculations!$F$4,FALSE),NA())</f>
        <v>#N/A</v>
      </c>
      <c r="M1167" t="e">
        <f>IF(AND(A1167&gt;=Calculations!$F$7,A1167&lt;=Calculations!$F$8),0.2*_xlfn.NORM.DIST(100,100,15,FALSE)*_xlfn.NORM.DIST(A1167,Calculations!$F$3,Calculations!$F$4,FALSE)/_xlfn.NORM.DIST(Calculations!$F$3,Calculations!$F$3,Calculations!$F$4,FALSE),NA())</f>
        <v>#N/A</v>
      </c>
    </row>
    <row r="1168" spans="1:13" x14ac:dyDescent="0.25">
      <c r="A1168">
        <v>156.60000000000201</v>
      </c>
      <c r="B1168" t="e">
        <f t="shared" si="180"/>
        <v>#N/A</v>
      </c>
      <c r="C1168" t="e">
        <f t="shared" si="181"/>
        <v>#N/A</v>
      </c>
      <c r="D1168" t="e">
        <f t="shared" si="182"/>
        <v>#N/A</v>
      </c>
      <c r="E1168" t="e">
        <f t="shared" si="183"/>
        <v>#N/A</v>
      </c>
      <c r="F1168" t="e">
        <f t="shared" si="184"/>
        <v>#N/A</v>
      </c>
      <c r="G1168" t="e">
        <f t="shared" si="185"/>
        <v>#N/A</v>
      </c>
      <c r="H1168" t="e">
        <f t="shared" si="186"/>
        <v>#N/A</v>
      </c>
      <c r="I1168" t="e">
        <f t="shared" si="187"/>
        <v>#N/A</v>
      </c>
      <c r="J1168">
        <f t="shared" si="188"/>
        <v>2.1531125834391881E-5</v>
      </c>
      <c r="K1168">
        <f t="shared" si="189"/>
        <v>2.2153112583439189E-4</v>
      </c>
      <c r="L1168" t="e">
        <f>IF(AND(ABS((ChartCalculations!A1168-Calculations!$F$3)/Calculations!$F$4)&lt;5,OR(A1168&lt;=Calculations!$F$7,A1168&gt;=Calculations!$F$8)),0.2*_xlfn.NORM.DIST(100,100,15,FALSE)*_xlfn.NORM.DIST(A1168,Calculations!$F$3,Calculations!$F$4,FALSE)/_xlfn.NORM.DIST(Calculations!$F$3,Calculations!$F$3,Calculations!$F$4,FALSE),NA())</f>
        <v>#N/A</v>
      </c>
      <c r="M1168" t="e">
        <f>IF(AND(A1168&gt;=Calculations!$F$7,A1168&lt;=Calculations!$F$8),0.2*_xlfn.NORM.DIST(100,100,15,FALSE)*_xlfn.NORM.DIST(A1168,Calculations!$F$3,Calculations!$F$4,FALSE)/_xlfn.NORM.DIST(Calculations!$F$3,Calculations!$F$3,Calculations!$F$4,FALSE),NA())</f>
        <v>#N/A</v>
      </c>
    </row>
    <row r="1169" spans="1:13" x14ac:dyDescent="0.25">
      <c r="A1169">
        <v>156.70000000000201</v>
      </c>
      <c r="B1169" t="e">
        <f t="shared" si="180"/>
        <v>#N/A</v>
      </c>
      <c r="C1169" t="e">
        <f t="shared" si="181"/>
        <v>#N/A</v>
      </c>
      <c r="D1169" t="e">
        <f t="shared" si="182"/>
        <v>#N/A</v>
      </c>
      <c r="E1169" t="e">
        <f t="shared" si="183"/>
        <v>#N/A</v>
      </c>
      <c r="F1169" t="e">
        <f t="shared" si="184"/>
        <v>#N/A</v>
      </c>
      <c r="G1169" t="e">
        <f t="shared" si="185"/>
        <v>#N/A</v>
      </c>
      <c r="H1169" t="e">
        <f t="shared" si="186"/>
        <v>#N/A</v>
      </c>
      <c r="I1169" t="e">
        <f t="shared" si="187"/>
        <v>#N/A</v>
      </c>
      <c r="J1169">
        <f t="shared" si="188"/>
        <v>2.0995787527157491E-5</v>
      </c>
      <c r="K1169">
        <f t="shared" si="189"/>
        <v>2.2099578752715751E-4</v>
      </c>
      <c r="L1169" t="e">
        <f>IF(AND(ABS((ChartCalculations!A1169-Calculations!$F$3)/Calculations!$F$4)&lt;5,OR(A1169&lt;=Calculations!$F$7,A1169&gt;=Calculations!$F$8)),0.2*_xlfn.NORM.DIST(100,100,15,FALSE)*_xlfn.NORM.DIST(A1169,Calculations!$F$3,Calculations!$F$4,FALSE)/_xlfn.NORM.DIST(Calculations!$F$3,Calculations!$F$3,Calculations!$F$4,FALSE),NA())</f>
        <v>#N/A</v>
      </c>
      <c r="M1169" t="e">
        <f>IF(AND(A1169&gt;=Calculations!$F$7,A1169&lt;=Calculations!$F$8),0.2*_xlfn.NORM.DIST(100,100,15,FALSE)*_xlfn.NORM.DIST(A1169,Calculations!$F$3,Calculations!$F$4,FALSE)/_xlfn.NORM.DIST(Calculations!$F$3,Calculations!$F$3,Calculations!$F$4,FALSE),NA())</f>
        <v>#N/A</v>
      </c>
    </row>
    <row r="1170" spans="1:13" x14ac:dyDescent="0.25">
      <c r="A1170">
        <v>156.800000000002</v>
      </c>
      <c r="B1170" t="e">
        <f t="shared" si="180"/>
        <v>#N/A</v>
      </c>
      <c r="C1170" t="e">
        <f t="shared" si="181"/>
        <v>#N/A</v>
      </c>
      <c r="D1170" t="e">
        <f t="shared" si="182"/>
        <v>#N/A</v>
      </c>
      <c r="E1170" t="e">
        <f t="shared" si="183"/>
        <v>#N/A</v>
      </c>
      <c r="F1170" t="e">
        <f t="shared" si="184"/>
        <v>#N/A</v>
      </c>
      <c r="G1170" t="e">
        <f t="shared" si="185"/>
        <v>#N/A</v>
      </c>
      <c r="H1170" t="e">
        <f t="shared" si="186"/>
        <v>#N/A</v>
      </c>
      <c r="I1170" t="e">
        <f t="shared" si="187"/>
        <v>#N/A</v>
      </c>
      <c r="J1170">
        <f t="shared" si="188"/>
        <v>2.047284965839136E-5</v>
      </c>
      <c r="K1170">
        <f t="shared" si="189"/>
        <v>2.2047284965839137E-4</v>
      </c>
      <c r="L1170" t="e">
        <f>IF(AND(ABS((ChartCalculations!A1170-Calculations!$F$3)/Calculations!$F$4)&lt;5,OR(A1170&lt;=Calculations!$F$7,A1170&gt;=Calculations!$F$8)),0.2*_xlfn.NORM.DIST(100,100,15,FALSE)*_xlfn.NORM.DIST(A1170,Calculations!$F$3,Calculations!$F$4,FALSE)/_xlfn.NORM.DIST(Calculations!$F$3,Calculations!$F$3,Calculations!$F$4,FALSE),NA())</f>
        <v>#N/A</v>
      </c>
      <c r="M1170" t="e">
        <f>IF(AND(A1170&gt;=Calculations!$F$7,A1170&lt;=Calculations!$F$8),0.2*_xlfn.NORM.DIST(100,100,15,FALSE)*_xlfn.NORM.DIST(A1170,Calculations!$F$3,Calculations!$F$4,FALSE)/_xlfn.NORM.DIST(Calculations!$F$3,Calculations!$F$3,Calculations!$F$4,FALSE),NA())</f>
        <v>#N/A</v>
      </c>
    </row>
    <row r="1171" spans="1:13" x14ac:dyDescent="0.25">
      <c r="A1171">
        <v>156.900000000002</v>
      </c>
      <c r="B1171" t="e">
        <f t="shared" si="180"/>
        <v>#N/A</v>
      </c>
      <c r="C1171" t="e">
        <f t="shared" si="181"/>
        <v>#N/A</v>
      </c>
      <c r="D1171" t="e">
        <f t="shared" si="182"/>
        <v>#N/A</v>
      </c>
      <c r="E1171" t="e">
        <f t="shared" si="183"/>
        <v>#N/A</v>
      </c>
      <c r="F1171" t="e">
        <f t="shared" si="184"/>
        <v>#N/A</v>
      </c>
      <c r="G1171" t="e">
        <f t="shared" si="185"/>
        <v>#N/A</v>
      </c>
      <c r="H1171" t="e">
        <f t="shared" si="186"/>
        <v>#N/A</v>
      </c>
      <c r="I1171" t="e">
        <f t="shared" si="187"/>
        <v>#N/A</v>
      </c>
      <c r="J1171">
        <f t="shared" si="188"/>
        <v>1.9962049276329747E-5</v>
      </c>
      <c r="K1171">
        <f t="shared" si="189"/>
        <v>2.1996204927632977E-4</v>
      </c>
      <c r="L1171" t="e">
        <f>IF(AND(ABS((ChartCalculations!A1171-Calculations!$F$3)/Calculations!$F$4)&lt;5,OR(A1171&lt;=Calculations!$F$7,A1171&gt;=Calculations!$F$8)),0.2*_xlfn.NORM.DIST(100,100,15,FALSE)*_xlfn.NORM.DIST(A1171,Calculations!$F$3,Calculations!$F$4,FALSE)/_xlfn.NORM.DIST(Calculations!$F$3,Calculations!$F$3,Calculations!$F$4,FALSE),NA())</f>
        <v>#N/A</v>
      </c>
      <c r="M1171" t="e">
        <f>IF(AND(A1171&gt;=Calculations!$F$7,A1171&lt;=Calculations!$F$8),0.2*_xlfn.NORM.DIST(100,100,15,FALSE)*_xlfn.NORM.DIST(A1171,Calculations!$F$3,Calculations!$F$4,FALSE)/_xlfn.NORM.DIST(Calculations!$F$3,Calculations!$F$3,Calculations!$F$4,FALSE),NA())</f>
        <v>#N/A</v>
      </c>
    </row>
    <row r="1172" spans="1:13" x14ac:dyDescent="0.25">
      <c r="A1172">
        <v>157.00000000000199</v>
      </c>
      <c r="B1172" t="e">
        <f t="shared" si="180"/>
        <v>#N/A</v>
      </c>
      <c r="C1172" t="e">
        <f t="shared" si="181"/>
        <v>#N/A</v>
      </c>
      <c r="D1172" t="e">
        <f t="shared" si="182"/>
        <v>#N/A</v>
      </c>
      <c r="E1172" t="e">
        <f t="shared" si="183"/>
        <v>#N/A</v>
      </c>
      <c r="F1172" t="e">
        <f t="shared" si="184"/>
        <v>#N/A</v>
      </c>
      <c r="G1172" t="e">
        <f t="shared" si="185"/>
        <v>#N/A</v>
      </c>
      <c r="H1172" t="e">
        <f t="shared" si="186"/>
        <v>#N/A</v>
      </c>
      <c r="I1172" t="e">
        <f t="shared" si="187"/>
        <v>#N/A</v>
      </c>
      <c r="J1172">
        <f t="shared" si="188"/>
        <v>1.9463128386087534E-5</v>
      </c>
      <c r="K1172">
        <f t="shared" si="189"/>
        <v>2.1946312838608755E-4</v>
      </c>
      <c r="L1172" t="e">
        <f>IF(AND(ABS((ChartCalculations!A1172-Calculations!$F$3)/Calculations!$F$4)&lt;5,OR(A1172&lt;=Calculations!$F$7,A1172&gt;=Calculations!$F$8)),0.2*_xlfn.NORM.DIST(100,100,15,FALSE)*_xlfn.NORM.DIST(A1172,Calculations!$F$3,Calculations!$F$4,FALSE)/_xlfn.NORM.DIST(Calculations!$F$3,Calculations!$F$3,Calculations!$F$4,FALSE),NA())</f>
        <v>#N/A</v>
      </c>
      <c r="M1172" t="e">
        <f>IF(AND(A1172&gt;=Calculations!$F$7,A1172&lt;=Calculations!$F$8),0.2*_xlfn.NORM.DIST(100,100,15,FALSE)*_xlfn.NORM.DIST(A1172,Calculations!$F$3,Calculations!$F$4,FALSE)/_xlfn.NORM.DIST(Calculations!$F$3,Calculations!$F$3,Calculations!$F$4,FALSE),NA())</f>
        <v>#N/A</v>
      </c>
    </row>
    <row r="1173" spans="1:13" x14ac:dyDescent="0.25">
      <c r="A1173">
        <v>157.10000000000201</v>
      </c>
      <c r="B1173" t="e">
        <f t="shared" si="180"/>
        <v>#N/A</v>
      </c>
      <c r="C1173" t="e">
        <f t="shared" si="181"/>
        <v>#N/A</v>
      </c>
      <c r="D1173" t="e">
        <f t="shared" si="182"/>
        <v>#N/A</v>
      </c>
      <c r="E1173" t="e">
        <f t="shared" si="183"/>
        <v>#N/A</v>
      </c>
      <c r="F1173" t="e">
        <f t="shared" si="184"/>
        <v>#N/A</v>
      </c>
      <c r="G1173" t="e">
        <f t="shared" si="185"/>
        <v>#N/A</v>
      </c>
      <c r="H1173" t="e">
        <f t="shared" si="186"/>
        <v>#N/A</v>
      </c>
      <c r="I1173" t="e">
        <f t="shared" si="187"/>
        <v>#N/A</v>
      </c>
      <c r="J1173">
        <f t="shared" si="188"/>
        <v>1.8975833871274538E-5</v>
      </c>
      <c r="K1173">
        <f t="shared" si="189"/>
        <v>2.1897583387127454E-4</v>
      </c>
      <c r="L1173" t="e">
        <f>IF(AND(ABS((ChartCalculations!A1173-Calculations!$F$3)/Calculations!$F$4)&lt;5,OR(A1173&lt;=Calculations!$F$7,A1173&gt;=Calculations!$F$8)),0.2*_xlfn.NORM.DIST(100,100,15,FALSE)*_xlfn.NORM.DIST(A1173,Calculations!$F$3,Calculations!$F$4,FALSE)/_xlfn.NORM.DIST(Calculations!$F$3,Calculations!$F$3,Calculations!$F$4,FALSE),NA())</f>
        <v>#N/A</v>
      </c>
      <c r="M1173" t="e">
        <f>IF(AND(A1173&gt;=Calculations!$F$7,A1173&lt;=Calculations!$F$8),0.2*_xlfn.NORM.DIST(100,100,15,FALSE)*_xlfn.NORM.DIST(A1173,Calculations!$F$3,Calculations!$F$4,FALSE)/_xlfn.NORM.DIST(Calculations!$F$3,Calculations!$F$3,Calculations!$F$4,FALSE),NA())</f>
        <v>#N/A</v>
      </c>
    </row>
    <row r="1174" spans="1:13" x14ac:dyDescent="0.25">
      <c r="A1174">
        <v>157.20000000000201</v>
      </c>
      <c r="B1174" t="e">
        <f t="shared" si="180"/>
        <v>#N/A</v>
      </c>
      <c r="C1174" t="e">
        <f t="shared" si="181"/>
        <v>#N/A</v>
      </c>
      <c r="D1174" t="e">
        <f t="shared" si="182"/>
        <v>#N/A</v>
      </c>
      <c r="E1174" t="e">
        <f t="shared" si="183"/>
        <v>#N/A</v>
      </c>
      <c r="F1174" t="e">
        <f t="shared" si="184"/>
        <v>#N/A</v>
      </c>
      <c r="G1174" t="e">
        <f t="shared" si="185"/>
        <v>#N/A</v>
      </c>
      <c r="H1174" t="e">
        <f t="shared" si="186"/>
        <v>#N/A</v>
      </c>
      <c r="I1174" t="e">
        <f t="shared" si="187"/>
        <v>#N/A</v>
      </c>
      <c r="J1174">
        <f t="shared" si="188"/>
        <v>1.8499917416499692E-5</v>
      </c>
      <c r="K1174">
        <f t="shared" si="189"/>
        <v>2.1849991741649971E-4</v>
      </c>
      <c r="L1174" t="e">
        <f>IF(AND(ABS((ChartCalculations!A1174-Calculations!$F$3)/Calculations!$F$4)&lt;5,OR(A1174&lt;=Calculations!$F$7,A1174&gt;=Calculations!$F$8)),0.2*_xlfn.NORM.DIST(100,100,15,FALSE)*_xlfn.NORM.DIST(A1174,Calculations!$F$3,Calculations!$F$4,FALSE)/_xlfn.NORM.DIST(Calculations!$F$3,Calculations!$F$3,Calculations!$F$4,FALSE),NA())</f>
        <v>#N/A</v>
      </c>
      <c r="M1174" t="e">
        <f>IF(AND(A1174&gt;=Calculations!$F$7,A1174&lt;=Calculations!$F$8),0.2*_xlfn.NORM.DIST(100,100,15,FALSE)*_xlfn.NORM.DIST(A1174,Calculations!$F$3,Calculations!$F$4,FALSE)/_xlfn.NORM.DIST(Calculations!$F$3,Calculations!$F$3,Calculations!$F$4,FALSE),NA())</f>
        <v>#N/A</v>
      </c>
    </row>
    <row r="1175" spans="1:13" x14ac:dyDescent="0.25">
      <c r="A1175">
        <v>157.300000000002</v>
      </c>
      <c r="B1175" t="e">
        <f t="shared" si="180"/>
        <v>#N/A</v>
      </c>
      <c r="C1175" t="e">
        <f t="shared" si="181"/>
        <v>#N/A</v>
      </c>
      <c r="D1175" t="e">
        <f t="shared" si="182"/>
        <v>#N/A</v>
      </c>
      <c r="E1175" t="e">
        <f t="shared" si="183"/>
        <v>#N/A</v>
      </c>
      <c r="F1175" t="e">
        <f t="shared" si="184"/>
        <v>#N/A</v>
      </c>
      <c r="G1175" t="e">
        <f t="shared" si="185"/>
        <v>#N/A</v>
      </c>
      <c r="H1175" t="e">
        <f t="shared" si="186"/>
        <v>#N/A</v>
      </c>
      <c r="I1175" t="e">
        <f t="shared" si="187"/>
        <v>#N/A</v>
      </c>
      <c r="J1175">
        <f t="shared" si="188"/>
        <v>1.8035135430758872E-5</v>
      </c>
      <c r="K1175">
        <f t="shared" si="189"/>
        <v>2.1803513543075889E-4</v>
      </c>
      <c r="L1175" t="e">
        <f>IF(AND(ABS((ChartCalculations!A1175-Calculations!$F$3)/Calculations!$F$4)&lt;5,OR(A1175&lt;=Calculations!$F$7,A1175&gt;=Calculations!$F$8)),0.2*_xlfn.NORM.DIST(100,100,15,FALSE)*_xlfn.NORM.DIST(A1175,Calculations!$F$3,Calculations!$F$4,FALSE)/_xlfn.NORM.DIST(Calculations!$F$3,Calculations!$F$3,Calculations!$F$4,FALSE),NA())</f>
        <v>#N/A</v>
      </c>
      <c r="M1175" t="e">
        <f>IF(AND(A1175&gt;=Calculations!$F$7,A1175&lt;=Calculations!$F$8),0.2*_xlfn.NORM.DIST(100,100,15,FALSE)*_xlfn.NORM.DIST(A1175,Calculations!$F$3,Calculations!$F$4,FALSE)/_xlfn.NORM.DIST(Calculations!$F$3,Calculations!$F$3,Calculations!$F$4,FALSE),NA())</f>
        <v>#N/A</v>
      </c>
    </row>
    <row r="1176" spans="1:13" x14ac:dyDescent="0.25">
      <c r="A1176">
        <v>157.400000000002</v>
      </c>
      <c r="B1176" t="e">
        <f t="shared" si="180"/>
        <v>#N/A</v>
      </c>
      <c r="C1176" t="e">
        <f t="shared" si="181"/>
        <v>#N/A</v>
      </c>
      <c r="D1176" t="e">
        <f t="shared" si="182"/>
        <v>#N/A</v>
      </c>
      <c r="E1176" t="e">
        <f t="shared" si="183"/>
        <v>#N/A</v>
      </c>
      <c r="F1176" t="e">
        <f t="shared" si="184"/>
        <v>#N/A</v>
      </c>
      <c r="G1176" t="e">
        <f t="shared" si="185"/>
        <v>#N/A</v>
      </c>
      <c r="H1176" t="e">
        <f t="shared" si="186"/>
        <v>#N/A</v>
      </c>
      <c r="I1176" t="e">
        <f t="shared" si="187"/>
        <v>#N/A</v>
      </c>
      <c r="J1176">
        <f t="shared" si="188"/>
        <v>1.758124897170723E-5</v>
      </c>
      <c r="K1176">
        <f t="shared" si="189"/>
        <v>2.1758124897170724E-4</v>
      </c>
      <c r="L1176" t="e">
        <f>IF(AND(ABS((ChartCalculations!A1176-Calculations!$F$3)/Calculations!$F$4)&lt;5,OR(A1176&lt;=Calculations!$F$7,A1176&gt;=Calculations!$F$8)),0.2*_xlfn.NORM.DIST(100,100,15,FALSE)*_xlfn.NORM.DIST(A1176,Calculations!$F$3,Calculations!$F$4,FALSE)/_xlfn.NORM.DIST(Calculations!$F$3,Calculations!$F$3,Calculations!$F$4,FALSE),NA())</f>
        <v>#N/A</v>
      </c>
      <c r="M1176" t="e">
        <f>IF(AND(A1176&gt;=Calculations!$F$7,A1176&lt;=Calculations!$F$8),0.2*_xlfn.NORM.DIST(100,100,15,FALSE)*_xlfn.NORM.DIST(A1176,Calculations!$F$3,Calculations!$F$4,FALSE)/_xlfn.NORM.DIST(Calculations!$F$3,Calculations!$F$3,Calculations!$F$4,FALSE),NA())</f>
        <v>#N/A</v>
      </c>
    </row>
    <row r="1177" spans="1:13" x14ac:dyDescent="0.25">
      <c r="A1177">
        <v>157.50000000000199</v>
      </c>
      <c r="B1177" t="e">
        <f t="shared" si="180"/>
        <v>#N/A</v>
      </c>
      <c r="C1177" t="e">
        <f t="shared" si="181"/>
        <v>#N/A</v>
      </c>
      <c r="D1177" t="e">
        <f t="shared" si="182"/>
        <v>#N/A</v>
      </c>
      <c r="E1177" t="e">
        <f t="shared" si="183"/>
        <v>#N/A</v>
      </c>
      <c r="F1177" t="e">
        <f t="shared" si="184"/>
        <v>#N/A</v>
      </c>
      <c r="G1177" t="e">
        <f t="shared" si="185"/>
        <v>#N/A</v>
      </c>
      <c r="H1177" t="e">
        <f t="shared" si="186"/>
        <v>#N/A</v>
      </c>
      <c r="I1177" t="e">
        <f t="shared" si="187"/>
        <v>#N/A</v>
      </c>
      <c r="J1177">
        <f t="shared" si="188"/>
        <v>1.7138023670811731E-5</v>
      </c>
      <c r="K1177">
        <f t="shared" si="189"/>
        <v>2.1713802367081175E-4</v>
      </c>
      <c r="L1177" t="e">
        <f>IF(AND(ABS((ChartCalculations!A1177-Calculations!$F$3)/Calculations!$F$4)&lt;5,OR(A1177&lt;=Calculations!$F$7,A1177&gt;=Calculations!$F$8)),0.2*_xlfn.NORM.DIST(100,100,15,FALSE)*_xlfn.NORM.DIST(A1177,Calculations!$F$3,Calculations!$F$4,FALSE)/_xlfn.NORM.DIST(Calculations!$F$3,Calculations!$F$3,Calculations!$F$4,FALSE),NA())</f>
        <v>#N/A</v>
      </c>
      <c r="M1177" t="e">
        <f>IF(AND(A1177&gt;=Calculations!$F$7,A1177&lt;=Calculations!$F$8),0.2*_xlfn.NORM.DIST(100,100,15,FALSE)*_xlfn.NORM.DIST(A1177,Calculations!$F$3,Calculations!$F$4,FALSE)/_xlfn.NORM.DIST(Calculations!$F$3,Calculations!$F$3,Calculations!$F$4,FALSE),NA())</f>
        <v>#N/A</v>
      </c>
    </row>
    <row r="1178" spans="1:13" x14ac:dyDescent="0.25">
      <c r="A1178">
        <v>157.60000000000201</v>
      </c>
      <c r="B1178" t="e">
        <f t="shared" si="180"/>
        <v>#N/A</v>
      </c>
      <c r="C1178" t="e">
        <f t="shared" si="181"/>
        <v>#N/A</v>
      </c>
      <c r="D1178" t="e">
        <f t="shared" si="182"/>
        <v>#N/A</v>
      </c>
      <c r="E1178" t="e">
        <f t="shared" si="183"/>
        <v>#N/A</v>
      </c>
      <c r="F1178" t="e">
        <f t="shared" si="184"/>
        <v>#N/A</v>
      </c>
      <c r="G1178" t="e">
        <f t="shared" si="185"/>
        <v>#N/A</v>
      </c>
      <c r="H1178" t="e">
        <f t="shared" si="186"/>
        <v>#N/A</v>
      </c>
      <c r="I1178" t="e">
        <f t="shared" si="187"/>
        <v>#N/A</v>
      </c>
      <c r="J1178">
        <f t="shared" si="188"/>
        <v>1.6705229659382125E-5</v>
      </c>
      <c r="K1178">
        <f t="shared" si="189"/>
        <v>2.1670522965938215E-4</v>
      </c>
      <c r="L1178" t="e">
        <f>IF(AND(ABS((ChartCalculations!A1178-Calculations!$F$3)/Calculations!$F$4)&lt;5,OR(A1178&lt;=Calculations!$F$7,A1178&gt;=Calculations!$F$8)),0.2*_xlfn.NORM.DIST(100,100,15,FALSE)*_xlfn.NORM.DIST(A1178,Calculations!$F$3,Calculations!$F$4,FALSE)/_xlfn.NORM.DIST(Calculations!$F$3,Calculations!$F$3,Calculations!$F$4,FALSE),NA())</f>
        <v>#N/A</v>
      </c>
      <c r="M1178" t="e">
        <f>IF(AND(A1178&gt;=Calculations!$F$7,A1178&lt;=Calculations!$F$8),0.2*_xlfn.NORM.DIST(100,100,15,FALSE)*_xlfn.NORM.DIST(A1178,Calculations!$F$3,Calculations!$F$4,FALSE)/_xlfn.NORM.DIST(Calculations!$F$3,Calculations!$F$3,Calculations!$F$4,FALSE),NA())</f>
        <v>#N/A</v>
      </c>
    </row>
    <row r="1179" spans="1:13" x14ac:dyDescent="0.25">
      <c r="A1179">
        <v>157.70000000000201</v>
      </c>
      <c r="B1179" t="e">
        <f t="shared" si="180"/>
        <v>#N/A</v>
      </c>
      <c r="C1179" t="e">
        <f t="shared" si="181"/>
        <v>#N/A</v>
      </c>
      <c r="D1179" t="e">
        <f t="shared" si="182"/>
        <v>#N/A</v>
      </c>
      <c r="E1179" t="e">
        <f t="shared" si="183"/>
        <v>#N/A</v>
      </c>
      <c r="F1179" t="e">
        <f t="shared" si="184"/>
        <v>#N/A</v>
      </c>
      <c r="G1179" t="e">
        <f t="shared" si="185"/>
        <v>#N/A</v>
      </c>
      <c r="H1179" t="e">
        <f t="shared" si="186"/>
        <v>#N/A</v>
      </c>
      <c r="I1179" t="e">
        <f t="shared" si="187"/>
        <v>#N/A</v>
      </c>
      <c r="J1179">
        <f t="shared" si="188"/>
        <v>1.6282641495478503E-5</v>
      </c>
      <c r="K1179">
        <f t="shared" si="189"/>
        <v>2.1628264149547852E-4</v>
      </c>
      <c r="L1179" t="e">
        <f>IF(AND(ABS((ChartCalculations!A1179-Calculations!$F$3)/Calculations!$F$4)&lt;5,OR(A1179&lt;=Calculations!$F$7,A1179&gt;=Calculations!$F$8)),0.2*_xlfn.NORM.DIST(100,100,15,FALSE)*_xlfn.NORM.DIST(A1179,Calculations!$F$3,Calculations!$F$4,FALSE)/_xlfn.NORM.DIST(Calculations!$F$3,Calculations!$F$3,Calculations!$F$4,FALSE),NA())</f>
        <v>#N/A</v>
      </c>
      <c r="M1179" t="e">
        <f>IF(AND(A1179&gt;=Calculations!$F$7,A1179&lt;=Calculations!$F$8),0.2*_xlfn.NORM.DIST(100,100,15,FALSE)*_xlfn.NORM.DIST(A1179,Calculations!$F$3,Calculations!$F$4,FALSE)/_xlfn.NORM.DIST(Calculations!$F$3,Calculations!$F$3,Calculations!$F$4,FALSE),NA())</f>
        <v>#N/A</v>
      </c>
    </row>
    <row r="1180" spans="1:13" x14ac:dyDescent="0.25">
      <c r="A1180">
        <v>157.800000000002</v>
      </c>
      <c r="B1180" t="e">
        <f t="shared" si="180"/>
        <v>#N/A</v>
      </c>
      <c r="C1180" t="e">
        <f t="shared" si="181"/>
        <v>#N/A</v>
      </c>
      <c r="D1180" t="e">
        <f t="shared" si="182"/>
        <v>#N/A</v>
      </c>
      <c r="E1180" t="e">
        <f t="shared" si="183"/>
        <v>#N/A</v>
      </c>
      <c r="F1180" t="e">
        <f t="shared" si="184"/>
        <v>#N/A</v>
      </c>
      <c r="G1180" t="e">
        <f t="shared" si="185"/>
        <v>#N/A</v>
      </c>
      <c r="H1180" t="e">
        <f t="shared" si="186"/>
        <v>#N/A</v>
      </c>
      <c r="I1180" t="e">
        <f t="shared" si="187"/>
        <v>#N/A</v>
      </c>
      <c r="J1180">
        <f t="shared" si="188"/>
        <v>1.5870038091690584E-5</v>
      </c>
      <c r="K1180">
        <f t="shared" si="189"/>
        <v>2.1587003809169059E-4</v>
      </c>
      <c r="L1180" t="e">
        <f>IF(AND(ABS((ChartCalculations!A1180-Calculations!$F$3)/Calculations!$F$4)&lt;5,OR(A1180&lt;=Calculations!$F$7,A1180&gt;=Calculations!$F$8)),0.2*_xlfn.NORM.DIST(100,100,15,FALSE)*_xlfn.NORM.DIST(A1180,Calculations!$F$3,Calculations!$F$4,FALSE)/_xlfn.NORM.DIST(Calculations!$F$3,Calculations!$F$3,Calculations!$F$4,FALSE),NA())</f>
        <v>#N/A</v>
      </c>
      <c r="M1180" t="e">
        <f>IF(AND(A1180&gt;=Calculations!$F$7,A1180&lt;=Calculations!$F$8),0.2*_xlfn.NORM.DIST(100,100,15,FALSE)*_xlfn.NORM.DIST(A1180,Calculations!$F$3,Calculations!$F$4,FALSE)/_xlfn.NORM.DIST(Calculations!$F$3,Calculations!$F$3,Calculations!$F$4,FALSE),NA())</f>
        <v>#N/A</v>
      </c>
    </row>
    <row r="1181" spans="1:13" x14ac:dyDescent="0.25">
      <c r="A1181">
        <v>157.900000000002</v>
      </c>
      <c r="B1181" t="e">
        <f t="shared" si="180"/>
        <v>#N/A</v>
      </c>
      <c r="C1181" t="e">
        <f t="shared" si="181"/>
        <v>#N/A</v>
      </c>
      <c r="D1181" t="e">
        <f t="shared" si="182"/>
        <v>#N/A</v>
      </c>
      <c r="E1181" t="e">
        <f t="shared" si="183"/>
        <v>#N/A</v>
      </c>
      <c r="F1181" t="e">
        <f t="shared" si="184"/>
        <v>#N/A</v>
      </c>
      <c r="G1181" t="e">
        <f t="shared" si="185"/>
        <v>#N/A</v>
      </c>
      <c r="H1181" t="e">
        <f t="shared" si="186"/>
        <v>#N/A</v>
      </c>
      <c r="I1181" t="e">
        <f t="shared" si="187"/>
        <v>#N/A</v>
      </c>
      <c r="J1181">
        <f t="shared" si="188"/>
        <v>1.5467202643788203E-5</v>
      </c>
      <c r="K1181">
        <f t="shared" si="189"/>
        <v>2.154672026437882E-4</v>
      </c>
      <c r="L1181" t="e">
        <f>IF(AND(ABS((ChartCalculations!A1181-Calculations!$F$3)/Calculations!$F$4)&lt;5,OR(A1181&lt;=Calculations!$F$7,A1181&gt;=Calculations!$F$8)),0.2*_xlfn.NORM.DIST(100,100,15,FALSE)*_xlfn.NORM.DIST(A1181,Calculations!$F$3,Calculations!$F$4,FALSE)/_xlfn.NORM.DIST(Calculations!$F$3,Calculations!$F$3,Calculations!$F$4,FALSE),NA())</f>
        <v>#N/A</v>
      </c>
      <c r="M1181" t="e">
        <f>IF(AND(A1181&gt;=Calculations!$F$7,A1181&lt;=Calculations!$F$8),0.2*_xlfn.NORM.DIST(100,100,15,FALSE)*_xlfn.NORM.DIST(A1181,Calculations!$F$3,Calculations!$F$4,FALSE)/_xlfn.NORM.DIST(Calculations!$F$3,Calculations!$F$3,Calculations!$F$4,FALSE),NA())</f>
        <v>#N/A</v>
      </c>
    </row>
    <row r="1182" spans="1:13" x14ac:dyDescent="0.25">
      <c r="A1182">
        <v>158.00000000000199</v>
      </c>
      <c r="B1182" t="e">
        <f t="shared" si="180"/>
        <v>#N/A</v>
      </c>
      <c r="C1182" t="e">
        <f t="shared" si="181"/>
        <v>#N/A</v>
      </c>
      <c r="D1182" t="e">
        <f t="shared" si="182"/>
        <v>#N/A</v>
      </c>
      <c r="E1182" t="e">
        <f t="shared" si="183"/>
        <v>#N/A</v>
      </c>
      <c r="F1182" t="e">
        <f t="shared" si="184"/>
        <v>#N/A</v>
      </c>
      <c r="G1182" t="e">
        <f t="shared" si="185"/>
        <v>#N/A</v>
      </c>
      <c r="H1182" t="e">
        <f t="shared" si="186"/>
        <v>#N/A</v>
      </c>
      <c r="I1182" t="e">
        <f t="shared" si="187"/>
        <v>#N/A</v>
      </c>
      <c r="J1182">
        <f t="shared" si="188"/>
        <v>1.5073922560237908E-5</v>
      </c>
      <c r="K1182">
        <f t="shared" si="189"/>
        <v>2.1507392256023793E-4</v>
      </c>
      <c r="L1182" t="e">
        <f>IF(AND(ABS((ChartCalculations!A1182-Calculations!$F$3)/Calculations!$F$4)&lt;5,OR(A1182&lt;=Calculations!$F$7,A1182&gt;=Calculations!$F$8)),0.2*_xlfn.NORM.DIST(100,100,15,FALSE)*_xlfn.NORM.DIST(A1182,Calculations!$F$3,Calculations!$F$4,FALSE)/_xlfn.NORM.DIST(Calculations!$F$3,Calculations!$F$3,Calculations!$F$4,FALSE),NA())</f>
        <v>#N/A</v>
      </c>
      <c r="M1182" t="e">
        <f>IF(AND(A1182&gt;=Calculations!$F$7,A1182&lt;=Calculations!$F$8),0.2*_xlfn.NORM.DIST(100,100,15,FALSE)*_xlfn.NORM.DIST(A1182,Calculations!$F$3,Calculations!$F$4,FALSE)/_xlfn.NORM.DIST(Calculations!$F$3,Calculations!$F$3,Calculations!$F$4,FALSE),NA())</f>
        <v>#N/A</v>
      </c>
    </row>
    <row r="1183" spans="1:13" x14ac:dyDescent="0.25">
      <c r="A1183">
        <v>158.10000000000201</v>
      </c>
      <c r="B1183" t="e">
        <f t="shared" si="180"/>
        <v>#N/A</v>
      </c>
      <c r="C1183" t="e">
        <f t="shared" si="181"/>
        <v>#N/A</v>
      </c>
      <c r="D1183" t="e">
        <f t="shared" si="182"/>
        <v>#N/A</v>
      </c>
      <c r="E1183" t="e">
        <f t="shared" si="183"/>
        <v>#N/A</v>
      </c>
      <c r="F1183" t="e">
        <f t="shared" si="184"/>
        <v>#N/A</v>
      </c>
      <c r="G1183" t="e">
        <f t="shared" si="185"/>
        <v>#N/A</v>
      </c>
      <c r="H1183" t="e">
        <f t="shared" si="186"/>
        <v>#N/A</v>
      </c>
      <c r="I1183" t="e">
        <f t="shared" si="187"/>
        <v>#N/A</v>
      </c>
      <c r="J1183">
        <f t="shared" si="188"/>
        <v>1.4689989392582957E-5</v>
      </c>
      <c r="K1183">
        <f t="shared" si="189"/>
        <v>2.1468998939258298E-4</v>
      </c>
      <c r="L1183" t="e">
        <f>IF(AND(ABS((ChartCalculations!A1183-Calculations!$F$3)/Calculations!$F$4)&lt;5,OR(A1183&lt;=Calculations!$F$7,A1183&gt;=Calculations!$F$8)),0.2*_xlfn.NORM.DIST(100,100,15,FALSE)*_xlfn.NORM.DIST(A1183,Calculations!$F$3,Calculations!$F$4,FALSE)/_xlfn.NORM.DIST(Calculations!$F$3,Calculations!$F$3,Calculations!$F$4,FALSE),NA())</f>
        <v>#N/A</v>
      </c>
      <c r="M1183" t="e">
        <f>IF(AND(A1183&gt;=Calculations!$F$7,A1183&lt;=Calculations!$F$8),0.2*_xlfn.NORM.DIST(100,100,15,FALSE)*_xlfn.NORM.DIST(A1183,Calculations!$F$3,Calculations!$F$4,FALSE)/_xlfn.NORM.DIST(Calculations!$F$3,Calculations!$F$3,Calculations!$F$4,FALSE),NA())</f>
        <v>#N/A</v>
      </c>
    </row>
    <row r="1184" spans="1:13" x14ac:dyDescent="0.25">
      <c r="A1184">
        <v>158.20000000000201</v>
      </c>
      <c r="B1184" t="e">
        <f t="shared" si="180"/>
        <v>#N/A</v>
      </c>
      <c r="C1184" t="e">
        <f t="shared" si="181"/>
        <v>#N/A</v>
      </c>
      <c r="D1184" t="e">
        <f t="shared" si="182"/>
        <v>#N/A</v>
      </c>
      <c r="E1184" t="e">
        <f t="shared" si="183"/>
        <v>#N/A</v>
      </c>
      <c r="F1184" t="e">
        <f t="shared" si="184"/>
        <v>#N/A</v>
      </c>
      <c r="G1184" t="e">
        <f t="shared" si="185"/>
        <v>#N/A</v>
      </c>
      <c r="H1184" t="e">
        <f t="shared" si="186"/>
        <v>#N/A</v>
      </c>
      <c r="I1184" t="e">
        <f t="shared" si="187"/>
        <v>#N/A</v>
      </c>
      <c r="J1184">
        <f t="shared" si="188"/>
        <v>1.4315198766683711E-5</v>
      </c>
      <c r="K1184">
        <f t="shared" si="189"/>
        <v>2.1431519876668372E-4</v>
      </c>
      <c r="L1184" t="e">
        <f>IF(AND(ABS((ChartCalculations!A1184-Calculations!$F$3)/Calculations!$F$4)&lt;5,OR(A1184&lt;=Calculations!$F$7,A1184&gt;=Calculations!$F$8)),0.2*_xlfn.NORM.DIST(100,100,15,FALSE)*_xlfn.NORM.DIST(A1184,Calculations!$F$3,Calculations!$F$4,FALSE)/_xlfn.NORM.DIST(Calculations!$F$3,Calculations!$F$3,Calculations!$F$4,FALSE),NA())</f>
        <v>#N/A</v>
      </c>
      <c r="M1184" t="e">
        <f>IF(AND(A1184&gt;=Calculations!$F$7,A1184&lt;=Calculations!$F$8),0.2*_xlfn.NORM.DIST(100,100,15,FALSE)*_xlfn.NORM.DIST(A1184,Calculations!$F$3,Calculations!$F$4,FALSE)/_xlfn.NORM.DIST(Calculations!$F$3,Calculations!$F$3,Calculations!$F$4,FALSE),NA())</f>
        <v>#N/A</v>
      </c>
    </row>
    <row r="1185" spans="1:13" x14ac:dyDescent="0.25">
      <c r="A1185">
        <v>158.300000000002</v>
      </c>
      <c r="B1185" t="e">
        <f t="shared" si="180"/>
        <v>#N/A</v>
      </c>
      <c r="C1185" t="e">
        <f t="shared" si="181"/>
        <v>#N/A</v>
      </c>
      <c r="D1185" t="e">
        <f t="shared" si="182"/>
        <v>#N/A</v>
      </c>
      <c r="E1185" t="e">
        <f t="shared" si="183"/>
        <v>#N/A</v>
      </c>
      <c r="F1185" t="e">
        <f t="shared" si="184"/>
        <v>#N/A</v>
      </c>
      <c r="G1185" t="e">
        <f t="shared" si="185"/>
        <v>#N/A</v>
      </c>
      <c r="H1185" t="e">
        <f t="shared" si="186"/>
        <v>#N/A</v>
      </c>
      <c r="I1185" t="e">
        <f t="shared" si="187"/>
        <v>#N/A</v>
      </c>
      <c r="J1185">
        <f t="shared" si="188"/>
        <v>1.3949350314812677E-5</v>
      </c>
      <c r="K1185">
        <f t="shared" si="189"/>
        <v>2.1394935031481267E-4</v>
      </c>
      <c r="L1185" t="e">
        <f>IF(AND(ABS((ChartCalculations!A1185-Calculations!$F$3)/Calculations!$F$4)&lt;5,OR(A1185&lt;=Calculations!$F$7,A1185&gt;=Calculations!$F$8)),0.2*_xlfn.NORM.DIST(100,100,15,FALSE)*_xlfn.NORM.DIST(A1185,Calculations!$F$3,Calculations!$F$4,FALSE)/_xlfn.NORM.DIST(Calculations!$F$3,Calculations!$F$3,Calculations!$F$4,FALSE),NA())</f>
        <v>#N/A</v>
      </c>
      <c r="M1185" t="e">
        <f>IF(AND(A1185&gt;=Calculations!$F$7,A1185&lt;=Calculations!$F$8),0.2*_xlfn.NORM.DIST(100,100,15,FALSE)*_xlfn.NORM.DIST(A1185,Calculations!$F$3,Calculations!$F$4,FALSE)/_xlfn.NORM.DIST(Calculations!$F$3,Calculations!$F$3,Calculations!$F$4,FALSE),NA())</f>
        <v>#N/A</v>
      </c>
    </row>
    <row r="1186" spans="1:13" x14ac:dyDescent="0.25">
      <c r="A1186">
        <v>158.400000000002</v>
      </c>
      <c r="B1186" t="e">
        <f t="shared" si="180"/>
        <v>#N/A</v>
      </c>
      <c r="C1186" t="e">
        <f t="shared" si="181"/>
        <v>#N/A</v>
      </c>
      <c r="D1186" t="e">
        <f t="shared" si="182"/>
        <v>#N/A</v>
      </c>
      <c r="E1186" t="e">
        <f t="shared" si="183"/>
        <v>#N/A</v>
      </c>
      <c r="F1186" t="e">
        <f t="shared" si="184"/>
        <v>#N/A</v>
      </c>
      <c r="G1186" t="e">
        <f t="shared" si="185"/>
        <v>#N/A</v>
      </c>
      <c r="H1186" t="e">
        <f t="shared" si="186"/>
        <v>#N/A</v>
      </c>
      <c r="I1186" t="e">
        <f t="shared" si="187"/>
        <v>#N/A</v>
      </c>
      <c r="J1186">
        <f t="shared" si="188"/>
        <v>1.3592247608603104E-5</v>
      </c>
      <c r="K1186">
        <f t="shared" si="189"/>
        <v>2.1359224760860311E-4</v>
      </c>
      <c r="L1186" t="e">
        <f>IF(AND(ABS((ChartCalculations!A1186-Calculations!$F$3)/Calculations!$F$4)&lt;5,OR(A1186&lt;=Calculations!$F$7,A1186&gt;=Calculations!$F$8)),0.2*_xlfn.NORM.DIST(100,100,15,FALSE)*_xlfn.NORM.DIST(A1186,Calculations!$F$3,Calculations!$F$4,FALSE)/_xlfn.NORM.DIST(Calculations!$F$3,Calculations!$F$3,Calculations!$F$4,FALSE),NA())</f>
        <v>#N/A</v>
      </c>
      <c r="M1186" t="e">
        <f>IF(AND(A1186&gt;=Calculations!$F$7,A1186&lt;=Calculations!$F$8),0.2*_xlfn.NORM.DIST(100,100,15,FALSE)*_xlfn.NORM.DIST(A1186,Calculations!$F$3,Calculations!$F$4,FALSE)/_xlfn.NORM.DIST(Calculations!$F$3,Calculations!$F$3,Calculations!$F$4,FALSE),NA())</f>
        <v>#N/A</v>
      </c>
    </row>
    <row r="1187" spans="1:13" x14ac:dyDescent="0.25">
      <c r="A1187">
        <v>158.50000000000199</v>
      </c>
      <c r="B1187" t="e">
        <f t="shared" si="180"/>
        <v>#N/A</v>
      </c>
      <c r="C1187" t="e">
        <f t="shared" si="181"/>
        <v>#N/A</v>
      </c>
      <c r="D1187" t="e">
        <f t="shared" si="182"/>
        <v>#N/A</v>
      </c>
      <c r="E1187" t="e">
        <f t="shared" si="183"/>
        <v>#N/A</v>
      </c>
      <c r="F1187" t="e">
        <f t="shared" si="184"/>
        <v>#N/A</v>
      </c>
      <c r="G1187" t="e">
        <f t="shared" si="185"/>
        <v>#N/A</v>
      </c>
      <c r="H1187" t="e">
        <f t="shared" si="186"/>
        <v>#N/A</v>
      </c>
      <c r="I1187" t="e">
        <f t="shared" si="187"/>
        <v>#N/A</v>
      </c>
      <c r="J1187">
        <f t="shared" si="188"/>
        <v>1.3243698092844658E-5</v>
      </c>
      <c r="K1187">
        <f t="shared" si="189"/>
        <v>2.1324369809284466E-4</v>
      </c>
      <c r="L1187" t="e">
        <f>IF(AND(ABS((ChartCalculations!A1187-Calculations!$F$3)/Calculations!$F$4)&lt;5,OR(A1187&lt;=Calculations!$F$7,A1187&gt;=Calculations!$F$8)),0.2*_xlfn.NORM.DIST(100,100,15,FALSE)*_xlfn.NORM.DIST(A1187,Calculations!$F$3,Calculations!$F$4,FALSE)/_xlfn.NORM.DIST(Calculations!$F$3,Calculations!$F$3,Calculations!$F$4,FALSE),NA())</f>
        <v>#N/A</v>
      </c>
      <c r="M1187" t="e">
        <f>IF(AND(A1187&gt;=Calculations!$F$7,A1187&lt;=Calculations!$F$8),0.2*_xlfn.NORM.DIST(100,100,15,FALSE)*_xlfn.NORM.DIST(A1187,Calculations!$F$3,Calculations!$F$4,FALSE)/_xlfn.NORM.DIST(Calculations!$F$3,Calculations!$F$3,Calculations!$F$4,FALSE),NA())</f>
        <v>#N/A</v>
      </c>
    </row>
    <row r="1188" spans="1:13" x14ac:dyDescent="0.25">
      <c r="A1188">
        <v>158.60000000000201</v>
      </c>
      <c r="B1188" t="e">
        <f t="shared" si="180"/>
        <v>#N/A</v>
      </c>
      <c r="C1188" t="e">
        <f t="shared" si="181"/>
        <v>#N/A</v>
      </c>
      <c r="D1188" t="e">
        <f t="shared" si="182"/>
        <v>#N/A</v>
      </c>
      <c r="E1188" t="e">
        <f t="shared" si="183"/>
        <v>#N/A</v>
      </c>
      <c r="F1188" t="e">
        <f t="shared" si="184"/>
        <v>#N/A</v>
      </c>
      <c r="G1188" t="e">
        <f t="shared" si="185"/>
        <v>#N/A</v>
      </c>
      <c r="H1188" t="e">
        <f t="shared" si="186"/>
        <v>#N/A</v>
      </c>
      <c r="I1188" t="e">
        <f t="shared" si="187"/>
        <v>#N/A</v>
      </c>
      <c r="J1188">
        <f t="shared" si="188"/>
        <v>1.2903513020123073E-5</v>
      </c>
      <c r="K1188">
        <f t="shared" si="189"/>
        <v>2.1290351302012309E-4</v>
      </c>
      <c r="L1188" t="e">
        <f>IF(AND(ABS((ChartCalculations!A1188-Calculations!$F$3)/Calculations!$F$4)&lt;5,OR(A1188&lt;=Calculations!$F$7,A1188&gt;=Calculations!$F$8)),0.2*_xlfn.NORM.DIST(100,100,15,FALSE)*_xlfn.NORM.DIST(A1188,Calculations!$F$3,Calculations!$F$4,FALSE)/_xlfn.NORM.DIST(Calculations!$F$3,Calculations!$F$3,Calculations!$F$4,FALSE),NA())</f>
        <v>#N/A</v>
      </c>
      <c r="M1188" t="e">
        <f>IF(AND(A1188&gt;=Calculations!$F$7,A1188&lt;=Calculations!$F$8),0.2*_xlfn.NORM.DIST(100,100,15,FALSE)*_xlfn.NORM.DIST(A1188,Calculations!$F$3,Calculations!$F$4,FALSE)/_xlfn.NORM.DIST(Calculations!$F$3,Calculations!$F$3,Calculations!$F$4,FALSE),NA())</f>
        <v>#N/A</v>
      </c>
    </row>
    <row r="1189" spans="1:13" x14ac:dyDescent="0.25">
      <c r="A1189">
        <v>158.70000000000201</v>
      </c>
      <c r="B1189" t="e">
        <f t="shared" si="180"/>
        <v>#N/A</v>
      </c>
      <c r="C1189" t="e">
        <f t="shared" si="181"/>
        <v>#N/A</v>
      </c>
      <c r="D1189" t="e">
        <f t="shared" si="182"/>
        <v>#N/A</v>
      </c>
      <c r="E1189" t="e">
        <f t="shared" si="183"/>
        <v>#N/A</v>
      </c>
      <c r="F1189" t="e">
        <f t="shared" si="184"/>
        <v>#N/A</v>
      </c>
      <c r="G1189" t="e">
        <f t="shared" si="185"/>
        <v>#N/A</v>
      </c>
      <c r="H1189" t="e">
        <f t="shared" si="186"/>
        <v>#N/A</v>
      </c>
      <c r="I1189" t="e">
        <f t="shared" si="187"/>
        <v>#N/A</v>
      </c>
      <c r="J1189">
        <f t="shared" si="188"/>
        <v>1.2571507386299563E-5</v>
      </c>
      <c r="K1189">
        <f t="shared" si="189"/>
        <v>2.1257150738629958E-4</v>
      </c>
      <c r="L1189" t="e">
        <f>IF(AND(ABS((ChartCalculations!A1189-Calculations!$F$3)/Calculations!$F$4)&lt;5,OR(A1189&lt;=Calculations!$F$7,A1189&gt;=Calculations!$F$8)),0.2*_xlfn.NORM.DIST(100,100,15,FALSE)*_xlfn.NORM.DIST(A1189,Calculations!$F$3,Calculations!$F$4,FALSE)/_xlfn.NORM.DIST(Calculations!$F$3,Calculations!$F$3,Calculations!$F$4,FALSE),NA())</f>
        <v>#N/A</v>
      </c>
      <c r="M1189" t="e">
        <f>IF(AND(A1189&gt;=Calculations!$F$7,A1189&lt;=Calculations!$F$8),0.2*_xlfn.NORM.DIST(100,100,15,FALSE)*_xlfn.NORM.DIST(A1189,Calculations!$F$3,Calculations!$F$4,FALSE)/_xlfn.NORM.DIST(Calculations!$F$3,Calculations!$F$3,Calculations!$F$4,FALSE),NA())</f>
        <v>#N/A</v>
      </c>
    </row>
    <row r="1190" spans="1:13" x14ac:dyDescent="0.25">
      <c r="A1190">
        <v>158.800000000002</v>
      </c>
      <c r="B1190" t="e">
        <f t="shared" si="180"/>
        <v>#N/A</v>
      </c>
      <c r="C1190" t="e">
        <f t="shared" si="181"/>
        <v>#N/A</v>
      </c>
      <c r="D1190" t="e">
        <f t="shared" si="182"/>
        <v>#N/A</v>
      </c>
      <c r="E1190" t="e">
        <f t="shared" si="183"/>
        <v>#N/A</v>
      </c>
      <c r="F1190" t="e">
        <f t="shared" si="184"/>
        <v>#N/A</v>
      </c>
      <c r="G1190" t="e">
        <f t="shared" si="185"/>
        <v>#N/A</v>
      </c>
      <c r="H1190" t="e">
        <f t="shared" si="186"/>
        <v>#N/A</v>
      </c>
      <c r="I1190" t="e">
        <f t="shared" si="187"/>
        <v>#N/A</v>
      </c>
      <c r="J1190">
        <f t="shared" si="188"/>
        <v>1.2247499866824057E-5</v>
      </c>
      <c r="K1190">
        <f t="shared" si="189"/>
        <v>2.1224749986682406E-4</v>
      </c>
      <c r="L1190" t="e">
        <f>IF(AND(ABS((ChartCalculations!A1190-Calculations!$F$3)/Calculations!$F$4)&lt;5,OR(A1190&lt;=Calculations!$F$7,A1190&gt;=Calculations!$F$8)),0.2*_xlfn.NORM.DIST(100,100,15,FALSE)*_xlfn.NORM.DIST(A1190,Calculations!$F$3,Calculations!$F$4,FALSE)/_xlfn.NORM.DIST(Calculations!$F$3,Calculations!$F$3,Calculations!$F$4,FALSE),NA())</f>
        <v>#N/A</v>
      </c>
      <c r="M1190" t="e">
        <f>IF(AND(A1190&gt;=Calculations!$F$7,A1190&lt;=Calculations!$F$8),0.2*_xlfn.NORM.DIST(100,100,15,FALSE)*_xlfn.NORM.DIST(A1190,Calculations!$F$3,Calculations!$F$4,FALSE)/_xlfn.NORM.DIST(Calculations!$F$3,Calculations!$F$3,Calculations!$F$4,FALSE),NA())</f>
        <v>#N/A</v>
      </c>
    </row>
    <row r="1191" spans="1:13" x14ac:dyDescent="0.25">
      <c r="A1191">
        <v>158.900000000002</v>
      </c>
      <c r="B1191" t="e">
        <f t="shared" si="180"/>
        <v>#N/A</v>
      </c>
      <c r="C1191" t="e">
        <f t="shared" si="181"/>
        <v>#N/A</v>
      </c>
      <c r="D1191" t="e">
        <f t="shared" si="182"/>
        <v>#N/A</v>
      </c>
      <c r="E1191" t="e">
        <f t="shared" si="183"/>
        <v>#N/A</v>
      </c>
      <c r="F1191" t="e">
        <f t="shared" si="184"/>
        <v>#N/A</v>
      </c>
      <c r="G1191" t="e">
        <f t="shared" si="185"/>
        <v>#N/A</v>
      </c>
      <c r="H1191" t="e">
        <f t="shared" si="186"/>
        <v>#N/A</v>
      </c>
      <c r="I1191" t="e">
        <f t="shared" si="187"/>
        <v>#N/A</v>
      </c>
      <c r="J1191">
        <f t="shared" si="188"/>
        <v>1.1931312753879606E-5</v>
      </c>
      <c r="K1191">
        <f t="shared" si="189"/>
        <v>2.1193131275387963E-4</v>
      </c>
      <c r="L1191" t="e">
        <f>IF(AND(ABS((ChartCalculations!A1191-Calculations!$F$3)/Calculations!$F$4)&lt;5,OR(A1191&lt;=Calculations!$F$7,A1191&gt;=Calculations!$F$8)),0.2*_xlfn.NORM.DIST(100,100,15,FALSE)*_xlfn.NORM.DIST(A1191,Calculations!$F$3,Calculations!$F$4,FALSE)/_xlfn.NORM.DIST(Calculations!$F$3,Calculations!$F$3,Calculations!$F$4,FALSE),NA())</f>
        <v>#N/A</v>
      </c>
      <c r="M1191" t="e">
        <f>IF(AND(A1191&gt;=Calculations!$F$7,A1191&lt;=Calculations!$F$8),0.2*_xlfn.NORM.DIST(100,100,15,FALSE)*_xlfn.NORM.DIST(A1191,Calculations!$F$3,Calculations!$F$4,FALSE)/_xlfn.NORM.DIST(Calculations!$F$3,Calculations!$F$3,Calculations!$F$4,FALSE),NA())</f>
        <v>#N/A</v>
      </c>
    </row>
    <row r="1192" spans="1:13" x14ac:dyDescent="0.25">
      <c r="A1192">
        <v>159.00000000000199</v>
      </c>
      <c r="B1192" t="e">
        <f t="shared" si="180"/>
        <v>#N/A</v>
      </c>
      <c r="C1192" t="e">
        <f t="shared" si="181"/>
        <v>#N/A</v>
      </c>
      <c r="D1192" t="e">
        <f t="shared" si="182"/>
        <v>#N/A</v>
      </c>
      <c r="E1192" t="e">
        <f t="shared" si="183"/>
        <v>#N/A</v>
      </c>
      <c r="F1192" t="e">
        <f t="shared" si="184"/>
        <v>#N/A</v>
      </c>
      <c r="G1192" t="e">
        <f t="shared" si="185"/>
        <v>#N/A</v>
      </c>
      <c r="H1192" t="e">
        <f t="shared" si="186"/>
        <v>#N/A</v>
      </c>
      <c r="I1192" t="e">
        <f t="shared" si="187"/>
        <v>#N/A</v>
      </c>
      <c r="J1192">
        <f t="shared" si="188"/>
        <v>1.1622771894351493E-5</v>
      </c>
      <c r="K1192">
        <f t="shared" si="189"/>
        <v>2.1162277189435151E-4</v>
      </c>
      <c r="L1192" t="e">
        <f>IF(AND(ABS((ChartCalculations!A1192-Calculations!$F$3)/Calculations!$F$4)&lt;5,OR(A1192&lt;=Calculations!$F$7,A1192&gt;=Calculations!$F$8)),0.2*_xlfn.NORM.DIST(100,100,15,FALSE)*_xlfn.NORM.DIST(A1192,Calculations!$F$3,Calculations!$F$4,FALSE)/_xlfn.NORM.DIST(Calculations!$F$3,Calculations!$F$3,Calculations!$F$4,FALSE),NA())</f>
        <v>#N/A</v>
      </c>
      <c r="M1192" t="e">
        <f>IF(AND(A1192&gt;=Calculations!$F$7,A1192&lt;=Calculations!$F$8),0.2*_xlfn.NORM.DIST(100,100,15,FALSE)*_xlfn.NORM.DIST(A1192,Calculations!$F$3,Calculations!$F$4,FALSE)/_xlfn.NORM.DIST(Calculations!$F$3,Calculations!$F$3,Calculations!$F$4,FALSE),NA())</f>
        <v>#N/A</v>
      </c>
    </row>
    <row r="1193" spans="1:13" x14ac:dyDescent="0.25">
      <c r="A1193">
        <v>159.10000000000201</v>
      </c>
      <c r="B1193" t="e">
        <f t="shared" si="180"/>
        <v>#N/A</v>
      </c>
      <c r="C1193" t="e">
        <f t="shared" si="181"/>
        <v>#N/A</v>
      </c>
      <c r="D1193" t="e">
        <f t="shared" si="182"/>
        <v>#N/A</v>
      </c>
      <c r="E1193" t="e">
        <f t="shared" si="183"/>
        <v>#N/A</v>
      </c>
      <c r="F1193" t="e">
        <f t="shared" si="184"/>
        <v>#N/A</v>
      </c>
      <c r="G1193" t="e">
        <f t="shared" si="185"/>
        <v>#N/A</v>
      </c>
      <c r="H1193" t="e">
        <f t="shared" si="186"/>
        <v>#N/A</v>
      </c>
      <c r="I1193" t="e">
        <f t="shared" si="187"/>
        <v>#N/A</v>
      </c>
      <c r="J1193">
        <f t="shared" si="188"/>
        <v>1.1321706628616921E-5</v>
      </c>
      <c r="K1193">
        <f t="shared" si="189"/>
        <v>2.1132170662861694E-4</v>
      </c>
      <c r="L1193" t="e">
        <f>IF(AND(ABS((ChartCalculations!A1193-Calculations!$F$3)/Calculations!$F$4)&lt;5,OR(A1193&lt;=Calculations!$F$7,A1193&gt;=Calculations!$F$8)),0.2*_xlfn.NORM.DIST(100,100,15,FALSE)*_xlfn.NORM.DIST(A1193,Calculations!$F$3,Calculations!$F$4,FALSE)/_xlfn.NORM.DIST(Calculations!$F$3,Calculations!$F$3,Calculations!$F$4,FALSE),NA())</f>
        <v>#N/A</v>
      </c>
      <c r="M1193" t="e">
        <f>IF(AND(A1193&gt;=Calculations!$F$7,A1193&lt;=Calculations!$F$8),0.2*_xlfn.NORM.DIST(100,100,15,FALSE)*_xlfn.NORM.DIST(A1193,Calculations!$F$3,Calculations!$F$4,FALSE)/_xlfn.NORM.DIST(Calculations!$F$3,Calculations!$F$3,Calculations!$F$4,FALSE),NA())</f>
        <v>#N/A</v>
      </c>
    </row>
    <row r="1194" spans="1:13" x14ac:dyDescent="0.25">
      <c r="A1194">
        <v>159.20000000000201</v>
      </c>
      <c r="B1194" t="e">
        <f t="shared" si="180"/>
        <v>#N/A</v>
      </c>
      <c r="C1194" t="e">
        <f t="shared" si="181"/>
        <v>#N/A</v>
      </c>
      <c r="D1194" t="e">
        <f t="shared" si="182"/>
        <v>#N/A</v>
      </c>
      <c r="E1194" t="e">
        <f t="shared" si="183"/>
        <v>#N/A</v>
      </c>
      <c r="F1194" t="e">
        <f t="shared" si="184"/>
        <v>#N/A</v>
      </c>
      <c r="G1194" t="e">
        <f t="shared" si="185"/>
        <v>#N/A</v>
      </c>
      <c r="H1194" t="e">
        <f t="shared" si="186"/>
        <v>#N/A</v>
      </c>
      <c r="I1194" t="e">
        <f t="shared" si="187"/>
        <v>#N/A</v>
      </c>
      <c r="J1194">
        <f t="shared" si="188"/>
        <v>1.1027949730150226E-5</v>
      </c>
      <c r="K1194">
        <f t="shared" si="189"/>
        <v>2.1102794973015023E-4</v>
      </c>
      <c r="L1194" t="e">
        <f>IF(AND(ABS((ChartCalculations!A1194-Calculations!$F$3)/Calculations!$F$4)&lt;5,OR(A1194&lt;=Calculations!$F$7,A1194&gt;=Calculations!$F$8)),0.2*_xlfn.NORM.DIST(100,100,15,FALSE)*_xlfn.NORM.DIST(A1194,Calculations!$F$3,Calculations!$F$4,FALSE)/_xlfn.NORM.DIST(Calculations!$F$3,Calculations!$F$3,Calculations!$F$4,FALSE),NA())</f>
        <v>#N/A</v>
      </c>
      <c r="M1194" t="e">
        <f>IF(AND(A1194&gt;=Calculations!$F$7,A1194&lt;=Calculations!$F$8),0.2*_xlfn.NORM.DIST(100,100,15,FALSE)*_xlfn.NORM.DIST(A1194,Calculations!$F$3,Calculations!$F$4,FALSE)/_xlfn.NORM.DIST(Calculations!$F$3,Calculations!$F$3,Calculations!$F$4,FALSE),NA())</f>
        <v>#N/A</v>
      </c>
    </row>
    <row r="1195" spans="1:13" x14ac:dyDescent="0.25">
      <c r="A1195">
        <v>159.300000000002</v>
      </c>
      <c r="B1195" t="e">
        <f t="shared" si="180"/>
        <v>#N/A</v>
      </c>
      <c r="C1195" t="e">
        <f t="shared" si="181"/>
        <v>#N/A</v>
      </c>
      <c r="D1195" t="e">
        <f t="shared" si="182"/>
        <v>#N/A</v>
      </c>
      <c r="E1195" t="e">
        <f t="shared" si="183"/>
        <v>#N/A</v>
      </c>
      <c r="F1195" t="e">
        <f t="shared" si="184"/>
        <v>#N/A</v>
      </c>
      <c r="G1195" t="e">
        <f t="shared" si="185"/>
        <v>#N/A</v>
      </c>
      <c r="H1195" t="e">
        <f t="shared" si="186"/>
        <v>#N/A</v>
      </c>
      <c r="I1195" t="e">
        <f t="shared" si="187"/>
        <v>#N/A</v>
      </c>
      <c r="J1195">
        <f t="shared" si="188"/>
        <v>1.0741337345937449E-5</v>
      </c>
      <c r="K1195">
        <f t="shared" si="189"/>
        <v>2.1074133734593745E-4</v>
      </c>
      <c r="L1195" t="e">
        <f>IF(AND(ABS((ChartCalculations!A1195-Calculations!$F$3)/Calculations!$F$4)&lt;5,OR(A1195&lt;=Calculations!$F$7,A1195&gt;=Calculations!$F$8)),0.2*_xlfn.NORM.DIST(100,100,15,FALSE)*_xlfn.NORM.DIST(A1195,Calculations!$F$3,Calculations!$F$4,FALSE)/_xlfn.NORM.DIST(Calculations!$F$3,Calculations!$F$3,Calculations!$F$4,FALSE),NA())</f>
        <v>#N/A</v>
      </c>
      <c r="M1195" t="e">
        <f>IF(AND(A1195&gt;=Calculations!$F$7,A1195&lt;=Calculations!$F$8),0.2*_xlfn.NORM.DIST(100,100,15,FALSE)*_xlfn.NORM.DIST(A1195,Calculations!$F$3,Calculations!$F$4,FALSE)/_xlfn.NORM.DIST(Calculations!$F$3,Calculations!$F$3,Calculations!$F$4,FALSE),NA())</f>
        <v>#N/A</v>
      </c>
    </row>
    <row r="1196" spans="1:13" x14ac:dyDescent="0.25">
      <c r="A1196">
        <v>159.400000000002</v>
      </c>
      <c r="B1196" t="e">
        <f t="shared" si="180"/>
        <v>#N/A</v>
      </c>
      <c r="C1196" t="e">
        <f t="shared" si="181"/>
        <v>#N/A</v>
      </c>
      <c r="D1196" t="e">
        <f t="shared" si="182"/>
        <v>#N/A</v>
      </c>
      <c r="E1196" t="e">
        <f t="shared" si="183"/>
        <v>#N/A</v>
      </c>
      <c r="F1196" t="e">
        <f t="shared" si="184"/>
        <v>#N/A</v>
      </c>
      <c r="G1196" t="e">
        <f t="shared" si="185"/>
        <v>#N/A</v>
      </c>
      <c r="H1196" t="e">
        <f t="shared" si="186"/>
        <v>#N/A</v>
      </c>
      <c r="I1196" t="e">
        <f t="shared" si="187"/>
        <v>#N/A</v>
      </c>
      <c r="J1196">
        <f t="shared" si="188"/>
        <v>1.0461708937696632E-5</v>
      </c>
      <c r="K1196">
        <f t="shared" si="189"/>
        <v>2.1046170893769664E-4</v>
      </c>
      <c r="L1196" t="e">
        <f>IF(AND(ABS((ChartCalculations!A1196-Calculations!$F$3)/Calculations!$F$4)&lt;5,OR(A1196&lt;=Calculations!$F$7,A1196&gt;=Calculations!$F$8)),0.2*_xlfn.NORM.DIST(100,100,15,FALSE)*_xlfn.NORM.DIST(A1196,Calculations!$F$3,Calculations!$F$4,FALSE)/_xlfn.NORM.DIST(Calculations!$F$3,Calculations!$F$3,Calculations!$F$4,FALSE),NA())</f>
        <v>#N/A</v>
      </c>
      <c r="M1196" t="e">
        <f>IF(AND(A1196&gt;=Calculations!$F$7,A1196&lt;=Calculations!$F$8),0.2*_xlfn.NORM.DIST(100,100,15,FALSE)*_xlfn.NORM.DIST(A1196,Calculations!$F$3,Calculations!$F$4,FALSE)/_xlfn.NORM.DIST(Calculations!$F$3,Calculations!$F$3,Calculations!$F$4,FALSE),NA())</f>
        <v>#N/A</v>
      </c>
    </row>
    <row r="1197" spans="1:13" x14ac:dyDescent="0.25">
      <c r="A1197">
        <v>159.50000000000199</v>
      </c>
      <c r="B1197" t="e">
        <f t="shared" si="180"/>
        <v>#N/A</v>
      </c>
      <c r="C1197" t="e">
        <f t="shared" si="181"/>
        <v>#N/A</v>
      </c>
      <c r="D1197" t="e">
        <f t="shared" si="182"/>
        <v>#N/A</v>
      </c>
      <c r="E1197" t="e">
        <f t="shared" si="183"/>
        <v>#N/A</v>
      </c>
      <c r="F1197" t="e">
        <f t="shared" si="184"/>
        <v>#N/A</v>
      </c>
      <c r="G1197" t="e">
        <f t="shared" si="185"/>
        <v>#N/A</v>
      </c>
      <c r="H1197" t="e">
        <f t="shared" si="186"/>
        <v>#N/A</v>
      </c>
      <c r="I1197" t="e">
        <f t="shared" si="187"/>
        <v>#N/A</v>
      </c>
      <c r="J1197">
        <f t="shared" si="188"/>
        <v>1.0188907223896975E-5</v>
      </c>
      <c r="K1197">
        <f t="shared" si="189"/>
        <v>2.1018890722389699E-4</v>
      </c>
      <c r="L1197" t="e">
        <f>IF(AND(ABS((ChartCalculations!A1197-Calculations!$F$3)/Calculations!$F$4)&lt;5,OR(A1197&lt;=Calculations!$F$7,A1197&gt;=Calculations!$F$8)),0.2*_xlfn.NORM.DIST(100,100,15,FALSE)*_xlfn.NORM.DIST(A1197,Calculations!$F$3,Calculations!$F$4,FALSE)/_xlfn.NORM.DIST(Calculations!$F$3,Calculations!$F$3,Calculations!$F$4,FALSE),NA())</f>
        <v>#N/A</v>
      </c>
      <c r="M1197" t="e">
        <f>IF(AND(A1197&gt;=Calculations!$F$7,A1197&lt;=Calculations!$F$8),0.2*_xlfn.NORM.DIST(100,100,15,FALSE)*_xlfn.NORM.DIST(A1197,Calculations!$F$3,Calculations!$F$4,FALSE)/_xlfn.NORM.DIST(Calculations!$F$3,Calculations!$F$3,Calculations!$F$4,FALSE),NA())</f>
        <v>#N/A</v>
      </c>
    </row>
    <row r="1198" spans="1:13" x14ac:dyDescent="0.25">
      <c r="A1198">
        <v>159.60000000000201</v>
      </c>
      <c r="B1198" t="e">
        <f t="shared" si="180"/>
        <v>#N/A</v>
      </c>
      <c r="C1198" t="e">
        <f t="shared" si="181"/>
        <v>#N/A</v>
      </c>
      <c r="D1198" t="e">
        <f t="shared" si="182"/>
        <v>#N/A</v>
      </c>
      <c r="E1198" t="e">
        <f t="shared" si="183"/>
        <v>#N/A</v>
      </c>
      <c r="F1198" t="e">
        <f t="shared" si="184"/>
        <v>#N/A</v>
      </c>
      <c r="G1198" t="e">
        <f t="shared" si="185"/>
        <v>#N/A</v>
      </c>
      <c r="H1198" t="e">
        <f t="shared" si="186"/>
        <v>#N/A</v>
      </c>
      <c r="I1198" t="e">
        <f t="shared" si="187"/>
        <v>#N/A</v>
      </c>
      <c r="J1198">
        <f t="shared" si="188"/>
        <v>9.9227781225719176E-6</v>
      </c>
      <c r="K1198">
        <f t="shared" si="189"/>
        <v>2.0992277812257194E-4</v>
      </c>
      <c r="L1198" t="e">
        <f>IF(AND(ABS((ChartCalculations!A1198-Calculations!$F$3)/Calculations!$F$4)&lt;5,OR(A1198&lt;=Calculations!$F$7,A1198&gt;=Calculations!$F$8)),0.2*_xlfn.NORM.DIST(100,100,15,FALSE)*_xlfn.NORM.DIST(A1198,Calculations!$F$3,Calculations!$F$4,FALSE)/_xlfn.NORM.DIST(Calculations!$F$3,Calculations!$F$3,Calculations!$F$4,FALSE),NA())</f>
        <v>#N/A</v>
      </c>
      <c r="M1198" t="e">
        <f>IF(AND(A1198&gt;=Calculations!$F$7,A1198&lt;=Calculations!$F$8),0.2*_xlfn.NORM.DIST(100,100,15,FALSE)*_xlfn.NORM.DIST(A1198,Calculations!$F$3,Calculations!$F$4,FALSE)/_xlfn.NORM.DIST(Calculations!$F$3,Calculations!$F$3,Calculations!$F$4,FALSE),NA())</f>
        <v>#N/A</v>
      </c>
    </row>
    <row r="1199" spans="1:13" x14ac:dyDescent="0.25">
      <c r="A1199">
        <v>159.70000000000201</v>
      </c>
      <c r="B1199" t="e">
        <f t="shared" si="180"/>
        <v>#N/A</v>
      </c>
      <c r="C1199" t="e">
        <f t="shared" si="181"/>
        <v>#N/A</v>
      </c>
      <c r="D1199" t="e">
        <f t="shared" si="182"/>
        <v>#N/A</v>
      </c>
      <c r="E1199" t="e">
        <f t="shared" si="183"/>
        <v>#N/A</v>
      </c>
      <c r="F1199" t="e">
        <f t="shared" si="184"/>
        <v>#N/A</v>
      </c>
      <c r="G1199" t="e">
        <f t="shared" si="185"/>
        <v>#N/A</v>
      </c>
      <c r="H1199" t="e">
        <f t="shared" si="186"/>
        <v>#N/A</v>
      </c>
      <c r="I1199" t="e">
        <f t="shared" si="187"/>
        <v>#N/A</v>
      </c>
      <c r="J1199">
        <f t="shared" si="188"/>
        <v>9.663170694920928E-6</v>
      </c>
      <c r="K1199">
        <f t="shared" si="189"/>
        <v>2.0966317069492094E-4</v>
      </c>
      <c r="L1199" t="e">
        <f>IF(AND(ABS((ChartCalculations!A1199-Calculations!$F$3)/Calculations!$F$4)&lt;5,OR(A1199&lt;=Calculations!$F$7,A1199&gt;=Calculations!$F$8)),0.2*_xlfn.NORM.DIST(100,100,15,FALSE)*_xlfn.NORM.DIST(A1199,Calculations!$F$3,Calculations!$F$4,FALSE)/_xlfn.NORM.DIST(Calculations!$F$3,Calculations!$F$3,Calculations!$F$4,FALSE),NA())</f>
        <v>#N/A</v>
      </c>
      <c r="M1199" t="e">
        <f>IF(AND(A1199&gt;=Calculations!$F$7,A1199&lt;=Calculations!$F$8),0.2*_xlfn.NORM.DIST(100,100,15,FALSE)*_xlfn.NORM.DIST(A1199,Calculations!$F$3,Calculations!$F$4,FALSE)/_xlfn.NORM.DIST(Calculations!$F$3,Calculations!$F$3,Calculations!$F$4,FALSE),NA())</f>
        <v>#N/A</v>
      </c>
    </row>
    <row r="1200" spans="1:13" x14ac:dyDescent="0.25">
      <c r="A1200">
        <v>159.800000000002</v>
      </c>
      <c r="B1200" t="e">
        <f t="shared" si="180"/>
        <v>#N/A</v>
      </c>
      <c r="C1200" t="e">
        <f t="shared" si="181"/>
        <v>#N/A</v>
      </c>
      <c r="D1200" t="e">
        <f t="shared" si="182"/>
        <v>#N/A</v>
      </c>
      <c r="E1200" t="e">
        <f t="shared" si="183"/>
        <v>#N/A</v>
      </c>
      <c r="F1200" t="e">
        <f t="shared" si="184"/>
        <v>#N/A</v>
      </c>
      <c r="G1200" t="e">
        <f t="shared" si="185"/>
        <v>#N/A</v>
      </c>
      <c r="H1200" t="e">
        <f t="shared" si="186"/>
        <v>#N/A</v>
      </c>
      <c r="I1200" t="e">
        <f t="shared" si="187"/>
        <v>#N/A</v>
      </c>
      <c r="J1200">
        <f t="shared" si="188"/>
        <v>9.4099370896930852E-6</v>
      </c>
      <c r="K1200">
        <f t="shared" si="189"/>
        <v>2.0940993708969309E-4</v>
      </c>
      <c r="L1200" t="e">
        <f>IF(AND(ABS((ChartCalculations!A1200-Calculations!$F$3)/Calculations!$F$4)&lt;5,OR(A1200&lt;=Calculations!$F$7,A1200&gt;=Calculations!$F$8)),0.2*_xlfn.NORM.DIST(100,100,15,FALSE)*_xlfn.NORM.DIST(A1200,Calculations!$F$3,Calculations!$F$4,FALSE)/_xlfn.NORM.DIST(Calculations!$F$3,Calculations!$F$3,Calculations!$F$4,FALSE),NA())</f>
        <v>#N/A</v>
      </c>
      <c r="M1200" t="e">
        <f>IF(AND(A1200&gt;=Calculations!$F$7,A1200&lt;=Calculations!$F$8),0.2*_xlfn.NORM.DIST(100,100,15,FALSE)*_xlfn.NORM.DIST(A1200,Calculations!$F$3,Calculations!$F$4,FALSE)/_xlfn.NORM.DIST(Calculations!$F$3,Calculations!$F$3,Calculations!$F$4,FALSE),NA())</f>
        <v>#N/A</v>
      </c>
    </row>
    <row r="1201" spans="1:15" x14ac:dyDescent="0.25">
      <c r="A1201">
        <v>159.900000000002</v>
      </c>
      <c r="B1201" t="e">
        <f t="shared" si="180"/>
        <v>#N/A</v>
      </c>
      <c r="C1201" t="e">
        <f t="shared" si="181"/>
        <v>#N/A</v>
      </c>
      <c r="D1201" t="e">
        <f t="shared" si="182"/>
        <v>#N/A</v>
      </c>
      <c r="E1201" t="e">
        <f t="shared" si="183"/>
        <v>#N/A</v>
      </c>
      <c r="F1201" t="e">
        <f t="shared" si="184"/>
        <v>#N/A</v>
      </c>
      <c r="G1201" t="e">
        <f t="shared" si="185"/>
        <v>#N/A</v>
      </c>
      <c r="H1201" t="e">
        <f t="shared" si="186"/>
        <v>#N/A</v>
      </c>
      <c r="I1201" t="e">
        <f t="shared" si="187"/>
        <v>#N/A</v>
      </c>
      <c r="J1201">
        <f t="shared" si="188"/>
        <v>9.1629324883480341E-6</v>
      </c>
      <c r="K1201">
        <f t="shared" si="189"/>
        <v>2.0916293248834805E-4</v>
      </c>
      <c r="L1201" t="e">
        <f>IF(AND(ABS((ChartCalculations!A1201-Calculations!$F$3)/Calculations!$F$4)&lt;5,OR(A1201&lt;=Calculations!$F$7,A1201&gt;=Calculations!$F$8)),0.2*_xlfn.NORM.DIST(100,100,15,FALSE)*_xlfn.NORM.DIST(A1201,Calculations!$F$3,Calculations!$F$4,FALSE)/_xlfn.NORM.DIST(Calculations!$F$3,Calculations!$F$3,Calculations!$F$4,FALSE),NA())</f>
        <v>#N/A</v>
      </c>
      <c r="M1201" t="e">
        <f>IF(AND(A1201&gt;=Calculations!$F$7,A1201&lt;=Calculations!$F$8),0.2*_xlfn.NORM.DIST(100,100,15,FALSE)*_xlfn.NORM.DIST(A1201,Calculations!$F$3,Calculations!$F$4,FALSE)/_xlfn.NORM.DIST(Calculations!$F$3,Calculations!$F$3,Calculations!$F$4,FALSE),NA())</f>
        <v>#N/A</v>
      </c>
    </row>
    <row r="1202" spans="1:15" x14ac:dyDescent="0.25">
      <c r="A1202">
        <v>160.00000000000199</v>
      </c>
      <c r="B1202" t="e">
        <f t="shared" si="180"/>
        <v>#N/A</v>
      </c>
      <c r="C1202" t="e">
        <f t="shared" si="181"/>
        <v>#N/A</v>
      </c>
      <c r="D1202" t="e">
        <f t="shared" si="182"/>
        <v>#N/A</v>
      </c>
      <c r="E1202" t="e">
        <f t="shared" si="183"/>
        <v>#N/A</v>
      </c>
      <c r="F1202" t="e">
        <f t="shared" si="184"/>
        <v>#N/A</v>
      </c>
      <c r="G1202" t="e">
        <f t="shared" si="185"/>
        <v>#N/A</v>
      </c>
      <c r="H1202" t="e">
        <f t="shared" si="186"/>
        <v>#N/A</v>
      </c>
      <c r="I1202" t="e">
        <f t="shared" si="187"/>
        <v>#N/A</v>
      </c>
      <c r="J1202">
        <f t="shared" si="188"/>
        <v>8.9220150509876341E-6</v>
      </c>
      <c r="K1202">
        <f t="shared" si="189"/>
        <v>2.0892201505098764E-4</v>
      </c>
      <c r="L1202" t="e">
        <f>IF(AND(ABS((ChartCalculations!A1202-Calculations!$F$3)/Calculations!$F$4)&lt;5,OR(A1202&lt;=Calculations!$F$7,A1202&gt;=Calculations!$F$8)),0.2*_xlfn.NORM.DIST(100,100,15,FALSE)*_xlfn.NORM.DIST(A1202,Calculations!$F$3,Calculations!$F$4,FALSE)/_xlfn.NORM.DIST(Calculations!$F$3,Calculations!$F$3,Calculations!$F$4,FALSE),NA())</f>
        <v>#N/A</v>
      </c>
      <c r="M1202" t="e">
        <f>IF(AND(A1202&gt;=Calculations!$F$7,A1202&lt;=Calculations!$F$8),0.2*_xlfn.NORM.DIST(100,100,15,FALSE)*_xlfn.NORM.DIST(A1202,Calculations!$F$3,Calculations!$F$4,FALSE)/_xlfn.NORM.DIST(Calculations!$F$3,Calculations!$F$3,Calculations!$F$4,FALSE),NA())</f>
        <v>#N/A</v>
      </c>
    </row>
    <row r="1203" spans="1:15" x14ac:dyDescent="0.25">
      <c r="A1203">
        <f>Calculations!F7</f>
        <v>64.18949649315185</v>
      </c>
      <c r="N1203">
        <f>0.2*NORMDIST(Calculations!F7,Calculations!F3,Calculations!F4,FALSE)/NORMDIST(Calculations!F3,Calculations!F3,Calculations!F4,FALSE) * NORMDIST(100,100,15,FALSE)</f>
        <v>7.7926759740047852E-4</v>
      </c>
    </row>
    <row r="1204" spans="1:15" x14ac:dyDescent="0.25">
      <c r="A1204">
        <f>Calculations!F8</f>
        <v>69.26612386864393</v>
      </c>
      <c r="N1204">
        <f>N1203</f>
        <v>7.7926759740047852E-4</v>
      </c>
    </row>
    <row r="1205" spans="1:15" x14ac:dyDescent="0.25">
      <c r="A1205" s="61">
        <f>Calculations!F2</f>
        <v>66.476018320026895</v>
      </c>
      <c r="N1205">
        <f>N1203</f>
        <v>7.7926759740047852E-4</v>
      </c>
    </row>
    <row r="1206" spans="1:15" x14ac:dyDescent="0.25">
      <c r="A1206">
        <v>50</v>
      </c>
      <c r="O1206">
        <v>7.4999999999999997E-3</v>
      </c>
    </row>
    <row r="1207" spans="1:15" x14ac:dyDescent="0.25">
      <c r="A1207">
        <v>65</v>
      </c>
      <c r="O1207">
        <v>7.4999999999999997E-3</v>
      </c>
    </row>
    <row r="1208" spans="1:15" x14ac:dyDescent="0.25">
      <c r="A1208">
        <v>75</v>
      </c>
      <c r="O1208">
        <v>7.4999999999999997E-3</v>
      </c>
    </row>
    <row r="1209" spans="1:15" x14ac:dyDescent="0.25">
      <c r="A1209">
        <v>85</v>
      </c>
      <c r="O1209">
        <v>7.4999999999999997E-3</v>
      </c>
    </row>
    <row r="1210" spans="1:15" x14ac:dyDescent="0.25">
      <c r="A1210">
        <v>100</v>
      </c>
      <c r="O1210">
        <v>7.4999999999999997E-3</v>
      </c>
    </row>
    <row r="1211" spans="1:15" x14ac:dyDescent="0.25">
      <c r="A1211">
        <v>115</v>
      </c>
      <c r="O1211">
        <v>7.4999999999999997E-3</v>
      </c>
    </row>
    <row r="1212" spans="1:15" x14ac:dyDescent="0.25">
      <c r="A1212">
        <v>125</v>
      </c>
      <c r="O1212">
        <v>7.4999999999999997E-3</v>
      </c>
    </row>
    <row r="1213" spans="1:15" x14ac:dyDescent="0.25">
      <c r="A1213">
        <v>135</v>
      </c>
      <c r="O1213">
        <v>7.4999999999999997E-3</v>
      </c>
    </row>
    <row r="1214" spans="1:15" x14ac:dyDescent="0.25">
      <c r="A1214">
        <v>150</v>
      </c>
      <c r="O1214">
        <v>7.4999999999999997E-3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Main</vt:lpstr>
      <vt:lpstr>TestSorting</vt:lpstr>
      <vt:lpstr>Blanks</vt:lpstr>
      <vt:lpstr>Tests</vt:lpstr>
      <vt:lpstr>Calculations</vt:lpstr>
      <vt:lpstr>ChartCalculations</vt:lpstr>
      <vt:lpstr>Composite Plot</vt:lpstr>
      <vt:lpstr>Deviations Plot</vt:lpstr>
      <vt:lpstr>Flynn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wjschne</dc:creator>
  <cp:lastModifiedBy>William Joel Schneider</cp:lastModifiedBy>
  <dcterms:created xsi:type="dcterms:W3CDTF">2011-05-17T02:19:08Z</dcterms:created>
  <dcterms:modified xsi:type="dcterms:W3CDTF">2025-11-19T19:44:03Z</dcterms:modified>
</cp:coreProperties>
</file>